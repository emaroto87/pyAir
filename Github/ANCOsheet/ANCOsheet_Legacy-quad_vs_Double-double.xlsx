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c81246\Downloads\"/>
    </mc:Choice>
  </mc:AlternateContent>
  <xr:revisionPtr revIDLastSave="0" documentId="13_ncr:11_{B4ED2D2B-3715-4030-AD1F-6E47BED49C1B}" xr6:coauthVersionLast="47" xr6:coauthVersionMax="47" xr10:uidLastSave="{00000000-0000-0000-0000-000000000000}"/>
  <bookViews>
    <workbookView xWindow="-28920" yWindow="-120" windowWidth="29040" windowHeight="15840" activeTab="1" xr2:uid="{00000000-000D-0000-FFFF-FFFF00000000}"/>
  </bookViews>
  <sheets>
    <sheet name="cover" sheetId="1" r:id="rId1"/>
    <sheet name="moduli" sheetId="2" r:id="rId2"/>
    <sheet name="ancolites" sheetId="5" r:id="rId3"/>
  </sheets>
  <definedNames>
    <definedName name="_xlnm.Print_Area" localSheetId="0">cover!$A$1:$E$29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6" i="2" l="1"/>
  <c r="M25" i="2"/>
  <c r="M27" i="2"/>
  <c r="D27" i="2" l="1"/>
  <c r="D26" i="2"/>
  <c r="D25" i="2"/>
  <c r="D16" i="2"/>
  <c r="D12" i="2"/>
  <c r="F6" i="2"/>
  <c r="G6" i="2" s="1"/>
  <c r="E6" i="2"/>
  <c r="C11" i="2" s="1"/>
  <c r="B11" i="2" l="1"/>
  <c r="B10" i="2"/>
  <c r="C14" i="2"/>
  <c r="B14" i="2"/>
  <c r="B15" i="2"/>
  <c r="C15" i="2"/>
  <c r="C10" i="2"/>
  <c r="B18" i="2" l="1"/>
  <c r="C18" i="2"/>
  <c r="C19" i="2"/>
  <c r="B19" i="2"/>
  <c r="D20" i="2"/>
  <c r="E25" i="2" l="1"/>
  <c r="E26" i="2"/>
  <c r="E27" i="2"/>
  <c r="G25" i="2"/>
  <c r="F25" i="2"/>
  <c r="F27" i="2"/>
  <c r="F26" i="2"/>
  <c r="H25" i="2"/>
  <c r="K25" i="2" s="1"/>
  <c r="H26" i="2"/>
  <c r="K26" i="2" s="1"/>
  <c r="H27" i="2"/>
  <c r="K27" i="2" s="1"/>
  <c r="G27" i="2"/>
  <c r="G26" i="2"/>
  <c r="M35" i="2" l="1"/>
  <c r="J25" i="2"/>
  <c r="L27" i="2"/>
  <c r="L26" i="2"/>
  <c r="I25" i="2"/>
  <c r="I27" i="2"/>
  <c r="I26" i="2"/>
  <c r="J26" i="2"/>
  <c r="L25" i="2"/>
  <c r="J27" i="2"/>
  <c r="M34" i="2" l="1"/>
  <c r="M3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gustavo</author>
  </authors>
  <commentList>
    <comment ref="B10" authorId="0" shapeId="0" xr:uid="{00000000-0006-0000-0000-000001000000}">
      <text>
        <r>
          <rPr>
            <sz val="9"/>
            <color indexed="81"/>
            <rFont val="Tahoma"/>
            <family val="2"/>
          </rPr>
          <t>Copyright (c) 2019, Airbus Defence and Space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Airbus Defence and Space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AIRBUS DEFENCE AND SPACE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r>
      </text>
    </comment>
  </commentList>
</comments>
</file>

<file path=xl/sharedStrings.xml><?xml version="1.0" encoding="utf-8"?>
<sst xmlns="http://schemas.openxmlformats.org/spreadsheetml/2006/main" count="91" uniqueCount="78">
  <si>
    <t>TOOL-NAME</t>
  </si>
  <si>
    <t>VERSION</t>
  </si>
  <si>
    <t>PURPOSE</t>
  </si>
  <si>
    <t>METHOD</t>
  </si>
  <si>
    <t>UTILIZATION</t>
  </si>
  <si>
    <t>DEVELOPED IN</t>
  </si>
  <si>
    <t>MS Excel 2010</t>
  </si>
  <si>
    <t>DEPENDENCIES</t>
  </si>
  <si>
    <t>RECORD OF REVISIONS</t>
  </si>
  <si>
    <t>Model version control</t>
  </si>
  <si>
    <t>Version</t>
  </si>
  <si>
    <t>Date</t>
  </si>
  <si>
    <t>Author</t>
  </si>
  <si>
    <t>Description of changes</t>
  </si>
  <si>
    <t>1.0</t>
  </si>
  <si>
    <t>First version</t>
  </si>
  <si>
    <t>Data version control</t>
  </si>
  <si>
    <t>Title</t>
  </si>
  <si>
    <t>Created by</t>
  </si>
  <si>
    <t>Description</t>
  </si>
  <si>
    <t>ANCOsheet</t>
  </si>
  <si>
    <t>COPYRIGHT</t>
  </si>
  <si>
    <t>LICENSE</t>
  </si>
  <si>
    <t>Distribution and use of this software is permitted under the terms of the BSD License 2.0</t>
  </si>
  <si>
    <t>E-mail</t>
  </si>
  <si>
    <t>gustavo.banos@airbus.com</t>
  </si>
  <si>
    <t>G. Baños (TEASP-TL3)</t>
  </si>
  <si>
    <t>24/10/2017</t>
  </si>
  <si>
    <t>Airbus Defence and Space - All Rights Reserved
Written by the Stress Methods and Optimization department (TEASP-TL3)</t>
  </si>
  <si>
    <t>Analysis of conventional composite laminates in in-plane loads</t>
  </si>
  <si>
    <t>Elastic moduli of the lamina</t>
  </si>
  <si>
    <t>s=c=sin(45)
=cos(45)</t>
  </si>
  <si>
    <t>s^4=c^4
=s^2·c^2</t>
  </si>
  <si>
    <t>Q0 =</t>
  </si>
  <si>
    <t>Q90 =</t>
  </si>
  <si>
    <t xml:space="preserve">Q45 = </t>
  </si>
  <si>
    <t>Style</t>
  </si>
  <si>
    <t>W0º</t>
  </si>
  <si>
    <t>W45º</t>
  </si>
  <si>
    <t>W90º</t>
  </si>
  <si>
    <t>Q11</t>
  </si>
  <si>
    <t>Q22</t>
  </si>
  <si>
    <t>Q12</t>
  </si>
  <si>
    <t>Q66</t>
  </si>
  <si>
    <t>Soft</t>
  </si>
  <si>
    <t>QI</t>
  </si>
  <si>
    <t>ELASTIC MODULI OF THE LAMINATE FROM LAMINA PROPERTIES AND PLIES WEIGHTS AT 0º, ±45º, 90º DIRECTIONS</t>
  </si>
  <si>
    <t>Elastic moduli of the laminate defined by plies relative weights at 0º, ±45º, 90º directions</t>
  </si>
  <si>
    <t>Stiffness matrix of the lamina at directions 0º, 90º and at 45º (last one at +45/-45 indeed)</t>
  </si>
  <si>
    <t>Classical Laminate Theory per R. M. Jones' "MECHANICS OF COMPOSITE MATERIALS"</t>
  </si>
  <si>
    <t>1.1</t>
  </si>
  <si>
    <t>22/12/2019</t>
  </si>
  <si>
    <t>G. Baños</t>
  </si>
  <si>
    <t>Minor formatting corrections and clarifications about material allowables in sheet "strength"</t>
  </si>
  <si>
    <r>
      <rPr>
        <sz val="11"/>
        <color theme="1"/>
        <rFont val="Calibri"/>
        <family val="2"/>
      </rPr>
      <t>ν</t>
    </r>
    <r>
      <rPr>
        <i/>
        <vertAlign val="subscript"/>
        <sz val="11"/>
        <color theme="1"/>
        <rFont val="Calibri"/>
        <family val="2"/>
        <scheme val="minor"/>
      </rPr>
      <t>12</t>
    </r>
  </si>
  <si>
    <r>
      <t>E</t>
    </r>
    <r>
      <rPr>
        <i/>
        <vertAlign val="subscript"/>
        <sz val="11"/>
        <color theme="1"/>
        <rFont val="Calibri"/>
        <family val="2"/>
        <scheme val="minor"/>
      </rPr>
      <t>1</t>
    </r>
  </si>
  <si>
    <r>
      <t>E</t>
    </r>
    <r>
      <rPr>
        <i/>
        <vertAlign val="subscript"/>
        <sz val="11"/>
        <color theme="1"/>
        <rFont val="Calibri"/>
        <family val="2"/>
        <scheme val="minor"/>
      </rPr>
      <t>2</t>
    </r>
  </si>
  <si>
    <r>
      <t>G</t>
    </r>
    <r>
      <rPr>
        <i/>
        <vertAlign val="subscript"/>
        <sz val="11"/>
        <color theme="1"/>
        <rFont val="Calibri"/>
        <family val="2"/>
        <scheme val="minor"/>
      </rPr>
      <t>12</t>
    </r>
  </si>
  <si>
    <r>
      <rPr>
        <sz val="11"/>
        <color theme="1"/>
        <rFont val="Calibri"/>
        <family val="2"/>
      </rPr>
      <t>ν</t>
    </r>
    <r>
      <rPr>
        <i/>
        <vertAlign val="subscript"/>
        <sz val="11"/>
        <color theme="1"/>
        <rFont val="Calibri"/>
        <family val="2"/>
        <scheme val="minor"/>
      </rPr>
      <t>21</t>
    </r>
  </si>
  <si>
    <r>
      <t>E</t>
    </r>
    <r>
      <rPr>
        <i/>
        <vertAlign val="subscript"/>
        <sz val="11"/>
        <color theme="1"/>
        <rFont val="Calibri"/>
        <family val="2"/>
        <scheme val="minor"/>
      </rPr>
      <t>x</t>
    </r>
  </si>
  <si>
    <r>
      <t>E</t>
    </r>
    <r>
      <rPr>
        <i/>
        <vertAlign val="subscript"/>
        <sz val="11"/>
        <color theme="1"/>
        <rFont val="Calibri"/>
        <family val="2"/>
        <scheme val="minor"/>
      </rPr>
      <t>y</t>
    </r>
  </si>
  <si>
    <r>
      <t>G</t>
    </r>
    <r>
      <rPr>
        <i/>
        <vertAlign val="subscript"/>
        <sz val="11"/>
        <color theme="1"/>
        <rFont val="Calibri"/>
        <family val="2"/>
        <scheme val="minor"/>
      </rPr>
      <t>xy</t>
    </r>
  </si>
  <si>
    <r>
      <rPr>
        <sz val="11"/>
        <color theme="1"/>
        <rFont val="Calibri"/>
        <family val="2"/>
      </rPr>
      <t>ν</t>
    </r>
    <r>
      <rPr>
        <i/>
        <vertAlign val="subscript"/>
        <sz val="11"/>
        <color theme="1"/>
        <rFont val="Calibri"/>
        <family val="2"/>
        <scheme val="minor"/>
      </rPr>
      <t>xy</t>
    </r>
  </si>
  <si>
    <t>Input data and results are found in "moduli" and "strength" sheets.
Input data must be filled in cells with yellow background color:
 - Sheet "moduli" &gt; elastic moduli of the ply and relative weights of laminate plies in 0º, 45º and 90º directions
 - Sheet "strength" &gt; elastic moduli of the laminate, allowable strains of the ply and in-plane loads Nx, Ny, Nxy 
Update also "Data version control" form below, in this sheet. Results (elastic moduli of the laminate, or strains and reserve factors) are automatically shown in the those sheets in blue background cells.
· Current provision for calculating the elastic moduli of 5+10 stacking styles in "moduli" sheet, and the static margin for 10 load cases on a laminate in "strength " sheet, can be easilly extended. However, only one material can be used in the "moduli" sheet, and only one laminate in the "strength" sheet.
· Warning: Laminate is expected to be built following the typical stacking rules (symmetric, balanced) with plies at 0º, ±45º and 90º orientations. Minimum 10% of plies per each of these directions shall be present.</t>
  </si>
  <si>
    <t>No other dependencies in addition to MS Excel software</t>
  </si>
  <si>
    <t>IM laminates with legacy quad and double-double-helix (Tsai)</t>
  </si>
  <si>
    <t>11/09/2025</t>
  </si>
  <si>
    <t>Purpose: obtain the double-double stackings for the traditional quad laminates (10/80/10), (25/50/25) and (50/40/10)</t>
  </si>
  <si>
    <t>Hard</t>
  </si>
  <si>
    <t>Kt0</t>
  </si>
  <si>
    <t>Elastic moduli of the laminate built with Tsai's double-double-helix</t>
  </si>
  <si>
    <t>Stacking sequence</t>
  </si>
  <si>
    <t>(22.5/67.5/-22.5/67.5)n</t>
  </si>
  <si>
    <t>(32/-58/-32/58)n</t>
  </si>
  <si>
    <t xml:space="preserve">Era cuestion de dividir el cuadrante de 90º en 4 sectores (22.5º) y poner las telas en 22.5 y 90-22.5 </t>
  </si>
  <si>
    <t>(5/-5/-55/50)n</t>
  </si>
  <si>
    <t>Este hay que buscarlo con algun metodo numerico… o tal vez con los carpet-plots del libro de Tsai</t>
  </si>
  <si>
    <r>
      <t xml:space="preserve">Se puede afinar un poco mas, pero decimales a los angulos queda raro. Como el (10/80/10) tiene Ex=Ey, era cuestion tambien de iterar con pares α , 90 - </t>
    </r>
    <r>
      <rPr>
        <sz val="10"/>
        <color theme="1"/>
        <rFont val="Calibri"/>
        <family val="2"/>
      </rPr>
      <t>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</si>
</sst>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00"/>
  </numFmts>
  <fonts count="25" x14ac:knownFonts="1">
    <font>
      <sz val="10"/>
      <color theme="1"/>
      <name val="Arial"/>
      <family val="2"/>
    </font>
    <font>
      <sz val="10"/>
      <color theme="1"/>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theme="0"/>
      <name val="Arial"/>
      <family val="2"/>
    </font>
    <font>
      <b/>
      <sz val="10"/>
      <color theme="1"/>
      <name val="Arial"/>
      <family val="2"/>
    </font>
    <font>
      <sz val="10"/>
      <color rgb="FF3F3F3F"/>
      <name val="Arial"/>
      <family val="2"/>
    </font>
    <font>
      <u val="double"/>
      <sz val="10"/>
      <color theme="3"/>
      <name val="Arial"/>
      <family val="2"/>
    </font>
    <font>
      <b/>
      <i/>
      <sz val="10"/>
      <color theme="1"/>
      <name val="Arial"/>
      <family val="2"/>
    </font>
    <font>
      <i/>
      <sz val="10"/>
      <color theme="1"/>
      <name val="Arial"/>
      <family val="2"/>
    </font>
    <font>
      <u/>
      <sz val="10"/>
      <color theme="10"/>
      <name val="Arial"/>
      <family val="2"/>
    </font>
    <font>
      <b/>
      <i/>
      <sz val="11"/>
      <color theme="1"/>
      <name val="Calibri"/>
      <family val="2"/>
      <scheme val="minor"/>
    </font>
    <font>
      <i/>
      <sz val="11"/>
      <color theme="1"/>
      <name val="Calibri"/>
      <family val="2"/>
      <scheme val="minor"/>
    </font>
    <font>
      <i/>
      <sz val="8"/>
      <color theme="1"/>
      <name val="Calibri"/>
      <family val="2"/>
      <scheme val="minor"/>
    </font>
    <font>
      <sz val="11"/>
      <color rgb="FFFF0000"/>
      <name val="Calibri"/>
      <family val="2"/>
      <scheme val="minor"/>
    </font>
    <font>
      <b/>
      <sz val="10"/>
      <color rgb="FF3F3F3F"/>
      <name val="Arial"/>
      <family val="2"/>
    </font>
    <font>
      <b/>
      <u/>
      <sz val="10"/>
      <color theme="1"/>
      <name val="Arial"/>
      <family val="2"/>
    </font>
    <font>
      <b/>
      <i/>
      <u/>
      <sz val="11"/>
      <color theme="1"/>
      <name val="Calibri"/>
      <family val="2"/>
      <scheme val="minor"/>
    </font>
    <font>
      <sz val="11"/>
      <color theme="1"/>
      <name val="Calibri"/>
      <family val="2"/>
    </font>
    <font>
      <i/>
      <vertAlign val="subscript"/>
      <sz val="11"/>
      <color theme="1"/>
      <name val="Calibri"/>
      <family val="2"/>
      <scheme val="minor"/>
    </font>
    <font>
      <sz val="9"/>
      <color indexed="81"/>
      <name val="Tahoma"/>
      <family val="2"/>
    </font>
    <font>
      <sz val="10"/>
      <color theme="1"/>
      <name val="Calibri"/>
      <family val="2"/>
    </font>
    <font>
      <sz val="10"/>
      <color rgb="FFFF0000"/>
      <name val="Arial"/>
      <family val="2"/>
    </font>
  </fonts>
  <fills count="10">
    <fill>
      <patternFill patternType="none"/>
    </fill>
    <fill>
      <patternFill patternType="gray125"/>
    </fill>
    <fill>
      <patternFill patternType="solid">
        <fgColor rgb="FFFFEB9C"/>
      </patternFill>
    </fill>
    <fill>
      <patternFill patternType="solid">
        <fgColor rgb="FFA5A5A5"/>
      </patternFill>
    </fill>
    <fill>
      <patternFill patternType="solid">
        <fgColor rgb="FFFFFFCC"/>
      </patternFill>
    </fill>
    <fill>
      <patternFill patternType="solid">
        <fgColor rgb="FFF0F0F0"/>
        <bgColor indexed="64"/>
      </patternFill>
    </fill>
    <fill>
      <patternFill patternType="solid">
        <fgColor rgb="FF96D250"/>
        <bgColor indexed="64"/>
      </patternFill>
    </fill>
    <fill>
      <patternFill patternType="solid">
        <fgColor rgb="FFFF9696"/>
        <bgColor indexed="64"/>
      </patternFill>
    </fill>
    <fill>
      <patternFill patternType="solid">
        <fgColor rgb="FFFFFF96"/>
        <bgColor indexed="64"/>
      </patternFill>
    </fill>
    <fill>
      <patternFill patternType="solid">
        <fgColor rgb="FF96FFFF"/>
        <bgColor indexed="64"/>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2" fillId="6" borderId="0" applyNumberFormat="0" applyBorder="0" applyAlignment="0" applyProtection="0"/>
    <xf numFmtId="0" fontId="3" fillId="7" borderId="0" applyNumberFormat="0" applyBorder="0" applyAlignment="0" applyProtection="0"/>
    <xf numFmtId="0" fontId="4" fillId="2" borderId="0" applyNumberFormat="0" applyBorder="0" applyAlignment="0" applyProtection="0"/>
    <xf numFmtId="0" fontId="5" fillId="8" borderId="0" applyNumberFormat="0" applyBorder="0" applyAlignment="0" applyProtection="0"/>
    <xf numFmtId="0" fontId="8" fillId="9" borderId="0" applyNumberFormat="0" applyBorder="0" applyAlignment="0" applyProtection="0"/>
    <xf numFmtId="0" fontId="1" fillId="5" borderId="0" applyNumberFormat="0" applyBorder="0" applyAlignment="0" applyProtection="0"/>
    <xf numFmtId="0" fontId="9" fillId="8" borderId="0" applyNumberFormat="0" applyAlignment="0" applyProtection="0"/>
    <xf numFmtId="0" fontId="6" fillId="3" borderId="1" applyNumberFormat="0" applyAlignment="0" applyProtection="0"/>
    <xf numFmtId="0" fontId="1" fillId="4" borderId="2" applyNumberFormat="0" applyFont="0" applyAlignment="0" applyProtection="0"/>
    <xf numFmtId="0" fontId="12" fillId="0" borderId="0" applyNumberFormat="0" applyFill="0" applyBorder="0" applyAlignment="0" applyProtection="0"/>
  </cellStyleXfs>
  <cellXfs count="75">
    <xf numFmtId="0" fontId="0" fillId="0" borderId="0" xfId="0"/>
    <xf numFmtId="0" fontId="14" fillId="0" borderId="0" xfId="0" applyFont="1" applyAlignment="1">
      <alignment horizontal="center" vertical="center"/>
    </xf>
    <xf numFmtId="0" fontId="5" fillId="8" borderId="0" xfId="4" applyAlignment="1" applyProtection="1">
      <alignment horizontal="center" vertical="center"/>
      <protection locked="0"/>
    </xf>
    <xf numFmtId="9" fontId="5" fillId="8" borderId="0" xfId="4" applyNumberFormat="1" applyAlignment="1" applyProtection="1">
      <alignment horizontal="center" vertical="center"/>
      <protection locked="0"/>
    </xf>
    <xf numFmtId="49" fontId="7" fillId="0" borderId="3" xfId="0" applyNumberFormat="1" applyFont="1" applyBorder="1" applyAlignment="1" applyProtection="1">
      <alignment horizontal="left" vertical="center" wrapText="1"/>
    </xf>
    <xf numFmtId="49" fontId="1" fillId="0" borderId="0" xfId="0" applyNumberFormat="1" applyFont="1" applyAlignment="1" applyProtection="1">
      <alignment vertical="center" wrapText="1"/>
    </xf>
    <xf numFmtId="49" fontId="7" fillId="0" borderId="0" xfId="0" applyNumberFormat="1" applyFont="1" applyAlignment="1" applyProtection="1">
      <alignment vertical="center" wrapText="1"/>
    </xf>
    <xf numFmtId="49" fontId="7" fillId="0" borderId="0" xfId="0" applyNumberFormat="1" applyFont="1" applyBorder="1" applyAlignment="1" applyProtection="1">
      <alignment vertical="center" wrapText="1"/>
    </xf>
    <xf numFmtId="49" fontId="7" fillId="0" borderId="5" xfId="0" applyNumberFormat="1" applyFont="1" applyBorder="1" applyAlignment="1" applyProtection="1">
      <alignment horizontal="left" vertical="center" wrapText="1"/>
    </xf>
    <xf numFmtId="49" fontId="7" fillId="0" borderId="0" xfId="0" applyNumberFormat="1" applyFont="1" applyBorder="1" applyAlignment="1" applyProtection="1">
      <alignment horizontal="left" vertical="center" wrapText="1"/>
    </xf>
    <xf numFmtId="49" fontId="0" fillId="0" borderId="0" xfId="0" applyNumberFormat="1" applyFont="1" applyBorder="1" applyAlignment="1" applyProtection="1">
      <alignment horizontal="left" vertical="center" wrapText="1"/>
    </xf>
    <xf numFmtId="49" fontId="7" fillId="0" borderId="0" xfId="0" applyNumberFormat="1" applyFont="1" applyAlignment="1" applyProtection="1">
      <alignment horizontal="left" vertical="center"/>
    </xf>
    <xf numFmtId="49" fontId="1" fillId="0" borderId="0" xfId="0" applyNumberFormat="1" applyFont="1" applyAlignment="1" applyProtection="1">
      <alignment horizontal="center" vertical="center"/>
    </xf>
    <xf numFmtId="49" fontId="1" fillId="0" borderId="0" xfId="0" applyNumberFormat="1" applyFont="1" applyAlignment="1" applyProtection="1">
      <alignment horizontal="left" vertical="center"/>
    </xf>
    <xf numFmtId="49" fontId="1" fillId="0" borderId="0" xfId="0" applyNumberFormat="1" applyFont="1" applyAlignment="1" applyProtection="1">
      <alignment vertical="center"/>
    </xf>
    <xf numFmtId="49" fontId="10" fillId="0" borderId="0" xfId="0" applyNumberFormat="1" applyFont="1" applyAlignment="1" applyProtection="1">
      <alignment horizontal="left" vertical="center"/>
    </xf>
    <xf numFmtId="49" fontId="10" fillId="0" borderId="4" xfId="0" applyNumberFormat="1" applyFont="1" applyBorder="1" applyAlignment="1" applyProtection="1">
      <alignment horizontal="center" vertical="center" wrapText="1"/>
    </xf>
    <xf numFmtId="49" fontId="10" fillId="0" borderId="4" xfId="0" applyNumberFormat="1" applyFont="1" applyBorder="1" applyAlignment="1" applyProtection="1">
      <alignment horizontal="left" vertical="center" wrapText="1"/>
    </xf>
    <xf numFmtId="49" fontId="11" fillId="0" borderId="0" xfId="0" applyNumberFormat="1" applyFont="1" applyAlignment="1" applyProtection="1">
      <alignment vertical="center"/>
    </xf>
    <xf numFmtId="49" fontId="0" fillId="0" borderId="4" xfId="0" applyNumberFormat="1" applyFont="1" applyBorder="1" applyAlignment="1" applyProtection="1">
      <alignment horizontal="center" vertical="center" wrapText="1"/>
    </xf>
    <xf numFmtId="49" fontId="12" fillId="0" borderId="4" xfId="10" applyNumberFormat="1" applyBorder="1" applyAlignment="1" applyProtection="1">
      <alignment horizontal="center" vertical="center" wrapText="1"/>
    </xf>
    <xf numFmtId="49" fontId="0" fillId="0" borderId="4" xfId="0" applyNumberFormat="1" applyFont="1" applyBorder="1" applyAlignment="1" applyProtection="1">
      <alignment horizontal="left" vertical="center" wrapText="1"/>
    </xf>
    <xf numFmtId="49" fontId="1" fillId="0" borderId="4" xfId="0" applyNumberFormat="1" applyFont="1" applyBorder="1" applyAlignment="1" applyProtection="1">
      <alignment horizontal="center" vertical="center" wrapText="1"/>
    </xf>
    <xf numFmtId="49" fontId="1" fillId="0" borderId="4" xfId="0" applyNumberFormat="1" applyFont="1" applyBorder="1" applyAlignment="1" applyProtection="1">
      <alignment horizontal="left" vertical="center" wrapText="1"/>
    </xf>
    <xf numFmtId="0" fontId="18" fillId="0" borderId="0" xfId="0" applyFont="1" applyAlignment="1" applyProtection="1">
      <alignment horizontal="left" vertical="center"/>
    </xf>
    <xf numFmtId="0" fontId="0" fillId="0" borderId="0" xfId="0" applyAlignment="1" applyProtection="1">
      <alignment horizontal="center" vertical="center"/>
    </xf>
    <xf numFmtId="0" fontId="19" fillId="0" borderId="0" xfId="0" applyFont="1" applyAlignment="1" applyProtection="1">
      <alignment horizontal="left" vertical="center"/>
    </xf>
    <xf numFmtId="0" fontId="13" fillId="0" borderId="0" xfId="0" applyFont="1" applyAlignment="1" applyProtection="1">
      <alignment horizontal="left" vertical="center"/>
    </xf>
    <xf numFmtId="0" fontId="14" fillId="0" borderId="0" xfId="0" applyFont="1" applyAlignment="1" applyProtection="1">
      <alignment horizontal="center" vertical="center"/>
    </xf>
    <xf numFmtId="0" fontId="15" fillId="0" borderId="0" xfId="0" applyFont="1" applyAlignment="1" applyProtection="1">
      <alignment horizontal="center" vertical="center" wrapText="1"/>
    </xf>
    <xf numFmtId="0" fontId="14" fillId="0" borderId="0" xfId="0" applyFont="1" applyFill="1" applyAlignment="1" applyProtection="1">
      <alignment horizontal="center" vertical="center"/>
    </xf>
    <xf numFmtId="164" fontId="1" fillId="5" borderId="0" xfId="6" applyNumberFormat="1" applyAlignment="1" applyProtection="1">
      <alignment horizontal="center" vertical="center"/>
    </xf>
    <xf numFmtId="165" fontId="1" fillId="5" borderId="0" xfId="6" applyNumberFormat="1" applyAlignment="1" applyProtection="1">
      <alignment horizontal="center" vertical="center"/>
    </xf>
    <xf numFmtId="2" fontId="1" fillId="5" borderId="0" xfId="6" applyNumberFormat="1" applyAlignment="1" applyProtection="1">
      <alignment horizontal="center" vertical="center"/>
    </xf>
    <xf numFmtId="0" fontId="0" fillId="0" borderId="0" xfId="0" applyFill="1" applyAlignment="1" applyProtection="1">
      <alignment horizontal="center" vertical="center"/>
    </xf>
    <xf numFmtId="1" fontId="16" fillId="0" borderId="0" xfId="0" applyNumberFormat="1" applyFont="1" applyFill="1" applyAlignment="1" applyProtection="1">
      <alignment horizontal="center" vertical="center"/>
    </xf>
    <xf numFmtId="164" fontId="0" fillId="0" borderId="0" xfId="0" applyNumberFormat="1" applyFill="1" applyAlignment="1" applyProtection="1">
      <alignment horizontal="center" vertical="center"/>
    </xf>
    <xf numFmtId="165" fontId="0" fillId="0" borderId="0" xfId="0" applyNumberFormat="1" applyFill="1" applyAlignment="1" applyProtection="1">
      <alignment horizontal="center" vertical="center"/>
    </xf>
    <xf numFmtId="2" fontId="0" fillId="0" borderId="0" xfId="0" applyNumberFormat="1" applyFill="1" applyAlignment="1" applyProtection="1">
      <alignment horizontal="center" vertical="center"/>
    </xf>
    <xf numFmtId="0" fontId="16" fillId="0" borderId="0" xfId="0" applyFont="1" applyFill="1" applyAlignment="1" applyProtection="1">
      <alignment horizontal="center" vertical="center"/>
    </xf>
    <xf numFmtId="1" fontId="1" fillId="5" borderId="6" xfId="6" applyNumberFormat="1" applyBorder="1" applyAlignment="1" applyProtection="1">
      <alignment horizontal="center" vertical="center"/>
    </xf>
    <xf numFmtId="1" fontId="1" fillId="5" borderId="0" xfId="6" applyNumberFormat="1" applyAlignment="1" applyProtection="1">
      <alignment horizontal="center" vertical="center"/>
    </xf>
    <xf numFmtId="0" fontId="1" fillId="5" borderId="7" xfId="6" applyBorder="1" applyAlignment="1" applyProtection="1">
      <alignment horizontal="center" vertical="center"/>
    </xf>
    <xf numFmtId="0" fontId="0" fillId="0" borderId="0" xfId="0" applyAlignment="1" applyProtection="1">
      <alignment horizontal="left" vertical="center"/>
    </xf>
    <xf numFmtId="0" fontId="1" fillId="5" borderId="6" xfId="6" applyBorder="1" applyAlignment="1" applyProtection="1">
      <alignment horizontal="center" vertical="center"/>
    </xf>
    <xf numFmtId="0" fontId="1" fillId="5" borderId="0" xfId="6" applyAlignment="1" applyProtection="1">
      <alignment horizontal="center" vertical="center"/>
    </xf>
    <xf numFmtId="1" fontId="1" fillId="5" borderId="0" xfId="6" applyNumberFormat="1" applyBorder="1" applyAlignment="1" applyProtection="1">
      <alignment horizontal="center" vertical="center"/>
    </xf>
    <xf numFmtId="0" fontId="1" fillId="5" borderId="0" xfId="6" applyBorder="1" applyAlignment="1" applyProtection="1">
      <alignment horizontal="center" vertical="center"/>
    </xf>
    <xf numFmtId="1" fontId="1" fillId="5" borderId="7" xfId="6" applyNumberFormat="1" applyBorder="1" applyAlignment="1" applyProtection="1">
      <alignment horizontal="center" vertical="center"/>
    </xf>
    <xf numFmtId="9" fontId="1" fillId="5" borderId="0" xfId="6" applyNumberFormat="1" applyAlignment="1" applyProtection="1">
      <alignment horizontal="center" vertical="center"/>
    </xf>
    <xf numFmtId="1" fontId="17" fillId="9" borderId="0" xfId="5" applyNumberFormat="1" applyFont="1" applyAlignment="1" applyProtection="1">
      <alignment horizontal="center" vertical="center"/>
    </xf>
    <xf numFmtId="1" fontId="8" fillId="9" borderId="0" xfId="5" applyNumberFormat="1" applyAlignment="1" applyProtection="1">
      <alignment horizontal="center" vertical="center"/>
    </xf>
    <xf numFmtId="165" fontId="8" fillId="9" borderId="0" xfId="5" applyNumberFormat="1" applyAlignment="1" applyProtection="1">
      <alignment horizontal="center" vertical="center"/>
    </xf>
    <xf numFmtId="49" fontId="0" fillId="0" borderId="3" xfId="0" applyNumberFormat="1" applyFont="1" applyBorder="1" applyAlignment="1" applyProtection="1">
      <alignment horizontal="left" vertical="center" wrapText="1"/>
    </xf>
    <xf numFmtId="49" fontId="1" fillId="0" borderId="3" xfId="0" applyNumberFormat="1" applyFont="1" applyBorder="1" applyAlignment="1" applyProtection="1">
      <alignment horizontal="left" vertical="center" wrapText="1"/>
    </xf>
    <xf numFmtId="49" fontId="5" fillId="8" borderId="4" xfId="4" applyNumberFormat="1" applyBorder="1" applyAlignment="1" applyProtection="1">
      <alignment vertical="center"/>
      <protection locked="0"/>
    </xf>
    <xf numFmtId="49" fontId="5" fillId="8" borderId="8" xfId="4" applyNumberFormat="1" applyBorder="1" applyAlignment="1" applyProtection="1">
      <alignment vertical="center" wrapText="1"/>
      <protection locked="0"/>
    </xf>
    <xf numFmtId="49" fontId="5" fillId="8" borderId="3" xfId="4" applyNumberFormat="1" applyBorder="1" applyAlignment="1" applyProtection="1">
      <alignment vertical="center" wrapText="1"/>
      <protection locked="0"/>
    </xf>
    <xf numFmtId="49" fontId="5" fillId="8" borderId="9" xfId="4" applyNumberFormat="1" applyBorder="1" applyAlignment="1" applyProtection="1">
      <alignment vertical="center" wrapText="1"/>
      <protection locked="0"/>
    </xf>
    <xf numFmtId="49" fontId="0" fillId="0" borderId="5" xfId="0" applyNumberFormat="1" applyFont="1" applyBorder="1" applyAlignment="1" applyProtection="1">
      <alignment horizontal="left" vertical="center" wrapText="1"/>
    </xf>
    <xf numFmtId="49" fontId="7" fillId="0" borderId="3" xfId="0" applyNumberFormat="1" applyFont="1" applyBorder="1" applyAlignment="1" applyProtection="1">
      <alignment horizontal="left" vertical="center" wrapText="1"/>
    </xf>
    <xf numFmtId="49" fontId="0" fillId="0" borderId="3" xfId="0" applyNumberFormat="1" applyFont="1" applyBorder="1" applyAlignment="1" applyProtection="1">
      <alignment vertical="center" wrapText="1"/>
    </xf>
    <xf numFmtId="49" fontId="1" fillId="0" borderId="3" xfId="0" applyNumberFormat="1" applyFont="1" applyBorder="1" applyAlignment="1" applyProtection="1">
      <alignment vertical="center" wrapText="1"/>
    </xf>
    <xf numFmtId="166" fontId="1" fillId="5" borderId="0" xfId="6" applyNumberFormat="1" applyAlignment="1" applyProtection="1">
      <alignment horizontal="center" vertical="center"/>
    </xf>
    <xf numFmtId="1" fontId="5" fillId="8" borderId="0" xfId="4" applyNumberFormat="1" applyAlignment="1" applyProtection="1">
      <alignment horizontal="center" vertical="center"/>
    </xf>
    <xf numFmtId="165" fontId="5" fillId="8" borderId="0" xfId="4" applyNumberFormat="1" applyAlignment="1" applyProtection="1">
      <alignment horizontal="center" vertical="center"/>
    </xf>
    <xf numFmtId="9" fontId="5" fillId="8" borderId="0" xfId="4" applyNumberFormat="1" applyAlignment="1" applyProtection="1">
      <alignment horizontal="left" vertical="center"/>
      <protection locked="0"/>
    </xf>
    <xf numFmtId="9" fontId="5" fillId="8" borderId="0" xfId="4" applyNumberFormat="1" applyAlignment="1" applyProtection="1">
      <alignment horizontal="center" vertical="center"/>
    </xf>
    <xf numFmtId="9" fontId="24" fillId="8" borderId="0" xfId="4" applyNumberFormat="1" applyFont="1" applyAlignment="1" applyProtection="1">
      <alignment horizontal="left" vertical="center"/>
      <protection locked="0"/>
    </xf>
    <xf numFmtId="9" fontId="24" fillId="8" borderId="0" xfId="4" applyNumberFormat="1" applyFont="1" applyAlignment="1" applyProtection="1">
      <alignment horizontal="center" vertical="center"/>
      <protection locked="0"/>
    </xf>
    <xf numFmtId="9" fontId="24" fillId="8" borderId="0" xfId="4" applyNumberFormat="1" applyFont="1" applyAlignment="1" applyProtection="1">
      <alignment horizontal="center" vertical="center"/>
    </xf>
    <xf numFmtId="1" fontId="24" fillId="8" borderId="0" xfId="4" applyNumberFormat="1" applyFont="1" applyAlignment="1" applyProtection="1">
      <alignment horizontal="center" vertical="center"/>
    </xf>
    <xf numFmtId="165" fontId="24" fillId="8" borderId="0" xfId="4" applyNumberFormat="1" applyFont="1" applyAlignment="1" applyProtection="1">
      <alignment horizontal="center" vertical="center"/>
    </xf>
    <xf numFmtId="166" fontId="24" fillId="5" borderId="0" xfId="6" applyNumberFormat="1" applyFont="1" applyAlignment="1" applyProtection="1">
      <alignment horizontal="center" vertical="center"/>
    </xf>
    <xf numFmtId="0" fontId="24" fillId="0" borderId="0" xfId="0" applyFont="1" applyAlignment="1" applyProtection="1">
      <alignment horizontal="left" vertical="center"/>
    </xf>
  </cellXfs>
  <cellStyles count="11">
    <cellStyle name="Bueno" xfId="1" builtinId="26" customBuiltin="1"/>
    <cellStyle name="Cálculo" xfId="6" builtinId="22" customBuiltin="1"/>
    <cellStyle name="Celda de comprobación" xfId="8" builtinId="23" hidden="1"/>
    <cellStyle name="Celda vinculada" xfId="7" builtinId="24" hidden="1" customBuiltin="1"/>
    <cellStyle name="Entrada" xfId="4" builtinId="20" customBuiltin="1"/>
    <cellStyle name="Hipervínculo" xfId="10" builtinId="8"/>
    <cellStyle name="Incorrecto" xfId="2" builtinId="27" customBuiltin="1"/>
    <cellStyle name="Neutral" xfId="3" builtinId="28" hidden="1"/>
    <cellStyle name="Normal" xfId="0" builtinId="0"/>
    <cellStyle name="Notas" xfId="9" builtinId="10" hidden="1"/>
    <cellStyle name="Salida" xfId="5" builtinId="21" customBuiltin="1"/>
  </cellStyles>
  <dxfs count="0"/>
  <tableStyles count="0" defaultTableStyle="TableStyleMedium2" defaultPivotStyle="PivotStyleLight16"/>
  <colors>
    <mruColors>
      <color rgb="FFFFFF96"/>
      <color rgb="FF96FFFF"/>
      <color rgb="FFFF9696"/>
      <color rgb="FF96D250"/>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485775</xdr:colOff>
      <xdr:row>42</xdr:row>
      <xdr:rowOff>9525</xdr:rowOff>
    </xdr:from>
    <xdr:to>
      <xdr:col>21</xdr:col>
      <xdr:colOff>208786</xdr:colOff>
      <xdr:row>76</xdr:row>
      <xdr:rowOff>123123</xdr:rowOff>
    </xdr:to>
    <xdr:pic>
      <xdr:nvPicPr>
        <xdr:cNvPr id="2" name="Imagen 1">
          <a:extLst>
            <a:ext uri="{FF2B5EF4-FFF2-40B4-BE49-F238E27FC236}">
              <a16:creationId xmlns:a16="http://schemas.microsoft.com/office/drawing/2014/main" id="{80F27B57-CAFF-4AF0-B291-E629778CA4C7}"/>
            </a:ext>
          </a:extLst>
        </xdr:cNvPr>
        <xdr:cNvPicPr>
          <a:picLocks noChangeAspect="1"/>
        </xdr:cNvPicPr>
      </xdr:nvPicPr>
      <xdr:blipFill>
        <a:blip xmlns:r="http://schemas.openxmlformats.org/officeDocument/2006/relationships" r:embed="rId1"/>
        <a:stretch>
          <a:fillRect/>
        </a:stretch>
      </xdr:blipFill>
      <xdr:spPr>
        <a:xfrm>
          <a:off x="6372225" y="7581900"/>
          <a:ext cx="6114286" cy="5619048"/>
        </a:xfrm>
        <a:prstGeom prst="rect">
          <a:avLst/>
        </a:prstGeom>
      </xdr:spPr>
    </xdr:pic>
    <xdr:clientData/>
  </xdr:twoCellAnchor>
  <xdr:twoCellAnchor editAs="oneCell">
    <xdr:from>
      <xdr:col>0</xdr:col>
      <xdr:colOff>95250</xdr:colOff>
      <xdr:row>41</xdr:row>
      <xdr:rowOff>123825</xdr:rowOff>
    </xdr:from>
    <xdr:to>
      <xdr:col>10</xdr:col>
      <xdr:colOff>332609</xdr:colOff>
      <xdr:row>76</xdr:row>
      <xdr:rowOff>65974</xdr:rowOff>
    </xdr:to>
    <xdr:pic>
      <xdr:nvPicPr>
        <xdr:cNvPr id="4" name="Imagen 3">
          <a:extLst>
            <a:ext uri="{FF2B5EF4-FFF2-40B4-BE49-F238E27FC236}">
              <a16:creationId xmlns:a16="http://schemas.microsoft.com/office/drawing/2014/main" id="{E997FF00-2B49-49FE-AD96-EAAC416F7FAB}"/>
            </a:ext>
          </a:extLst>
        </xdr:cNvPr>
        <xdr:cNvPicPr>
          <a:picLocks noChangeAspect="1"/>
        </xdr:cNvPicPr>
      </xdr:nvPicPr>
      <xdr:blipFill>
        <a:blip xmlns:r="http://schemas.openxmlformats.org/officeDocument/2006/relationships" r:embed="rId2"/>
        <a:stretch>
          <a:fillRect/>
        </a:stretch>
      </xdr:blipFill>
      <xdr:spPr>
        <a:xfrm>
          <a:off x="95250" y="7534275"/>
          <a:ext cx="6123809" cy="5609524"/>
        </a:xfrm>
        <a:prstGeom prst="rect">
          <a:avLst/>
        </a:prstGeom>
      </xdr:spPr>
    </xdr:pic>
    <xdr:clientData/>
  </xdr:twoCellAnchor>
  <xdr:twoCellAnchor editAs="oneCell">
    <xdr:from>
      <xdr:col>21</xdr:col>
      <xdr:colOff>152400</xdr:colOff>
      <xdr:row>41</xdr:row>
      <xdr:rowOff>152400</xdr:rowOff>
    </xdr:from>
    <xdr:to>
      <xdr:col>31</xdr:col>
      <xdr:colOff>551674</xdr:colOff>
      <xdr:row>76</xdr:row>
      <xdr:rowOff>65977</xdr:rowOff>
    </xdr:to>
    <xdr:pic>
      <xdr:nvPicPr>
        <xdr:cNvPr id="5" name="Imagen 4">
          <a:extLst>
            <a:ext uri="{FF2B5EF4-FFF2-40B4-BE49-F238E27FC236}">
              <a16:creationId xmlns:a16="http://schemas.microsoft.com/office/drawing/2014/main" id="{D0D68CCD-FFC6-493A-89E9-CBDFAAE79346}"/>
            </a:ext>
          </a:extLst>
        </xdr:cNvPr>
        <xdr:cNvPicPr>
          <a:picLocks noChangeAspect="1"/>
        </xdr:cNvPicPr>
      </xdr:nvPicPr>
      <xdr:blipFill>
        <a:blip xmlns:r="http://schemas.openxmlformats.org/officeDocument/2006/relationships" r:embed="rId3"/>
        <a:stretch>
          <a:fillRect/>
        </a:stretch>
      </xdr:blipFill>
      <xdr:spPr>
        <a:xfrm>
          <a:off x="12430125" y="7562850"/>
          <a:ext cx="6209524" cy="558095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ustavo.banos@airbus.com" TargetMode="External"/><Relationship Id="rId1" Type="http://schemas.openxmlformats.org/officeDocument/2006/relationships/hyperlink" Target="mailto:gustavo.banos@airbu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E31"/>
  <sheetViews>
    <sheetView showGridLines="0" view="pageBreakPreview" zoomScale="90" zoomScaleNormal="100" zoomScaleSheetLayoutView="90" workbookViewId="0">
      <selection activeCell="B28" sqref="B28:E28"/>
    </sheetView>
  </sheetViews>
  <sheetFormatPr baseColWidth="10" defaultColWidth="10.85546875" defaultRowHeight="12.75" x14ac:dyDescent="0.2"/>
  <cols>
    <col min="1" max="1" width="15.7109375" style="12" customWidth="1"/>
    <col min="2" max="3" width="12.7109375" style="12" customWidth="1"/>
    <col min="4" max="4" width="25.7109375" style="12" customWidth="1"/>
    <col min="5" max="5" width="40.7109375" style="13" customWidth="1"/>
    <col min="6" max="16384" width="10.85546875" style="14"/>
  </cols>
  <sheetData>
    <row r="2" spans="1:5" s="5" customFormat="1" x14ac:dyDescent="0.2">
      <c r="A2" s="4" t="s">
        <v>0</v>
      </c>
      <c r="B2" s="60" t="s">
        <v>20</v>
      </c>
      <c r="C2" s="60"/>
      <c r="D2" s="60"/>
      <c r="E2" s="60"/>
    </row>
    <row r="3" spans="1:5" s="5" customFormat="1" x14ac:dyDescent="0.2">
      <c r="A3" s="4" t="s">
        <v>1</v>
      </c>
      <c r="B3" s="61" t="s">
        <v>50</v>
      </c>
      <c r="C3" s="62"/>
      <c r="D3" s="62"/>
      <c r="E3" s="62"/>
    </row>
    <row r="4" spans="1:5" s="5" customFormat="1" ht="12.75" customHeight="1" x14ac:dyDescent="0.2">
      <c r="A4" s="4" t="s">
        <v>2</v>
      </c>
      <c r="B4" s="61" t="s">
        <v>29</v>
      </c>
      <c r="C4" s="62"/>
      <c r="D4" s="62"/>
      <c r="E4" s="62"/>
    </row>
    <row r="5" spans="1:5" s="5" customFormat="1" x14ac:dyDescent="0.2">
      <c r="A5" s="4" t="s">
        <v>3</v>
      </c>
      <c r="B5" s="61" t="s">
        <v>49</v>
      </c>
      <c r="C5" s="62"/>
      <c r="D5" s="62"/>
      <c r="E5" s="62"/>
    </row>
    <row r="6" spans="1:5" s="6" customFormat="1" ht="150" customHeight="1" x14ac:dyDescent="0.2">
      <c r="A6" s="4" t="s">
        <v>4</v>
      </c>
      <c r="B6" s="53" t="s">
        <v>63</v>
      </c>
      <c r="C6" s="54"/>
      <c r="D6" s="54"/>
      <c r="E6" s="54"/>
    </row>
    <row r="7" spans="1:5" s="6" customFormat="1" x14ac:dyDescent="0.2">
      <c r="A7" s="4" t="s">
        <v>5</v>
      </c>
      <c r="B7" s="53" t="s">
        <v>6</v>
      </c>
      <c r="C7" s="54"/>
      <c r="D7" s="54"/>
      <c r="E7" s="54"/>
    </row>
    <row r="8" spans="1:5" s="6" customFormat="1" x14ac:dyDescent="0.2">
      <c r="A8" s="4" t="s">
        <v>7</v>
      </c>
      <c r="B8" s="53" t="s">
        <v>64</v>
      </c>
      <c r="C8" s="54"/>
      <c r="D8" s="54"/>
      <c r="E8" s="54"/>
    </row>
    <row r="9" spans="1:5" s="7" customFormat="1" ht="26.45" customHeight="1" x14ac:dyDescent="0.2">
      <c r="A9" s="4" t="s">
        <v>21</v>
      </c>
      <c r="B9" s="53" t="s">
        <v>28</v>
      </c>
      <c r="C9" s="53"/>
      <c r="D9" s="53"/>
      <c r="E9" s="53"/>
    </row>
    <row r="10" spans="1:5" s="7" customFormat="1" x14ac:dyDescent="0.2">
      <c r="A10" s="8" t="s">
        <v>22</v>
      </c>
      <c r="B10" s="59" t="s">
        <v>23</v>
      </c>
      <c r="C10" s="59"/>
      <c r="D10" s="59"/>
      <c r="E10" s="59"/>
    </row>
    <row r="11" spans="1:5" s="7" customFormat="1" x14ac:dyDescent="0.2">
      <c r="A11" s="9"/>
      <c r="B11" s="10"/>
      <c r="C11" s="10"/>
      <c r="D11" s="10"/>
      <c r="E11" s="10"/>
    </row>
    <row r="13" spans="1:5" x14ac:dyDescent="0.2">
      <c r="A13" s="11" t="s">
        <v>8</v>
      </c>
    </row>
    <row r="15" spans="1:5" x14ac:dyDescent="0.2">
      <c r="A15" s="15" t="s">
        <v>9</v>
      </c>
    </row>
    <row r="17" spans="1:5" s="18" customFormat="1" x14ac:dyDescent="0.2">
      <c r="A17" s="16" t="s">
        <v>10</v>
      </c>
      <c r="B17" s="16" t="s">
        <v>11</v>
      </c>
      <c r="C17" s="16" t="s">
        <v>12</v>
      </c>
      <c r="D17" s="16" t="s">
        <v>24</v>
      </c>
      <c r="E17" s="17" t="s">
        <v>13</v>
      </c>
    </row>
    <row r="18" spans="1:5" ht="25.5" x14ac:dyDescent="0.2">
      <c r="A18" s="19" t="s">
        <v>14</v>
      </c>
      <c r="B18" s="19" t="s">
        <v>27</v>
      </c>
      <c r="C18" s="19" t="s">
        <v>26</v>
      </c>
      <c r="D18" s="20" t="s">
        <v>25</v>
      </c>
      <c r="E18" s="21" t="s">
        <v>15</v>
      </c>
    </row>
    <row r="19" spans="1:5" ht="25.5" x14ac:dyDescent="0.2">
      <c r="A19" s="19" t="s">
        <v>50</v>
      </c>
      <c r="B19" s="19" t="s">
        <v>51</v>
      </c>
      <c r="C19" s="19" t="s">
        <v>52</v>
      </c>
      <c r="D19" s="20" t="s">
        <v>25</v>
      </c>
      <c r="E19" s="21" t="s">
        <v>53</v>
      </c>
    </row>
    <row r="20" spans="1:5" x14ac:dyDescent="0.2">
      <c r="A20" s="22"/>
      <c r="B20" s="22"/>
      <c r="C20" s="22"/>
      <c r="D20" s="22"/>
      <c r="E20" s="23"/>
    </row>
    <row r="21" spans="1:5" x14ac:dyDescent="0.2">
      <c r="A21" s="22"/>
      <c r="B21" s="22"/>
      <c r="C21" s="22"/>
      <c r="D21" s="22"/>
      <c r="E21" s="23"/>
    </row>
    <row r="23" spans="1:5" x14ac:dyDescent="0.2">
      <c r="A23" s="15" t="s">
        <v>16</v>
      </c>
    </row>
    <row r="25" spans="1:5" x14ac:dyDescent="0.2">
      <c r="A25" s="17" t="s">
        <v>17</v>
      </c>
      <c r="B25" s="55" t="s">
        <v>65</v>
      </c>
      <c r="C25" s="55"/>
      <c r="D25" s="55"/>
      <c r="E25" s="55"/>
    </row>
    <row r="26" spans="1:5" x14ac:dyDescent="0.2">
      <c r="A26" s="17" t="s">
        <v>18</v>
      </c>
      <c r="B26" s="55" t="s">
        <v>26</v>
      </c>
      <c r="C26" s="55"/>
      <c r="D26" s="55"/>
      <c r="E26" s="55"/>
    </row>
    <row r="27" spans="1:5" x14ac:dyDescent="0.2">
      <c r="A27" s="17" t="s">
        <v>11</v>
      </c>
      <c r="B27" s="55" t="s">
        <v>66</v>
      </c>
      <c r="C27" s="55"/>
      <c r="D27" s="55"/>
      <c r="E27" s="55"/>
    </row>
    <row r="28" spans="1:5" ht="39.6" customHeight="1" x14ac:dyDescent="0.2">
      <c r="A28" s="17" t="s">
        <v>19</v>
      </c>
      <c r="B28" s="56" t="s">
        <v>67</v>
      </c>
      <c r="C28" s="57"/>
      <c r="D28" s="57"/>
      <c r="E28" s="58"/>
    </row>
    <row r="29" spans="1:5" x14ac:dyDescent="0.2">
      <c r="B29" s="14"/>
    </row>
    <row r="30" spans="1:5" x14ac:dyDescent="0.2">
      <c r="B30" s="14"/>
    </row>
    <row r="31" spans="1:5" x14ac:dyDescent="0.2">
      <c r="B31" s="14"/>
    </row>
  </sheetData>
  <sheetProtection sheet="1" objects="1" scenarios="1"/>
  <mergeCells count="13">
    <mergeCell ref="B7:E7"/>
    <mergeCell ref="B2:E2"/>
    <mergeCell ref="B3:E3"/>
    <mergeCell ref="B4:E4"/>
    <mergeCell ref="B5:E5"/>
    <mergeCell ref="B6:E6"/>
    <mergeCell ref="B8:E8"/>
    <mergeCell ref="B25:E25"/>
    <mergeCell ref="B26:E26"/>
    <mergeCell ref="B27:E27"/>
    <mergeCell ref="B28:E28"/>
    <mergeCell ref="B9:E9"/>
    <mergeCell ref="B10:E10"/>
  </mergeCells>
  <hyperlinks>
    <hyperlink ref="D18" r:id="rId1" xr:uid="{00000000-0004-0000-0000-000000000000}"/>
    <hyperlink ref="D19" r:id="rId2" xr:uid="{00000000-0004-0000-0000-000001000000}"/>
  </hyperlinks>
  <pageMargins left="0.70866141732283472" right="0.70866141732283472" top="0.74803149606299213" bottom="0.74803149606299213" header="0.31496062992125984" footer="0.31496062992125984"/>
  <pageSetup paperSize="9" scale="82" orientation="portrait" r:id="rId3"/>
  <ignoredErrors>
    <ignoredError sqref="A18:A19 B3" numberStoredAsText="1"/>
  </ignoredError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tabSelected="1" workbookViewId="0">
      <selection activeCell="N33" sqref="N33"/>
    </sheetView>
  </sheetViews>
  <sheetFormatPr baseColWidth="10" defaultColWidth="8.7109375" defaultRowHeight="12.75" x14ac:dyDescent="0.2"/>
  <cols>
    <col min="1" max="4" width="8.7109375" style="25"/>
    <col min="5" max="5" width="9.28515625" style="25" bestFit="1" customWidth="1"/>
    <col min="6" max="6" width="8.7109375" style="25"/>
    <col min="7" max="7" width="9.28515625" style="25" bestFit="1" customWidth="1"/>
    <col min="8" max="16384" width="8.7109375" style="25"/>
  </cols>
  <sheetData>
    <row r="1" spans="1:14" x14ac:dyDescent="0.2">
      <c r="A1" s="24" t="s">
        <v>46</v>
      </c>
    </row>
    <row r="3" spans="1:14" ht="15" x14ac:dyDescent="0.2">
      <c r="A3" s="26" t="s">
        <v>30</v>
      </c>
    </row>
    <row r="4" spans="1:14" ht="15" x14ac:dyDescent="0.2">
      <c r="A4" s="27"/>
    </row>
    <row r="5" spans="1:14" s="28" customFormat="1" ht="22.5" x14ac:dyDescent="0.2">
      <c r="A5" s="28" t="s">
        <v>55</v>
      </c>
      <c r="B5" s="28" t="s">
        <v>56</v>
      </c>
      <c r="C5" s="28" t="s">
        <v>57</v>
      </c>
      <c r="D5" s="28" t="s">
        <v>54</v>
      </c>
      <c r="E5" s="28" t="s">
        <v>58</v>
      </c>
      <c r="F5" s="29" t="s">
        <v>31</v>
      </c>
      <c r="G5" s="29" t="s">
        <v>32</v>
      </c>
      <c r="I5" s="30"/>
      <c r="J5" s="30"/>
      <c r="K5" s="30"/>
      <c r="L5" s="30"/>
      <c r="M5" s="30"/>
      <c r="N5" s="30"/>
    </row>
    <row r="6" spans="1:14" ht="15" x14ac:dyDescent="0.2">
      <c r="A6" s="2">
        <v>155000</v>
      </c>
      <c r="B6" s="2">
        <v>8500</v>
      </c>
      <c r="C6" s="2">
        <v>4200</v>
      </c>
      <c r="D6" s="2">
        <v>0.35</v>
      </c>
      <c r="E6" s="31">
        <f>B6*D6/A6</f>
        <v>1.9193548387096773E-2</v>
      </c>
      <c r="F6" s="32">
        <f>COS(45*PI()/180)</f>
        <v>0.70710678118654757</v>
      </c>
      <c r="G6" s="33">
        <f>F6^4</f>
        <v>0.25000000000000011</v>
      </c>
      <c r="I6" s="34"/>
      <c r="J6" s="34"/>
      <c r="K6" s="35"/>
      <c r="L6" s="34"/>
      <c r="M6" s="34"/>
      <c r="N6" s="34"/>
    </row>
    <row r="7" spans="1:14" ht="15" x14ac:dyDescent="0.2">
      <c r="E7" s="36"/>
      <c r="F7" s="37"/>
      <c r="G7" s="38"/>
      <c r="I7" s="34"/>
      <c r="J7" s="34"/>
      <c r="K7" s="35"/>
      <c r="L7" s="34"/>
      <c r="M7" s="34"/>
      <c r="N7" s="34"/>
    </row>
    <row r="8" spans="1:14" ht="15" x14ac:dyDescent="0.2">
      <c r="A8" s="26" t="s">
        <v>48</v>
      </c>
      <c r="E8" s="36"/>
      <c r="F8" s="37"/>
      <c r="G8" s="38"/>
      <c r="I8" s="34"/>
      <c r="J8" s="34"/>
      <c r="K8" s="35"/>
      <c r="L8" s="34"/>
      <c r="M8" s="34"/>
      <c r="N8" s="34"/>
    </row>
    <row r="9" spans="1:14" ht="15" x14ac:dyDescent="0.2">
      <c r="I9" s="39"/>
      <c r="J9" s="34"/>
      <c r="K9" s="34"/>
      <c r="L9" s="34"/>
      <c r="M9" s="34"/>
      <c r="N9" s="34"/>
    </row>
    <row r="10" spans="1:14" x14ac:dyDescent="0.2">
      <c r="B10" s="40">
        <f>$A$6/(1-$D$6*$E$6)</f>
        <v>156048.29215617821</v>
      </c>
      <c r="C10" s="41">
        <f>$E$6*$A$6/(1-$D$6*$E$6)</f>
        <v>2995.12044622342</v>
      </c>
      <c r="D10" s="42">
        <v>0</v>
      </c>
    </row>
    <row r="11" spans="1:14" ht="15" x14ac:dyDescent="0.2">
      <c r="A11" s="28" t="s">
        <v>33</v>
      </c>
      <c r="B11" s="40">
        <f>$E$6*$A$6/(1-$D$6*$E$6)</f>
        <v>2995.12044622342</v>
      </c>
      <c r="C11" s="41">
        <f>$B$6/(1-$D$6*$E$6)</f>
        <v>8557.4869892097722</v>
      </c>
      <c r="D11" s="42">
        <v>0</v>
      </c>
      <c r="F11" s="43"/>
    </row>
    <row r="12" spans="1:14" ht="15" x14ac:dyDescent="0.2">
      <c r="A12" s="28"/>
      <c r="B12" s="44">
        <v>0</v>
      </c>
      <c r="C12" s="45">
        <v>0</v>
      </c>
      <c r="D12" s="42">
        <f>$C$6</f>
        <v>4200</v>
      </c>
    </row>
    <row r="13" spans="1:14" ht="15" x14ac:dyDescent="0.2">
      <c r="A13" s="28"/>
    </row>
    <row r="14" spans="1:14" ht="15" x14ac:dyDescent="0.2">
      <c r="A14" s="28"/>
      <c r="B14" s="40">
        <f>$B$6/(1-$D$6*$E$6)</f>
        <v>8557.4869892097722</v>
      </c>
      <c r="C14" s="46">
        <f>$E$6*$A$6/(1-$D$6*$E$6)</f>
        <v>2995.12044622342</v>
      </c>
      <c r="D14" s="42">
        <v>0</v>
      </c>
    </row>
    <row r="15" spans="1:14" ht="15" x14ac:dyDescent="0.2">
      <c r="A15" s="28" t="s">
        <v>34</v>
      </c>
      <c r="B15" s="40">
        <f>$E$6*$A$6/(1-$D$6*$E$6)</f>
        <v>2995.12044622342</v>
      </c>
      <c r="C15" s="46">
        <f>$A$6/(1-$D$6*$E$6)</f>
        <v>156048.29215617821</v>
      </c>
      <c r="D15" s="42">
        <v>0</v>
      </c>
      <c r="F15" s="43"/>
    </row>
    <row r="16" spans="1:14" ht="15" x14ac:dyDescent="0.2">
      <c r="A16" s="28"/>
      <c r="B16" s="44">
        <v>0</v>
      </c>
      <c r="C16" s="47">
        <v>0</v>
      </c>
      <c r="D16" s="42">
        <f>$C$6</f>
        <v>4200</v>
      </c>
    </row>
    <row r="17" spans="1:13" ht="15" x14ac:dyDescent="0.2">
      <c r="A17" s="28"/>
    </row>
    <row r="18" spans="1:13" ht="15" x14ac:dyDescent="0.2">
      <c r="A18" s="28"/>
      <c r="B18" s="40">
        <f>$B$10*$G$6+2*($C$10+2*$D$12)*$G$6+$C$11*$G$6</f>
        <v>46849.005009458728</v>
      </c>
      <c r="C18" s="46">
        <f>($B$10+$C$11-4*$D$12)*$G$6+$C$10*($G$6+$G$6)</f>
        <v>38449.00500945872</v>
      </c>
      <c r="D18" s="42">
        <v>0</v>
      </c>
    </row>
    <row r="19" spans="1:13" ht="15" x14ac:dyDescent="0.2">
      <c r="A19" s="28" t="s">
        <v>35</v>
      </c>
      <c r="B19" s="40">
        <f>($B$10+$C$11-4*$D$12)*$G$6+$C$10*($G$6+$G$6)</f>
        <v>38449.00500945872</v>
      </c>
      <c r="C19" s="46">
        <f>$B$10*$G$6+2*($C$10+2*$D$12)*$G$6+$C$11*$G$6</f>
        <v>46849.005009458728</v>
      </c>
      <c r="D19" s="42">
        <v>0</v>
      </c>
      <c r="F19" s="43"/>
    </row>
    <row r="20" spans="1:13" ht="15" x14ac:dyDescent="0.2">
      <c r="A20" s="28"/>
      <c r="B20" s="44">
        <v>0</v>
      </c>
      <c r="C20" s="45">
        <v>0</v>
      </c>
      <c r="D20" s="48">
        <f>($B$10+$C$11-2*$C$10-2*$D$12)*$G$6+$D$12*($G$6+$G$6)</f>
        <v>39653.884563235304</v>
      </c>
    </row>
    <row r="22" spans="1:13" ht="15" x14ac:dyDescent="0.2">
      <c r="A22" s="26" t="s">
        <v>47</v>
      </c>
    </row>
    <row r="23" spans="1:13" x14ac:dyDescent="0.2">
      <c r="A23" s="43"/>
      <c r="I23" s="43"/>
    </row>
    <row r="24" spans="1:13" s="28" customFormat="1" ht="18" x14ac:dyDescent="0.2">
      <c r="A24" s="28" t="s">
        <v>36</v>
      </c>
      <c r="B24" s="28" t="s">
        <v>37</v>
      </c>
      <c r="C24" s="28" t="s">
        <v>38</v>
      </c>
      <c r="D24" s="28" t="s">
        <v>39</v>
      </c>
      <c r="E24" s="28" t="s">
        <v>40</v>
      </c>
      <c r="F24" s="28" t="s">
        <v>41</v>
      </c>
      <c r="G24" s="28" t="s">
        <v>42</v>
      </c>
      <c r="H24" s="28" t="s">
        <v>43</v>
      </c>
      <c r="I24" s="28" t="s">
        <v>59</v>
      </c>
      <c r="J24" s="28" t="s">
        <v>60</v>
      </c>
      <c r="K24" s="28" t="s">
        <v>61</v>
      </c>
      <c r="L24" s="28" t="s">
        <v>62</v>
      </c>
      <c r="M24" s="1" t="s">
        <v>69</v>
      </c>
    </row>
    <row r="25" spans="1:13" x14ac:dyDescent="0.2">
      <c r="A25" s="2" t="s">
        <v>44</v>
      </c>
      <c r="B25" s="3">
        <v>0.1</v>
      </c>
      <c r="C25" s="3">
        <v>0.8</v>
      </c>
      <c r="D25" s="49">
        <f t="shared" ref="D25:D32" si="0">1-B25-C25</f>
        <v>9.9999999999999978E-2</v>
      </c>
      <c r="E25" s="41">
        <f t="shared" ref="E25:E32" si="1">$B25*$B$10+$C25*$B$18+$D25*$B$14</f>
        <v>53939.781922105787</v>
      </c>
      <c r="F25" s="41">
        <f t="shared" ref="F25:F32" si="2">$B25*$C$11+$C25*$C$19+$D25*$C$15</f>
        <v>53939.781922105787</v>
      </c>
      <c r="G25" s="41">
        <f t="shared" ref="G25:G32" si="3">$B25*$C$10+$C25*$C$18+$D25*$C$14</f>
        <v>31358.228096811661</v>
      </c>
      <c r="H25" s="41">
        <f t="shared" ref="H25:H32" si="4">$B25*$D$12+$C25*$D$20+$D25*$D$16</f>
        <v>32563.107650588245</v>
      </c>
      <c r="I25" s="50">
        <f>$E25*(1-$G25*$G25/($E25*$F25))</f>
        <v>35709.480754190365</v>
      </c>
      <c r="J25" s="51">
        <f>$F25*(1-$G25*$G25/($E25*$F25))</f>
        <v>35709.480754190365</v>
      </c>
      <c r="K25" s="51">
        <f>H25</f>
        <v>32563.107650588245</v>
      </c>
      <c r="L25" s="52">
        <f>$G25/$F25</f>
        <v>0.58135622687714883</v>
      </c>
      <c r="M25" s="63">
        <f>1+SQRT(2*(SQRT(I25/J25)-L25+I25/(2*K25)))</f>
        <v>2.3906514317662708</v>
      </c>
    </row>
    <row r="26" spans="1:13" x14ac:dyDescent="0.2">
      <c r="A26" s="2" t="s">
        <v>45</v>
      </c>
      <c r="B26" s="3">
        <v>0.25</v>
      </c>
      <c r="C26" s="3">
        <v>0.5</v>
      </c>
      <c r="D26" s="49">
        <f t="shared" si="0"/>
        <v>0.25</v>
      </c>
      <c r="E26" s="41">
        <f t="shared" si="1"/>
        <v>64575.947291076358</v>
      </c>
      <c r="F26" s="41">
        <f t="shared" si="2"/>
        <v>64575.947291076358</v>
      </c>
      <c r="G26" s="41">
        <f t="shared" si="3"/>
        <v>20722.062727841068</v>
      </c>
      <c r="H26" s="41">
        <f t="shared" si="4"/>
        <v>21926.942281617652</v>
      </c>
      <c r="I26" s="50">
        <f t="shared" ref="I26:I28" si="5">E26*(1-G26*G26/(E26*F26))</f>
        <v>57926.352485118034</v>
      </c>
      <c r="J26" s="51">
        <f t="shared" ref="J26:J39" si="6">$F26*(1-$G26*$G26/($E26*$F26))</f>
        <v>57926.352485118034</v>
      </c>
      <c r="K26" s="51">
        <f t="shared" ref="K26:K28" si="7">H26</f>
        <v>21926.942281617652</v>
      </c>
      <c r="L26" s="52">
        <f t="shared" ref="L26:L39" si="8">$G26/$F26</f>
        <v>0.32089444440414139</v>
      </c>
      <c r="M26" s="63">
        <f>1+SQRT(2*(SQRT(I26/J26)-L26+I26/(2*K26)))</f>
        <v>3</v>
      </c>
    </row>
    <row r="27" spans="1:13" x14ac:dyDescent="0.2">
      <c r="A27" s="2" t="s">
        <v>68</v>
      </c>
      <c r="B27" s="3">
        <v>0.5</v>
      </c>
      <c r="C27" s="3">
        <v>0.4</v>
      </c>
      <c r="D27" s="49">
        <f t="shared" si="0"/>
        <v>9.9999999999999978E-2</v>
      </c>
      <c r="E27" s="41">
        <f t="shared" si="1"/>
        <v>97619.496780793575</v>
      </c>
      <c r="F27" s="41">
        <f t="shared" si="2"/>
        <v>38623.174714006193</v>
      </c>
      <c r="G27" s="41">
        <f t="shared" si="3"/>
        <v>17176.674271517539</v>
      </c>
      <c r="H27" s="41">
        <f t="shared" si="4"/>
        <v>18381.553825294122</v>
      </c>
      <c r="I27" s="50">
        <f t="shared" si="5"/>
        <v>89980.607921592135</v>
      </c>
      <c r="J27" s="51">
        <f t="shared" si="6"/>
        <v>35600.846708235724</v>
      </c>
      <c r="K27" s="51">
        <f t="shared" si="7"/>
        <v>18381.553825294122</v>
      </c>
      <c r="L27" s="52">
        <f t="shared" si="8"/>
        <v>0.44472455717858533</v>
      </c>
      <c r="M27" s="63">
        <f t="shared" ref="M27:M39" si="9">1+SQRT(2*(SQRT(I27/J27)-L27+I27/(2*K27)))</f>
        <v>3.6805450892746268</v>
      </c>
    </row>
    <row r="28" spans="1:13" x14ac:dyDescent="0.2">
      <c r="A28"/>
      <c r="B28"/>
      <c r="C28"/>
      <c r="D28"/>
      <c r="E28"/>
      <c r="F28"/>
      <c r="G28"/>
      <c r="H28"/>
      <c r="I28"/>
      <c r="J28"/>
      <c r="K28"/>
      <c r="L28"/>
      <c r="M28"/>
    </row>
    <row r="29" spans="1:13" x14ac:dyDescent="0.2">
      <c r="A29"/>
      <c r="B29"/>
      <c r="C29"/>
      <c r="D29"/>
      <c r="E29"/>
      <c r="F29"/>
      <c r="G29"/>
      <c r="H29"/>
      <c r="I29"/>
      <c r="J29"/>
      <c r="K29"/>
      <c r="L29"/>
      <c r="M29"/>
    </row>
    <row r="30" spans="1:13" ht="15" x14ac:dyDescent="0.2">
      <c r="A30" s="26" t="s">
        <v>70</v>
      </c>
      <c r="B30"/>
      <c r="C30"/>
      <c r="D30"/>
      <c r="E30"/>
      <c r="F30"/>
      <c r="G30"/>
      <c r="H30"/>
      <c r="I30"/>
      <c r="J30"/>
      <c r="K30"/>
      <c r="L30"/>
      <c r="M30"/>
    </row>
    <row r="31" spans="1:13" x14ac:dyDescent="0.2">
      <c r="A31"/>
      <c r="B31"/>
      <c r="C31"/>
      <c r="D31"/>
      <c r="E31"/>
      <c r="F31"/>
      <c r="G31"/>
      <c r="H31"/>
      <c r="I31"/>
      <c r="J31"/>
      <c r="K31"/>
      <c r="L31"/>
      <c r="M31"/>
    </row>
    <row r="32" spans="1:13" ht="18" x14ac:dyDescent="0.2">
      <c r="A32" s="28" t="s">
        <v>36</v>
      </c>
      <c r="B32" t="s">
        <v>71</v>
      </c>
      <c r="C32"/>
      <c r="D32"/>
      <c r="E32"/>
      <c r="F32"/>
      <c r="G32"/>
      <c r="H32"/>
      <c r="I32" s="28" t="s">
        <v>59</v>
      </c>
      <c r="J32" s="28" t="s">
        <v>60</v>
      </c>
      <c r="K32" s="28" t="s">
        <v>61</v>
      </c>
      <c r="L32" s="28" t="s">
        <v>62</v>
      </c>
      <c r="M32" s="1" t="s">
        <v>69</v>
      </c>
    </row>
    <row r="33" spans="1:14" x14ac:dyDescent="0.2">
      <c r="A33" s="2" t="s">
        <v>44</v>
      </c>
      <c r="B33" s="66" t="s">
        <v>73</v>
      </c>
      <c r="C33" s="3"/>
      <c r="D33" s="67"/>
      <c r="E33" s="64"/>
      <c r="F33" s="64"/>
      <c r="G33" s="64"/>
      <c r="H33" s="64"/>
      <c r="I33" s="64">
        <v>35012</v>
      </c>
      <c r="J33" s="64">
        <v>35012</v>
      </c>
      <c r="K33" s="64">
        <v>32841</v>
      </c>
      <c r="L33" s="65">
        <v>0.58950000000000002</v>
      </c>
      <c r="M33" s="63">
        <f t="shared" si="9"/>
        <v>2.3737199100984858</v>
      </c>
      <c r="N33" s="43" t="s">
        <v>77</v>
      </c>
    </row>
    <row r="34" spans="1:14" x14ac:dyDescent="0.2">
      <c r="A34" s="2" t="s">
        <v>45</v>
      </c>
      <c r="B34" s="66" t="s">
        <v>72</v>
      </c>
      <c r="C34" s="3"/>
      <c r="D34" s="67"/>
      <c r="E34" s="64"/>
      <c r="F34" s="64"/>
      <c r="G34" s="64"/>
      <c r="H34" s="64"/>
      <c r="I34" s="64">
        <v>57926</v>
      </c>
      <c r="J34" s="64">
        <v>57926</v>
      </c>
      <c r="K34" s="64">
        <v>21927</v>
      </c>
      <c r="L34" s="65">
        <v>0.32090000000000002</v>
      </c>
      <c r="M34" s="63">
        <f t="shared" si="9"/>
        <v>2.9999914648424619</v>
      </c>
      <c r="N34" s="43" t="s">
        <v>74</v>
      </c>
    </row>
    <row r="35" spans="1:14" x14ac:dyDescent="0.2">
      <c r="A35" s="2" t="s">
        <v>68</v>
      </c>
      <c r="B35" s="68" t="s">
        <v>75</v>
      </c>
      <c r="C35" s="69"/>
      <c r="D35" s="70"/>
      <c r="E35" s="71"/>
      <c r="F35" s="71"/>
      <c r="G35" s="71"/>
      <c r="H35" s="71"/>
      <c r="I35" s="71">
        <v>81140</v>
      </c>
      <c r="J35" s="71">
        <v>38317</v>
      </c>
      <c r="K35" s="71">
        <v>20388</v>
      </c>
      <c r="L35" s="72">
        <v>0.45229999999999998</v>
      </c>
      <c r="M35" s="73">
        <f t="shared" si="9"/>
        <v>3.4465456824468492</v>
      </c>
      <c r="N35" s="74" t="s">
        <v>76</v>
      </c>
    </row>
    <row r="36" spans="1:14" x14ac:dyDescent="0.2">
      <c r="A36" s="2"/>
      <c r="B36" s="3"/>
      <c r="C36" s="3"/>
      <c r="D36" s="67"/>
      <c r="E36" s="64"/>
      <c r="F36" s="64"/>
      <c r="G36" s="64"/>
      <c r="H36" s="64"/>
      <c r="I36" s="64"/>
      <c r="J36" s="64"/>
      <c r="K36" s="64"/>
      <c r="L36" s="65"/>
      <c r="M36" s="63"/>
      <c r="N36" s="43"/>
    </row>
    <row r="37" spans="1:14" x14ac:dyDescent="0.2">
      <c r="A37" s="2"/>
      <c r="B37" s="3"/>
      <c r="C37" s="3"/>
      <c r="D37" s="67"/>
      <c r="E37" s="64"/>
      <c r="F37" s="64"/>
      <c r="G37" s="64"/>
      <c r="H37" s="64"/>
      <c r="I37" s="64"/>
      <c r="J37" s="64"/>
      <c r="K37" s="64"/>
      <c r="L37" s="65"/>
      <c r="M37" s="63"/>
      <c r="N37" s="43"/>
    </row>
    <row r="38" spans="1:14" x14ac:dyDescent="0.2">
      <c r="A38" s="2"/>
      <c r="B38" s="3"/>
      <c r="C38" s="3"/>
      <c r="D38" s="67"/>
      <c r="E38" s="64"/>
      <c r="F38" s="64"/>
      <c r="G38" s="64"/>
      <c r="H38" s="64"/>
      <c r="I38" s="64"/>
      <c r="J38" s="64"/>
      <c r="K38" s="64"/>
      <c r="L38" s="65"/>
      <c r="M38" s="63"/>
      <c r="N38" s="43"/>
    </row>
    <row r="39" spans="1:14" x14ac:dyDescent="0.2">
      <c r="A39" s="2"/>
      <c r="B39" s="3"/>
      <c r="C39" s="3"/>
      <c r="D39" s="67"/>
      <c r="E39" s="64"/>
      <c r="F39" s="64"/>
      <c r="G39" s="64"/>
      <c r="H39" s="64"/>
      <c r="I39" s="64"/>
      <c r="J39" s="64"/>
      <c r="K39" s="64"/>
      <c r="L39" s="65"/>
      <c r="M39" s="63"/>
      <c r="N39" s="4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72BC-84D0-4508-BBD6-C5E672C657F0}">
  <dimension ref="D29"/>
  <sheetViews>
    <sheetView workbookViewId="0">
      <selection activeCell="D29" sqref="D29"/>
    </sheetView>
  </sheetViews>
  <sheetFormatPr baseColWidth="10" defaultRowHeight="12.75" x14ac:dyDescent="0.2"/>
  <sheetData>
    <row r="29" spans="4:4" x14ac:dyDescent="0.2">
      <c r="D29">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cover</vt:lpstr>
      <vt:lpstr>moduli</vt:lpstr>
      <vt:lpstr>ancolites</vt:lpstr>
      <vt:lpstr>cover!Área_de_impresión</vt:lpstr>
    </vt:vector>
  </TitlesOfParts>
  <Company>EADS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Baños Lapuente, Gustavo [ES]</dc:creator>
  <cp:lastModifiedBy>Baños Lapuente, Gustavo [ES]</cp:lastModifiedBy>
  <cp:lastPrinted>2017-10-24T14:36:19Z</cp:lastPrinted>
  <dcterms:created xsi:type="dcterms:W3CDTF">2016-03-10T18:18:55Z</dcterms:created>
  <dcterms:modified xsi:type="dcterms:W3CDTF">2025-09-11T07:42:56Z</dcterms:modified>
</cp:coreProperties>
</file>