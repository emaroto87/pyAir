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92" windowWidth="23256" windowHeight="12528" activeTab="1"/>
  </bookViews>
  <sheets>
    <sheet name="cover" sheetId="1" r:id="rId1"/>
    <sheet name="analysis" sheetId="2" r:id="rId2"/>
    <sheet name="method" sheetId="3" r:id="rId3"/>
  </sheets>
  <definedNames>
    <definedName name="_xlnm.Print_Area" localSheetId="1">analysis!$A$1:$Y$38</definedName>
    <definedName name="_xlnm.Print_Area" localSheetId="0">cover!$A$1:$D$27</definedName>
  </definedNames>
  <calcPr calcId="145621"/>
</workbook>
</file>

<file path=xl/calcChain.xml><?xml version="1.0" encoding="utf-8"?>
<calcChain xmlns="http://schemas.openxmlformats.org/spreadsheetml/2006/main">
  <c r="N14" i="2" l="1"/>
  <c r="B7" i="2" l="1"/>
  <c r="B6" i="2"/>
  <c r="F22" i="2" l="1"/>
  <c r="E22" i="2"/>
  <c r="D15" i="2"/>
  <c r="F38" i="2"/>
  <c r="E38" i="2"/>
  <c r="F37" i="2"/>
  <c r="E37" i="2"/>
  <c r="F36" i="2"/>
  <c r="E36" i="2"/>
  <c r="F35" i="2"/>
  <c r="E35" i="2"/>
  <c r="F34" i="2"/>
  <c r="E34" i="2"/>
  <c r="F33" i="2"/>
  <c r="E33" i="2"/>
  <c r="F32" i="2"/>
  <c r="E32" i="2"/>
  <c r="F31" i="2"/>
  <c r="E31" i="2"/>
  <c r="F30" i="2"/>
  <c r="E30" i="2"/>
  <c r="F29" i="2"/>
  <c r="E29" i="2"/>
  <c r="F28" i="2"/>
  <c r="E28" i="2"/>
  <c r="F27" i="2"/>
  <c r="E27" i="2"/>
  <c r="F26" i="2"/>
  <c r="E26" i="2"/>
  <c r="F25" i="2"/>
  <c r="E25" i="2"/>
  <c r="F24" i="2"/>
  <c r="E24" i="2"/>
  <c r="F23" i="2"/>
  <c r="E23" i="2"/>
  <c r="F21" i="2"/>
  <c r="E21" i="2"/>
  <c r="F20" i="2"/>
  <c r="E20" i="2"/>
  <c r="F19" i="2"/>
  <c r="E19" i="2"/>
  <c r="C15" i="2" l="1"/>
  <c r="H22" i="2" s="1"/>
  <c r="B15" i="2"/>
  <c r="G19" i="2" s="1"/>
  <c r="H26" i="2" l="1"/>
  <c r="H33" i="2"/>
  <c r="H31" i="2"/>
  <c r="H24" i="2"/>
  <c r="H38" i="2"/>
  <c r="H19" i="2"/>
  <c r="J19" i="2" s="1"/>
  <c r="H20" i="2"/>
  <c r="H30" i="2"/>
  <c r="H25" i="2"/>
  <c r="H35" i="2"/>
  <c r="H37" i="2"/>
  <c r="H28" i="2"/>
  <c r="H23" i="2"/>
  <c r="H29" i="2"/>
  <c r="H21" i="2"/>
  <c r="H34" i="2"/>
  <c r="H36" i="2"/>
  <c r="H27" i="2"/>
  <c r="H32" i="2"/>
  <c r="G22" i="2"/>
  <c r="P14" i="2"/>
  <c r="R14" i="2"/>
  <c r="W14" i="2"/>
  <c r="Q14" i="2"/>
  <c r="U14" i="2"/>
  <c r="G36" i="2"/>
  <c r="G32" i="2"/>
  <c r="G28" i="2"/>
  <c r="G24" i="2"/>
  <c r="G20" i="2"/>
  <c r="G26" i="2"/>
  <c r="G33" i="2"/>
  <c r="G30" i="2"/>
  <c r="G29" i="2"/>
  <c r="G35" i="2"/>
  <c r="G31" i="2"/>
  <c r="G27" i="2"/>
  <c r="G23" i="2"/>
  <c r="G34" i="2"/>
  <c r="G25" i="2"/>
  <c r="G38" i="2"/>
  <c r="G37" i="2"/>
  <c r="G21" i="2"/>
  <c r="T14" i="2"/>
  <c r="S14" i="2"/>
  <c r="V14" i="2"/>
  <c r="O14" i="2"/>
  <c r="O20" i="2" l="1"/>
  <c r="O19" i="2"/>
  <c r="I37" i="2"/>
  <c r="L37" i="2" s="1"/>
  <c r="I29" i="2"/>
  <c r="K29" i="2" s="1"/>
  <c r="I25" i="2"/>
  <c r="K25" i="2" s="1"/>
  <c r="I28" i="2"/>
  <c r="K28" i="2" s="1"/>
  <c r="I34" i="2"/>
  <c r="K34" i="2" s="1"/>
  <c r="I26" i="2"/>
  <c r="L26" i="2" s="1"/>
  <c r="I22" i="2"/>
  <c r="L22" i="2" s="1"/>
  <c r="I23" i="2"/>
  <c r="L23" i="2" s="1"/>
  <c r="I36" i="2"/>
  <c r="K36" i="2" s="1"/>
  <c r="I38" i="2"/>
  <c r="K38" i="2" s="1"/>
  <c r="I30" i="2"/>
  <c r="I24" i="2"/>
  <c r="L24" i="2" s="1"/>
  <c r="I19" i="2"/>
  <c r="K19" i="2" s="1"/>
  <c r="I20" i="2"/>
  <c r="K20" i="2" s="1"/>
  <c r="I31" i="2"/>
  <c r="K31" i="2" s="1"/>
  <c r="I33" i="2"/>
  <c r="I27" i="2"/>
  <c r="L27" i="2" s="1"/>
  <c r="I21" i="2"/>
  <c r="L21" i="2" s="1"/>
  <c r="I35" i="2"/>
  <c r="I32" i="2"/>
  <c r="K32" i="2" s="1"/>
  <c r="J29" i="2"/>
  <c r="J36" i="2"/>
  <c r="J24" i="2"/>
  <c r="J22" i="2"/>
  <c r="J28" i="2"/>
  <c r="J35" i="2"/>
  <c r="J32" i="2"/>
  <c r="J30" i="2"/>
  <c r="J34" i="2"/>
  <c r="J26" i="2"/>
  <c r="J23" i="2"/>
  <c r="J20" i="2"/>
  <c r="J37" i="2"/>
  <c r="J31" i="2"/>
  <c r="J38" i="2"/>
  <c r="J25" i="2"/>
  <c r="J33" i="2"/>
  <c r="J21" i="2"/>
  <c r="J27" i="2"/>
  <c r="K27" i="2" l="1"/>
  <c r="K23" i="2"/>
  <c r="K37" i="2"/>
  <c r="L29" i="2"/>
  <c r="L36" i="2"/>
  <c r="L31" i="2"/>
  <c r="L28" i="2"/>
  <c r="L38" i="2"/>
  <c r="L20" i="2"/>
  <c r="K26" i="2"/>
  <c r="L19" i="2"/>
  <c r="K24" i="2"/>
  <c r="L34" i="2"/>
  <c r="L25" i="2"/>
  <c r="L33" i="2"/>
  <c r="K33" i="2"/>
  <c r="L30" i="2"/>
  <c r="K30" i="2"/>
  <c r="K35" i="2"/>
  <c r="L35" i="2"/>
  <c r="L32" i="2"/>
  <c r="K22" i="2"/>
  <c r="K21" i="2"/>
  <c r="J15" i="2"/>
  <c r="V24" i="2" s="1"/>
  <c r="O25" i="2" l="1"/>
  <c r="T20" i="2"/>
  <c r="N19" i="2"/>
  <c r="U21" i="2"/>
  <c r="N20" i="2"/>
  <c r="P23" i="2"/>
  <c r="T27" i="2"/>
  <c r="W37" i="2"/>
  <c r="N38" i="2"/>
  <c r="U31" i="2"/>
  <c r="Q24" i="2"/>
  <c r="S20" i="2"/>
  <c r="R28" i="2"/>
  <c r="Q19" i="2"/>
  <c r="W21" i="2"/>
  <c r="T34" i="2"/>
  <c r="V23" i="2"/>
  <c r="R27" i="2"/>
  <c r="S37" i="2"/>
  <c r="R38" i="2"/>
  <c r="W31" i="2"/>
  <c r="U24" i="2"/>
  <c r="U25" i="2"/>
  <c r="W25" i="2"/>
  <c r="U34" i="2"/>
  <c r="S25" i="2"/>
  <c r="S28" i="2"/>
  <c r="R19" i="2"/>
  <c r="N21" i="2"/>
  <c r="U23" i="2"/>
  <c r="N27" i="2"/>
  <c r="Q37" i="2"/>
  <c r="P38" i="2"/>
  <c r="R31" i="2"/>
  <c r="W24" i="2"/>
  <c r="W20" i="2"/>
  <c r="R20" i="2"/>
  <c r="U20" i="2"/>
  <c r="Q28" i="2"/>
  <c r="N37" i="2"/>
  <c r="Q21" i="2"/>
  <c r="S23" i="2"/>
  <c r="S27" i="2"/>
  <c r="O37" i="2"/>
  <c r="W38" i="2"/>
  <c r="T31" i="2"/>
  <c r="N35" i="2"/>
  <c r="O35" i="2"/>
  <c r="V35" i="2"/>
  <c r="T35" i="2"/>
  <c r="Q35" i="2"/>
  <c r="R35" i="2"/>
  <c r="P35" i="2"/>
  <c r="U35" i="2"/>
  <c r="W35" i="2"/>
  <c r="S35" i="2"/>
  <c r="V30" i="2"/>
  <c r="P30" i="2"/>
  <c r="T30" i="2"/>
  <c r="R30" i="2"/>
  <c r="O30" i="2"/>
  <c r="U30" i="2"/>
  <c r="S30" i="2"/>
  <c r="N30" i="2"/>
  <c r="W30" i="2"/>
  <c r="Q30" i="2"/>
  <c r="N26" i="2"/>
  <c r="N29" i="2"/>
  <c r="O26" i="2"/>
  <c r="W26" i="2"/>
  <c r="W29" i="2"/>
  <c r="Q22" i="2"/>
  <c r="S26" i="2"/>
  <c r="U29" i="2"/>
  <c r="U22" i="2"/>
  <c r="P22" i="2"/>
  <c r="N36" i="2"/>
  <c r="O34" i="2"/>
  <c r="V20" i="2"/>
  <c r="T26" i="2"/>
  <c r="Q34" i="2"/>
  <c r="S34" i="2"/>
  <c r="P25" i="2"/>
  <c r="R25" i="2"/>
  <c r="N22" i="2"/>
  <c r="O22" i="2"/>
  <c r="W22" i="2"/>
  <c r="V22" i="2"/>
  <c r="Q26" i="2"/>
  <c r="S22" i="2"/>
  <c r="S36" i="2"/>
  <c r="U36" i="2"/>
  <c r="U26" i="2"/>
  <c r="P36" i="2"/>
  <c r="P29" i="2"/>
  <c r="N34" i="2"/>
  <c r="O36" i="2"/>
  <c r="W34" i="2"/>
  <c r="W36" i="2"/>
  <c r="V36" i="2"/>
  <c r="T36" i="2"/>
  <c r="Q29" i="2"/>
  <c r="P34" i="2"/>
  <c r="V27" i="2"/>
  <c r="V29" i="2"/>
  <c r="T22" i="2"/>
  <c r="Q36" i="2"/>
  <c r="S29" i="2"/>
  <c r="U28" i="2"/>
  <c r="R29" i="2"/>
  <c r="N25" i="2"/>
  <c r="Q27" i="2"/>
  <c r="S19" i="2"/>
  <c r="R26" i="2"/>
  <c r="O24" i="2"/>
  <c r="W28" i="2"/>
  <c r="T38" i="2"/>
  <c r="R24" i="2"/>
  <c r="V26" i="2"/>
  <c r="T29" i="2"/>
  <c r="T23" i="2"/>
  <c r="Q20" i="2"/>
  <c r="U19" i="2"/>
  <c r="P28" i="2"/>
  <c r="P26" i="2"/>
  <c r="R36" i="2"/>
  <c r="O29" i="2"/>
  <c r="W19" i="2"/>
  <c r="T28" i="2"/>
  <c r="Q25" i="2"/>
  <c r="R21" i="2"/>
  <c r="N31" i="2"/>
  <c r="V34" i="2"/>
  <c r="S24" i="2"/>
  <c r="P37" i="2"/>
  <c r="R22" i="2"/>
  <c r="T25" i="2"/>
  <c r="R34" i="2"/>
  <c r="V25" i="2"/>
  <c r="P20" i="2"/>
  <c r="V28" i="2"/>
  <c r="V19" i="2"/>
  <c r="P21" i="2"/>
  <c r="O21" i="2"/>
  <c r="V21" i="2"/>
  <c r="R23" i="2"/>
  <c r="W23" i="2"/>
  <c r="O23" i="2"/>
  <c r="W27" i="2"/>
  <c r="P27" i="2"/>
  <c r="T37" i="2"/>
  <c r="R37" i="2"/>
  <c r="S38" i="2"/>
  <c r="V38" i="2"/>
  <c r="Q31" i="2"/>
  <c r="S31" i="2"/>
  <c r="T24" i="2"/>
  <c r="P24" i="2"/>
  <c r="N32" i="2"/>
  <c r="T32" i="2"/>
  <c r="Q32" i="2"/>
  <c r="U32" i="2"/>
  <c r="P32" i="2"/>
  <c r="W32" i="2"/>
  <c r="R32" i="2"/>
  <c r="O32" i="2"/>
  <c r="S32" i="2"/>
  <c r="V32" i="2"/>
  <c r="V33" i="2"/>
  <c r="S33" i="2"/>
  <c r="P33" i="2"/>
  <c r="T33" i="2"/>
  <c r="R33" i="2"/>
  <c r="N33" i="2"/>
  <c r="O33" i="2"/>
  <c r="Q33" i="2"/>
  <c r="W33" i="2"/>
  <c r="U33" i="2"/>
  <c r="P19" i="2"/>
  <c r="T19" i="2"/>
  <c r="T21" i="2"/>
  <c r="S21" i="2"/>
  <c r="P31" i="2"/>
  <c r="N23" i="2"/>
  <c r="Q23" i="2"/>
  <c r="U27" i="2"/>
  <c r="O27" i="2"/>
  <c r="O28" i="2"/>
  <c r="V37" i="2"/>
  <c r="U37" i="2"/>
  <c r="U38" i="2"/>
  <c r="O38" i="2"/>
  <c r="Q38" i="2"/>
  <c r="V31" i="2"/>
  <c r="O31" i="2"/>
  <c r="N24" i="2"/>
  <c r="N28" i="2"/>
  <c r="Y28" i="2" l="1"/>
  <c r="X28" i="2" s="1"/>
  <c r="Y34" i="2"/>
  <c r="X34" i="2" s="1"/>
  <c r="Y30" i="2"/>
  <c r="X30" i="2" s="1"/>
  <c r="Y32" i="2"/>
  <c r="X32" i="2" s="1"/>
  <c r="Y29" i="2"/>
  <c r="X29" i="2" s="1"/>
  <c r="Y37" i="2"/>
  <c r="X37" i="2" s="1"/>
  <c r="Y38" i="2"/>
  <c r="X38" i="2" s="1"/>
  <c r="Y20" i="2"/>
  <c r="X20" i="2" s="1"/>
  <c r="Y33" i="2"/>
  <c r="X33" i="2" s="1"/>
  <c r="Y25" i="2"/>
  <c r="X25" i="2" s="1"/>
  <c r="Y26" i="2"/>
  <c r="X26" i="2" s="1"/>
  <c r="Y35" i="2"/>
  <c r="X35" i="2" s="1"/>
  <c r="Y27" i="2"/>
  <c r="X27" i="2" s="1"/>
  <c r="Y19" i="2"/>
  <c r="X19" i="2" s="1"/>
  <c r="Y24" i="2"/>
  <c r="X24" i="2" s="1"/>
  <c r="Y23" i="2"/>
  <c r="X23" i="2" s="1"/>
  <c r="Y31" i="2"/>
  <c r="X31" i="2" s="1"/>
  <c r="Y22" i="2"/>
  <c r="X22" i="2" s="1"/>
  <c r="Y36" i="2"/>
  <c r="X36" i="2" s="1"/>
  <c r="Y21" i="2"/>
  <c r="X21" i="2" s="1"/>
</calcChain>
</file>

<file path=xl/sharedStrings.xml><?xml version="1.0" encoding="utf-8"?>
<sst xmlns="http://schemas.openxmlformats.org/spreadsheetml/2006/main" count="77" uniqueCount="72">
  <si>
    <t>TOOL-NAME</t>
  </si>
  <si>
    <t>VERSION</t>
  </si>
  <si>
    <t>PURPOSE</t>
  </si>
  <si>
    <t>METHOD</t>
  </si>
  <si>
    <t>UTILIZATION</t>
  </si>
  <si>
    <t>DEVELOPED IN</t>
  </si>
  <si>
    <t>MS Excel 2010</t>
  </si>
  <si>
    <t>DEPENDENCIES</t>
  </si>
  <si>
    <t>None</t>
  </si>
  <si>
    <t>RECORD OF REVISIONS</t>
  </si>
  <si>
    <t>Model version control</t>
  </si>
  <si>
    <t>Version</t>
  </si>
  <si>
    <t>Date</t>
  </si>
  <si>
    <t>Author</t>
  </si>
  <si>
    <t>Description of changes</t>
  </si>
  <si>
    <t>1.0</t>
  </si>
  <si>
    <t>First version</t>
  </si>
  <si>
    <t>G. Baños (TAESP2)</t>
  </si>
  <si>
    <t>Data version control</t>
  </si>
  <si>
    <t>Title</t>
  </si>
  <si>
    <t>Created by</t>
  </si>
  <si>
    <t>Description</t>
  </si>
  <si>
    <t>Rivet</t>
  </si>
  <si>
    <t>X</t>
  </si>
  <si>
    <t>Y</t>
  </si>
  <si>
    <t>K</t>
  </si>
  <si>
    <t xml:space="preserve">Mz = </t>
  </si>
  <si>
    <t xml:space="preserve">Fy = </t>
  </si>
  <si>
    <t xml:space="preserve">Fx = </t>
  </si>
  <si>
    <t>Q</t>
  </si>
  <si>
    <t>ID.</t>
  </si>
  <si>
    <t>Coordinates</t>
  </si>
  <si>
    <t>Stiffness</t>
  </si>
  <si>
    <t>Shear loads in rivets</t>
  </si>
  <si>
    <t>Critical case&amp;load</t>
  </si>
  <si>
    <t>LC-ID</t>
  </si>
  <si>
    <t>Load application point</t>
  </si>
  <si>
    <t>Applied loads</t>
  </si>
  <si>
    <t xml:space="preserve">LC-ID = </t>
  </si>
  <si>
    <t>Xcr</t>
  </si>
  <si>
    <t>Ycr</t>
  </si>
  <si>
    <t xml:space="preserve">Mz-cr = </t>
  </si>
  <si>
    <t>Centre of riveting</t>
  </si>
  <si>
    <t>Auxiliary data</t>
  </si>
  <si>
    <t>K·X</t>
  </si>
  <si>
    <t>K·Y</t>
  </si>
  <si>
    <t>Wr=ΣK</t>
  </si>
  <si>
    <t>ΣI</t>
  </si>
  <si>
    <t>Use case:</t>
  </si>
  <si>
    <t>Uniones2D</t>
  </si>
  <si>
    <t>11/02/2017</t>
  </si>
  <si>
    <t>X'=X-Xcr</t>
  </si>
  <si>
    <t>Y'=Y-Ycr</t>
  </si>
  <si>
    <r>
      <t>R=(X'</t>
    </r>
    <r>
      <rPr>
        <b/>
        <vertAlign val="superscript"/>
        <sz val="8"/>
        <color theme="1"/>
        <rFont val="Arial"/>
        <family val="2"/>
      </rPr>
      <t>2</t>
    </r>
    <r>
      <rPr>
        <b/>
        <sz val="8"/>
        <color theme="1"/>
        <rFont val="Arial"/>
        <family val="2"/>
      </rPr>
      <t>+Y'</t>
    </r>
    <r>
      <rPr>
        <b/>
        <vertAlign val="superscript"/>
        <sz val="8"/>
        <color theme="1"/>
        <rFont val="Arial"/>
        <family val="2"/>
      </rPr>
      <t>2</t>
    </r>
    <r>
      <rPr>
        <b/>
        <sz val="8"/>
        <color theme="1"/>
        <rFont val="Arial"/>
        <family val="2"/>
      </rPr>
      <t>)</t>
    </r>
    <r>
      <rPr>
        <b/>
        <vertAlign val="superscript"/>
        <sz val="8"/>
        <color theme="1"/>
        <rFont val="Arial"/>
        <family val="2"/>
      </rPr>
      <t>0.5</t>
    </r>
  </si>
  <si>
    <t>COS=X'/R</t>
  </si>
  <si>
    <t>SIN=Y'/R</t>
  </si>
  <si>
    <r>
      <t>I=K·(X'</t>
    </r>
    <r>
      <rPr>
        <b/>
        <vertAlign val="superscript"/>
        <sz val="8"/>
        <color theme="1"/>
        <rFont val="Arial"/>
        <family val="2"/>
      </rPr>
      <t>2</t>
    </r>
    <r>
      <rPr>
        <b/>
        <sz val="8"/>
        <color theme="1"/>
        <rFont val="Arial"/>
        <family val="2"/>
      </rPr>
      <t>+Y'</t>
    </r>
    <r>
      <rPr>
        <b/>
        <vertAlign val="superscript"/>
        <sz val="8"/>
        <color theme="1"/>
        <rFont val="Arial"/>
        <family val="2"/>
      </rPr>
      <t>2</t>
    </r>
    <r>
      <rPr>
        <b/>
        <sz val="8"/>
        <color theme="1"/>
        <rFont val="Arial"/>
        <family val="2"/>
      </rPr>
      <t>)</t>
    </r>
  </si>
  <si>
    <t>Bruhn's D1.17 "Multiple Riveted or Bolted Joints Subjected to Eccentric Loads", extended to consider different rivets stiffnesses (see sheet "method" for further explanations).</t>
  </si>
  <si>
    <t>COPYRIGHT</t>
  </si>
  <si>
    <t>Airbus Defence and Space - All Rights Reserved
Written by the Stress Methods and Optimization department (TAESP2)</t>
  </si>
  <si>
    <t>G. Baños</t>
  </si>
  <si>
    <t>Copyright (c) 2017 Airbus DS - All Rights Reserved</t>
  </si>
  <si>
    <t>Written by the Stress Methods and Optimisation dept. (TAESP2)</t>
  </si>
  <si>
    <t>Calculate the shear loads in plane distribution of rivets sustaining eccentric loads</t>
  </si>
  <si>
    <t>Shear loads in plane distribution of rivets sustaining eccentric loads</t>
  </si>
  <si>
    <t>Input data and results are found in "analysis" sheet. Input data must be filled in cells with yellow background color: rivets identificators, coordinates, stiffnesses (or efficiencies), load application point, load cases identificator and applied loads. Update also "Data version control" form below, in this sheet. Results, i.e. shear load per rivet and case, and critical case and load per rivet, are automatically shown in the same sheet in blue background cells.
Aditional limitations: maximum 20 rivets and 10 load cases</t>
  </si>
  <si>
    <r>
      <t>X</t>
    </r>
    <r>
      <rPr>
        <b/>
        <vertAlign val="subscript"/>
        <sz val="10"/>
        <color theme="1"/>
        <rFont val="Arial"/>
        <family val="2"/>
      </rPr>
      <t>A</t>
    </r>
  </si>
  <si>
    <r>
      <t>Y</t>
    </r>
    <r>
      <rPr>
        <b/>
        <vertAlign val="subscript"/>
        <sz val="10"/>
        <color theme="1"/>
        <rFont val="Arial"/>
        <family val="2"/>
      </rPr>
      <t>A</t>
    </r>
  </si>
  <si>
    <t>LC1</t>
  </si>
  <si>
    <t>LC2</t>
  </si>
  <si>
    <t>Test case 1</t>
  </si>
  <si>
    <t>Test case considering non-symmetric rivets distribution and different rivets stiffnesses, for comparison with UNIONES or BULONES analysis codes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</si>
</sst>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0" x14ac:knownFonts="1">
    <font>
      <sz val="10"/>
      <color theme="1"/>
      <name val="Arial"/>
      <family val="2"/>
    </font>
    <font>
      <sz val="10"/>
      <color theme="1"/>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theme="0"/>
      <name val="Arial"/>
      <family val="2"/>
    </font>
    <font>
      <b/>
      <sz val="10"/>
      <color theme="1"/>
      <name val="Arial"/>
      <family val="2"/>
    </font>
    <font>
      <sz val="10"/>
      <color rgb="FF3F3F3F"/>
      <name val="Arial"/>
      <family val="2"/>
    </font>
    <font>
      <u val="double"/>
      <sz val="10"/>
      <color theme="3"/>
      <name val="Arial"/>
      <family val="2"/>
    </font>
    <font>
      <b/>
      <i/>
      <sz val="10"/>
      <color theme="1"/>
      <name val="Arial"/>
      <family val="2"/>
    </font>
    <font>
      <i/>
      <sz val="10"/>
      <color theme="1"/>
      <name val="Arial"/>
      <family val="2"/>
    </font>
    <font>
      <sz val="10"/>
      <color rgb="FFFF0000"/>
      <name val="Arial"/>
      <family val="2"/>
    </font>
    <font>
      <b/>
      <sz val="8"/>
      <color theme="1"/>
      <name val="Arial"/>
      <family val="2"/>
    </font>
    <font>
      <b/>
      <vertAlign val="superscript"/>
      <sz val="8"/>
      <color theme="1"/>
      <name val="Arial"/>
      <family val="2"/>
    </font>
    <font>
      <sz val="8"/>
      <color theme="1"/>
      <name val="Arial"/>
      <family val="2"/>
    </font>
    <font>
      <sz val="12"/>
      <color theme="1"/>
      <name val="Arial"/>
      <family val="2"/>
    </font>
    <font>
      <b/>
      <sz val="14"/>
      <color theme="1"/>
      <name val="Arial"/>
      <family val="2"/>
    </font>
    <font>
      <i/>
      <sz val="8"/>
      <color theme="1"/>
      <name val="Arial"/>
      <family val="2"/>
    </font>
    <font>
      <b/>
      <vertAlign val="subscript"/>
      <sz val="10"/>
      <color theme="1"/>
      <name val="Arial"/>
      <family val="2"/>
    </font>
  </fonts>
  <fills count="10">
    <fill>
      <patternFill patternType="none"/>
    </fill>
    <fill>
      <patternFill patternType="gray125"/>
    </fill>
    <fill>
      <patternFill patternType="solid">
        <fgColor rgb="FFFFEB9C"/>
      </patternFill>
    </fill>
    <fill>
      <patternFill patternType="solid">
        <fgColor rgb="FFA5A5A5"/>
      </patternFill>
    </fill>
    <fill>
      <patternFill patternType="solid">
        <fgColor rgb="FFFFFFCC"/>
      </patternFill>
    </fill>
    <fill>
      <patternFill patternType="solid">
        <fgColor rgb="FFF0F0F0"/>
        <bgColor indexed="64"/>
      </patternFill>
    </fill>
    <fill>
      <patternFill patternType="solid">
        <fgColor rgb="FF96D250"/>
        <bgColor indexed="64"/>
      </patternFill>
    </fill>
    <fill>
      <patternFill patternType="solid">
        <fgColor rgb="FFFF9696"/>
        <bgColor indexed="64"/>
      </patternFill>
    </fill>
    <fill>
      <patternFill patternType="solid">
        <fgColor rgb="FFFFFF96"/>
        <bgColor indexed="64"/>
      </patternFill>
    </fill>
    <fill>
      <patternFill patternType="solid">
        <fgColor rgb="FF96FFFF"/>
        <bgColor indexed="64"/>
      </patternFill>
    </fill>
  </fills>
  <borders count="39">
    <border>
      <left/>
      <right/>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0" fontId="2" fillId="6" borderId="0" applyNumberFormat="0" applyBorder="0" applyAlignment="0" applyProtection="0"/>
    <xf numFmtId="0" fontId="3" fillId="7" borderId="0" applyNumberFormat="0" applyBorder="0" applyAlignment="0" applyProtection="0"/>
    <xf numFmtId="0" fontId="4" fillId="2" borderId="0" applyNumberFormat="0" applyBorder="0" applyAlignment="0" applyProtection="0"/>
    <xf numFmtId="0" fontId="5" fillId="8" borderId="0" applyNumberFormat="0" applyBorder="0" applyAlignment="0" applyProtection="0"/>
    <xf numFmtId="0" fontId="8" fillId="9" borderId="0" applyNumberFormat="0" applyBorder="0" applyAlignment="0" applyProtection="0"/>
    <xf numFmtId="0" fontId="1" fillId="5" borderId="0" applyNumberFormat="0" applyBorder="0" applyAlignment="0" applyProtection="0"/>
    <xf numFmtId="0" fontId="9" fillId="8" borderId="0" applyNumberFormat="0" applyAlignment="0" applyProtection="0"/>
    <xf numFmtId="0" fontId="6" fillId="3" borderId="1" applyNumberFormat="0" applyAlignment="0" applyProtection="0"/>
    <xf numFmtId="0" fontId="1" fillId="4" borderId="2" applyNumberFormat="0" applyFont="0" applyAlignment="0" applyProtection="0"/>
  </cellStyleXfs>
  <cellXfs count="135">
    <xf numFmtId="0" fontId="0" fillId="0" borderId="0" xfId="0"/>
    <xf numFmtId="49" fontId="7" fillId="0" borderId="3" xfId="0" applyNumberFormat="1" applyFont="1" applyBorder="1" applyAlignment="1">
      <alignment horizontal="left" vertical="center" wrapText="1"/>
    </xf>
    <xf numFmtId="49" fontId="1" fillId="0" borderId="0" xfId="0" applyNumberFormat="1" applyFont="1" applyAlignment="1">
      <alignment vertical="center" wrapText="1"/>
    </xf>
    <xf numFmtId="49" fontId="7" fillId="0" borderId="0" xfId="0" applyNumberFormat="1" applyFont="1" applyAlignment="1">
      <alignment vertical="center" wrapText="1"/>
    </xf>
    <xf numFmtId="49" fontId="7" fillId="0" borderId="0" xfId="0" applyNumberFormat="1" applyFont="1" applyAlignment="1">
      <alignment horizontal="left" vertical="center"/>
    </xf>
    <xf numFmtId="49" fontId="1" fillId="0" borderId="0" xfId="0" applyNumberFormat="1" applyFont="1" applyAlignment="1">
      <alignment horizontal="center" vertical="center"/>
    </xf>
    <xf numFmtId="49" fontId="1" fillId="0" borderId="0" xfId="0" applyNumberFormat="1" applyFont="1" applyAlignment="1">
      <alignment horizontal="left" vertical="center"/>
    </xf>
    <xf numFmtId="49" fontId="1" fillId="0" borderId="0" xfId="0" applyNumberFormat="1" applyFont="1" applyAlignment="1">
      <alignment vertical="center"/>
    </xf>
    <xf numFmtId="49" fontId="10" fillId="0" borderId="0" xfId="0" applyNumberFormat="1" applyFont="1" applyAlignment="1">
      <alignment horizontal="left" vertical="center"/>
    </xf>
    <xf numFmtId="49" fontId="10" fillId="0" borderId="4" xfId="0" applyNumberFormat="1" applyFont="1" applyBorder="1" applyAlignment="1">
      <alignment horizontal="center" vertical="center" wrapText="1"/>
    </xf>
    <xf numFmtId="49" fontId="10" fillId="0" borderId="4" xfId="0" applyNumberFormat="1" applyFont="1" applyBorder="1" applyAlignment="1">
      <alignment horizontal="left" vertical="center" wrapText="1"/>
    </xf>
    <xf numFmtId="49" fontId="11" fillId="0" borderId="0" xfId="0" applyNumberFormat="1" applyFont="1" applyAlignment="1">
      <alignment vertical="center"/>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left" vertical="center" wrapText="1"/>
    </xf>
    <xf numFmtId="49" fontId="0" fillId="0" borderId="4" xfId="0" applyNumberFormat="1" applyFont="1" applyBorder="1" applyAlignment="1">
      <alignment horizontal="center" vertical="center" wrapText="1"/>
    </xf>
    <xf numFmtId="49" fontId="0" fillId="0" borderId="4" xfId="0" applyNumberFormat="1" applyFont="1" applyBorder="1" applyAlignment="1">
      <alignment horizontal="left" vertical="center" wrapText="1"/>
    </xf>
    <xf numFmtId="0" fontId="0" fillId="0" borderId="0" xfId="0" applyAlignment="1">
      <alignment horizontal="center" vertical="center"/>
    </xf>
    <xf numFmtId="0" fontId="5" fillId="8" borderId="4" xfId="4"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0" fontId="10" fillId="0" borderId="5" xfId="0" applyFont="1" applyBorder="1" applyAlignment="1">
      <alignment horizontal="center" vertical="center"/>
    </xf>
    <xf numFmtId="0" fontId="5" fillId="8" borderId="8" xfId="4" applyBorder="1" applyAlignment="1">
      <alignment horizontal="center" vertical="center"/>
    </xf>
    <xf numFmtId="0" fontId="5" fillId="8" borderId="9" xfId="4" applyBorder="1" applyAlignment="1">
      <alignment horizontal="center" vertical="center"/>
    </xf>
    <xf numFmtId="0" fontId="5" fillId="8" borderId="10" xfId="4" applyBorder="1" applyAlignment="1">
      <alignment horizontal="center" vertical="center"/>
    </xf>
    <xf numFmtId="164" fontId="5" fillId="8" borderId="4" xfId="4" applyNumberFormat="1" applyBorder="1" applyAlignment="1">
      <alignment horizontal="center" vertical="center"/>
    </xf>
    <xf numFmtId="0" fontId="10" fillId="0" borderId="13" xfId="0" applyFont="1" applyBorder="1" applyAlignment="1">
      <alignment horizontal="center" vertical="center"/>
    </xf>
    <xf numFmtId="164" fontId="5" fillId="8" borderId="11" xfId="4" applyNumberFormat="1" applyBorder="1" applyAlignment="1">
      <alignment horizontal="center" vertical="center"/>
    </xf>
    <xf numFmtId="1" fontId="8" fillId="9" borderId="9" xfId="5" applyNumberFormat="1" applyBorder="1" applyAlignment="1">
      <alignment horizontal="center" vertical="center"/>
    </xf>
    <xf numFmtId="1" fontId="8" fillId="9" borderId="12" xfId="5" applyNumberFormat="1" applyBorder="1" applyAlignment="1">
      <alignment horizontal="center" vertical="center"/>
    </xf>
    <xf numFmtId="0" fontId="8" fillId="9" borderId="8" xfId="5" applyBorder="1" applyAlignment="1">
      <alignment horizontal="center" vertical="center"/>
    </xf>
    <xf numFmtId="0" fontId="8" fillId="9" borderId="10" xfId="5"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1" xfId="0" applyFont="1" applyBorder="1" applyAlignment="1">
      <alignment horizontal="center" vertical="center"/>
    </xf>
    <xf numFmtId="0" fontId="7" fillId="0" borderId="0" xfId="0" applyFont="1" applyBorder="1" applyAlignment="1">
      <alignment horizontal="right" vertical="center"/>
    </xf>
    <xf numFmtId="0" fontId="10" fillId="0" borderId="0" xfId="0" applyFont="1" applyBorder="1" applyAlignment="1">
      <alignment vertical="center"/>
    </xf>
    <xf numFmtId="164" fontId="5" fillId="8" borderId="14" xfId="4" applyNumberFormat="1" applyBorder="1" applyAlignment="1">
      <alignment horizontal="center" vertical="center"/>
    </xf>
    <xf numFmtId="164" fontId="5" fillId="8" borderId="15" xfId="4" applyNumberFormat="1" applyBorder="1" applyAlignment="1">
      <alignment horizontal="center" vertical="center"/>
    </xf>
    <xf numFmtId="0" fontId="7" fillId="0" borderId="23" xfId="0" applyFont="1" applyBorder="1" applyAlignment="1">
      <alignment horizontal="center" vertical="center"/>
    </xf>
    <xf numFmtId="0" fontId="5" fillId="8" borderId="24" xfId="4" applyBorder="1" applyAlignment="1">
      <alignment horizontal="center" vertical="center"/>
    </xf>
    <xf numFmtId="0" fontId="5" fillId="8" borderId="25" xfId="4" applyBorder="1" applyAlignment="1">
      <alignment horizontal="center" vertical="center"/>
    </xf>
    <xf numFmtId="2" fontId="1" fillId="5" borderId="18" xfId="6" applyNumberFormat="1" applyBorder="1" applyAlignment="1">
      <alignment horizontal="center" vertical="center"/>
    </xf>
    <xf numFmtId="0" fontId="5" fillId="8" borderId="27" xfId="4" applyBorder="1" applyAlignment="1">
      <alignment horizontal="center" vertical="center"/>
    </xf>
    <xf numFmtId="0" fontId="5" fillId="8" borderId="28" xfId="4" applyBorder="1" applyAlignment="1">
      <alignment horizontal="center" vertical="center"/>
    </xf>
    <xf numFmtId="1" fontId="1" fillId="5" borderId="29" xfId="6" applyNumberFormat="1" applyBorder="1" applyAlignment="1">
      <alignment horizontal="center" vertical="center"/>
    </xf>
    <xf numFmtId="1" fontId="1" fillId="5" borderId="25" xfId="6" applyNumberFormat="1" applyBorder="1" applyAlignment="1">
      <alignment horizontal="center" vertical="center"/>
    </xf>
    <xf numFmtId="0" fontId="0" fillId="0" borderId="0" xfId="0" applyBorder="1" applyAlignment="1">
      <alignment horizontal="center" vertical="center"/>
    </xf>
    <xf numFmtId="0" fontId="10" fillId="0" borderId="0" xfId="0" applyFont="1" applyBorder="1" applyAlignment="1">
      <alignment horizontal="center" vertical="center"/>
    </xf>
    <xf numFmtId="0" fontId="7" fillId="0" borderId="27" xfId="0" applyFont="1" applyBorder="1" applyAlignment="1">
      <alignment horizontal="center" vertical="center"/>
    </xf>
    <xf numFmtId="0" fontId="7" fillId="0" borderId="30" xfId="0" applyFont="1" applyBorder="1" applyAlignment="1">
      <alignment horizontal="center" vertical="center"/>
    </xf>
    <xf numFmtId="0" fontId="13" fillId="0" borderId="23" xfId="0" applyFont="1" applyBorder="1" applyAlignment="1">
      <alignment horizontal="center" vertical="center"/>
    </xf>
    <xf numFmtId="0" fontId="13" fillId="0" borderId="27" xfId="0" applyFont="1" applyBorder="1" applyAlignment="1">
      <alignment horizontal="center" vertical="center"/>
    </xf>
    <xf numFmtId="0" fontId="13" fillId="0" borderId="28" xfId="0" applyFont="1" applyBorder="1" applyAlignment="1">
      <alignment horizontal="center" vertical="center"/>
    </xf>
    <xf numFmtId="0" fontId="7" fillId="0" borderId="28" xfId="0" applyFont="1" applyBorder="1" applyAlignment="1">
      <alignment horizontal="center" vertical="center"/>
    </xf>
    <xf numFmtId="0" fontId="5" fillId="8" borderId="5" xfId="4" applyBorder="1" applyAlignment="1">
      <alignment horizontal="center" vertical="center"/>
    </xf>
    <xf numFmtId="164" fontId="5" fillId="8" borderId="6" xfId="4" applyNumberFormat="1" applyBorder="1" applyAlignment="1">
      <alignment horizontal="center" vertical="center"/>
    </xf>
    <xf numFmtId="164" fontId="5" fillId="8" borderId="13" xfId="4" applyNumberFormat="1" applyBorder="1" applyAlignment="1">
      <alignment horizontal="center" vertical="center"/>
    </xf>
    <xf numFmtId="1" fontId="8" fillId="9" borderId="7" xfId="5" applyNumberFormat="1" applyBorder="1" applyAlignment="1">
      <alignment horizontal="center" vertical="center"/>
    </xf>
    <xf numFmtId="0" fontId="8" fillId="9" borderId="5" xfId="5" applyBorder="1" applyAlignment="1">
      <alignment horizontal="center" vertical="center"/>
    </xf>
    <xf numFmtId="0" fontId="5" fillId="8" borderId="23" xfId="4" applyBorder="1" applyAlignment="1">
      <alignment horizontal="center" vertical="center"/>
    </xf>
    <xf numFmtId="1" fontId="1" fillId="5" borderId="24" xfId="6" applyNumberFormat="1" applyBorder="1" applyAlignment="1">
      <alignment horizontal="center" vertical="center"/>
    </xf>
    <xf numFmtId="164" fontId="1" fillId="5" borderId="5" xfId="6" applyNumberFormat="1" applyFont="1" applyBorder="1" applyAlignment="1">
      <alignment horizontal="center" vertical="center"/>
    </xf>
    <xf numFmtId="164" fontId="1" fillId="5" borderId="6" xfId="6" applyNumberFormat="1" applyFont="1" applyBorder="1" applyAlignment="1">
      <alignment horizontal="center" vertical="center"/>
    </xf>
    <xf numFmtId="164" fontId="1" fillId="5" borderId="8" xfId="6" applyNumberFormat="1" applyFont="1" applyBorder="1" applyAlignment="1">
      <alignment horizontal="center" vertical="center"/>
    </xf>
    <xf numFmtId="164" fontId="1" fillId="5" borderId="4" xfId="6" applyNumberFormat="1" applyFont="1" applyBorder="1" applyAlignment="1">
      <alignment horizontal="center" vertical="center"/>
    </xf>
    <xf numFmtId="164" fontId="1" fillId="5" borderId="10" xfId="6" applyNumberFormat="1" applyFont="1" applyBorder="1" applyAlignment="1">
      <alignment horizontal="center" vertical="center"/>
    </xf>
    <xf numFmtId="164" fontId="1" fillId="5" borderId="11" xfId="6" applyNumberFormat="1" applyFont="1" applyBorder="1" applyAlignment="1">
      <alignment horizontal="center" vertical="center"/>
    </xf>
    <xf numFmtId="2" fontId="1" fillId="5" borderId="31" xfId="6" applyNumberFormat="1" applyBorder="1" applyAlignment="1">
      <alignment horizontal="center" vertical="center"/>
    </xf>
    <xf numFmtId="0" fontId="7" fillId="0" borderId="0" xfId="0" applyFont="1" applyBorder="1" applyAlignment="1">
      <alignment horizontal="center" vertical="center"/>
    </xf>
    <xf numFmtId="0" fontId="13" fillId="0" borderId="30" xfId="0" applyFont="1" applyBorder="1" applyAlignment="1">
      <alignment horizontal="center" vertical="center"/>
    </xf>
    <xf numFmtId="11" fontId="15" fillId="5" borderId="13" xfId="6" applyNumberFormat="1" applyFont="1" applyBorder="1" applyAlignment="1">
      <alignment horizontal="center" vertical="center"/>
    </xf>
    <xf numFmtId="11" fontId="15" fillId="5" borderId="7" xfId="6" applyNumberFormat="1" applyFont="1" applyBorder="1" applyAlignment="1">
      <alignment horizontal="center" vertical="center"/>
    </xf>
    <xf numFmtId="11" fontId="15" fillId="5" borderId="14" xfId="6" applyNumberFormat="1" applyFont="1" applyBorder="1" applyAlignment="1">
      <alignment horizontal="center" vertical="center"/>
    </xf>
    <xf numFmtId="11" fontId="15" fillId="5" borderId="9" xfId="6" applyNumberFormat="1" applyFont="1" applyBorder="1" applyAlignment="1">
      <alignment horizontal="center" vertical="center"/>
    </xf>
    <xf numFmtId="11" fontId="15" fillId="5" borderId="15" xfId="6" applyNumberFormat="1" applyFont="1" applyBorder="1" applyAlignment="1">
      <alignment horizontal="center" vertical="center"/>
    </xf>
    <xf numFmtId="11" fontId="15" fillId="5" borderId="12" xfId="6" applyNumberFormat="1" applyFont="1" applyBorder="1" applyAlignment="1">
      <alignment horizontal="center" vertical="center"/>
    </xf>
    <xf numFmtId="0" fontId="7" fillId="0" borderId="32" xfId="0" applyFont="1" applyBorder="1" applyAlignment="1">
      <alignment horizontal="center" vertical="center"/>
    </xf>
    <xf numFmtId="0" fontId="12" fillId="8" borderId="4" xfId="4" applyFont="1" applyBorder="1" applyAlignment="1">
      <alignment horizontal="center" vertical="center"/>
    </xf>
    <xf numFmtId="0" fontId="16" fillId="0" borderId="0" xfId="0" applyFont="1" applyAlignment="1">
      <alignment horizontal="left" vertical="center"/>
    </xf>
    <xf numFmtId="0" fontId="17" fillId="0" borderId="0" xfId="0" applyFont="1" applyAlignment="1">
      <alignment horizontal="left" vertical="center"/>
    </xf>
    <xf numFmtId="0" fontId="5" fillId="8" borderId="6" xfId="4" applyBorder="1" applyAlignment="1">
      <alignment horizontal="center" vertical="center"/>
    </xf>
    <xf numFmtId="0" fontId="5" fillId="8" borderId="7" xfId="4" applyBorder="1" applyAlignment="1">
      <alignment horizontal="center" vertical="center"/>
    </xf>
    <xf numFmtId="0" fontId="11" fillId="0" borderId="0" xfId="0" applyNumberFormat="1" applyFont="1" applyAlignment="1">
      <alignment horizontal="left" vertical="center"/>
    </xf>
    <xf numFmtId="0" fontId="0" fillId="0" borderId="34" xfId="0" applyBorder="1"/>
    <xf numFmtId="0" fontId="0" fillId="0" borderId="35" xfId="0" applyBorder="1"/>
    <xf numFmtId="0" fontId="0" fillId="0" borderId="36" xfId="0" applyBorder="1"/>
    <xf numFmtId="0" fontId="0" fillId="0" borderId="0" xfId="0" applyAlignment="1">
      <alignment vertical="center"/>
    </xf>
    <xf numFmtId="0" fontId="16" fillId="0" borderId="37" xfId="0" applyFont="1" applyBorder="1" applyAlignment="1">
      <alignment horizontal="left" vertical="center"/>
    </xf>
    <xf numFmtId="0" fontId="0" fillId="0" borderId="37" xfId="0" applyBorder="1" applyAlignment="1">
      <alignment horizontal="center" vertical="center"/>
    </xf>
    <xf numFmtId="0" fontId="0" fillId="0" borderId="37" xfId="0" applyBorder="1" applyAlignment="1">
      <alignment vertical="center"/>
    </xf>
    <xf numFmtId="0" fontId="16" fillId="0" borderId="0" xfId="0" applyFont="1" applyBorder="1" applyAlignment="1">
      <alignment horizontal="left" vertical="center"/>
    </xf>
    <xf numFmtId="0" fontId="0" fillId="0" borderId="0" xfId="0" applyBorder="1" applyAlignment="1">
      <alignment vertical="center"/>
    </xf>
    <xf numFmtId="49" fontId="11" fillId="0" borderId="0" xfId="0" applyNumberFormat="1" applyFont="1" applyBorder="1" applyAlignment="1">
      <alignment horizontal="left" vertical="center"/>
    </xf>
    <xf numFmtId="11" fontId="1" fillId="5" borderId="33" xfId="6" applyNumberFormat="1" applyBorder="1" applyAlignment="1">
      <alignment horizontal="center" vertical="center"/>
    </xf>
    <xf numFmtId="11" fontId="1" fillId="5" borderId="26" xfId="6" applyNumberFormat="1" applyBorder="1" applyAlignment="1">
      <alignment horizontal="center" vertical="center"/>
    </xf>
    <xf numFmtId="1" fontId="1" fillId="9" borderId="5" xfId="5" applyNumberFormat="1" applyFont="1" applyBorder="1" applyAlignment="1">
      <alignment horizontal="center" vertical="center"/>
    </xf>
    <xf numFmtId="1" fontId="1" fillId="9" borderId="6" xfId="5" applyNumberFormat="1" applyFont="1" applyBorder="1" applyAlignment="1">
      <alignment horizontal="center" vertical="center"/>
    </xf>
    <xf numFmtId="1" fontId="1" fillId="9" borderId="7" xfId="5" applyNumberFormat="1" applyFont="1" applyBorder="1" applyAlignment="1">
      <alignment horizontal="center" vertical="center"/>
    </xf>
    <xf numFmtId="1" fontId="1" fillId="9" borderId="8" xfId="5" applyNumberFormat="1" applyFont="1" applyBorder="1" applyAlignment="1">
      <alignment horizontal="center" vertical="center"/>
    </xf>
    <xf numFmtId="1" fontId="1" fillId="9" borderId="4" xfId="5" applyNumberFormat="1" applyFont="1" applyBorder="1" applyAlignment="1">
      <alignment horizontal="center" vertical="center"/>
    </xf>
    <xf numFmtId="1" fontId="1" fillId="9" borderId="9" xfId="5" applyNumberFormat="1" applyFont="1" applyBorder="1" applyAlignment="1">
      <alignment horizontal="center" vertical="center"/>
    </xf>
    <xf numFmtId="1" fontId="1" fillId="9" borderId="10" xfId="5" applyNumberFormat="1" applyFont="1" applyBorder="1" applyAlignment="1">
      <alignment horizontal="center" vertical="center"/>
    </xf>
    <xf numFmtId="1" fontId="1" fillId="9" borderId="11" xfId="5" applyNumberFormat="1" applyFont="1" applyBorder="1" applyAlignment="1">
      <alignment horizontal="center" vertical="center"/>
    </xf>
    <xf numFmtId="1" fontId="1" fillId="9" borderId="12" xfId="5" applyNumberFormat="1" applyFont="1" applyBorder="1" applyAlignment="1">
      <alignment horizontal="center" vertical="center"/>
    </xf>
    <xf numFmtId="49" fontId="10" fillId="0" borderId="4" xfId="0" applyNumberFormat="1" applyFont="1" applyBorder="1" applyAlignment="1">
      <alignment horizontal="left" vertical="center"/>
    </xf>
    <xf numFmtId="0" fontId="11" fillId="0" borderId="0" xfId="0" applyFont="1" applyAlignment="1">
      <alignment horizontal="right" vertical="center"/>
    </xf>
    <xf numFmtId="49" fontId="7" fillId="0" borderId="0" xfId="0" applyNumberFormat="1" applyFont="1" applyBorder="1" applyAlignment="1">
      <alignment horizontal="left" vertical="center" wrapText="1"/>
    </xf>
    <xf numFmtId="49" fontId="0" fillId="0" borderId="0" xfId="0" applyNumberFormat="1" applyFont="1" applyBorder="1" applyAlignment="1">
      <alignment horizontal="left" vertical="center" wrapText="1"/>
    </xf>
    <xf numFmtId="49" fontId="1" fillId="0" borderId="0" xfId="0" applyNumberFormat="1" applyFont="1" applyBorder="1" applyAlignment="1">
      <alignment horizontal="left" vertical="center" wrapText="1"/>
    </xf>
    <xf numFmtId="0" fontId="18" fillId="0" borderId="0" xfId="0" applyFont="1" applyAlignment="1">
      <alignment horizontal="right" vertical="center"/>
    </xf>
    <xf numFmtId="0" fontId="18" fillId="0" borderId="37" xfId="0" applyFont="1" applyBorder="1" applyAlignment="1">
      <alignment horizontal="right" vertical="center"/>
    </xf>
    <xf numFmtId="0" fontId="18" fillId="0" borderId="0" xfId="0" applyFont="1" applyBorder="1" applyAlignment="1">
      <alignment horizontal="right" vertical="center"/>
    </xf>
    <xf numFmtId="49" fontId="0" fillId="0" borderId="3" xfId="0" applyNumberFormat="1" applyFont="1" applyBorder="1" applyAlignment="1">
      <alignment horizontal="left" vertical="center" wrapText="1"/>
    </xf>
    <xf numFmtId="49" fontId="1" fillId="0" borderId="3" xfId="0" applyNumberFormat="1" applyFont="1" applyBorder="1" applyAlignment="1">
      <alignment horizontal="left" vertical="center" wrapText="1"/>
    </xf>
    <xf numFmtId="49" fontId="0" fillId="0" borderId="4" xfId="0" applyNumberFormat="1" applyFont="1" applyBorder="1" applyAlignment="1">
      <alignment vertical="center"/>
    </xf>
    <xf numFmtId="49" fontId="1" fillId="0" borderId="4" xfId="0" applyNumberFormat="1" applyFont="1" applyBorder="1" applyAlignment="1">
      <alignment vertical="center"/>
    </xf>
    <xf numFmtId="49" fontId="0" fillId="0" borderId="14" xfId="0" applyNumberFormat="1" applyFont="1" applyBorder="1" applyAlignment="1">
      <alignment horizontal="left" vertical="center" wrapText="1"/>
    </xf>
    <xf numFmtId="49" fontId="0" fillId="0" borderId="38" xfId="0" applyNumberFormat="1" applyFont="1" applyBorder="1" applyAlignment="1">
      <alignment horizontal="left" vertical="center" wrapText="1"/>
    </xf>
    <xf numFmtId="49" fontId="7" fillId="0" borderId="3" xfId="0" applyNumberFormat="1" applyFont="1" applyBorder="1" applyAlignment="1">
      <alignment horizontal="left" vertical="center" wrapText="1"/>
    </xf>
    <xf numFmtId="49" fontId="0" fillId="0" borderId="3" xfId="0" quotePrefix="1" applyNumberFormat="1" applyFont="1" applyBorder="1" applyAlignment="1">
      <alignment vertical="center" wrapText="1"/>
    </xf>
    <xf numFmtId="49" fontId="1" fillId="0" borderId="3" xfId="0" applyNumberFormat="1" applyFont="1" applyBorder="1" applyAlignment="1">
      <alignment vertical="center" wrapText="1"/>
    </xf>
    <xf numFmtId="49" fontId="0" fillId="0" borderId="3" xfId="0" applyNumberFormat="1" applyFont="1" applyBorder="1" applyAlignment="1">
      <alignment vertical="center" wrapText="1"/>
    </xf>
    <xf numFmtId="0" fontId="7" fillId="0" borderId="23" xfId="0" applyFont="1" applyBorder="1" applyAlignment="1">
      <alignment horizontal="center" vertical="center"/>
    </xf>
    <xf numFmtId="0" fontId="7" fillId="0" borderId="27" xfId="0" applyFont="1" applyBorder="1" applyAlignment="1">
      <alignment horizontal="center" vertical="center"/>
    </xf>
    <xf numFmtId="0" fontId="7" fillId="0" borderId="28" xfId="0" applyFont="1" applyBorder="1" applyAlignment="1">
      <alignment horizontal="center" vertical="center"/>
    </xf>
    <xf numFmtId="0" fontId="10" fillId="0" borderId="6" xfId="0" applyFont="1" applyBorder="1" applyAlignment="1">
      <alignment horizontal="center" vertical="center"/>
    </xf>
    <xf numFmtId="0" fontId="10" fillId="0" borderId="5" xfId="0" applyFont="1" applyBorder="1" applyAlignment="1">
      <alignment horizontal="center" vertical="center"/>
    </xf>
    <xf numFmtId="0" fontId="10" fillId="0" borderId="7"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10" fillId="0" borderId="21" xfId="0" applyFont="1" applyBorder="1" applyAlignment="1">
      <alignment horizontal="center" vertical="center"/>
    </xf>
    <xf numFmtId="0" fontId="10" fillId="0" borderId="13" xfId="0" applyFont="1" applyBorder="1" applyAlignment="1">
      <alignment horizontal="center" vertical="center"/>
    </xf>
    <xf numFmtId="0" fontId="10" fillId="0" borderId="22" xfId="0" applyFont="1" applyBorder="1" applyAlignment="1">
      <alignment horizontal="center"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cellXfs>
  <cellStyles count="10">
    <cellStyle name="Buena" xfId="1" builtinId="26" customBuiltin="1"/>
    <cellStyle name="Cálculo" xfId="6" builtinId="22" customBuiltin="1"/>
    <cellStyle name="Celda de comprobación" xfId="8" builtinId="23" hidden="1"/>
    <cellStyle name="Celda vinculada" xfId="7" builtinId="24" hidden="1" customBuiltin="1"/>
    <cellStyle name="Entrada" xfId="4" builtinId="20" customBuiltin="1"/>
    <cellStyle name="Incorrecto" xfId="2" builtinId="27" customBuiltin="1"/>
    <cellStyle name="Neutral" xfId="3" builtinId="28" hidden="1"/>
    <cellStyle name="Normal" xfId="0" builtinId="0"/>
    <cellStyle name="Notas" xfId="9" builtinId="10" hidden="1"/>
    <cellStyle name="Salida" xfId="5" builtinId="21" customBuiltin="1"/>
  </cellStyles>
  <dxfs count="0"/>
  <tableStyles count="0" defaultTableStyle="TableStyleMedium2" defaultPivotStyle="PivotStyleLight16"/>
  <colors>
    <mruColors>
      <color rgb="FFFFFF96"/>
      <color rgb="FF96FFFF"/>
      <color rgb="FFFF9696"/>
      <color rgb="FF96D250"/>
      <color rgb="FFF0F0F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205740</xdr:colOff>
      <xdr:row>1</xdr:row>
      <xdr:rowOff>22860</xdr:rowOff>
    </xdr:from>
    <xdr:to>
      <xdr:col>2</xdr:col>
      <xdr:colOff>445770</xdr:colOff>
      <xdr:row>2</xdr:row>
      <xdr:rowOff>173355</xdr:rowOff>
    </xdr:to>
    <xdr:pic>
      <xdr:nvPicPr>
        <xdr:cNvPr id="2" name="1 Imagen" descr="AIRBUS_DS_3D_Blue_50mm_rgb"/>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5740" y="190500"/>
          <a:ext cx="1581150" cy="371475"/>
        </a:xfrm>
        <a:prstGeom prst="rect">
          <a:avLst/>
        </a:prstGeom>
        <a:noFill/>
        <a:ln>
          <a:noFill/>
        </a:ln>
      </xdr:spPr>
    </xdr:pic>
    <xdr:clientData/>
  </xdr:twoCellAnchor>
  <xdr:twoCellAnchor editAs="oneCell">
    <xdr:from>
      <xdr:col>24</xdr:col>
      <xdr:colOff>56611</xdr:colOff>
      <xdr:row>0</xdr:row>
      <xdr:rowOff>40286</xdr:rowOff>
    </xdr:from>
    <xdr:to>
      <xdr:col>25</xdr:col>
      <xdr:colOff>73</xdr:colOff>
      <xdr:row>3</xdr:row>
      <xdr:rowOff>127833</xdr:rowOff>
    </xdr:to>
    <xdr:pic>
      <xdr:nvPicPr>
        <xdr:cNvPr id="3" name="2 Imagen" descr="Smiley"/>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67411" y="40286"/>
          <a:ext cx="547619" cy="6699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746760</xdr:colOff>
      <xdr:row>4</xdr:row>
      <xdr:rowOff>143351</xdr:rowOff>
    </xdr:from>
    <xdr:to>
      <xdr:col>10</xdr:col>
      <xdr:colOff>220371</xdr:colOff>
      <xdr:row>15</xdr:row>
      <xdr:rowOff>160021</xdr:rowOff>
    </xdr:to>
    <xdr:sp macro="" textlink="">
      <xdr:nvSpPr>
        <xdr:cNvPr id="2" name="1 Forma libre"/>
        <xdr:cNvSpPr/>
      </xdr:nvSpPr>
      <xdr:spPr>
        <a:xfrm>
          <a:off x="5501640" y="813911"/>
          <a:ext cx="2643531" cy="1860710"/>
        </a:xfrm>
        <a:custGeom>
          <a:avLst/>
          <a:gdLst>
            <a:gd name="connsiteX0" fmla="*/ 7620 w 2522220"/>
            <a:gd name="connsiteY0" fmla="*/ 434340 h 1821180"/>
            <a:gd name="connsiteX1" fmla="*/ 0 w 2522220"/>
            <a:gd name="connsiteY1" fmla="*/ 1821180 h 1821180"/>
            <a:gd name="connsiteX2" fmla="*/ 1676400 w 2522220"/>
            <a:gd name="connsiteY2" fmla="*/ 1813560 h 1821180"/>
            <a:gd name="connsiteX3" fmla="*/ 2522220 w 2522220"/>
            <a:gd name="connsiteY3" fmla="*/ 853440 h 1821180"/>
            <a:gd name="connsiteX4" fmla="*/ 2522220 w 2522220"/>
            <a:gd name="connsiteY4" fmla="*/ 7620 h 1821180"/>
            <a:gd name="connsiteX5" fmla="*/ 1760220 w 2522220"/>
            <a:gd name="connsiteY5" fmla="*/ 0 h 1821180"/>
            <a:gd name="connsiteX6" fmla="*/ 1287780 w 2522220"/>
            <a:gd name="connsiteY6" fmla="*/ 457200 h 1821180"/>
            <a:gd name="connsiteX7" fmla="*/ 7620 w 2522220"/>
            <a:gd name="connsiteY7" fmla="*/ 434340 h 1821180"/>
            <a:gd name="connsiteX0" fmla="*/ 7620 w 2622776"/>
            <a:gd name="connsiteY0" fmla="*/ 434340 h 1821180"/>
            <a:gd name="connsiteX1" fmla="*/ 0 w 2622776"/>
            <a:gd name="connsiteY1" fmla="*/ 1821180 h 1821180"/>
            <a:gd name="connsiteX2" fmla="*/ 1676400 w 2622776"/>
            <a:gd name="connsiteY2" fmla="*/ 1813560 h 1821180"/>
            <a:gd name="connsiteX3" fmla="*/ 2522220 w 2622776"/>
            <a:gd name="connsiteY3" fmla="*/ 853440 h 1821180"/>
            <a:gd name="connsiteX4" fmla="*/ 2522220 w 2622776"/>
            <a:gd name="connsiteY4" fmla="*/ 7620 h 1821180"/>
            <a:gd name="connsiteX5" fmla="*/ 1760220 w 2622776"/>
            <a:gd name="connsiteY5" fmla="*/ 0 h 1821180"/>
            <a:gd name="connsiteX6" fmla="*/ 1287780 w 2622776"/>
            <a:gd name="connsiteY6" fmla="*/ 457200 h 1821180"/>
            <a:gd name="connsiteX7" fmla="*/ 7620 w 2622776"/>
            <a:gd name="connsiteY7" fmla="*/ 434340 h 1821180"/>
            <a:gd name="connsiteX0" fmla="*/ 7620 w 2622776"/>
            <a:gd name="connsiteY0" fmla="*/ 513101 h 1899941"/>
            <a:gd name="connsiteX1" fmla="*/ 0 w 2622776"/>
            <a:gd name="connsiteY1" fmla="*/ 1899941 h 1899941"/>
            <a:gd name="connsiteX2" fmla="*/ 1676400 w 2622776"/>
            <a:gd name="connsiteY2" fmla="*/ 1892321 h 1899941"/>
            <a:gd name="connsiteX3" fmla="*/ 2522220 w 2622776"/>
            <a:gd name="connsiteY3" fmla="*/ 932201 h 1899941"/>
            <a:gd name="connsiteX4" fmla="*/ 2522220 w 2622776"/>
            <a:gd name="connsiteY4" fmla="*/ 86381 h 1899941"/>
            <a:gd name="connsiteX5" fmla="*/ 1760220 w 2622776"/>
            <a:gd name="connsiteY5" fmla="*/ 78761 h 1899941"/>
            <a:gd name="connsiteX6" fmla="*/ 1287780 w 2622776"/>
            <a:gd name="connsiteY6" fmla="*/ 535961 h 1899941"/>
            <a:gd name="connsiteX7" fmla="*/ 7620 w 2622776"/>
            <a:gd name="connsiteY7" fmla="*/ 513101 h 1899941"/>
            <a:gd name="connsiteX0" fmla="*/ 7620 w 2647650"/>
            <a:gd name="connsiteY0" fmla="*/ 486607 h 1873447"/>
            <a:gd name="connsiteX1" fmla="*/ 0 w 2647650"/>
            <a:gd name="connsiteY1" fmla="*/ 1873447 h 1873447"/>
            <a:gd name="connsiteX2" fmla="*/ 1676400 w 2647650"/>
            <a:gd name="connsiteY2" fmla="*/ 1865827 h 1873447"/>
            <a:gd name="connsiteX3" fmla="*/ 2522220 w 2647650"/>
            <a:gd name="connsiteY3" fmla="*/ 905707 h 1873447"/>
            <a:gd name="connsiteX4" fmla="*/ 2567940 w 2647650"/>
            <a:gd name="connsiteY4" fmla="*/ 113227 h 1873447"/>
            <a:gd name="connsiteX5" fmla="*/ 1760220 w 2647650"/>
            <a:gd name="connsiteY5" fmla="*/ 52267 h 1873447"/>
            <a:gd name="connsiteX6" fmla="*/ 1287780 w 2647650"/>
            <a:gd name="connsiteY6" fmla="*/ 509467 h 1873447"/>
            <a:gd name="connsiteX7" fmla="*/ 7620 w 2647650"/>
            <a:gd name="connsiteY7" fmla="*/ 486607 h 1873447"/>
            <a:gd name="connsiteX0" fmla="*/ 7620 w 2657187"/>
            <a:gd name="connsiteY0" fmla="*/ 527243 h 1914083"/>
            <a:gd name="connsiteX1" fmla="*/ 0 w 2657187"/>
            <a:gd name="connsiteY1" fmla="*/ 1914083 h 1914083"/>
            <a:gd name="connsiteX2" fmla="*/ 1676400 w 2657187"/>
            <a:gd name="connsiteY2" fmla="*/ 1906463 h 1914083"/>
            <a:gd name="connsiteX3" fmla="*/ 2522220 w 2657187"/>
            <a:gd name="connsiteY3" fmla="*/ 946343 h 1914083"/>
            <a:gd name="connsiteX4" fmla="*/ 2583180 w 2657187"/>
            <a:gd name="connsiteY4" fmla="*/ 77663 h 1914083"/>
            <a:gd name="connsiteX5" fmla="*/ 1760220 w 2657187"/>
            <a:gd name="connsiteY5" fmla="*/ 92903 h 1914083"/>
            <a:gd name="connsiteX6" fmla="*/ 1287780 w 2657187"/>
            <a:gd name="connsiteY6" fmla="*/ 550103 h 1914083"/>
            <a:gd name="connsiteX7" fmla="*/ 7620 w 2657187"/>
            <a:gd name="connsiteY7" fmla="*/ 527243 h 1914083"/>
            <a:gd name="connsiteX0" fmla="*/ 7620 w 2657187"/>
            <a:gd name="connsiteY0" fmla="*/ 449580 h 1836420"/>
            <a:gd name="connsiteX1" fmla="*/ 0 w 2657187"/>
            <a:gd name="connsiteY1" fmla="*/ 1836420 h 1836420"/>
            <a:gd name="connsiteX2" fmla="*/ 1676400 w 2657187"/>
            <a:gd name="connsiteY2" fmla="*/ 1828800 h 1836420"/>
            <a:gd name="connsiteX3" fmla="*/ 2522220 w 2657187"/>
            <a:gd name="connsiteY3" fmla="*/ 868680 h 1836420"/>
            <a:gd name="connsiteX4" fmla="*/ 2583180 w 2657187"/>
            <a:gd name="connsiteY4" fmla="*/ 0 h 1836420"/>
            <a:gd name="connsiteX5" fmla="*/ 1760220 w 2657187"/>
            <a:gd name="connsiteY5" fmla="*/ 15240 h 1836420"/>
            <a:gd name="connsiteX6" fmla="*/ 1287780 w 2657187"/>
            <a:gd name="connsiteY6" fmla="*/ 472440 h 1836420"/>
            <a:gd name="connsiteX7" fmla="*/ 7620 w 2657187"/>
            <a:gd name="connsiteY7" fmla="*/ 449580 h 1836420"/>
            <a:gd name="connsiteX0" fmla="*/ 7620 w 2660189"/>
            <a:gd name="connsiteY0" fmla="*/ 449580 h 1836420"/>
            <a:gd name="connsiteX1" fmla="*/ 0 w 2660189"/>
            <a:gd name="connsiteY1" fmla="*/ 1836420 h 1836420"/>
            <a:gd name="connsiteX2" fmla="*/ 1676400 w 2660189"/>
            <a:gd name="connsiteY2" fmla="*/ 1828800 h 1836420"/>
            <a:gd name="connsiteX3" fmla="*/ 2522220 w 2660189"/>
            <a:gd name="connsiteY3" fmla="*/ 868680 h 1836420"/>
            <a:gd name="connsiteX4" fmla="*/ 2583180 w 2660189"/>
            <a:gd name="connsiteY4" fmla="*/ 0 h 1836420"/>
            <a:gd name="connsiteX5" fmla="*/ 1760220 w 2660189"/>
            <a:gd name="connsiteY5" fmla="*/ 15240 h 1836420"/>
            <a:gd name="connsiteX6" fmla="*/ 1287780 w 2660189"/>
            <a:gd name="connsiteY6" fmla="*/ 472440 h 1836420"/>
            <a:gd name="connsiteX7" fmla="*/ 7620 w 2660189"/>
            <a:gd name="connsiteY7" fmla="*/ 449580 h 1836420"/>
            <a:gd name="connsiteX0" fmla="*/ 7620 w 2660189"/>
            <a:gd name="connsiteY0" fmla="*/ 449580 h 1836420"/>
            <a:gd name="connsiteX1" fmla="*/ 0 w 2660189"/>
            <a:gd name="connsiteY1" fmla="*/ 1836420 h 1836420"/>
            <a:gd name="connsiteX2" fmla="*/ 1676400 w 2660189"/>
            <a:gd name="connsiteY2" fmla="*/ 1828800 h 1836420"/>
            <a:gd name="connsiteX3" fmla="*/ 2522220 w 2660189"/>
            <a:gd name="connsiteY3" fmla="*/ 868680 h 1836420"/>
            <a:gd name="connsiteX4" fmla="*/ 2583180 w 2660189"/>
            <a:gd name="connsiteY4" fmla="*/ 0 h 1836420"/>
            <a:gd name="connsiteX5" fmla="*/ 1760220 w 2660189"/>
            <a:gd name="connsiteY5" fmla="*/ 15240 h 1836420"/>
            <a:gd name="connsiteX6" fmla="*/ 1287780 w 2660189"/>
            <a:gd name="connsiteY6" fmla="*/ 472440 h 1836420"/>
            <a:gd name="connsiteX7" fmla="*/ 7620 w 2660189"/>
            <a:gd name="connsiteY7" fmla="*/ 449580 h 1836420"/>
            <a:gd name="connsiteX0" fmla="*/ 7620 w 2676195"/>
            <a:gd name="connsiteY0" fmla="*/ 494830 h 1881670"/>
            <a:gd name="connsiteX1" fmla="*/ 0 w 2676195"/>
            <a:gd name="connsiteY1" fmla="*/ 1881670 h 1881670"/>
            <a:gd name="connsiteX2" fmla="*/ 1676400 w 2676195"/>
            <a:gd name="connsiteY2" fmla="*/ 1874050 h 1881670"/>
            <a:gd name="connsiteX3" fmla="*/ 2522220 w 2676195"/>
            <a:gd name="connsiteY3" fmla="*/ 913930 h 1881670"/>
            <a:gd name="connsiteX4" fmla="*/ 2606040 w 2676195"/>
            <a:gd name="connsiteY4" fmla="*/ 98590 h 1881670"/>
            <a:gd name="connsiteX5" fmla="*/ 1760220 w 2676195"/>
            <a:gd name="connsiteY5" fmla="*/ 60490 h 1881670"/>
            <a:gd name="connsiteX6" fmla="*/ 1287780 w 2676195"/>
            <a:gd name="connsiteY6" fmla="*/ 517690 h 1881670"/>
            <a:gd name="connsiteX7" fmla="*/ 7620 w 2676195"/>
            <a:gd name="connsiteY7" fmla="*/ 494830 h 1881670"/>
            <a:gd name="connsiteX0" fmla="*/ 7620 w 2676195"/>
            <a:gd name="connsiteY0" fmla="*/ 494830 h 1881670"/>
            <a:gd name="connsiteX1" fmla="*/ 0 w 2676195"/>
            <a:gd name="connsiteY1" fmla="*/ 1881670 h 1881670"/>
            <a:gd name="connsiteX2" fmla="*/ 1676400 w 2676195"/>
            <a:gd name="connsiteY2" fmla="*/ 1874050 h 1881670"/>
            <a:gd name="connsiteX3" fmla="*/ 2522220 w 2676195"/>
            <a:gd name="connsiteY3" fmla="*/ 913930 h 1881670"/>
            <a:gd name="connsiteX4" fmla="*/ 2606040 w 2676195"/>
            <a:gd name="connsiteY4" fmla="*/ 98590 h 1881670"/>
            <a:gd name="connsiteX5" fmla="*/ 1760220 w 2676195"/>
            <a:gd name="connsiteY5" fmla="*/ 60490 h 1881670"/>
            <a:gd name="connsiteX6" fmla="*/ 1287780 w 2676195"/>
            <a:gd name="connsiteY6" fmla="*/ 517690 h 1881670"/>
            <a:gd name="connsiteX7" fmla="*/ 7620 w 2676195"/>
            <a:gd name="connsiteY7" fmla="*/ 494830 h 1881670"/>
            <a:gd name="connsiteX0" fmla="*/ 7620 w 2676195"/>
            <a:gd name="connsiteY0" fmla="*/ 528112 h 1914952"/>
            <a:gd name="connsiteX1" fmla="*/ 0 w 2676195"/>
            <a:gd name="connsiteY1" fmla="*/ 1914952 h 1914952"/>
            <a:gd name="connsiteX2" fmla="*/ 1676400 w 2676195"/>
            <a:gd name="connsiteY2" fmla="*/ 1907332 h 1914952"/>
            <a:gd name="connsiteX3" fmla="*/ 2522220 w 2676195"/>
            <a:gd name="connsiteY3" fmla="*/ 947212 h 1914952"/>
            <a:gd name="connsiteX4" fmla="*/ 2606040 w 2676195"/>
            <a:gd name="connsiteY4" fmla="*/ 131872 h 1914952"/>
            <a:gd name="connsiteX5" fmla="*/ 1760220 w 2676195"/>
            <a:gd name="connsiteY5" fmla="*/ 93772 h 1914952"/>
            <a:gd name="connsiteX6" fmla="*/ 1287780 w 2676195"/>
            <a:gd name="connsiteY6" fmla="*/ 550972 h 1914952"/>
            <a:gd name="connsiteX7" fmla="*/ 7620 w 2676195"/>
            <a:gd name="connsiteY7" fmla="*/ 528112 h 1914952"/>
            <a:gd name="connsiteX0" fmla="*/ 7620 w 2640456"/>
            <a:gd name="connsiteY0" fmla="*/ 518049 h 1904889"/>
            <a:gd name="connsiteX1" fmla="*/ 0 w 2640456"/>
            <a:gd name="connsiteY1" fmla="*/ 1904889 h 1904889"/>
            <a:gd name="connsiteX2" fmla="*/ 1676400 w 2640456"/>
            <a:gd name="connsiteY2" fmla="*/ 1897269 h 1904889"/>
            <a:gd name="connsiteX3" fmla="*/ 2522220 w 2640456"/>
            <a:gd name="connsiteY3" fmla="*/ 937149 h 1904889"/>
            <a:gd name="connsiteX4" fmla="*/ 2552700 w 2640456"/>
            <a:gd name="connsiteY4" fmla="*/ 83709 h 1904889"/>
            <a:gd name="connsiteX5" fmla="*/ 1760220 w 2640456"/>
            <a:gd name="connsiteY5" fmla="*/ 83709 h 1904889"/>
            <a:gd name="connsiteX6" fmla="*/ 1287780 w 2640456"/>
            <a:gd name="connsiteY6" fmla="*/ 540909 h 1904889"/>
            <a:gd name="connsiteX7" fmla="*/ 7620 w 2640456"/>
            <a:gd name="connsiteY7" fmla="*/ 518049 h 1904889"/>
            <a:gd name="connsiteX0" fmla="*/ 7620 w 2640456"/>
            <a:gd name="connsiteY0" fmla="*/ 518049 h 1904889"/>
            <a:gd name="connsiteX1" fmla="*/ 0 w 2640456"/>
            <a:gd name="connsiteY1" fmla="*/ 1904889 h 1904889"/>
            <a:gd name="connsiteX2" fmla="*/ 1676400 w 2640456"/>
            <a:gd name="connsiteY2" fmla="*/ 1897269 h 1904889"/>
            <a:gd name="connsiteX3" fmla="*/ 2522220 w 2640456"/>
            <a:gd name="connsiteY3" fmla="*/ 937149 h 1904889"/>
            <a:gd name="connsiteX4" fmla="*/ 2552700 w 2640456"/>
            <a:gd name="connsiteY4" fmla="*/ 83709 h 1904889"/>
            <a:gd name="connsiteX5" fmla="*/ 1760220 w 2640456"/>
            <a:gd name="connsiteY5" fmla="*/ 83709 h 1904889"/>
            <a:gd name="connsiteX6" fmla="*/ 1287780 w 2640456"/>
            <a:gd name="connsiteY6" fmla="*/ 540909 h 1904889"/>
            <a:gd name="connsiteX7" fmla="*/ 7620 w 2640456"/>
            <a:gd name="connsiteY7" fmla="*/ 518049 h 1904889"/>
            <a:gd name="connsiteX0" fmla="*/ 7620 w 2640456"/>
            <a:gd name="connsiteY0" fmla="*/ 518049 h 1904889"/>
            <a:gd name="connsiteX1" fmla="*/ 0 w 2640456"/>
            <a:gd name="connsiteY1" fmla="*/ 1904889 h 1904889"/>
            <a:gd name="connsiteX2" fmla="*/ 1676400 w 2640456"/>
            <a:gd name="connsiteY2" fmla="*/ 1897269 h 1904889"/>
            <a:gd name="connsiteX3" fmla="*/ 2522220 w 2640456"/>
            <a:gd name="connsiteY3" fmla="*/ 937149 h 1904889"/>
            <a:gd name="connsiteX4" fmla="*/ 2552700 w 2640456"/>
            <a:gd name="connsiteY4" fmla="*/ 83709 h 1904889"/>
            <a:gd name="connsiteX5" fmla="*/ 1760220 w 2640456"/>
            <a:gd name="connsiteY5" fmla="*/ 83709 h 1904889"/>
            <a:gd name="connsiteX6" fmla="*/ 1287780 w 2640456"/>
            <a:gd name="connsiteY6" fmla="*/ 540909 h 1904889"/>
            <a:gd name="connsiteX7" fmla="*/ 7620 w 2640456"/>
            <a:gd name="connsiteY7" fmla="*/ 518049 h 1904889"/>
            <a:gd name="connsiteX0" fmla="*/ 7620 w 2600348"/>
            <a:gd name="connsiteY0" fmla="*/ 499156 h 1885996"/>
            <a:gd name="connsiteX1" fmla="*/ 0 w 2600348"/>
            <a:gd name="connsiteY1" fmla="*/ 1885996 h 1885996"/>
            <a:gd name="connsiteX2" fmla="*/ 1676400 w 2600348"/>
            <a:gd name="connsiteY2" fmla="*/ 1878376 h 1885996"/>
            <a:gd name="connsiteX3" fmla="*/ 2522220 w 2600348"/>
            <a:gd name="connsiteY3" fmla="*/ 918256 h 1885996"/>
            <a:gd name="connsiteX4" fmla="*/ 2476500 w 2600348"/>
            <a:gd name="connsiteY4" fmla="*/ 95296 h 1885996"/>
            <a:gd name="connsiteX5" fmla="*/ 1760220 w 2600348"/>
            <a:gd name="connsiteY5" fmla="*/ 64816 h 1885996"/>
            <a:gd name="connsiteX6" fmla="*/ 1287780 w 2600348"/>
            <a:gd name="connsiteY6" fmla="*/ 522016 h 1885996"/>
            <a:gd name="connsiteX7" fmla="*/ 7620 w 2600348"/>
            <a:gd name="connsiteY7" fmla="*/ 499156 h 1885996"/>
            <a:gd name="connsiteX0" fmla="*/ 7620 w 2600348"/>
            <a:gd name="connsiteY0" fmla="*/ 499156 h 1885996"/>
            <a:gd name="connsiteX1" fmla="*/ 0 w 2600348"/>
            <a:gd name="connsiteY1" fmla="*/ 1885996 h 1885996"/>
            <a:gd name="connsiteX2" fmla="*/ 1676400 w 2600348"/>
            <a:gd name="connsiteY2" fmla="*/ 1878376 h 1885996"/>
            <a:gd name="connsiteX3" fmla="*/ 2522220 w 2600348"/>
            <a:gd name="connsiteY3" fmla="*/ 918256 h 1885996"/>
            <a:gd name="connsiteX4" fmla="*/ 2476500 w 2600348"/>
            <a:gd name="connsiteY4" fmla="*/ 95296 h 1885996"/>
            <a:gd name="connsiteX5" fmla="*/ 1760220 w 2600348"/>
            <a:gd name="connsiteY5" fmla="*/ 64816 h 1885996"/>
            <a:gd name="connsiteX6" fmla="*/ 1287780 w 2600348"/>
            <a:gd name="connsiteY6" fmla="*/ 522016 h 1885996"/>
            <a:gd name="connsiteX7" fmla="*/ 7620 w 2600348"/>
            <a:gd name="connsiteY7" fmla="*/ 499156 h 1885996"/>
            <a:gd name="connsiteX0" fmla="*/ 7620 w 2600348"/>
            <a:gd name="connsiteY0" fmla="*/ 499156 h 1885996"/>
            <a:gd name="connsiteX1" fmla="*/ 0 w 2600348"/>
            <a:gd name="connsiteY1" fmla="*/ 1885996 h 1885996"/>
            <a:gd name="connsiteX2" fmla="*/ 1676400 w 2600348"/>
            <a:gd name="connsiteY2" fmla="*/ 1878376 h 1885996"/>
            <a:gd name="connsiteX3" fmla="*/ 2522220 w 2600348"/>
            <a:gd name="connsiteY3" fmla="*/ 918256 h 1885996"/>
            <a:gd name="connsiteX4" fmla="*/ 2476500 w 2600348"/>
            <a:gd name="connsiteY4" fmla="*/ 95296 h 1885996"/>
            <a:gd name="connsiteX5" fmla="*/ 1760220 w 2600348"/>
            <a:gd name="connsiteY5" fmla="*/ 64816 h 1885996"/>
            <a:gd name="connsiteX6" fmla="*/ 1287780 w 2600348"/>
            <a:gd name="connsiteY6" fmla="*/ 522016 h 1885996"/>
            <a:gd name="connsiteX7" fmla="*/ 7620 w 2600348"/>
            <a:gd name="connsiteY7" fmla="*/ 499156 h 1885996"/>
            <a:gd name="connsiteX0" fmla="*/ 7620 w 2600348"/>
            <a:gd name="connsiteY0" fmla="*/ 497768 h 1884608"/>
            <a:gd name="connsiteX1" fmla="*/ 0 w 2600348"/>
            <a:gd name="connsiteY1" fmla="*/ 1884608 h 1884608"/>
            <a:gd name="connsiteX2" fmla="*/ 1676400 w 2600348"/>
            <a:gd name="connsiteY2" fmla="*/ 1876988 h 1884608"/>
            <a:gd name="connsiteX3" fmla="*/ 2522220 w 2600348"/>
            <a:gd name="connsiteY3" fmla="*/ 916868 h 1884608"/>
            <a:gd name="connsiteX4" fmla="*/ 2476500 w 2600348"/>
            <a:gd name="connsiteY4" fmla="*/ 93908 h 1884608"/>
            <a:gd name="connsiteX5" fmla="*/ 1760220 w 2600348"/>
            <a:gd name="connsiteY5" fmla="*/ 63428 h 1884608"/>
            <a:gd name="connsiteX6" fmla="*/ 1287780 w 2600348"/>
            <a:gd name="connsiteY6" fmla="*/ 497768 h 1884608"/>
            <a:gd name="connsiteX7" fmla="*/ 7620 w 2600348"/>
            <a:gd name="connsiteY7" fmla="*/ 497768 h 1884608"/>
            <a:gd name="connsiteX0" fmla="*/ 7620 w 2600348"/>
            <a:gd name="connsiteY0" fmla="*/ 497768 h 1899848"/>
            <a:gd name="connsiteX1" fmla="*/ 0 w 2600348"/>
            <a:gd name="connsiteY1" fmla="*/ 1884608 h 1899848"/>
            <a:gd name="connsiteX2" fmla="*/ 1676400 w 2600348"/>
            <a:gd name="connsiteY2" fmla="*/ 1899848 h 1899848"/>
            <a:gd name="connsiteX3" fmla="*/ 2522220 w 2600348"/>
            <a:gd name="connsiteY3" fmla="*/ 916868 h 1899848"/>
            <a:gd name="connsiteX4" fmla="*/ 2476500 w 2600348"/>
            <a:gd name="connsiteY4" fmla="*/ 93908 h 1899848"/>
            <a:gd name="connsiteX5" fmla="*/ 1760220 w 2600348"/>
            <a:gd name="connsiteY5" fmla="*/ 63428 h 1899848"/>
            <a:gd name="connsiteX6" fmla="*/ 1287780 w 2600348"/>
            <a:gd name="connsiteY6" fmla="*/ 497768 h 1899848"/>
            <a:gd name="connsiteX7" fmla="*/ 7620 w 2600348"/>
            <a:gd name="connsiteY7" fmla="*/ 497768 h 1899848"/>
            <a:gd name="connsiteX0" fmla="*/ 7620 w 2600348"/>
            <a:gd name="connsiteY0" fmla="*/ 497768 h 1884608"/>
            <a:gd name="connsiteX1" fmla="*/ 0 w 2600348"/>
            <a:gd name="connsiteY1" fmla="*/ 1884608 h 1884608"/>
            <a:gd name="connsiteX2" fmla="*/ 1676400 w 2600348"/>
            <a:gd name="connsiteY2" fmla="*/ 1876988 h 1884608"/>
            <a:gd name="connsiteX3" fmla="*/ 2522220 w 2600348"/>
            <a:gd name="connsiteY3" fmla="*/ 916868 h 1884608"/>
            <a:gd name="connsiteX4" fmla="*/ 2476500 w 2600348"/>
            <a:gd name="connsiteY4" fmla="*/ 93908 h 1884608"/>
            <a:gd name="connsiteX5" fmla="*/ 1760220 w 2600348"/>
            <a:gd name="connsiteY5" fmla="*/ 63428 h 1884608"/>
            <a:gd name="connsiteX6" fmla="*/ 1287780 w 2600348"/>
            <a:gd name="connsiteY6" fmla="*/ 497768 h 1884608"/>
            <a:gd name="connsiteX7" fmla="*/ 7620 w 2600348"/>
            <a:gd name="connsiteY7" fmla="*/ 497768 h 1884608"/>
            <a:gd name="connsiteX0" fmla="*/ 7620 w 2600348"/>
            <a:gd name="connsiteY0" fmla="*/ 497768 h 1899848"/>
            <a:gd name="connsiteX1" fmla="*/ 0 w 2600348"/>
            <a:gd name="connsiteY1" fmla="*/ 1884608 h 1899848"/>
            <a:gd name="connsiteX2" fmla="*/ 1676400 w 2600348"/>
            <a:gd name="connsiteY2" fmla="*/ 1899848 h 1899848"/>
            <a:gd name="connsiteX3" fmla="*/ 2522220 w 2600348"/>
            <a:gd name="connsiteY3" fmla="*/ 916868 h 1899848"/>
            <a:gd name="connsiteX4" fmla="*/ 2476500 w 2600348"/>
            <a:gd name="connsiteY4" fmla="*/ 93908 h 1899848"/>
            <a:gd name="connsiteX5" fmla="*/ 1760220 w 2600348"/>
            <a:gd name="connsiteY5" fmla="*/ 63428 h 1899848"/>
            <a:gd name="connsiteX6" fmla="*/ 1287780 w 2600348"/>
            <a:gd name="connsiteY6" fmla="*/ 497768 h 1899848"/>
            <a:gd name="connsiteX7" fmla="*/ 7620 w 2600348"/>
            <a:gd name="connsiteY7" fmla="*/ 497768 h 1899848"/>
            <a:gd name="connsiteX0" fmla="*/ 7620 w 2600348"/>
            <a:gd name="connsiteY0" fmla="*/ 497768 h 1884608"/>
            <a:gd name="connsiteX1" fmla="*/ 0 w 2600348"/>
            <a:gd name="connsiteY1" fmla="*/ 1884608 h 1884608"/>
            <a:gd name="connsiteX2" fmla="*/ 1676400 w 2600348"/>
            <a:gd name="connsiteY2" fmla="*/ 1876988 h 1884608"/>
            <a:gd name="connsiteX3" fmla="*/ 2522220 w 2600348"/>
            <a:gd name="connsiteY3" fmla="*/ 916868 h 1884608"/>
            <a:gd name="connsiteX4" fmla="*/ 2476500 w 2600348"/>
            <a:gd name="connsiteY4" fmla="*/ 93908 h 1884608"/>
            <a:gd name="connsiteX5" fmla="*/ 1760220 w 2600348"/>
            <a:gd name="connsiteY5" fmla="*/ 63428 h 1884608"/>
            <a:gd name="connsiteX6" fmla="*/ 1287780 w 2600348"/>
            <a:gd name="connsiteY6" fmla="*/ 497768 h 1884608"/>
            <a:gd name="connsiteX7" fmla="*/ 7620 w 2600348"/>
            <a:gd name="connsiteY7" fmla="*/ 497768 h 1884608"/>
            <a:gd name="connsiteX0" fmla="*/ 7620 w 2597632"/>
            <a:gd name="connsiteY0" fmla="*/ 497768 h 1892228"/>
            <a:gd name="connsiteX1" fmla="*/ 0 w 2597632"/>
            <a:gd name="connsiteY1" fmla="*/ 1884608 h 1892228"/>
            <a:gd name="connsiteX2" fmla="*/ 1714500 w 2597632"/>
            <a:gd name="connsiteY2" fmla="*/ 1892228 h 1892228"/>
            <a:gd name="connsiteX3" fmla="*/ 2522220 w 2597632"/>
            <a:gd name="connsiteY3" fmla="*/ 916868 h 1892228"/>
            <a:gd name="connsiteX4" fmla="*/ 2476500 w 2597632"/>
            <a:gd name="connsiteY4" fmla="*/ 93908 h 1892228"/>
            <a:gd name="connsiteX5" fmla="*/ 1760220 w 2597632"/>
            <a:gd name="connsiteY5" fmla="*/ 63428 h 1892228"/>
            <a:gd name="connsiteX6" fmla="*/ 1287780 w 2597632"/>
            <a:gd name="connsiteY6" fmla="*/ 497768 h 1892228"/>
            <a:gd name="connsiteX7" fmla="*/ 7620 w 2597632"/>
            <a:gd name="connsiteY7" fmla="*/ 497768 h 1892228"/>
            <a:gd name="connsiteX0" fmla="*/ 7620 w 2608354"/>
            <a:gd name="connsiteY0" fmla="*/ 465199 h 1859659"/>
            <a:gd name="connsiteX1" fmla="*/ 0 w 2608354"/>
            <a:gd name="connsiteY1" fmla="*/ 1852039 h 1859659"/>
            <a:gd name="connsiteX2" fmla="*/ 1714500 w 2608354"/>
            <a:gd name="connsiteY2" fmla="*/ 1859659 h 1859659"/>
            <a:gd name="connsiteX3" fmla="*/ 2522220 w 2608354"/>
            <a:gd name="connsiteY3" fmla="*/ 884299 h 1859659"/>
            <a:gd name="connsiteX4" fmla="*/ 2499360 w 2608354"/>
            <a:gd name="connsiteY4" fmla="*/ 129919 h 1859659"/>
            <a:gd name="connsiteX5" fmla="*/ 1760220 w 2608354"/>
            <a:gd name="connsiteY5" fmla="*/ 30859 h 1859659"/>
            <a:gd name="connsiteX6" fmla="*/ 1287780 w 2608354"/>
            <a:gd name="connsiteY6" fmla="*/ 465199 h 1859659"/>
            <a:gd name="connsiteX7" fmla="*/ 7620 w 2608354"/>
            <a:gd name="connsiteY7" fmla="*/ 465199 h 1859659"/>
            <a:gd name="connsiteX0" fmla="*/ 7620 w 2604640"/>
            <a:gd name="connsiteY0" fmla="*/ 465199 h 1859659"/>
            <a:gd name="connsiteX1" fmla="*/ 0 w 2604640"/>
            <a:gd name="connsiteY1" fmla="*/ 1852039 h 1859659"/>
            <a:gd name="connsiteX2" fmla="*/ 1714500 w 2604640"/>
            <a:gd name="connsiteY2" fmla="*/ 1859659 h 1859659"/>
            <a:gd name="connsiteX3" fmla="*/ 2522220 w 2604640"/>
            <a:gd name="connsiteY3" fmla="*/ 884299 h 1859659"/>
            <a:gd name="connsiteX4" fmla="*/ 2491740 w 2604640"/>
            <a:gd name="connsiteY4" fmla="*/ 129919 h 1859659"/>
            <a:gd name="connsiteX5" fmla="*/ 1760220 w 2604640"/>
            <a:gd name="connsiteY5" fmla="*/ 30859 h 1859659"/>
            <a:gd name="connsiteX6" fmla="*/ 1287780 w 2604640"/>
            <a:gd name="connsiteY6" fmla="*/ 465199 h 1859659"/>
            <a:gd name="connsiteX7" fmla="*/ 7620 w 2604640"/>
            <a:gd name="connsiteY7" fmla="*/ 465199 h 1859659"/>
            <a:gd name="connsiteX0" fmla="*/ 7620 w 2604640"/>
            <a:gd name="connsiteY0" fmla="*/ 440667 h 1835127"/>
            <a:gd name="connsiteX1" fmla="*/ 0 w 2604640"/>
            <a:gd name="connsiteY1" fmla="*/ 1827507 h 1835127"/>
            <a:gd name="connsiteX2" fmla="*/ 1714500 w 2604640"/>
            <a:gd name="connsiteY2" fmla="*/ 1835127 h 1835127"/>
            <a:gd name="connsiteX3" fmla="*/ 2522220 w 2604640"/>
            <a:gd name="connsiteY3" fmla="*/ 859767 h 1835127"/>
            <a:gd name="connsiteX4" fmla="*/ 2491740 w 2604640"/>
            <a:gd name="connsiteY4" fmla="*/ 105387 h 1835127"/>
            <a:gd name="connsiteX5" fmla="*/ 1790700 w 2604640"/>
            <a:gd name="connsiteY5" fmla="*/ 44427 h 1835127"/>
            <a:gd name="connsiteX6" fmla="*/ 1287780 w 2604640"/>
            <a:gd name="connsiteY6" fmla="*/ 440667 h 1835127"/>
            <a:gd name="connsiteX7" fmla="*/ 7620 w 2604640"/>
            <a:gd name="connsiteY7" fmla="*/ 440667 h 1835127"/>
            <a:gd name="connsiteX0" fmla="*/ 7620 w 2604640"/>
            <a:gd name="connsiteY0" fmla="*/ 440667 h 1835127"/>
            <a:gd name="connsiteX1" fmla="*/ 0 w 2604640"/>
            <a:gd name="connsiteY1" fmla="*/ 1827507 h 1835127"/>
            <a:gd name="connsiteX2" fmla="*/ 1714500 w 2604640"/>
            <a:gd name="connsiteY2" fmla="*/ 1835127 h 1835127"/>
            <a:gd name="connsiteX3" fmla="*/ 2522220 w 2604640"/>
            <a:gd name="connsiteY3" fmla="*/ 859767 h 1835127"/>
            <a:gd name="connsiteX4" fmla="*/ 2491740 w 2604640"/>
            <a:gd name="connsiteY4" fmla="*/ 105387 h 1835127"/>
            <a:gd name="connsiteX5" fmla="*/ 1790700 w 2604640"/>
            <a:gd name="connsiteY5" fmla="*/ 44427 h 1835127"/>
            <a:gd name="connsiteX6" fmla="*/ 1287780 w 2604640"/>
            <a:gd name="connsiteY6" fmla="*/ 440667 h 1835127"/>
            <a:gd name="connsiteX7" fmla="*/ 7620 w 2604640"/>
            <a:gd name="connsiteY7" fmla="*/ 440667 h 1835127"/>
            <a:gd name="connsiteX0" fmla="*/ 7620 w 2604640"/>
            <a:gd name="connsiteY0" fmla="*/ 440667 h 1835127"/>
            <a:gd name="connsiteX1" fmla="*/ 0 w 2604640"/>
            <a:gd name="connsiteY1" fmla="*/ 1827507 h 1835127"/>
            <a:gd name="connsiteX2" fmla="*/ 1714500 w 2604640"/>
            <a:gd name="connsiteY2" fmla="*/ 1835127 h 1835127"/>
            <a:gd name="connsiteX3" fmla="*/ 2522220 w 2604640"/>
            <a:gd name="connsiteY3" fmla="*/ 859767 h 1835127"/>
            <a:gd name="connsiteX4" fmla="*/ 2491740 w 2604640"/>
            <a:gd name="connsiteY4" fmla="*/ 105387 h 1835127"/>
            <a:gd name="connsiteX5" fmla="*/ 1790700 w 2604640"/>
            <a:gd name="connsiteY5" fmla="*/ 44427 h 1835127"/>
            <a:gd name="connsiteX6" fmla="*/ 1287780 w 2604640"/>
            <a:gd name="connsiteY6" fmla="*/ 440667 h 1835127"/>
            <a:gd name="connsiteX7" fmla="*/ 7620 w 2604640"/>
            <a:gd name="connsiteY7" fmla="*/ 440667 h 1835127"/>
            <a:gd name="connsiteX0" fmla="*/ 7620 w 2604640"/>
            <a:gd name="connsiteY0" fmla="*/ 466250 h 1860710"/>
            <a:gd name="connsiteX1" fmla="*/ 0 w 2604640"/>
            <a:gd name="connsiteY1" fmla="*/ 1853090 h 1860710"/>
            <a:gd name="connsiteX2" fmla="*/ 1714500 w 2604640"/>
            <a:gd name="connsiteY2" fmla="*/ 1860710 h 1860710"/>
            <a:gd name="connsiteX3" fmla="*/ 2522220 w 2604640"/>
            <a:gd name="connsiteY3" fmla="*/ 885350 h 1860710"/>
            <a:gd name="connsiteX4" fmla="*/ 2491740 w 2604640"/>
            <a:gd name="connsiteY4" fmla="*/ 130970 h 1860710"/>
            <a:gd name="connsiteX5" fmla="*/ 1790700 w 2604640"/>
            <a:gd name="connsiteY5" fmla="*/ 70010 h 1860710"/>
            <a:gd name="connsiteX6" fmla="*/ 1287780 w 2604640"/>
            <a:gd name="connsiteY6" fmla="*/ 466250 h 1860710"/>
            <a:gd name="connsiteX7" fmla="*/ 7620 w 2604640"/>
            <a:gd name="connsiteY7" fmla="*/ 466250 h 1860710"/>
            <a:gd name="connsiteX0" fmla="*/ 7620 w 2643531"/>
            <a:gd name="connsiteY0" fmla="*/ 466250 h 1860710"/>
            <a:gd name="connsiteX1" fmla="*/ 0 w 2643531"/>
            <a:gd name="connsiteY1" fmla="*/ 1853090 h 1860710"/>
            <a:gd name="connsiteX2" fmla="*/ 1714500 w 2643531"/>
            <a:gd name="connsiteY2" fmla="*/ 1860710 h 1860710"/>
            <a:gd name="connsiteX3" fmla="*/ 2522220 w 2643531"/>
            <a:gd name="connsiteY3" fmla="*/ 885350 h 1860710"/>
            <a:gd name="connsiteX4" fmla="*/ 2491740 w 2643531"/>
            <a:gd name="connsiteY4" fmla="*/ 130970 h 1860710"/>
            <a:gd name="connsiteX5" fmla="*/ 1790700 w 2643531"/>
            <a:gd name="connsiteY5" fmla="*/ 70010 h 1860710"/>
            <a:gd name="connsiteX6" fmla="*/ 1287780 w 2643531"/>
            <a:gd name="connsiteY6" fmla="*/ 466250 h 1860710"/>
            <a:gd name="connsiteX7" fmla="*/ 7620 w 2643531"/>
            <a:gd name="connsiteY7" fmla="*/ 466250 h 18607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643531" h="1860710">
              <a:moveTo>
                <a:pt x="7620" y="466250"/>
              </a:moveTo>
              <a:lnTo>
                <a:pt x="0" y="1853090"/>
              </a:lnTo>
              <a:lnTo>
                <a:pt x="1714500" y="1860710"/>
              </a:lnTo>
              <a:cubicBezTo>
                <a:pt x="1983740" y="1535590"/>
                <a:pt x="2301240" y="1166020"/>
                <a:pt x="2522220" y="885350"/>
              </a:cubicBezTo>
              <a:cubicBezTo>
                <a:pt x="2743200" y="604680"/>
                <a:pt x="2618740" y="273210"/>
                <a:pt x="2491740" y="130970"/>
              </a:cubicBezTo>
              <a:cubicBezTo>
                <a:pt x="2364740" y="-11270"/>
                <a:pt x="1938020" y="-46830"/>
                <a:pt x="1790700" y="70010"/>
              </a:cubicBezTo>
              <a:lnTo>
                <a:pt x="1287780" y="466250"/>
              </a:lnTo>
              <a:lnTo>
                <a:pt x="7620" y="466250"/>
              </a:lnTo>
              <a:close/>
            </a:path>
          </a:pathLst>
        </a:cu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ES" sz="1100"/>
        </a:p>
      </xdr:txBody>
    </xdr:sp>
    <xdr:clientData/>
  </xdr:twoCellAnchor>
  <xdr:twoCellAnchor>
    <xdr:from>
      <xdr:col>7</xdr:col>
      <xdr:colOff>114300</xdr:colOff>
      <xdr:row>8</xdr:row>
      <xdr:rowOff>137160</xdr:rowOff>
    </xdr:from>
    <xdr:to>
      <xdr:col>7</xdr:col>
      <xdr:colOff>312420</xdr:colOff>
      <xdr:row>9</xdr:row>
      <xdr:rowOff>160020</xdr:rowOff>
    </xdr:to>
    <xdr:sp macro="" textlink="">
      <xdr:nvSpPr>
        <xdr:cNvPr id="3" name="2 O"/>
        <xdr:cNvSpPr/>
      </xdr:nvSpPr>
      <xdr:spPr>
        <a:xfrm>
          <a:off x="5661660" y="1478280"/>
          <a:ext cx="198120" cy="190500"/>
        </a:xfrm>
        <a:prstGeom prst="flowChar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ES" sz="1100"/>
        </a:p>
      </xdr:txBody>
    </xdr:sp>
    <xdr:clientData/>
  </xdr:twoCellAnchor>
  <xdr:twoCellAnchor>
    <xdr:from>
      <xdr:col>7</xdr:col>
      <xdr:colOff>137160</xdr:colOff>
      <xdr:row>13</xdr:row>
      <xdr:rowOff>129540</xdr:rowOff>
    </xdr:from>
    <xdr:to>
      <xdr:col>7</xdr:col>
      <xdr:colOff>335280</xdr:colOff>
      <xdr:row>14</xdr:row>
      <xdr:rowOff>152400</xdr:rowOff>
    </xdr:to>
    <xdr:sp macro="" textlink="">
      <xdr:nvSpPr>
        <xdr:cNvPr id="4" name="3 O"/>
        <xdr:cNvSpPr/>
      </xdr:nvSpPr>
      <xdr:spPr>
        <a:xfrm>
          <a:off x="5684520" y="2308860"/>
          <a:ext cx="198120" cy="190500"/>
        </a:xfrm>
        <a:prstGeom prst="flowChar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ES" sz="1100"/>
        </a:p>
      </xdr:txBody>
    </xdr:sp>
    <xdr:clientData/>
  </xdr:twoCellAnchor>
  <xdr:twoCellAnchor>
    <xdr:from>
      <xdr:col>9</xdr:col>
      <xdr:colOff>259080</xdr:colOff>
      <xdr:row>6</xdr:row>
      <xdr:rowOff>30480</xdr:rowOff>
    </xdr:from>
    <xdr:to>
      <xdr:col>9</xdr:col>
      <xdr:colOff>731520</xdr:colOff>
      <xdr:row>8</xdr:row>
      <xdr:rowOff>160020</xdr:rowOff>
    </xdr:to>
    <xdr:sp macro="" textlink="">
      <xdr:nvSpPr>
        <xdr:cNvPr id="6" name="5 Elipse"/>
        <xdr:cNvSpPr/>
      </xdr:nvSpPr>
      <xdr:spPr>
        <a:xfrm>
          <a:off x="7391400" y="1036320"/>
          <a:ext cx="472440" cy="46482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ES" sz="1100"/>
        </a:p>
      </xdr:txBody>
    </xdr:sp>
    <xdr:clientData/>
  </xdr:twoCellAnchor>
  <xdr:twoCellAnchor>
    <xdr:from>
      <xdr:col>7</xdr:col>
      <xdr:colOff>754380</xdr:colOff>
      <xdr:row>8</xdr:row>
      <xdr:rowOff>137160</xdr:rowOff>
    </xdr:from>
    <xdr:to>
      <xdr:col>8</xdr:col>
      <xdr:colOff>160020</xdr:colOff>
      <xdr:row>9</xdr:row>
      <xdr:rowOff>160020</xdr:rowOff>
    </xdr:to>
    <xdr:sp macro="" textlink="">
      <xdr:nvSpPr>
        <xdr:cNvPr id="7" name="6 O"/>
        <xdr:cNvSpPr/>
      </xdr:nvSpPr>
      <xdr:spPr>
        <a:xfrm>
          <a:off x="6301740" y="1478280"/>
          <a:ext cx="198120" cy="190500"/>
        </a:xfrm>
        <a:prstGeom prst="flowChar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ES" sz="1100"/>
        </a:p>
      </xdr:txBody>
    </xdr:sp>
    <xdr:clientData/>
  </xdr:twoCellAnchor>
  <xdr:twoCellAnchor>
    <xdr:from>
      <xdr:col>7</xdr:col>
      <xdr:colOff>769620</xdr:colOff>
      <xdr:row>13</xdr:row>
      <xdr:rowOff>129540</xdr:rowOff>
    </xdr:from>
    <xdr:to>
      <xdr:col>8</xdr:col>
      <xdr:colOff>175260</xdr:colOff>
      <xdr:row>14</xdr:row>
      <xdr:rowOff>152400</xdr:rowOff>
    </xdr:to>
    <xdr:sp macro="" textlink="">
      <xdr:nvSpPr>
        <xdr:cNvPr id="8" name="7 O"/>
        <xdr:cNvSpPr/>
      </xdr:nvSpPr>
      <xdr:spPr>
        <a:xfrm>
          <a:off x="6316980" y="2308860"/>
          <a:ext cx="198120" cy="190500"/>
        </a:xfrm>
        <a:prstGeom prst="flowChar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ES" sz="1100"/>
        </a:p>
      </xdr:txBody>
    </xdr:sp>
    <xdr:clientData/>
  </xdr:twoCellAnchor>
  <xdr:twoCellAnchor>
    <xdr:from>
      <xdr:col>8</xdr:col>
      <xdr:colOff>441960</xdr:colOff>
      <xdr:row>11</xdr:row>
      <xdr:rowOff>15240</xdr:rowOff>
    </xdr:from>
    <xdr:to>
      <xdr:col>8</xdr:col>
      <xdr:colOff>640080</xdr:colOff>
      <xdr:row>12</xdr:row>
      <xdr:rowOff>38100</xdr:rowOff>
    </xdr:to>
    <xdr:sp macro="" textlink="">
      <xdr:nvSpPr>
        <xdr:cNvPr id="9" name="8 O"/>
        <xdr:cNvSpPr/>
      </xdr:nvSpPr>
      <xdr:spPr>
        <a:xfrm>
          <a:off x="6781800" y="1859280"/>
          <a:ext cx="198120" cy="190500"/>
        </a:xfrm>
        <a:prstGeom prst="flowChar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ES" sz="1100"/>
        </a:p>
      </xdr:txBody>
    </xdr:sp>
    <xdr:clientData/>
  </xdr:twoCellAnchor>
  <xdr:twoCellAnchor>
    <xdr:from>
      <xdr:col>9</xdr:col>
      <xdr:colOff>502920</xdr:colOff>
      <xdr:row>7</xdr:row>
      <xdr:rowOff>83820</xdr:rowOff>
    </xdr:from>
    <xdr:to>
      <xdr:col>10</xdr:col>
      <xdr:colOff>610440</xdr:colOff>
      <xdr:row>7</xdr:row>
      <xdr:rowOff>83820</xdr:rowOff>
    </xdr:to>
    <xdr:cxnSp macro="">
      <xdr:nvCxnSpPr>
        <xdr:cNvPr id="11" name="10 Conector recto de flecha"/>
        <xdr:cNvCxnSpPr/>
      </xdr:nvCxnSpPr>
      <xdr:spPr>
        <a:xfrm flipV="1">
          <a:off x="7635240" y="1257300"/>
          <a:ext cx="900000" cy="0"/>
        </a:xfrm>
        <a:prstGeom prst="straightConnector1">
          <a:avLst/>
        </a:prstGeom>
        <a:ln>
          <a:headEnd type="none" w="lg" len="lg"/>
          <a:tailEnd type="triangle" w="lg" len="lg"/>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495300</xdr:colOff>
      <xdr:row>3</xdr:row>
      <xdr:rowOff>53340</xdr:rowOff>
    </xdr:from>
    <xdr:to>
      <xdr:col>9</xdr:col>
      <xdr:colOff>495300</xdr:colOff>
      <xdr:row>7</xdr:row>
      <xdr:rowOff>102780</xdr:rowOff>
    </xdr:to>
    <xdr:cxnSp macro="">
      <xdr:nvCxnSpPr>
        <xdr:cNvPr id="12" name="11 Conector recto de flecha"/>
        <xdr:cNvCxnSpPr/>
      </xdr:nvCxnSpPr>
      <xdr:spPr>
        <a:xfrm flipH="1" flipV="1">
          <a:off x="7627620" y="556260"/>
          <a:ext cx="0" cy="720000"/>
        </a:xfrm>
        <a:prstGeom prst="straightConnector1">
          <a:avLst/>
        </a:prstGeom>
        <a:ln>
          <a:headEnd type="none" w="lg" len="lg"/>
          <a:tailEnd type="triangle" w="lg" len="lg"/>
        </a:ln>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716280</xdr:colOff>
      <xdr:row>3</xdr:row>
      <xdr:rowOff>114300</xdr:rowOff>
    </xdr:from>
    <xdr:to>
      <xdr:col>10</xdr:col>
      <xdr:colOff>434340</xdr:colOff>
      <xdr:row>11</xdr:row>
      <xdr:rowOff>76200</xdr:rowOff>
    </xdr:to>
    <xdr:sp macro="" textlink="">
      <xdr:nvSpPr>
        <xdr:cNvPr id="16" name="15 Arco"/>
        <xdr:cNvSpPr/>
      </xdr:nvSpPr>
      <xdr:spPr>
        <a:xfrm>
          <a:off x="7056120" y="617220"/>
          <a:ext cx="1303020" cy="1303020"/>
        </a:xfrm>
        <a:prstGeom prst="arc">
          <a:avLst>
            <a:gd name="adj1" fmla="val 17057613"/>
            <a:gd name="adj2" fmla="val 20389761"/>
          </a:avLst>
        </a:prstGeom>
        <a:ln>
          <a:headEnd type="triangle" w="lg" len="lg"/>
          <a:tailEnd type="none"/>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s-ES" sz="1100"/>
        </a:p>
      </xdr:txBody>
    </xdr:sp>
    <xdr:clientData/>
  </xdr:twoCellAnchor>
  <xdr:twoCellAnchor>
    <xdr:from>
      <xdr:col>10</xdr:col>
      <xdr:colOff>243840</xdr:colOff>
      <xdr:row>3</xdr:row>
      <xdr:rowOff>76200</xdr:rowOff>
    </xdr:from>
    <xdr:to>
      <xdr:col>10</xdr:col>
      <xdr:colOff>716280</xdr:colOff>
      <xdr:row>5</xdr:row>
      <xdr:rowOff>30480</xdr:rowOff>
    </xdr:to>
    <xdr:sp macro="" textlink="">
      <xdr:nvSpPr>
        <xdr:cNvPr id="17" name="16 CuadroTexto"/>
        <xdr:cNvSpPr txBox="1"/>
      </xdr:nvSpPr>
      <xdr:spPr>
        <a:xfrm>
          <a:off x="8168640" y="579120"/>
          <a:ext cx="4724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s-ES" sz="1200" b="1">
              <a:latin typeface="Arial" panose="020B0604020202020204" pitchFamily="34" charset="0"/>
              <a:cs typeface="Arial" panose="020B0604020202020204" pitchFamily="34" charset="0"/>
            </a:rPr>
            <a:t>Mz</a:t>
          </a:r>
        </a:p>
      </xdr:txBody>
    </xdr:sp>
    <xdr:clientData/>
  </xdr:twoCellAnchor>
  <xdr:twoCellAnchor>
    <xdr:from>
      <xdr:col>10</xdr:col>
      <xdr:colOff>502920</xdr:colOff>
      <xdr:row>7</xdr:row>
      <xdr:rowOff>114300</xdr:rowOff>
    </xdr:from>
    <xdr:to>
      <xdr:col>11</xdr:col>
      <xdr:colOff>182880</xdr:colOff>
      <xdr:row>9</xdr:row>
      <xdr:rowOff>68580</xdr:rowOff>
    </xdr:to>
    <xdr:sp macro="" textlink="">
      <xdr:nvSpPr>
        <xdr:cNvPr id="18" name="17 CuadroTexto"/>
        <xdr:cNvSpPr txBox="1"/>
      </xdr:nvSpPr>
      <xdr:spPr>
        <a:xfrm>
          <a:off x="8427720" y="1287780"/>
          <a:ext cx="4724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s-ES" sz="1200" b="1">
              <a:latin typeface="Arial" panose="020B0604020202020204" pitchFamily="34" charset="0"/>
              <a:cs typeface="Arial" panose="020B0604020202020204" pitchFamily="34" charset="0"/>
            </a:rPr>
            <a:t>Fx</a:t>
          </a:r>
        </a:p>
      </xdr:txBody>
    </xdr:sp>
    <xdr:clientData/>
  </xdr:twoCellAnchor>
  <xdr:twoCellAnchor>
    <xdr:from>
      <xdr:col>9</xdr:col>
      <xdr:colOff>190500</xdr:colOff>
      <xdr:row>2</xdr:row>
      <xdr:rowOff>53340</xdr:rowOff>
    </xdr:from>
    <xdr:to>
      <xdr:col>9</xdr:col>
      <xdr:colOff>662940</xdr:colOff>
      <xdr:row>4</xdr:row>
      <xdr:rowOff>7620</xdr:rowOff>
    </xdr:to>
    <xdr:sp macro="" textlink="">
      <xdr:nvSpPr>
        <xdr:cNvPr id="19" name="18 CuadroTexto"/>
        <xdr:cNvSpPr txBox="1"/>
      </xdr:nvSpPr>
      <xdr:spPr>
        <a:xfrm>
          <a:off x="7322820" y="388620"/>
          <a:ext cx="4724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s-ES" sz="1200" b="1">
              <a:latin typeface="Arial" panose="020B0604020202020204" pitchFamily="34" charset="0"/>
              <a:cs typeface="Arial" panose="020B0604020202020204" pitchFamily="34" charset="0"/>
            </a:rPr>
            <a:t>Fy</a:t>
          </a:r>
        </a:p>
      </xdr:txBody>
    </xdr:sp>
    <xdr:clientData/>
  </xdr:twoCellAnchor>
  <xdr:twoCellAnchor>
    <xdr:from>
      <xdr:col>9</xdr:col>
      <xdr:colOff>350520</xdr:colOff>
      <xdr:row>6</xdr:row>
      <xdr:rowOff>152400</xdr:rowOff>
    </xdr:from>
    <xdr:to>
      <xdr:col>10</xdr:col>
      <xdr:colOff>30480</xdr:colOff>
      <xdr:row>8</xdr:row>
      <xdr:rowOff>106680</xdr:rowOff>
    </xdr:to>
    <xdr:sp macro="" textlink="">
      <xdr:nvSpPr>
        <xdr:cNvPr id="20" name="19 CuadroTexto"/>
        <xdr:cNvSpPr txBox="1"/>
      </xdr:nvSpPr>
      <xdr:spPr>
        <a:xfrm>
          <a:off x="7482840" y="1158240"/>
          <a:ext cx="4724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s-ES" sz="1200" b="0">
              <a:latin typeface="Arial" panose="020B0604020202020204" pitchFamily="34" charset="0"/>
              <a:cs typeface="Arial" panose="020B0604020202020204" pitchFamily="34" charset="0"/>
            </a:rPr>
            <a:t>A</a:t>
          </a:r>
        </a:p>
      </xdr:txBody>
    </xdr:sp>
    <xdr:clientData/>
  </xdr:twoCellAnchor>
  <xdr:twoCellAnchor>
    <xdr:from>
      <xdr:col>6</xdr:col>
      <xdr:colOff>617220</xdr:colOff>
      <xdr:row>15</xdr:row>
      <xdr:rowOff>121920</xdr:rowOff>
    </xdr:from>
    <xdr:to>
      <xdr:col>7</xdr:col>
      <xdr:colOff>297180</xdr:colOff>
      <xdr:row>17</xdr:row>
      <xdr:rowOff>76200</xdr:rowOff>
    </xdr:to>
    <xdr:sp macro="" textlink="">
      <xdr:nvSpPr>
        <xdr:cNvPr id="21" name="20 CuadroTexto"/>
        <xdr:cNvSpPr txBox="1"/>
      </xdr:nvSpPr>
      <xdr:spPr>
        <a:xfrm>
          <a:off x="5372100" y="2636520"/>
          <a:ext cx="4724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s-ES" sz="1200" b="0">
              <a:latin typeface="Arial" panose="020B0604020202020204" pitchFamily="34" charset="0"/>
              <a:cs typeface="Arial" panose="020B0604020202020204" pitchFamily="34" charset="0"/>
            </a:rPr>
            <a:t>O</a:t>
          </a:r>
        </a:p>
      </xdr:txBody>
    </xdr:sp>
    <xdr:clientData/>
  </xdr:twoCellAnchor>
  <xdr:twoCellAnchor>
    <xdr:from>
      <xdr:col>6</xdr:col>
      <xdr:colOff>762000</xdr:colOff>
      <xdr:row>4</xdr:row>
      <xdr:rowOff>144780</xdr:rowOff>
    </xdr:from>
    <xdr:to>
      <xdr:col>6</xdr:col>
      <xdr:colOff>762000</xdr:colOff>
      <xdr:row>7</xdr:row>
      <xdr:rowOff>1860</xdr:rowOff>
    </xdr:to>
    <xdr:cxnSp macro="">
      <xdr:nvCxnSpPr>
        <xdr:cNvPr id="22" name="21 Conector recto de flecha"/>
        <xdr:cNvCxnSpPr/>
      </xdr:nvCxnSpPr>
      <xdr:spPr>
        <a:xfrm flipH="1" flipV="1">
          <a:off x="5516880" y="815340"/>
          <a:ext cx="0" cy="360000"/>
        </a:xfrm>
        <a:prstGeom prst="straightConnector1">
          <a:avLst/>
        </a:prstGeom>
        <a:ln>
          <a:headEnd type="none" w="med" len="med"/>
          <a:tailEnd type="arrow"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205740</xdr:colOff>
      <xdr:row>15</xdr:row>
      <xdr:rowOff>160020</xdr:rowOff>
    </xdr:from>
    <xdr:to>
      <xdr:col>9</xdr:col>
      <xdr:colOff>565740</xdr:colOff>
      <xdr:row>15</xdr:row>
      <xdr:rowOff>160020</xdr:rowOff>
    </xdr:to>
    <xdr:cxnSp macro="">
      <xdr:nvCxnSpPr>
        <xdr:cNvPr id="23" name="22 Conector recto de flecha"/>
        <xdr:cNvCxnSpPr/>
      </xdr:nvCxnSpPr>
      <xdr:spPr>
        <a:xfrm flipV="1">
          <a:off x="7338060" y="2674620"/>
          <a:ext cx="360000" cy="0"/>
        </a:xfrm>
        <a:prstGeom prst="straightConnector1">
          <a:avLst/>
        </a:prstGeom>
        <a:ln>
          <a:headEnd type="none" w="med" len="med"/>
          <a:tailEnd type="arrow"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563880</xdr:colOff>
      <xdr:row>15</xdr:row>
      <xdr:rowOff>45720</xdr:rowOff>
    </xdr:from>
    <xdr:to>
      <xdr:col>10</xdr:col>
      <xdr:colOff>243840</xdr:colOff>
      <xdr:row>17</xdr:row>
      <xdr:rowOff>0</xdr:rowOff>
    </xdr:to>
    <xdr:sp macro="" textlink="">
      <xdr:nvSpPr>
        <xdr:cNvPr id="24" name="23 CuadroTexto"/>
        <xdr:cNvSpPr txBox="1"/>
      </xdr:nvSpPr>
      <xdr:spPr>
        <a:xfrm>
          <a:off x="7696200" y="2560320"/>
          <a:ext cx="4724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s-ES" sz="1200" b="0">
              <a:latin typeface="Arial" panose="020B0604020202020204" pitchFamily="34" charset="0"/>
              <a:cs typeface="Arial" panose="020B0604020202020204" pitchFamily="34" charset="0"/>
            </a:rPr>
            <a:t>X</a:t>
          </a:r>
        </a:p>
      </xdr:txBody>
    </xdr:sp>
    <xdr:clientData/>
  </xdr:twoCellAnchor>
  <xdr:twoCellAnchor>
    <xdr:from>
      <xdr:col>6</xdr:col>
      <xdr:colOff>678180</xdr:colOff>
      <xdr:row>3</xdr:row>
      <xdr:rowOff>68580</xdr:rowOff>
    </xdr:from>
    <xdr:to>
      <xdr:col>7</xdr:col>
      <xdr:colOff>358140</xdr:colOff>
      <xdr:row>5</xdr:row>
      <xdr:rowOff>22860</xdr:rowOff>
    </xdr:to>
    <xdr:sp macro="" textlink="">
      <xdr:nvSpPr>
        <xdr:cNvPr id="25" name="24 CuadroTexto"/>
        <xdr:cNvSpPr txBox="1"/>
      </xdr:nvSpPr>
      <xdr:spPr>
        <a:xfrm>
          <a:off x="5433060" y="571500"/>
          <a:ext cx="4724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s-ES" sz="1200" b="0">
              <a:latin typeface="Arial" panose="020B0604020202020204" pitchFamily="34" charset="0"/>
              <a:cs typeface="Arial" panose="020B0604020202020204" pitchFamily="34" charset="0"/>
            </a:rPr>
            <a:t>Y</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D29"/>
  <sheetViews>
    <sheetView showGridLines="0" workbookViewId="0">
      <selection activeCell="B1" sqref="B1"/>
    </sheetView>
  </sheetViews>
  <sheetFormatPr baseColWidth="10" defaultColWidth="10.88671875" defaultRowHeight="13.2" x14ac:dyDescent="0.25"/>
  <cols>
    <col min="1" max="1" width="15.6640625" style="5" customWidth="1"/>
    <col min="2" max="3" width="12.6640625" style="5" customWidth="1"/>
    <col min="4" max="4" width="60.6640625" style="6" customWidth="1"/>
    <col min="5" max="16384" width="10.88671875" style="7"/>
  </cols>
  <sheetData>
    <row r="2" spans="1:4" s="2" customFormat="1" x14ac:dyDescent="0.25">
      <c r="A2" s="1" t="s">
        <v>0</v>
      </c>
      <c r="B2" s="118" t="s">
        <v>49</v>
      </c>
      <c r="C2" s="118"/>
      <c r="D2" s="118"/>
    </row>
    <row r="3" spans="1:4" s="2" customFormat="1" x14ac:dyDescent="0.25">
      <c r="A3" s="1" t="s">
        <v>1</v>
      </c>
      <c r="B3" s="119" t="s">
        <v>15</v>
      </c>
      <c r="C3" s="120"/>
      <c r="D3" s="120"/>
    </row>
    <row r="4" spans="1:4" s="2" customFormat="1" ht="12.75" customHeight="1" x14ac:dyDescent="0.25">
      <c r="A4" s="1" t="s">
        <v>2</v>
      </c>
      <c r="B4" s="121" t="s">
        <v>63</v>
      </c>
      <c r="C4" s="120"/>
      <c r="D4" s="120"/>
    </row>
    <row r="5" spans="1:4" s="2" customFormat="1" ht="26.4" customHeight="1" x14ac:dyDescent="0.25">
      <c r="A5" s="1" t="s">
        <v>3</v>
      </c>
      <c r="B5" s="121" t="s">
        <v>57</v>
      </c>
      <c r="C5" s="120"/>
      <c r="D5" s="120"/>
    </row>
    <row r="6" spans="1:4" s="3" customFormat="1" ht="79.2" customHeight="1" x14ac:dyDescent="0.25">
      <c r="A6" s="1" t="s">
        <v>4</v>
      </c>
      <c r="B6" s="112" t="s">
        <v>65</v>
      </c>
      <c r="C6" s="113"/>
      <c r="D6" s="113"/>
    </row>
    <row r="7" spans="1:4" s="3" customFormat="1" x14ac:dyDescent="0.25">
      <c r="A7" s="1" t="s">
        <v>5</v>
      </c>
      <c r="B7" s="112" t="s">
        <v>6</v>
      </c>
      <c r="C7" s="113"/>
      <c r="D7" s="113"/>
    </row>
    <row r="8" spans="1:4" s="3" customFormat="1" x14ac:dyDescent="0.25">
      <c r="A8" s="1" t="s">
        <v>7</v>
      </c>
      <c r="B8" s="112" t="s">
        <v>8</v>
      </c>
      <c r="C8" s="113"/>
      <c r="D8" s="113"/>
    </row>
    <row r="9" spans="1:4" s="3" customFormat="1" ht="26.4" customHeight="1" x14ac:dyDescent="0.25">
      <c r="A9" s="1" t="s">
        <v>58</v>
      </c>
      <c r="B9" s="112" t="s">
        <v>59</v>
      </c>
      <c r="C9" s="112"/>
      <c r="D9" s="112"/>
    </row>
    <row r="10" spans="1:4" s="3" customFormat="1" x14ac:dyDescent="0.25">
      <c r="A10" s="106"/>
      <c r="B10" s="107"/>
      <c r="C10" s="108"/>
      <c r="D10" s="108"/>
    </row>
    <row r="12" spans="1:4" x14ac:dyDescent="0.25">
      <c r="A12" s="4" t="s">
        <v>9</v>
      </c>
    </row>
    <row r="14" spans="1:4" x14ac:dyDescent="0.25">
      <c r="A14" s="8" t="s">
        <v>10</v>
      </c>
    </row>
    <row r="16" spans="1:4" s="11" customFormat="1" x14ac:dyDescent="0.25">
      <c r="A16" s="9" t="s">
        <v>11</v>
      </c>
      <c r="B16" s="9" t="s">
        <v>12</v>
      </c>
      <c r="C16" s="9" t="s">
        <v>13</v>
      </c>
      <c r="D16" s="10" t="s">
        <v>14</v>
      </c>
    </row>
    <row r="17" spans="1:4" x14ac:dyDescent="0.25">
      <c r="A17" s="14" t="s">
        <v>15</v>
      </c>
      <c r="B17" s="14" t="s">
        <v>50</v>
      </c>
      <c r="C17" s="14" t="s">
        <v>60</v>
      </c>
      <c r="D17" s="15" t="s">
        <v>16</v>
      </c>
    </row>
    <row r="18" spans="1:4" x14ac:dyDescent="0.25">
      <c r="A18" s="14"/>
      <c r="B18" s="14"/>
      <c r="C18" s="14"/>
      <c r="D18" s="15"/>
    </row>
    <row r="19" spans="1:4" x14ac:dyDescent="0.25">
      <c r="A19" s="12"/>
      <c r="B19" s="12"/>
      <c r="C19" s="12"/>
      <c r="D19" s="13"/>
    </row>
    <row r="21" spans="1:4" x14ac:dyDescent="0.25">
      <c r="A21" s="8" t="s">
        <v>18</v>
      </c>
    </row>
    <row r="23" spans="1:4" x14ac:dyDescent="0.25">
      <c r="A23" s="10" t="s">
        <v>19</v>
      </c>
      <c r="B23" s="114" t="s">
        <v>70</v>
      </c>
      <c r="C23" s="115"/>
      <c r="D23" s="115"/>
    </row>
    <row r="24" spans="1:4" x14ac:dyDescent="0.25">
      <c r="A24" s="10" t="s">
        <v>20</v>
      </c>
      <c r="B24" s="114" t="s">
        <v>17</v>
      </c>
      <c r="C24" s="115"/>
      <c r="D24" s="115"/>
    </row>
    <row r="25" spans="1:4" x14ac:dyDescent="0.25">
      <c r="A25" s="10" t="s">
        <v>12</v>
      </c>
      <c r="B25" s="114" t="s">
        <v>50</v>
      </c>
      <c r="C25" s="115"/>
      <c r="D25" s="115"/>
    </row>
    <row r="26" spans="1:4" ht="26.4" customHeight="1" x14ac:dyDescent="0.25">
      <c r="A26" s="104" t="s">
        <v>21</v>
      </c>
      <c r="B26" s="116" t="s">
        <v>71</v>
      </c>
      <c r="C26" s="112"/>
      <c r="D26" s="117"/>
    </row>
    <row r="27" spans="1:4" x14ac:dyDescent="0.25">
      <c r="B27" s="7"/>
    </row>
    <row r="28" spans="1:4" x14ac:dyDescent="0.25">
      <c r="B28" s="7"/>
    </row>
    <row r="29" spans="1:4" x14ac:dyDescent="0.25">
      <c r="B29" s="7"/>
    </row>
  </sheetData>
  <mergeCells count="12">
    <mergeCell ref="B7:D7"/>
    <mergeCell ref="B2:D2"/>
    <mergeCell ref="B3:D3"/>
    <mergeCell ref="B4:D4"/>
    <mergeCell ref="B5:D5"/>
    <mergeCell ref="B6:D6"/>
    <mergeCell ref="B8:D8"/>
    <mergeCell ref="B23:D23"/>
    <mergeCell ref="B24:D24"/>
    <mergeCell ref="B25:D25"/>
    <mergeCell ref="B26:D26"/>
    <mergeCell ref="B9:D9"/>
  </mergeCells>
  <pageMargins left="0.70866141732283472" right="0.70866141732283472" top="0.74803149606299213" bottom="0.74803149606299213" header="0.31496062992125984" footer="0.31496062992125984"/>
  <pageSetup paperSize="9" scale="87" orientation="portrait" r:id="rId1"/>
  <ignoredErrors>
    <ignoredError sqref="B3 A1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8"/>
  <sheetViews>
    <sheetView showGridLines="0" tabSelected="1" zoomScaleNormal="100" workbookViewId="0">
      <selection activeCell="O14" sqref="O14"/>
    </sheetView>
  </sheetViews>
  <sheetFormatPr baseColWidth="10" defaultRowHeight="13.2" x14ac:dyDescent="0.25"/>
  <cols>
    <col min="1" max="1" width="8.77734375" style="16" customWidth="1"/>
    <col min="2" max="4" width="10.77734375" style="16" customWidth="1"/>
    <col min="5" max="8" width="8.77734375" style="16" hidden="1" customWidth="1"/>
    <col min="9" max="9" width="10.77734375" style="16" hidden="1" customWidth="1"/>
    <col min="10" max="12" width="8.77734375" style="16" hidden="1" customWidth="1"/>
    <col min="13" max="13" width="10.77734375" style="46" customWidth="1"/>
    <col min="14" max="31" width="8.77734375" style="16" customWidth="1"/>
    <col min="32" max="16384" width="11.5546875" style="16"/>
  </cols>
  <sheetData>
    <row r="1" spans="1:25" ht="13.2" customHeight="1" x14ac:dyDescent="0.25">
      <c r="X1" s="105"/>
    </row>
    <row r="2" spans="1:25" ht="17.399999999999999" x14ac:dyDescent="0.25">
      <c r="D2" s="79" t="s">
        <v>49</v>
      </c>
      <c r="X2" s="109"/>
    </row>
    <row r="3" spans="1:25" ht="15" x14ac:dyDescent="0.25">
      <c r="D3" s="78" t="s">
        <v>64</v>
      </c>
      <c r="X3" s="109" t="s">
        <v>61</v>
      </c>
    </row>
    <row r="4" spans="1:25" ht="13.2" customHeight="1" x14ac:dyDescent="0.25">
      <c r="A4" s="87"/>
      <c r="B4" s="88"/>
      <c r="C4" s="88"/>
      <c r="D4" s="88"/>
      <c r="E4" s="88"/>
      <c r="F4" s="88"/>
      <c r="G4" s="88"/>
      <c r="H4" s="88"/>
      <c r="I4" s="88"/>
      <c r="J4" s="88"/>
      <c r="K4" s="88"/>
      <c r="L4" s="88"/>
      <c r="M4" s="88"/>
      <c r="N4" s="88"/>
      <c r="O4" s="88"/>
      <c r="P4" s="88"/>
      <c r="Q4" s="89"/>
      <c r="R4" s="88"/>
      <c r="S4" s="88"/>
      <c r="T4" s="88"/>
      <c r="U4" s="88"/>
      <c r="V4" s="88"/>
      <c r="W4" s="88"/>
      <c r="X4" s="110" t="s">
        <v>62</v>
      </c>
      <c r="Y4" s="88"/>
    </row>
    <row r="5" spans="1:25" ht="13.2" customHeight="1" x14ac:dyDescent="0.25">
      <c r="A5" s="90"/>
      <c r="B5" s="46"/>
      <c r="C5" s="46"/>
      <c r="D5" s="46"/>
      <c r="E5" s="46"/>
      <c r="F5" s="46"/>
      <c r="G5" s="46"/>
      <c r="H5" s="46"/>
      <c r="I5" s="46"/>
      <c r="J5" s="46"/>
      <c r="K5" s="46"/>
      <c r="L5" s="46"/>
      <c r="N5" s="46"/>
      <c r="O5" s="46"/>
      <c r="P5" s="46"/>
      <c r="Q5" s="91"/>
      <c r="R5" s="46"/>
      <c r="S5" s="46"/>
      <c r="T5" s="46"/>
      <c r="U5" s="46"/>
      <c r="V5" s="46"/>
      <c r="W5" s="46"/>
      <c r="X5" s="111"/>
      <c r="Y5" s="46"/>
    </row>
    <row r="6" spans="1:25" x14ac:dyDescent="0.25">
      <c r="A6" s="86" t="s">
        <v>48</v>
      </c>
      <c r="B6" s="82" t="str">
        <f>cover!B23</f>
        <v>Test case 1</v>
      </c>
      <c r="C6" s="46"/>
      <c r="D6" s="46"/>
      <c r="E6" s="46"/>
      <c r="F6" s="46"/>
      <c r="G6" s="46"/>
      <c r="H6" s="46"/>
      <c r="I6" s="46"/>
      <c r="J6" s="46"/>
      <c r="K6" s="46"/>
      <c r="L6" s="46"/>
      <c r="N6" s="46"/>
      <c r="O6" s="46"/>
      <c r="P6" s="46"/>
      <c r="Q6" s="91"/>
      <c r="R6" s="92"/>
      <c r="S6" s="46"/>
      <c r="T6" s="46"/>
      <c r="U6" s="46"/>
      <c r="V6" s="46"/>
      <c r="W6" s="46"/>
      <c r="X6"/>
      <c r="Y6" s="46"/>
    </row>
    <row r="7" spans="1:25" x14ac:dyDescent="0.25">
      <c r="B7" s="92" t="str">
        <f>cover!B26</f>
        <v>Test case considering non-symmetric rivets distribution and different rivets stiffnesses, for comparison with UNIONES or BULONES analysis codes</v>
      </c>
      <c r="C7" s="46"/>
      <c r="D7" s="46"/>
      <c r="E7" s="46"/>
      <c r="F7" s="46"/>
      <c r="G7" s="46"/>
      <c r="H7" s="46"/>
      <c r="I7" s="46"/>
      <c r="J7" s="46"/>
      <c r="K7" s="46"/>
      <c r="L7" s="46"/>
      <c r="N7" s="46"/>
      <c r="O7" s="46"/>
      <c r="P7" s="46"/>
      <c r="Q7" s="91"/>
      <c r="R7" s="92"/>
      <c r="S7" s="46"/>
      <c r="T7" s="46"/>
      <c r="U7" s="46"/>
      <c r="V7" s="46"/>
      <c r="W7" s="46"/>
      <c r="X7"/>
      <c r="Y7" s="46"/>
    </row>
    <row r="8" spans="1:25" ht="13.8" thickBot="1" x14ac:dyDescent="0.3">
      <c r="X8"/>
    </row>
    <row r="9" spans="1:25" ht="13.8" thickBot="1" x14ac:dyDescent="0.3">
      <c r="B9" s="126" t="s">
        <v>36</v>
      </c>
      <c r="C9" s="127"/>
      <c r="E9" s="47"/>
      <c r="J9" s="47"/>
      <c r="K9" s="47"/>
      <c r="L9" s="47"/>
      <c r="M9" s="35"/>
      <c r="N9" s="128" t="s">
        <v>37</v>
      </c>
      <c r="O9" s="129"/>
      <c r="P9" s="129"/>
      <c r="Q9" s="129"/>
      <c r="R9" s="129"/>
      <c r="S9" s="129"/>
      <c r="T9" s="129"/>
      <c r="U9" s="129"/>
      <c r="V9" s="129"/>
      <c r="W9" s="130"/>
      <c r="X9"/>
    </row>
    <row r="10" spans="1:25" ht="16.2" thickBot="1" x14ac:dyDescent="0.3">
      <c r="B10" s="31" t="s">
        <v>66</v>
      </c>
      <c r="C10" s="32" t="s">
        <v>67</v>
      </c>
      <c r="E10" s="68"/>
      <c r="J10" s="68"/>
      <c r="K10" s="68"/>
      <c r="L10" s="68"/>
      <c r="M10" s="34" t="s">
        <v>38</v>
      </c>
      <c r="N10" s="54" t="s">
        <v>68</v>
      </c>
      <c r="O10" s="80" t="s">
        <v>69</v>
      </c>
      <c r="P10" s="80"/>
      <c r="Q10" s="80"/>
      <c r="R10" s="80"/>
      <c r="S10" s="80"/>
      <c r="T10" s="80"/>
      <c r="U10" s="80"/>
      <c r="V10" s="80"/>
      <c r="W10" s="81"/>
    </row>
    <row r="11" spans="1:25" ht="13.8" thickBot="1" x14ac:dyDescent="0.3">
      <c r="B11" s="39">
        <v>50</v>
      </c>
      <c r="C11" s="40">
        <v>60</v>
      </c>
      <c r="E11" s="68"/>
      <c r="J11" s="68"/>
      <c r="K11" s="68"/>
      <c r="L11" s="68"/>
      <c r="M11" s="34" t="s">
        <v>28</v>
      </c>
      <c r="N11" s="21">
        <v>1000</v>
      </c>
      <c r="O11" s="17">
        <v>2000</v>
      </c>
      <c r="P11" s="17"/>
      <c r="Q11" s="17"/>
      <c r="R11" s="77"/>
      <c r="S11" s="17"/>
      <c r="T11" s="17"/>
      <c r="U11" s="17"/>
      <c r="V11" s="17"/>
      <c r="W11" s="22"/>
    </row>
    <row r="12" spans="1:25" ht="13.8" thickBot="1" x14ac:dyDescent="0.3">
      <c r="E12" s="68"/>
      <c r="J12" s="68"/>
      <c r="K12" s="68"/>
      <c r="L12" s="68"/>
      <c r="M12" s="34" t="s">
        <v>27</v>
      </c>
      <c r="N12" s="21">
        <v>3000</v>
      </c>
      <c r="O12" s="17">
        <v>-1000</v>
      </c>
      <c r="P12" s="17"/>
      <c r="Q12" s="17"/>
      <c r="R12" s="77"/>
      <c r="S12" s="17"/>
      <c r="T12" s="17"/>
      <c r="U12" s="17"/>
      <c r="V12" s="17"/>
      <c r="W12" s="22"/>
    </row>
    <row r="13" spans="1:25" ht="13.8" thickBot="1" x14ac:dyDescent="0.3">
      <c r="B13" s="132" t="s">
        <v>42</v>
      </c>
      <c r="C13" s="133"/>
      <c r="D13" s="134"/>
      <c r="E13" s="68"/>
      <c r="J13" s="68"/>
      <c r="K13" s="68"/>
      <c r="L13" s="68"/>
      <c r="M13" s="34" t="s">
        <v>26</v>
      </c>
      <c r="N13" s="59">
        <v>0</v>
      </c>
      <c r="O13" s="42">
        <v>60000</v>
      </c>
      <c r="P13" s="42"/>
      <c r="Q13" s="42"/>
      <c r="R13" s="42"/>
      <c r="S13" s="42"/>
      <c r="T13" s="42"/>
      <c r="U13" s="42"/>
      <c r="V13" s="42"/>
      <c r="W13" s="43"/>
    </row>
    <row r="14" spans="1:25" ht="13.8" thickBot="1" x14ac:dyDescent="0.3">
      <c r="B14" s="31" t="s">
        <v>39</v>
      </c>
      <c r="C14" s="33" t="s">
        <v>40</v>
      </c>
      <c r="D14" s="32" t="s">
        <v>46</v>
      </c>
      <c r="E14" s="68"/>
      <c r="J14" s="76" t="s">
        <v>47</v>
      </c>
      <c r="K14" s="68"/>
      <c r="L14" s="68"/>
      <c r="M14" s="34" t="s">
        <v>41</v>
      </c>
      <c r="N14" s="60">
        <f>N13+($B$11-$B$15)*N12-($C$11-$C$15)*N11</f>
        <v>66363.636363636353</v>
      </c>
      <c r="O14" s="44">
        <f t="shared" ref="O14:W14" si="0">O13+($B$11-$B$15)*O12-($C$11-$C$15)*O11</f>
        <v>-36363.63636363636</v>
      </c>
      <c r="P14" s="44">
        <f t="shared" si="0"/>
        <v>0</v>
      </c>
      <c r="Q14" s="44">
        <f t="shared" si="0"/>
        <v>0</v>
      </c>
      <c r="R14" s="44">
        <f t="shared" si="0"/>
        <v>0</v>
      </c>
      <c r="S14" s="44">
        <f t="shared" si="0"/>
        <v>0</v>
      </c>
      <c r="T14" s="44">
        <f t="shared" si="0"/>
        <v>0</v>
      </c>
      <c r="U14" s="44">
        <f t="shared" si="0"/>
        <v>0</v>
      </c>
      <c r="V14" s="44">
        <f t="shared" si="0"/>
        <v>0</v>
      </c>
      <c r="W14" s="45">
        <f t="shared" si="0"/>
        <v>0</v>
      </c>
    </row>
    <row r="15" spans="1:25" ht="13.8" thickBot="1" x14ac:dyDescent="0.3">
      <c r="B15" s="41">
        <f>SUM(E19:E10005)/$D15</f>
        <v>17.272727272727273</v>
      </c>
      <c r="C15" s="67">
        <f>SUM(F19:F10005)/$D15</f>
        <v>28.181818181818183</v>
      </c>
      <c r="D15" s="94">
        <f>SUM($D19:$D10005)</f>
        <v>5.5</v>
      </c>
      <c r="E15" s="68"/>
      <c r="F15" s="68"/>
      <c r="G15" s="68"/>
      <c r="H15" s="68"/>
      <c r="I15" s="68"/>
      <c r="J15" s="93">
        <f>SUM(J19:J10005)</f>
        <v>1890.909090909091</v>
      </c>
      <c r="K15" s="68"/>
      <c r="L15" s="68"/>
      <c r="M15" s="34"/>
      <c r="N15"/>
      <c r="O15"/>
      <c r="P15"/>
      <c r="Q15"/>
      <c r="R15"/>
      <c r="S15"/>
      <c r="T15"/>
      <c r="U15"/>
      <c r="V15"/>
      <c r="W15"/>
    </row>
    <row r="16" spans="1:25" ht="13.8" thickBot="1" x14ac:dyDescent="0.3"/>
    <row r="17" spans="1:25" s="19" customFormat="1" x14ac:dyDescent="0.25">
      <c r="A17" s="20" t="s">
        <v>22</v>
      </c>
      <c r="B17" s="125" t="s">
        <v>31</v>
      </c>
      <c r="C17" s="125"/>
      <c r="D17" s="25" t="s">
        <v>32</v>
      </c>
      <c r="E17" s="126" t="s">
        <v>43</v>
      </c>
      <c r="F17" s="125"/>
      <c r="G17" s="125"/>
      <c r="H17" s="125"/>
      <c r="I17" s="125"/>
      <c r="J17" s="125"/>
      <c r="K17" s="131"/>
      <c r="L17" s="127"/>
      <c r="M17" s="83"/>
      <c r="N17" s="126" t="s">
        <v>33</v>
      </c>
      <c r="O17" s="125"/>
      <c r="P17" s="125"/>
      <c r="Q17" s="125"/>
      <c r="R17" s="125"/>
      <c r="S17" s="125"/>
      <c r="T17" s="125"/>
      <c r="U17" s="125"/>
      <c r="V17" s="125"/>
      <c r="W17" s="127"/>
      <c r="X17" s="126" t="s">
        <v>34</v>
      </c>
      <c r="Y17" s="127"/>
    </row>
    <row r="18" spans="1:25" s="18" customFormat="1" ht="13.8" thickBot="1" x14ac:dyDescent="0.3">
      <c r="A18" s="38" t="s">
        <v>30</v>
      </c>
      <c r="B18" s="48" t="s">
        <v>23</v>
      </c>
      <c r="C18" s="48" t="s">
        <v>24</v>
      </c>
      <c r="D18" s="49" t="s">
        <v>25</v>
      </c>
      <c r="E18" s="50" t="s">
        <v>44</v>
      </c>
      <c r="F18" s="51" t="s">
        <v>45</v>
      </c>
      <c r="G18" s="51" t="s">
        <v>51</v>
      </c>
      <c r="H18" s="51" t="s">
        <v>52</v>
      </c>
      <c r="I18" s="69" t="s">
        <v>53</v>
      </c>
      <c r="J18" s="51" t="s">
        <v>56</v>
      </c>
      <c r="K18" s="69" t="s">
        <v>54</v>
      </c>
      <c r="L18" s="52" t="s">
        <v>55</v>
      </c>
      <c r="M18" s="85"/>
      <c r="N18" s="122" t="s">
        <v>29</v>
      </c>
      <c r="O18" s="123"/>
      <c r="P18" s="123"/>
      <c r="Q18" s="123"/>
      <c r="R18" s="123"/>
      <c r="S18" s="123"/>
      <c r="T18" s="123"/>
      <c r="U18" s="123"/>
      <c r="V18" s="123"/>
      <c r="W18" s="124"/>
      <c r="X18" s="38" t="s">
        <v>35</v>
      </c>
      <c r="Y18" s="53" t="s">
        <v>29</v>
      </c>
    </row>
    <row r="19" spans="1:25" x14ac:dyDescent="0.25">
      <c r="A19" s="54">
        <v>1</v>
      </c>
      <c r="B19" s="55">
        <v>10</v>
      </c>
      <c r="C19" s="55">
        <v>10</v>
      </c>
      <c r="D19" s="56">
        <v>1</v>
      </c>
      <c r="E19" s="61">
        <f>B19*D19</f>
        <v>10</v>
      </c>
      <c r="F19" s="62">
        <f>C19*D19</f>
        <v>10</v>
      </c>
      <c r="G19" s="62">
        <f>B19-$B$15</f>
        <v>-7.2727272727272734</v>
      </c>
      <c r="H19" s="62">
        <f>C19-$C$15</f>
        <v>-18.181818181818183</v>
      </c>
      <c r="I19" s="62">
        <f>SQRT($G19^2+$H19^2)</f>
        <v>19.582417480489106</v>
      </c>
      <c r="J19" s="62">
        <f>$D19*(G19^2+H19^2)</f>
        <v>383.47107438016536</v>
      </c>
      <c r="K19" s="70">
        <f>G19/$I19</f>
        <v>-0.37139067635410378</v>
      </c>
      <c r="L19" s="71">
        <f>H19/$I19</f>
        <v>-0.92847669088525941</v>
      </c>
      <c r="M19" s="84"/>
      <c r="N19" s="95">
        <f>$D19*SQRT((N$11/$D$15-$L19*N$14*$I19/$J$15)^2+(N$12/$D$15+$K19*N$14*$I19/$J$15)^2)</f>
        <v>869.77413269718477</v>
      </c>
      <c r="O19" s="96">
        <f>$D19*SQRT((O$11/$D$15-$L19*O$14*$I19/$J$15)^2+(O$12/$D$15+$K19*O$14*$I19/$J$15)^2)</f>
        <v>44.227659582774521</v>
      </c>
      <c r="P19" s="96">
        <f t="shared" ref="O19:W34" si="1">$D19*SQRT((P$11/$D$15-$L19*P$14*$I19/$J$15)^2+(P$12/$D$15+$K19*P$14*$I19/$J$15)^2)</f>
        <v>0</v>
      </c>
      <c r="Q19" s="96">
        <f t="shared" si="1"/>
        <v>0</v>
      </c>
      <c r="R19" s="96">
        <f t="shared" si="1"/>
        <v>0</v>
      </c>
      <c r="S19" s="96">
        <f t="shared" si="1"/>
        <v>0</v>
      </c>
      <c r="T19" s="96">
        <f t="shared" si="1"/>
        <v>0</v>
      </c>
      <c r="U19" s="96">
        <f t="shared" si="1"/>
        <v>0</v>
      </c>
      <c r="V19" s="96">
        <f t="shared" si="1"/>
        <v>0</v>
      </c>
      <c r="W19" s="97">
        <f t="shared" si="1"/>
        <v>0</v>
      </c>
      <c r="X19" s="58" t="str">
        <f>INDEX($N$10:$W$10,1,MATCH(Y19,N19:W19,0))</f>
        <v>LC1</v>
      </c>
      <c r="Y19" s="57">
        <f>MAX(N19:W19)</f>
        <v>869.77413269718477</v>
      </c>
    </row>
    <row r="20" spans="1:25" x14ac:dyDescent="0.25">
      <c r="A20" s="21">
        <v>2</v>
      </c>
      <c r="B20" s="24">
        <v>30</v>
      </c>
      <c r="C20" s="24">
        <v>10</v>
      </c>
      <c r="D20" s="36">
        <v>1</v>
      </c>
      <c r="E20" s="63">
        <f t="shared" ref="E20:E38" si="2">B20*D20</f>
        <v>30</v>
      </c>
      <c r="F20" s="64">
        <f t="shared" ref="F20:F38" si="3">C20*D20</f>
        <v>10</v>
      </c>
      <c r="G20" s="64">
        <f t="shared" ref="G20:G38" si="4">B20-$B$15</f>
        <v>12.727272727272727</v>
      </c>
      <c r="H20" s="64">
        <f t="shared" ref="H20:H38" si="5">C20-$C$15</f>
        <v>-18.181818181818183</v>
      </c>
      <c r="I20" s="64">
        <f t="shared" ref="I20:I38" si="6">SQRT($G20^2+$H20^2)</f>
        <v>22.193737483152187</v>
      </c>
      <c r="J20" s="64">
        <f t="shared" ref="J20:J38" si="7">$D20*(G20^2+H20^2)</f>
        <v>492.56198347107443</v>
      </c>
      <c r="K20" s="72">
        <f t="shared" ref="K20:K38" si="8">G20/$I20</f>
        <v>0.57346234436332832</v>
      </c>
      <c r="L20" s="73">
        <f t="shared" ref="L20:L38" si="9">H20/$I20</f>
        <v>-0.81923192051904059</v>
      </c>
      <c r="M20" s="84"/>
      <c r="N20" s="98">
        <f t="shared" ref="N20:W35" si="10">$D20*SQRT((N$11/$D$15-$L20*N$14*$I20/$J$15)^2+(N$12/$D$15+$K20*N$14*$I20/$J$15)^2)</f>
        <v>1287.094769479238</v>
      </c>
      <c r="O20" s="99">
        <f>$D20*SQRT((O$11/$D$15-$L20*O$14*$I20/$J$15)^2+(O$12/$D$15+$K20*O$14*$I20/$J$15)^2)</f>
        <v>426.8026439067728</v>
      </c>
      <c r="P20" s="99">
        <f t="shared" si="1"/>
        <v>0</v>
      </c>
      <c r="Q20" s="99">
        <f t="shared" si="1"/>
        <v>0</v>
      </c>
      <c r="R20" s="99">
        <f t="shared" si="1"/>
        <v>0</v>
      </c>
      <c r="S20" s="99">
        <f t="shared" si="1"/>
        <v>0</v>
      </c>
      <c r="T20" s="99">
        <f t="shared" si="1"/>
        <v>0</v>
      </c>
      <c r="U20" s="99">
        <f t="shared" si="1"/>
        <v>0</v>
      </c>
      <c r="V20" s="99">
        <f t="shared" si="1"/>
        <v>0</v>
      </c>
      <c r="W20" s="100">
        <f t="shared" si="1"/>
        <v>0</v>
      </c>
      <c r="X20" s="29" t="str">
        <f t="shared" ref="X20:X38" si="11">INDEX($N$10:$W$10,1,MATCH(Y20,N20:W20,0))</f>
        <v>LC1</v>
      </c>
      <c r="Y20" s="27">
        <f t="shared" ref="Y20:Y38" si="12">MAX(N20:W20)</f>
        <v>1287.094769479238</v>
      </c>
    </row>
    <row r="21" spans="1:25" x14ac:dyDescent="0.25">
      <c r="A21" s="21">
        <v>3</v>
      </c>
      <c r="B21" s="24">
        <v>10</v>
      </c>
      <c r="C21" s="24">
        <v>30</v>
      </c>
      <c r="D21" s="36">
        <v>1</v>
      </c>
      <c r="E21" s="63">
        <f t="shared" si="2"/>
        <v>10</v>
      </c>
      <c r="F21" s="64">
        <f t="shared" si="3"/>
        <v>30</v>
      </c>
      <c r="G21" s="64">
        <f t="shared" si="4"/>
        <v>-7.2727272727272734</v>
      </c>
      <c r="H21" s="64">
        <f t="shared" si="5"/>
        <v>1.8181818181818166</v>
      </c>
      <c r="I21" s="64">
        <f t="shared" si="6"/>
        <v>7.4965556829412012</v>
      </c>
      <c r="J21" s="64">
        <f t="shared" si="7"/>
        <v>56.198347107438018</v>
      </c>
      <c r="K21" s="72">
        <f t="shared" si="8"/>
        <v>-0.97014250014533199</v>
      </c>
      <c r="L21" s="73">
        <f t="shared" si="9"/>
        <v>0.24253562503633275</v>
      </c>
      <c r="M21" s="84"/>
      <c r="N21" s="98">
        <f t="shared" si="10"/>
        <v>313.2848108864568</v>
      </c>
      <c r="O21" s="99">
        <f t="shared" si="1"/>
        <v>400.80363303236641</v>
      </c>
      <c r="P21" s="99">
        <f t="shared" si="1"/>
        <v>0</v>
      </c>
      <c r="Q21" s="99">
        <f t="shared" si="1"/>
        <v>0</v>
      </c>
      <c r="R21" s="99">
        <f t="shared" si="1"/>
        <v>0</v>
      </c>
      <c r="S21" s="99">
        <f t="shared" si="1"/>
        <v>0</v>
      </c>
      <c r="T21" s="99">
        <f t="shared" si="1"/>
        <v>0</v>
      </c>
      <c r="U21" s="99">
        <f t="shared" si="1"/>
        <v>0</v>
      </c>
      <c r="V21" s="99">
        <f t="shared" si="1"/>
        <v>0</v>
      </c>
      <c r="W21" s="100">
        <f t="shared" si="1"/>
        <v>0</v>
      </c>
      <c r="X21" s="29" t="str">
        <f t="shared" si="11"/>
        <v>LC2</v>
      </c>
      <c r="Y21" s="27">
        <f t="shared" si="12"/>
        <v>400.80363303236641</v>
      </c>
    </row>
    <row r="22" spans="1:25" x14ac:dyDescent="0.25">
      <c r="A22" s="21">
        <v>4</v>
      </c>
      <c r="B22" s="24">
        <v>30</v>
      </c>
      <c r="C22" s="24">
        <v>30</v>
      </c>
      <c r="D22" s="36">
        <v>1</v>
      </c>
      <c r="E22" s="63">
        <f>B22*D22</f>
        <v>30</v>
      </c>
      <c r="F22" s="64">
        <f>C22*D22</f>
        <v>30</v>
      </c>
      <c r="G22" s="64">
        <f>B22-$B$15</f>
        <v>12.727272727272727</v>
      </c>
      <c r="H22" s="64">
        <f>C22-$C$15</f>
        <v>1.8181818181818166</v>
      </c>
      <c r="I22" s="64">
        <f t="shared" si="6"/>
        <v>12.8564869306645</v>
      </c>
      <c r="J22" s="64">
        <f>$D22*(G22^2+H22^2)</f>
        <v>165.28925619834709</v>
      </c>
      <c r="K22" s="72">
        <f t="shared" si="8"/>
        <v>0.98994949366116647</v>
      </c>
      <c r="L22" s="73">
        <f t="shared" si="9"/>
        <v>0.14142135623730939</v>
      </c>
      <c r="M22" s="84"/>
      <c r="N22" s="98">
        <f t="shared" si="10"/>
        <v>999.12625650807297</v>
      </c>
      <c r="O22" s="99">
        <f t="shared" si="1"/>
        <v>583.82185915361674</v>
      </c>
      <c r="P22" s="99">
        <f t="shared" si="1"/>
        <v>0</v>
      </c>
      <c r="Q22" s="99">
        <f t="shared" si="1"/>
        <v>0</v>
      </c>
      <c r="R22" s="99">
        <f t="shared" si="1"/>
        <v>0</v>
      </c>
      <c r="S22" s="99">
        <f t="shared" si="1"/>
        <v>0</v>
      </c>
      <c r="T22" s="99">
        <f t="shared" si="1"/>
        <v>0</v>
      </c>
      <c r="U22" s="99">
        <f t="shared" si="1"/>
        <v>0</v>
      </c>
      <c r="V22" s="99">
        <f t="shared" si="1"/>
        <v>0</v>
      </c>
      <c r="W22" s="100">
        <f t="shared" si="1"/>
        <v>0</v>
      </c>
      <c r="X22" s="29" t="str">
        <f t="shared" si="11"/>
        <v>LC1</v>
      </c>
      <c r="Y22" s="27">
        <f t="shared" si="12"/>
        <v>999.12625650807297</v>
      </c>
    </row>
    <row r="23" spans="1:25" x14ac:dyDescent="0.25">
      <c r="A23" s="21">
        <v>5</v>
      </c>
      <c r="B23" s="24">
        <v>10</v>
      </c>
      <c r="C23" s="24">
        <v>50</v>
      </c>
      <c r="D23" s="36">
        <v>1.5</v>
      </c>
      <c r="E23" s="63">
        <f t="shared" si="2"/>
        <v>15</v>
      </c>
      <c r="F23" s="64">
        <f t="shared" si="3"/>
        <v>75</v>
      </c>
      <c r="G23" s="64">
        <f t="shared" si="4"/>
        <v>-7.2727272727272734</v>
      </c>
      <c r="H23" s="64">
        <f t="shared" si="5"/>
        <v>21.818181818181817</v>
      </c>
      <c r="I23" s="64">
        <f t="shared" si="6"/>
        <v>22.998382983042756</v>
      </c>
      <c r="J23" s="64">
        <f t="shared" si="7"/>
        <v>793.38842975206603</v>
      </c>
      <c r="K23" s="72">
        <f t="shared" si="8"/>
        <v>-0.316227766016838</v>
      </c>
      <c r="L23" s="73">
        <f t="shared" si="9"/>
        <v>0.94868329805051388</v>
      </c>
      <c r="M23" s="84"/>
      <c r="N23" s="98">
        <f t="shared" si="10"/>
        <v>978.08709204568663</v>
      </c>
      <c r="O23" s="99">
        <f t="shared" si="1"/>
        <v>1176.509781214821</v>
      </c>
      <c r="P23" s="99">
        <f t="shared" si="1"/>
        <v>0</v>
      </c>
      <c r="Q23" s="99">
        <f t="shared" si="1"/>
        <v>0</v>
      </c>
      <c r="R23" s="99">
        <f t="shared" si="1"/>
        <v>0</v>
      </c>
      <c r="S23" s="99">
        <f t="shared" si="1"/>
        <v>0</v>
      </c>
      <c r="T23" s="99">
        <f t="shared" si="1"/>
        <v>0</v>
      </c>
      <c r="U23" s="99">
        <f t="shared" si="1"/>
        <v>0</v>
      </c>
      <c r="V23" s="99">
        <f t="shared" si="1"/>
        <v>0</v>
      </c>
      <c r="W23" s="100">
        <f t="shared" si="1"/>
        <v>0</v>
      </c>
      <c r="X23" s="29" t="str">
        <f t="shared" si="11"/>
        <v>LC2</v>
      </c>
      <c r="Y23" s="27">
        <f t="shared" si="12"/>
        <v>1176.509781214821</v>
      </c>
    </row>
    <row r="24" spans="1:25" x14ac:dyDescent="0.25">
      <c r="A24" s="21"/>
      <c r="B24" s="24"/>
      <c r="C24" s="24"/>
      <c r="D24" s="36"/>
      <c r="E24" s="63">
        <f t="shared" si="2"/>
        <v>0</v>
      </c>
      <c r="F24" s="64">
        <f t="shared" si="3"/>
        <v>0</v>
      </c>
      <c r="G24" s="64">
        <f t="shared" si="4"/>
        <v>-17.272727272727273</v>
      </c>
      <c r="H24" s="64">
        <f t="shared" si="5"/>
        <v>-28.181818181818183</v>
      </c>
      <c r="I24" s="64">
        <f t="shared" si="6"/>
        <v>33.053925386723357</v>
      </c>
      <c r="J24" s="64">
        <f t="shared" si="7"/>
        <v>0</v>
      </c>
      <c r="K24" s="72">
        <f t="shared" si="8"/>
        <v>-0.52256205792928734</v>
      </c>
      <c r="L24" s="73">
        <f t="shared" si="9"/>
        <v>-0.85260125241094253</v>
      </c>
      <c r="M24" s="84"/>
      <c r="N24" s="98">
        <f t="shared" si="10"/>
        <v>0</v>
      </c>
      <c r="O24" s="99">
        <f t="shared" si="1"/>
        <v>0</v>
      </c>
      <c r="P24" s="99">
        <f t="shared" si="1"/>
        <v>0</v>
      </c>
      <c r="Q24" s="99">
        <f t="shared" si="1"/>
        <v>0</v>
      </c>
      <c r="R24" s="99">
        <f t="shared" si="1"/>
        <v>0</v>
      </c>
      <c r="S24" s="99">
        <f t="shared" si="1"/>
        <v>0</v>
      </c>
      <c r="T24" s="99">
        <f t="shared" si="1"/>
        <v>0</v>
      </c>
      <c r="U24" s="99">
        <f t="shared" si="1"/>
        <v>0</v>
      </c>
      <c r="V24" s="99">
        <f t="shared" si="1"/>
        <v>0</v>
      </c>
      <c r="W24" s="100">
        <f t="shared" si="1"/>
        <v>0</v>
      </c>
      <c r="X24" s="29" t="str">
        <f t="shared" si="11"/>
        <v>LC1</v>
      </c>
      <c r="Y24" s="27">
        <f t="shared" si="12"/>
        <v>0</v>
      </c>
    </row>
    <row r="25" spans="1:25" x14ac:dyDescent="0.25">
      <c r="A25" s="21"/>
      <c r="B25" s="24"/>
      <c r="C25" s="24"/>
      <c r="D25" s="36"/>
      <c r="E25" s="63">
        <f t="shared" si="2"/>
        <v>0</v>
      </c>
      <c r="F25" s="64">
        <f t="shared" si="3"/>
        <v>0</v>
      </c>
      <c r="G25" s="64">
        <f t="shared" si="4"/>
        <v>-17.272727272727273</v>
      </c>
      <c r="H25" s="64">
        <f t="shared" si="5"/>
        <v>-28.181818181818183</v>
      </c>
      <c r="I25" s="64">
        <f t="shared" si="6"/>
        <v>33.053925386723357</v>
      </c>
      <c r="J25" s="64">
        <f t="shared" si="7"/>
        <v>0</v>
      </c>
      <c r="K25" s="72">
        <f t="shared" si="8"/>
        <v>-0.52256205792928734</v>
      </c>
      <c r="L25" s="73">
        <f t="shared" si="9"/>
        <v>-0.85260125241094253</v>
      </c>
      <c r="M25" s="84"/>
      <c r="N25" s="98">
        <f t="shared" si="10"/>
        <v>0</v>
      </c>
      <c r="O25" s="99">
        <f t="shared" si="1"/>
        <v>0</v>
      </c>
      <c r="P25" s="99">
        <f t="shared" si="1"/>
        <v>0</v>
      </c>
      <c r="Q25" s="99">
        <f t="shared" si="1"/>
        <v>0</v>
      </c>
      <c r="R25" s="99">
        <f t="shared" si="1"/>
        <v>0</v>
      </c>
      <c r="S25" s="99">
        <f t="shared" si="1"/>
        <v>0</v>
      </c>
      <c r="T25" s="99">
        <f t="shared" si="1"/>
        <v>0</v>
      </c>
      <c r="U25" s="99">
        <f t="shared" si="1"/>
        <v>0</v>
      </c>
      <c r="V25" s="99">
        <f t="shared" si="1"/>
        <v>0</v>
      </c>
      <c r="W25" s="100">
        <f t="shared" si="1"/>
        <v>0</v>
      </c>
      <c r="X25" s="29" t="str">
        <f t="shared" si="11"/>
        <v>LC1</v>
      </c>
      <c r="Y25" s="27">
        <f t="shared" si="12"/>
        <v>0</v>
      </c>
    </row>
    <row r="26" spans="1:25" x14ac:dyDescent="0.25">
      <c r="A26" s="21"/>
      <c r="B26" s="24"/>
      <c r="C26" s="24"/>
      <c r="D26" s="36"/>
      <c r="E26" s="63">
        <f t="shared" si="2"/>
        <v>0</v>
      </c>
      <c r="F26" s="64">
        <f t="shared" si="3"/>
        <v>0</v>
      </c>
      <c r="G26" s="64">
        <f t="shared" si="4"/>
        <v>-17.272727272727273</v>
      </c>
      <c r="H26" s="64">
        <f t="shared" si="5"/>
        <v>-28.181818181818183</v>
      </c>
      <c r="I26" s="64">
        <f t="shared" si="6"/>
        <v>33.053925386723357</v>
      </c>
      <c r="J26" s="64">
        <f t="shared" si="7"/>
        <v>0</v>
      </c>
      <c r="K26" s="72">
        <f t="shared" si="8"/>
        <v>-0.52256205792928734</v>
      </c>
      <c r="L26" s="73">
        <f t="shared" si="9"/>
        <v>-0.85260125241094253</v>
      </c>
      <c r="M26" s="84"/>
      <c r="N26" s="98">
        <f t="shared" si="10"/>
        <v>0</v>
      </c>
      <c r="O26" s="99">
        <f t="shared" si="1"/>
        <v>0</v>
      </c>
      <c r="P26" s="99">
        <f t="shared" si="1"/>
        <v>0</v>
      </c>
      <c r="Q26" s="99">
        <f t="shared" si="1"/>
        <v>0</v>
      </c>
      <c r="R26" s="99">
        <f t="shared" si="1"/>
        <v>0</v>
      </c>
      <c r="S26" s="99">
        <f t="shared" si="1"/>
        <v>0</v>
      </c>
      <c r="T26" s="99">
        <f t="shared" si="1"/>
        <v>0</v>
      </c>
      <c r="U26" s="99">
        <f t="shared" si="1"/>
        <v>0</v>
      </c>
      <c r="V26" s="99">
        <f t="shared" si="1"/>
        <v>0</v>
      </c>
      <c r="W26" s="100">
        <f t="shared" si="1"/>
        <v>0</v>
      </c>
      <c r="X26" s="29" t="str">
        <f t="shared" si="11"/>
        <v>LC1</v>
      </c>
      <c r="Y26" s="27">
        <f t="shared" si="12"/>
        <v>0</v>
      </c>
    </row>
    <row r="27" spans="1:25" x14ac:dyDescent="0.25">
      <c r="A27" s="21"/>
      <c r="B27" s="24"/>
      <c r="C27" s="24"/>
      <c r="D27" s="36"/>
      <c r="E27" s="63">
        <f t="shared" si="2"/>
        <v>0</v>
      </c>
      <c r="F27" s="64">
        <f t="shared" si="3"/>
        <v>0</v>
      </c>
      <c r="G27" s="64">
        <f t="shared" si="4"/>
        <v>-17.272727272727273</v>
      </c>
      <c r="H27" s="64">
        <f t="shared" si="5"/>
        <v>-28.181818181818183</v>
      </c>
      <c r="I27" s="64">
        <f t="shared" si="6"/>
        <v>33.053925386723357</v>
      </c>
      <c r="J27" s="64">
        <f t="shared" si="7"/>
        <v>0</v>
      </c>
      <c r="K27" s="72">
        <f t="shared" si="8"/>
        <v>-0.52256205792928734</v>
      </c>
      <c r="L27" s="73">
        <f t="shared" si="9"/>
        <v>-0.85260125241094253</v>
      </c>
      <c r="M27" s="84"/>
      <c r="N27" s="98">
        <f t="shared" si="10"/>
        <v>0</v>
      </c>
      <c r="O27" s="99">
        <f t="shared" si="1"/>
        <v>0</v>
      </c>
      <c r="P27" s="99">
        <f t="shared" si="1"/>
        <v>0</v>
      </c>
      <c r="Q27" s="99">
        <f t="shared" si="1"/>
        <v>0</v>
      </c>
      <c r="R27" s="99">
        <f t="shared" si="1"/>
        <v>0</v>
      </c>
      <c r="S27" s="99">
        <f t="shared" si="1"/>
        <v>0</v>
      </c>
      <c r="T27" s="99">
        <f t="shared" si="1"/>
        <v>0</v>
      </c>
      <c r="U27" s="99">
        <f t="shared" si="1"/>
        <v>0</v>
      </c>
      <c r="V27" s="99">
        <f t="shared" si="1"/>
        <v>0</v>
      </c>
      <c r="W27" s="100">
        <f t="shared" si="1"/>
        <v>0</v>
      </c>
      <c r="X27" s="29" t="str">
        <f t="shared" si="11"/>
        <v>LC1</v>
      </c>
      <c r="Y27" s="27">
        <f t="shared" si="12"/>
        <v>0</v>
      </c>
    </row>
    <row r="28" spans="1:25" x14ac:dyDescent="0.25">
      <c r="A28" s="21"/>
      <c r="B28" s="24"/>
      <c r="C28" s="24"/>
      <c r="D28" s="36"/>
      <c r="E28" s="63">
        <f t="shared" si="2"/>
        <v>0</v>
      </c>
      <c r="F28" s="64">
        <f t="shared" si="3"/>
        <v>0</v>
      </c>
      <c r="G28" s="64">
        <f t="shared" si="4"/>
        <v>-17.272727272727273</v>
      </c>
      <c r="H28" s="64">
        <f t="shared" si="5"/>
        <v>-28.181818181818183</v>
      </c>
      <c r="I28" s="64">
        <f t="shared" si="6"/>
        <v>33.053925386723357</v>
      </c>
      <c r="J28" s="64">
        <f t="shared" si="7"/>
        <v>0</v>
      </c>
      <c r="K28" s="72">
        <f t="shared" si="8"/>
        <v>-0.52256205792928734</v>
      </c>
      <c r="L28" s="73">
        <f t="shared" si="9"/>
        <v>-0.85260125241094253</v>
      </c>
      <c r="M28" s="84"/>
      <c r="N28" s="98">
        <f t="shared" si="10"/>
        <v>0</v>
      </c>
      <c r="O28" s="99">
        <f t="shared" si="1"/>
        <v>0</v>
      </c>
      <c r="P28" s="99">
        <f t="shared" si="1"/>
        <v>0</v>
      </c>
      <c r="Q28" s="99">
        <f t="shared" si="1"/>
        <v>0</v>
      </c>
      <c r="R28" s="99">
        <f t="shared" si="1"/>
        <v>0</v>
      </c>
      <c r="S28" s="99">
        <f t="shared" si="1"/>
        <v>0</v>
      </c>
      <c r="T28" s="99">
        <f t="shared" si="1"/>
        <v>0</v>
      </c>
      <c r="U28" s="99">
        <f t="shared" si="1"/>
        <v>0</v>
      </c>
      <c r="V28" s="99">
        <f t="shared" si="1"/>
        <v>0</v>
      </c>
      <c r="W28" s="100">
        <f t="shared" si="1"/>
        <v>0</v>
      </c>
      <c r="X28" s="29" t="str">
        <f t="shared" si="11"/>
        <v>LC1</v>
      </c>
      <c r="Y28" s="27">
        <f t="shared" si="12"/>
        <v>0</v>
      </c>
    </row>
    <row r="29" spans="1:25" x14ac:dyDescent="0.25">
      <c r="A29" s="21"/>
      <c r="B29" s="24"/>
      <c r="C29" s="24"/>
      <c r="D29" s="36"/>
      <c r="E29" s="63">
        <f t="shared" si="2"/>
        <v>0</v>
      </c>
      <c r="F29" s="64">
        <f t="shared" si="3"/>
        <v>0</v>
      </c>
      <c r="G29" s="64">
        <f t="shared" si="4"/>
        <v>-17.272727272727273</v>
      </c>
      <c r="H29" s="64">
        <f t="shared" si="5"/>
        <v>-28.181818181818183</v>
      </c>
      <c r="I29" s="64">
        <f t="shared" si="6"/>
        <v>33.053925386723357</v>
      </c>
      <c r="J29" s="64">
        <f t="shared" si="7"/>
        <v>0</v>
      </c>
      <c r="K29" s="72">
        <f t="shared" si="8"/>
        <v>-0.52256205792928734</v>
      </c>
      <c r="L29" s="73">
        <f t="shared" si="9"/>
        <v>-0.85260125241094253</v>
      </c>
      <c r="M29" s="84"/>
      <c r="N29" s="98">
        <f t="shared" si="10"/>
        <v>0</v>
      </c>
      <c r="O29" s="99">
        <f t="shared" si="1"/>
        <v>0</v>
      </c>
      <c r="P29" s="99">
        <f t="shared" si="1"/>
        <v>0</v>
      </c>
      <c r="Q29" s="99">
        <f t="shared" si="1"/>
        <v>0</v>
      </c>
      <c r="R29" s="99">
        <f t="shared" si="1"/>
        <v>0</v>
      </c>
      <c r="S29" s="99">
        <f t="shared" si="1"/>
        <v>0</v>
      </c>
      <c r="T29" s="99">
        <f t="shared" si="1"/>
        <v>0</v>
      </c>
      <c r="U29" s="99">
        <f t="shared" si="1"/>
        <v>0</v>
      </c>
      <c r="V29" s="99">
        <f t="shared" si="1"/>
        <v>0</v>
      </c>
      <c r="W29" s="100">
        <f t="shared" si="1"/>
        <v>0</v>
      </c>
      <c r="X29" s="29" t="str">
        <f t="shared" si="11"/>
        <v>LC1</v>
      </c>
      <c r="Y29" s="27">
        <f t="shared" si="12"/>
        <v>0</v>
      </c>
    </row>
    <row r="30" spans="1:25" x14ac:dyDescent="0.25">
      <c r="A30" s="21"/>
      <c r="B30" s="24"/>
      <c r="C30" s="24"/>
      <c r="D30" s="36"/>
      <c r="E30" s="63">
        <f t="shared" si="2"/>
        <v>0</v>
      </c>
      <c r="F30" s="64">
        <f t="shared" si="3"/>
        <v>0</v>
      </c>
      <c r="G30" s="64">
        <f t="shared" si="4"/>
        <v>-17.272727272727273</v>
      </c>
      <c r="H30" s="64">
        <f t="shared" si="5"/>
        <v>-28.181818181818183</v>
      </c>
      <c r="I30" s="64">
        <f t="shared" si="6"/>
        <v>33.053925386723357</v>
      </c>
      <c r="J30" s="64">
        <f t="shared" si="7"/>
        <v>0</v>
      </c>
      <c r="K30" s="72">
        <f t="shared" si="8"/>
        <v>-0.52256205792928734</v>
      </c>
      <c r="L30" s="73">
        <f t="shared" si="9"/>
        <v>-0.85260125241094253</v>
      </c>
      <c r="M30" s="84"/>
      <c r="N30" s="98">
        <f t="shared" si="10"/>
        <v>0</v>
      </c>
      <c r="O30" s="99">
        <f t="shared" si="1"/>
        <v>0</v>
      </c>
      <c r="P30" s="99">
        <f t="shared" si="1"/>
        <v>0</v>
      </c>
      <c r="Q30" s="99">
        <f t="shared" si="1"/>
        <v>0</v>
      </c>
      <c r="R30" s="99">
        <f t="shared" si="1"/>
        <v>0</v>
      </c>
      <c r="S30" s="99">
        <f t="shared" si="1"/>
        <v>0</v>
      </c>
      <c r="T30" s="99">
        <f t="shared" si="1"/>
        <v>0</v>
      </c>
      <c r="U30" s="99">
        <f t="shared" si="1"/>
        <v>0</v>
      </c>
      <c r="V30" s="99">
        <f t="shared" si="1"/>
        <v>0</v>
      </c>
      <c r="W30" s="100">
        <f t="shared" si="1"/>
        <v>0</v>
      </c>
      <c r="X30" s="29" t="str">
        <f t="shared" si="11"/>
        <v>LC1</v>
      </c>
      <c r="Y30" s="27">
        <f t="shared" si="12"/>
        <v>0</v>
      </c>
    </row>
    <row r="31" spans="1:25" x14ac:dyDescent="0.25">
      <c r="A31" s="21"/>
      <c r="B31" s="24"/>
      <c r="C31" s="24"/>
      <c r="D31" s="36"/>
      <c r="E31" s="63">
        <f t="shared" si="2"/>
        <v>0</v>
      </c>
      <c r="F31" s="64">
        <f t="shared" si="3"/>
        <v>0</v>
      </c>
      <c r="G31" s="64">
        <f t="shared" si="4"/>
        <v>-17.272727272727273</v>
      </c>
      <c r="H31" s="64">
        <f t="shared" si="5"/>
        <v>-28.181818181818183</v>
      </c>
      <c r="I31" s="64">
        <f t="shared" si="6"/>
        <v>33.053925386723357</v>
      </c>
      <c r="J31" s="64">
        <f t="shared" si="7"/>
        <v>0</v>
      </c>
      <c r="K31" s="72">
        <f t="shared" si="8"/>
        <v>-0.52256205792928734</v>
      </c>
      <c r="L31" s="73">
        <f t="shared" si="9"/>
        <v>-0.85260125241094253</v>
      </c>
      <c r="M31" s="84"/>
      <c r="N31" s="98">
        <f t="shared" si="10"/>
        <v>0</v>
      </c>
      <c r="O31" s="99">
        <f t="shared" si="1"/>
        <v>0</v>
      </c>
      <c r="P31" s="99">
        <f t="shared" si="1"/>
        <v>0</v>
      </c>
      <c r="Q31" s="99">
        <f t="shared" si="1"/>
        <v>0</v>
      </c>
      <c r="R31" s="99">
        <f t="shared" si="1"/>
        <v>0</v>
      </c>
      <c r="S31" s="99">
        <f t="shared" si="1"/>
        <v>0</v>
      </c>
      <c r="T31" s="99">
        <f t="shared" si="1"/>
        <v>0</v>
      </c>
      <c r="U31" s="99">
        <f t="shared" si="1"/>
        <v>0</v>
      </c>
      <c r="V31" s="99">
        <f t="shared" si="1"/>
        <v>0</v>
      </c>
      <c r="W31" s="100">
        <f t="shared" si="1"/>
        <v>0</v>
      </c>
      <c r="X31" s="29" t="str">
        <f t="shared" si="11"/>
        <v>LC1</v>
      </c>
      <c r="Y31" s="27">
        <f t="shared" si="12"/>
        <v>0</v>
      </c>
    </row>
    <row r="32" spans="1:25" x14ac:dyDescent="0.25">
      <c r="A32" s="21"/>
      <c r="B32" s="24"/>
      <c r="C32" s="24"/>
      <c r="D32" s="36"/>
      <c r="E32" s="63">
        <f t="shared" si="2"/>
        <v>0</v>
      </c>
      <c r="F32" s="64">
        <f t="shared" si="3"/>
        <v>0</v>
      </c>
      <c r="G32" s="64">
        <f t="shared" si="4"/>
        <v>-17.272727272727273</v>
      </c>
      <c r="H32" s="64">
        <f t="shared" si="5"/>
        <v>-28.181818181818183</v>
      </c>
      <c r="I32" s="64">
        <f t="shared" si="6"/>
        <v>33.053925386723357</v>
      </c>
      <c r="J32" s="64">
        <f t="shared" si="7"/>
        <v>0</v>
      </c>
      <c r="K32" s="72">
        <f t="shared" si="8"/>
        <v>-0.52256205792928734</v>
      </c>
      <c r="L32" s="73">
        <f t="shared" si="9"/>
        <v>-0.85260125241094253</v>
      </c>
      <c r="M32" s="84"/>
      <c r="N32" s="98">
        <f t="shared" si="10"/>
        <v>0</v>
      </c>
      <c r="O32" s="99">
        <f t="shared" si="1"/>
        <v>0</v>
      </c>
      <c r="P32" s="99">
        <f t="shared" si="1"/>
        <v>0</v>
      </c>
      <c r="Q32" s="99">
        <f t="shared" si="1"/>
        <v>0</v>
      </c>
      <c r="R32" s="99">
        <f t="shared" si="1"/>
        <v>0</v>
      </c>
      <c r="S32" s="99">
        <f t="shared" si="1"/>
        <v>0</v>
      </c>
      <c r="T32" s="99">
        <f t="shared" si="1"/>
        <v>0</v>
      </c>
      <c r="U32" s="99">
        <f t="shared" si="1"/>
        <v>0</v>
      </c>
      <c r="V32" s="99">
        <f t="shared" si="1"/>
        <v>0</v>
      </c>
      <c r="W32" s="100">
        <f t="shared" si="1"/>
        <v>0</v>
      </c>
      <c r="X32" s="29" t="str">
        <f t="shared" si="11"/>
        <v>LC1</v>
      </c>
      <c r="Y32" s="27">
        <f t="shared" si="12"/>
        <v>0</v>
      </c>
    </row>
    <row r="33" spans="1:25" x14ac:dyDescent="0.25">
      <c r="A33" s="21"/>
      <c r="B33" s="24"/>
      <c r="C33" s="24"/>
      <c r="D33" s="36"/>
      <c r="E33" s="63">
        <f t="shared" si="2"/>
        <v>0</v>
      </c>
      <c r="F33" s="64">
        <f t="shared" si="3"/>
        <v>0</v>
      </c>
      <c r="G33" s="64">
        <f t="shared" si="4"/>
        <v>-17.272727272727273</v>
      </c>
      <c r="H33" s="64">
        <f t="shared" si="5"/>
        <v>-28.181818181818183</v>
      </c>
      <c r="I33" s="64">
        <f>SQRT($G33^2+$H33^2)</f>
        <v>33.053925386723357</v>
      </c>
      <c r="J33" s="64">
        <f t="shared" si="7"/>
        <v>0</v>
      </c>
      <c r="K33" s="72">
        <f t="shared" si="8"/>
        <v>-0.52256205792928734</v>
      </c>
      <c r="L33" s="73">
        <f t="shared" si="9"/>
        <v>-0.85260125241094253</v>
      </c>
      <c r="M33" s="84"/>
      <c r="N33" s="98">
        <f t="shared" si="10"/>
        <v>0</v>
      </c>
      <c r="O33" s="99">
        <f t="shared" si="1"/>
        <v>0</v>
      </c>
      <c r="P33" s="99">
        <f t="shared" si="1"/>
        <v>0</v>
      </c>
      <c r="Q33" s="99">
        <f t="shared" si="1"/>
        <v>0</v>
      </c>
      <c r="R33" s="99">
        <f t="shared" si="1"/>
        <v>0</v>
      </c>
      <c r="S33" s="99">
        <f t="shared" si="1"/>
        <v>0</v>
      </c>
      <c r="T33" s="99">
        <f t="shared" si="1"/>
        <v>0</v>
      </c>
      <c r="U33" s="99">
        <f t="shared" si="1"/>
        <v>0</v>
      </c>
      <c r="V33" s="99">
        <f t="shared" si="1"/>
        <v>0</v>
      </c>
      <c r="W33" s="100">
        <f t="shared" si="1"/>
        <v>0</v>
      </c>
      <c r="X33" s="29" t="str">
        <f t="shared" si="11"/>
        <v>LC1</v>
      </c>
      <c r="Y33" s="27">
        <f t="shared" si="12"/>
        <v>0</v>
      </c>
    </row>
    <row r="34" spans="1:25" x14ac:dyDescent="0.25">
      <c r="A34" s="21"/>
      <c r="B34" s="24"/>
      <c r="C34" s="24"/>
      <c r="D34" s="36"/>
      <c r="E34" s="63">
        <f t="shared" si="2"/>
        <v>0</v>
      </c>
      <c r="F34" s="64">
        <f t="shared" si="3"/>
        <v>0</v>
      </c>
      <c r="G34" s="64">
        <f t="shared" si="4"/>
        <v>-17.272727272727273</v>
      </c>
      <c r="H34" s="64">
        <f t="shared" si="5"/>
        <v>-28.181818181818183</v>
      </c>
      <c r="I34" s="64">
        <f t="shared" si="6"/>
        <v>33.053925386723357</v>
      </c>
      <c r="J34" s="64">
        <f t="shared" si="7"/>
        <v>0</v>
      </c>
      <c r="K34" s="72">
        <f t="shared" si="8"/>
        <v>-0.52256205792928734</v>
      </c>
      <c r="L34" s="73">
        <f t="shared" si="9"/>
        <v>-0.85260125241094253</v>
      </c>
      <c r="M34" s="84"/>
      <c r="N34" s="98">
        <f t="shared" si="10"/>
        <v>0</v>
      </c>
      <c r="O34" s="99">
        <f t="shared" si="1"/>
        <v>0</v>
      </c>
      <c r="P34" s="99">
        <f t="shared" si="1"/>
        <v>0</v>
      </c>
      <c r="Q34" s="99">
        <f t="shared" si="1"/>
        <v>0</v>
      </c>
      <c r="R34" s="99">
        <f t="shared" si="1"/>
        <v>0</v>
      </c>
      <c r="S34" s="99">
        <f t="shared" si="1"/>
        <v>0</v>
      </c>
      <c r="T34" s="99">
        <f t="shared" si="1"/>
        <v>0</v>
      </c>
      <c r="U34" s="99">
        <f t="shared" si="1"/>
        <v>0</v>
      </c>
      <c r="V34" s="99">
        <f t="shared" si="1"/>
        <v>0</v>
      </c>
      <c r="W34" s="100">
        <f t="shared" si="1"/>
        <v>0</v>
      </c>
      <c r="X34" s="29" t="str">
        <f t="shared" si="11"/>
        <v>LC1</v>
      </c>
      <c r="Y34" s="27">
        <f t="shared" si="12"/>
        <v>0</v>
      </c>
    </row>
    <row r="35" spans="1:25" x14ac:dyDescent="0.25">
      <c r="A35" s="21"/>
      <c r="B35" s="24"/>
      <c r="C35" s="24"/>
      <c r="D35" s="36"/>
      <c r="E35" s="63">
        <f t="shared" si="2"/>
        <v>0</v>
      </c>
      <c r="F35" s="64">
        <f t="shared" si="3"/>
        <v>0</v>
      </c>
      <c r="G35" s="64">
        <f t="shared" si="4"/>
        <v>-17.272727272727273</v>
      </c>
      <c r="H35" s="64">
        <f t="shared" si="5"/>
        <v>-28.181818181818183</v>
      </c>
      <c r="I35" s="64">
        <f t="shared" si="6"/>
        <v>33.053925386723357</v>
      </c>
      <c r="J35" s="64">
        <f t="shared" si="7"/>
        <v>0</v>
      </c>
      <c r="K35" s="72">
        <f t="shared" si="8"/>
        <v>-0.52256205792928734</v>
      </c>
      <c r="L35" s="73">
        <f t="shared" si="9"/>
        <v>-0.85260125241094253</v>
      </c>
      <c r="M35" s="84"/>
      <c r="N35" s="98">
        <f t="shared" si="10"/>
        <v>0</v>
      </c>
      <c r="O35" s="99">
        <f t="shared" si="10"/>
        <v>0</v>
      </c>
      <c r="P35" s="99">
        <f t="shared" si="10"/>
        <v>0</v>
      </c>
      <c r="Q35" s="99">
        <f t="shared" si="10"/>
        <v>0</v>
      </c>
      <c r="R35" s="99">
        <f t="shared" si="10"/>
        <v>0</v>
      </c>
      <c r="S35" s="99">
        <f t="shared" si="10"/>
        <v>0</v>
      </c>
      <c r="T35" s="99">
        <f t="shared" si="10"/>
        <v>0</v>
      </c>
      <c r="U35" s="99">
        <f t="shared" si="10"/>
        <v>0</v>
      </c>
      <c r="V35" s="99">
        <f t="shared" si="10"/>
        <v>0</v>
      </c>
      <c r="W35" s="100">
        <f t="shared" si="10"/>
        <v>0</v>
      </c>
      <c r="X35" s="29" t="str">
        <f t="shared" si="11"/>
        <v>LC1</v>
      </c>
      <c r="Y35" s="27">
        <f t="shared" si="12"/>
        <v>0</v>
      </c>
    </row>
    <row r="36" spans="1:25" x14ac:dyDescent="0.25">
      <c r="A36" s="21"/>
      <c r="B36" s="24"/>
      <c r="C36" s="24"/>
      <c r="D36" s="36"/>
      <c r="E36" s="63">
        <f t="shared" si="2"/>
        <v>0</v>
      </c>
      <c r="F36" s="64">
        <f t="shared" si="3"/>
        <v>0</v>
      </c>
      <c r="G36" s="64">
        <f t="shared" si="4"/>
        <v>-17.272727272727273</v>
      </c>
      <c r="H36" s="64">
        <f t="shared" si="5"/>
        <v>-28.181818181818183</v>
      </c>
      <c r="I36" s="64">
        <f t="shared" si="6"/>
        <v>33.053925386723357</v>
      </c>
      <c r="J36" s="64">
        <f t="shared" si="7"/>
        <v>0</v>
      </c>
      <c r="K36" s="72">
        <f t="shared" si="8"/>
        <v>-0.52256205792928734</v>
      </c>
      <c r="L36" s="73">
        <f>H36/$I36</f>
        <v>-0.85260125241094253</v>
      </c>
      <c r="M36" s="84"/>
      <c r="N36" s="98">
        <f t="shared" ref="N36:W38" si="13">$D36*SQRT((N$11/$D$15-$L36*N$14*$I36/$J$15)^2+(N$12/$D$15+$K36*N$14*$I36/$J$15)^2)</f>
        <v>0</v>
      </c>
      <c r="O36" s="99">
        <f t="shared" si="13"/>
        <v>0</v>
      </c>
      <c r="P36" s="99">
        <f t="shared" si="13"/>
        <v>0</v>
      </c>
      <c r="Q36" s="99">
        <f t="shared" si="13"/>
        <v>0</v>
      </c>
      <c r="R36" s="99">
        <f t="shared" si="13"/>
        <v>0</v>
      </c>
      <c r="S36" s="99">
        <f t="shared" si="13"/>
        <v>0</v>
      </c>
      <c r="T36" s="99">
        <f t="shared" si="13"/>
        <v>0</v>
      </c>
      <c r="U36" s="99">
        <f t="shared" si="13"/>
        <v>0</v>
      </c>
      <c r="V36" s="99">
        <f t="shared" si="13"/>
        <v>0</v>
      </c>
      <c r="W36" s="100">
        <f t="shared" si="13"/>
        <v>0</v>
      </c>
      <c r="X36" s="29" t="str">
        <f t="shared" si="11"/>
        <v>LC1</v>
      </c>
      <c r="Y36" s="27">
        <f t="shared" si="12"/>
        <v>0</v>
      </c>
    </row>
    <row r="37" spans="1:25" x14ac:dyDescent="0.25">
      <c r="A37" s="21"/>
      <c r="B37" s="24"/>
      <c r="C37" s="24"/>
      <c r="D37" s="36"/>
      <c r="E37" s="63">
        <f t="shared" si="2"/>
        <v>0</v>
      </c>
      <c r="F37" s="64">
        <f t="shared" si="3"/>
        <v>0</v>
      </c>
      <c r="G37" s="64">
        <f t="shared" si="4"/>
        <v>-17.272727272727273</v>
      </c>
      <c r="H37" s="64">
        <f t="shared" si="5"/>
        <v>-28.181818181818183</v>
      </c>
      <c r="I37" s="64">
        <f t="shared" si="6"/>
        <v>33.053925386723357</v>
      </c>
      <c r="J37" s="64">
        <f t="shared" si="7"/>
        <v>0</v>
      </c>
      <c r="K37" s="72">
        <f t="shared" si="8"/>
        <v>-0.52256205792928734</v>
      </c>
      <c r="L37" s="73">
        <f t="shared" si="9"/>
        <v>-0.85260125241094253</v>
      </c>
      <c r="M37" s="84"/>
      <c r="N37" s="98">
        <f t="shared" si="13"/>
        <v>0</v>
      </c>
      <c r="O37" s="99">
        <f t="shared" si="13"/>
        <v>0</v>
      </c>
      <c r="P37" s="99">
        <f t="shared" si="13"/>
        <v>0</v>
      </c>
      <c r="Q37" s="99">
        <f t="shared" si="13"/>
        <v>0</v>
      </c>
      <c r="R37" s="99">
        <f t="shared" si="13"/>
        <v>0</v>
      </c>
      <c r="S37" s="99">
        <f t="shared" si="13"/>
        <v>0</v>
      </c>
      <c r="T37" s="99">
        <f t="shared" si="13"/>
        <v>0</v>
      </c>
      <c r="U37" s="99">
        <f t="shared" si="13"/>
        <v>0</v>
      </c>
      <c r="V37" s="99">
        <f t="shared" si="13"/>
        <v>0</v>
      </c>
      <c r="W37" s="100">
        <f t="shared" si="13"/>
        <v>0</v>
      </c>
      <c r="X37" s="29" t="str">
        <f t="shared" si="11"/>
        <v>LC1</v>
      </c>
      <c r="Y37" s="27">
        <f t="shared" si="12"/>
        <v>0</v>
      </c>
    </row>
    <row r="38" spans="1:25" ht="13.8" thickBot="1" x14ac:dyDescent="0.3">
      <c r="A38" s="23"/>
      <c r="B38" s="26"/>
      <c r="C38" s="26"/>
      <c r="D38" s="37"/>
      <c r="E38" s="65">
        <f t="shared" si="2"/>
        <v>0</v>
      </c>
      <c r="F38" s="66">
        <f t="shared" si="3"/>
        <v>0</v>
      </c>
      <c r="G38" s="66">
        <f t="shared" si="4"/>
        <v>-17.272727272727273</v>
      </c>
      <c r="H38" s="66">
        <f t="shared" si="5"/>
        <v>-28.181818181818183</v>
      </c>
      <c r="I38" s="66">
        <f t="shared" si="6"/>
        <v>33.053925386723357</v>
      </c>
      <c r="J38" s="66">
        <f t="shared" si="7"/>
        <v>0</v>
      </c>
      <c r="K38" s="74">
        <f t="shared" si="8"/>
        <v>-0.52256205792928734</v>
      </c>
      <c r="L38" s="75">
        <f t="shared" si="9"/>
        <v>-0.85260125241094253</v>
      </c>
      <c r="M38" s="85"/>
      <c r="N38" s="101">
        <f t="shared" si="13"/>
        <v>0</v>
      </c>
      <c r="O38" s="102">
        <f t="shared" si="13"/>
        <v>0</v>
      </c>
      <c r="P38" s="102">
        <f t="shared" si="13"/>
        <v>0</v>
      </c>
      <c r="Q38" s="102">
        <f t="shared" si="13"/>
        <v>0</v>
      </c>
      <c r="R38" s="102">
        <f t="shared" si="13"/>
        <v>0</v>
      </c>
      <c r="S38" s="102">
        <f t="shared" si="13"/>
        <v>0</v>
      </c>
      <c r="T38" s="102">
        <f t="shared" si="13"/>
        <v>0</v>
      </c>
      <c r="U38" s="102">
        <f t="shared" si="13"/>
        <v>0</v>
      </c>
      <c r="V38" s="102">
        <f t="shared" si="13"/>
        <v>0</v>
      </c>
      <c r="W38" s="103">
        <f t="shared" si="13"/>
        <v>0</v>
      </c>
      <c r="X38" s="30" t="str">
        <f t="shared" si="11"/>
        <v>LC1</v>
      </c>
      <c r="Y38" s="28">
        <f t="shared" si="12"/>
        <v>0</v>
      </c>
    </row>
  </sheetData>
  <mergeCells count="8">
    <mergeCell ref="N18:W18"/>
    <mergeCell ref="B17:C17"/>
    <mergeCell ref="N17:W17"/>
    <mergeCell ref="X17:Y17"/>
    <mergeCell ref="B9:C9"/>
    <mergeCell ref="N9:W9"/>
    <mergeCell ref="E17:L17"/>
    <mergeCell ref="B13:D13"/>
  </mergeCells>
  <pageMargins left="0.39370078740157483" right="0.39370078740157483" top="0.39370078740157483" bottom="0.39370078740157483" header="0.39370078740157483" footer="0.39370078740157483"/>
  <pageSetup paperSize="9" scale="9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1" sqref="L21"/>
    </sheetView>
  </sheetViews>
  <sheetFormatPr baseColWidth="10" defaultRowHeight="13.2"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cover</vt:lpstr>
      <vt:lpstr>analysis</vt:lpstr>
      <vt:lpstr>method</vt:lpstr>
      <vt:lpstr>analysis!Área_de_impresión</vt:lpstr>
      <vt:lpstr>cover!Área_de_impresión</vt:lpstr>
    </vt:vector>
  </TitlesOfParts>
  <Company>EADS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gustavo</dc:creator>
  <cp:lastModifiedBy>gustavo</cp:lastModifiedBy>
  <cp:lastPrinted>2017-02-11T08:58:41Z</cp:lastPrinted>
  <dcterms:created xsi:type="dcterms:W3CDTF">2016-03-10T18:18:55Z</dcterms:created>
  <dcterms:modified xsi:type="dcterms:W3CDTF">2017-02-11T12:28:47Z</dcterms:modified>
</cp:coreProperties>
</file>