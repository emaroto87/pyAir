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69432\Desktop\WORK\00_Resources\03_Analysis_Excel_Templates\Transversales\"/>
    </mc:Choice>
  </mc:AlternateContent>
  <xr:revisionPtr revIDLastSave="0" documentId="8_{927754EA-F796-4167-92A5-36C1463C21C7}" xr6:coauthVersionLast="47" xr6:coauthVersionMax="47" xr10:uidLastSave="{00000000-0000-0000-0000-000000000000}"/>
  <bookViews>
    <workbookView xWindow="-28920" yWindow="-120" windowWidth="29040" windowHeight="15840" xr2:uid="{5BB8159C-428D-4AE2-9187-8B752F95DE68}"/>
  </bookViews>
  <sheets>
    <sheet name="Version_contol" sheetId="3" r:id="rId1"/>
    <sheet name="FASTDB" sheetId="6" r:id="rId2"/>
    <sheet name="BOLTDB" sheetId="4" r:id="rId3"/>
    <sheet name="NUTDB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2" i="6" l="1"/>
  <c r="G82" i="6"/>
  <c r="I82" i="6" s="1"/>
  <c r="A82" i="6"/>
  <c r="K81" i="6"/>
  <c r="G81" i="6"/>
  <c r="I81" i="6" s="1"/>
  <c r="A81" i="6"/>
  <c r="K80" i="6"/>
  <c r="I80" i="6"/>
  <c r="G80" i="6"/>
  <c r="H80" i="6" s="1"/>
  <c r="A80" i="6"/>
  <c r="K79" i="6"/>
  <c r="G79" i="6"/>
  <c r="I79" i="6" s="1"/>
  <c r="A79" i="6"/>
  <c r="K78" i="6"/>
  <c r="G78" i="6"/>
  <c r="I78" i="6" s="1"/>
  <c r="A78" i="6"/>
  <c r="K77" i="6"/>
  <c r="G77" i="6"/>
  <c r="I77" i="6" s="1"/>
  <c r="A77" i="6"/>
  <c r="K75" i="6"/>
  <c r="G75" i="6"/>
  <c r="I75" i="6" s="1"/>
  <c r="A75" i="6"/>
  <c r="K74" i="6"/>
  <c r="G74" i="6"/>
  <c r="I74" i="6" s="1"/>
  <c r="A74" i="6"/>
  <c r="K73" i="6"/>
  <c r="G73" i="6"/>
  <c r="I73" i="6" s="1"/>
  <c r="A73" i="6"/>
  <c r="K72" i="6"/>
  <c r="I72" i="6"/>
  <c r="H72" i="6"/>
  <c r="G72" i="6"/>
  <c r="A72" i="6"/>
  <c r="K71" i="6"/>
  <c r="G71" i="6"/>
  <c r="I71" i="6" s="1"/>
  <c r="A71" i="6"/>
  <c r="K70" i="6"/>
  <c r="G70" i="6"/>
  <c r="I70" i="6" s="1"/>
  <c r="A70" i="6"/>
  <c r="K68" i="6"/>
  <c r="G68" i="6"/>
  <c r="I68" i="6" s="1"/>
  <c r="A68" i="6"/>
  <c r="K67" i="6"/>
  <c r="G67" i="6"/>
  <c r="I67" i="6" s="1"/>
  <c r="A67" i="6"/>
  <c r="K66" i="6"/>
  <c r="I66" i="6"/>
  <c r="G66" i="6"/>
  <c r="H66" i="6" s="1"/>
  <c r="A66" i="6"/>
  <c r="K65" i="6"/>
  <c r="G65" i="6"/>
  <c r="I65" i="6" s="1"/>
  <c r="A65" i="6"/>
  <c r="K64" i="6"/>
  <c r="G64" i="6"/>
  <c r="I64" i="6" s="1"/>
  <c r="A64" i="6"/>
  <c r="K63" i="6"/>
  <c r="G63" i="6"/>
  <c r="I63" i="6" s="1"/>
  <c r="A63" i="6"/>
  <c r="A61" i="6"/>
  <c r="A60" i="6"/>
  <c r="A59" i="6"/>
  <c r="A58" i="6"/>
  <c r="A57" i="6"/>
  <c r="A56" i="6"/>
  <c r="A54" i="6"/>
  <c r="A53" i="6"/>
  <c r="A52" i="6"/>
  <c r="A51" i="6"/>
  <c r="A50" i="6"/>
  <c r="A49" i="6"/>
  <c r="A47" i="6"/>
  <c r="A46" i="6"/>
  <c r="A45" i="6"/>
  <c r="A44" i="6"/>
  <c r="A43" i="6"/>
  <c r="A42" i="6"/>
  <c r="A40" i="6"/>
  <c r="A39" i="6"/>
  <c r="A38" i="6"/>
  <c r="A37" i="6"/>
  <c r="A36" i="6"/>
  <c r="A35" i="6"/>
  <c r="A33" i="6"/>
  <c r="A32" i="6"/>
  <c r="A31" i="6"/>
  <c r="A30" i="6"/>
  <c r="A29" i="6"/>
  <c r="A28" i="6"/>
  <c r="A26" i="6"/>
  <c r="A25" i="6"/>
  <c r="A24" i="6"/>
  <c r="A23" i="6"/>
  <c r="A22" i="6"/>
  <c r="A21" i="6"/>
  <c r="H19" i="6"/>
  <c r="A19" i="6"/>
  <c r="H18" i="6"/>
  <c r="A18" i="6"/>
  <c r="H17" i="6"/>
  <c r="A17" i="6"/>
  <c r="H16" i="6"/>
  <c r="A16" i="6"/>
  <c r="H14" i="6"/>
  <c r="A14" i="6"/>
  <c r="I13" i="6"/>
  <c r="H13" i="6"/>
  <c r="A13" i="6"/>
  <c r="H12" i="6"/>
  <c r="A12" i="6"/>
  <c r="H11" i="6"/>
  <c r="A11" i="6"/>
  <c r="H10" i="6"/>
  <c r="A10" i="6"/>
  <c r="H9" i="6"/>
  <c r="A9" i="6"/>
  <c r="H7" i="6"/>
  <c r="A7" i="6"/>
  <c r="H6" i="6"/>
  <c r="A6" i="6"/>
  <c r="H5" i="6"/>
  <c r="A5" i="6"/>
  <c r="H4" i="6"/>
  <c r="A4" i="6"/>
  <c r="C2" i="6"/>
  <c r="D2" i="6" s="1"/>
  <c r="E2" i="6" s="1"/>
  <c r="G2" i="6" s="1"/>
  <c r="H2" i="6" s="1"/>
  <c r="I2" i="6" s="1"/>
  <c r="J2" i="6" s="1"/>
  <c r="K2" i="6" s="1"/>
  <c r="I7" i="5"/>
  <c r="I6" i="5"/>
  <c r="I5" i="5"/>
  <c r="I4" i="5"/>
  <c r="A5" i="5"/>
  <c r="A6" i="5"/>
  <c r="A7" i="5"/>
  <c r="A4" i="5"/>
  <c r="A5" i="4"/>
  <c r="A6" i="4"/>
  <c r="A7" i="4"/>
  <c r="A8" i="4"/>
  <c r="A9" i="4"/>
  <c r="A10" i="4"/>
  <c r="A11" i="4"/>
  <c r="A4" i="4"/>
  <c r="H64" i="6" l="1"/>
  <c r="H78" i="6"/>
  <c r="H70" i="6"/>
  <c r="H75" i="6"/>
  <c r="H67" i="6"/>
  <c r="H81" i="6"/>
  <c r="H73" i="6"/>
  <c r="H65" i="6"/>
  <c r="H79" i="6"/>
  <c r="H71" i="6"/>
  <c r="H63" i="6"/>
  <c r="H77" i="6"/>
  <c r="H68" i="6"/>
  <c r="H82" i="6"/>
  <c r="H74" i="6"/>
  <c r="I5" i="4"/>
  <c r="I6" i="4"/>
  <c r="I7" i="4"/>
  <c r="I8" i="4"/>
  <c r="I9" i="4"/>
  <c r="I10" i="4"/>
  <c r="I11" i="4"/>
  <c r="I4" i="4"/>
  <c r="H5" i="4"/>
  <c r="H6" i="4"/>
  <c r="H7" i="4"/>
  <c r="H8" i="4"/>
  <c r="H9" i="4"/>
  <c r="H10" i="4"/>
  <c r="H11" i="4"/>
  <c r="H4" i="4"/>
  <c r="G9" i="4" l="1"/>
</calcChain>
</file>

<file path=xl/sharedStrings.xml><?xml version="1.0" encoding="utf-8"?>
<sst xmlns="http://schemas.openxmlformats.org/spreadsheetml/2006/main" count="485" uniqueCount="72">
  <si>
    <t>Type</t>
  </si>
  <si>
    <t>Ref</t>
  </si>
  <si>
    <t>Diameter 
(mm)</t>
  </si>
  <si>
    <t>Tensile Strength
[N]</t>
  </si>
  <si>
    <t>Preload
[N]</t>
  </si>
  <si>
    <t>Countersunk
head height (H)</t>
  </si>
  <si>
    <t>Ti 6Al-4V Bolt, Blind, Protrunding Head, Self-Locking</t>
  </si>
  <si>
    <t>ABS_0254_2018-10_10, Table 4 (Page 9)</t>
  </si>
  <si>
    <t>N/A</t>
  </si>
  <si>
    <t>Ti 6Al-4V Bolt, Blind, 130 flush shear Head, Self-Locking</t>
  </si>
  <si>
    <t>ABS_0257_2018-10_14</t>
  </si>
  <si>
    <t>Ti 6Al-4V Bolt, Blind, Protrunding Head, High strength</t>
  </si>
  <si>
    <t>ABS_2323_2019-05_1, Table 6 (Page 9)</t>
  </si>
  <si>
    <t>Version</t>
  </si>
  <si>
    <t>1.0.0</t>
  </si>
  <si>
    <t>Description</t>
  </si>
  <si>
    <t>Inital</t>
  </si>
  <si>
    <t>1.0.1</t>
  </si>
  <si>
    <t>Head Type</t>
  </si>
  <si>
    <t>Ptd</t>
  </si>
  <si>
    <t>Csk</t>
  </si>
  <si>
    <t>Dash Number</t>
  </si>
  <si>
    <t>Fastener_Code</t>
  </si>
  <si>
    <t>Fastener Family</t>
  </si>
  <si>
    <t>ABS2054</t>
  </si>
  <si>
    <t>ABS0257</t>
  </si>
  <si>
    <t>ABS2323K</t>
  </si>
  <si>
    <t>----------</t>
  </si>
  <si>
    <t>Double Shear Strength
[N]</t>
  </si>
  <si>
    <t>- - - -</t>
  </si>
  <si>
    <t>Titanium Bolt, Protrunding Head, Short thread</t>
  </si>
  <si>
    <t>EN6115K</t>
  </si>
  <si>
    <t>EN6114K</t>
  </si>
  <si>
    <t>PREN_6115_2019-06-01, Table 2 (Page 9)</t>
  </si>
  <si>
    <t>PREN_6113_2019-06-01, Table 2 (Page 9)</t>
  </si>
  <si>
    <t>Titanium Bolt, Countersunk head, Short thread</t>
  </si>
  <si>
    <t>Steel Bolt, Protrunding Head, Short thread</t>
  </si>
  <si>
    <t>Steel Bolt, Countersunk head, Short thread</t>
  </si>
  <si>
    <t>EN6115-</t>
  </si>
  <si>
    <t>EN6114-</t>
  </si>
  <si>
    <t>EN6115L</t>
  </si>
  <si>
    <t>Included EN6115 and EN6114</t>
  </si>
  <si>
    <t>Created Bolt Data Base (BOLTDB)</t>
  </si>
  <si>
    <t>Created Nut Data Base (NUTDB)</t>
  </si>
  <si>
    <t>version 1.0.1</t>
  </si>
  <si>
    <t>Bolt_Code</t>
  </si>
  <si>
    <t>Bolt, Hex Head, A286 CRES, Self-Locking</t>
  </si>
  <si>
    <t>AIA_NAS_NAS_6704_1996-12-05</t>
  </si>
  <si>
    <t>Hex</t>
  </si>
  <si>
    <t>NAS67</t>
  </si>
  <si>
    <t>---</t>
  </si>
  <si>
    <t>Nut_Code</t>
  </si>
  <si>
    <t>Nut Family</t>
  </si>
  <si>
    <t>Nut</t>
  </si>
  <si>
    <t>AIA_2FNAS_NAS1791_2024-02-29</t>
  </si>
  <si>
    <t>NAS1791</t>
  </si>
  <si>
    <t>AIA_2FNAS_NAS1791_2024-02-30</t>
  </si>
  <si>
    <t>AIA_2FNAS_NAS1791_2024-02-31</t>
  </si>
  <si>
    <t>AIA_2FNAS_NAS1791_2024-02-32</t>
  </si>
  <si>
    <t>Float</t>
  </si>
  <si>
    <t>Lbf to N</t>
  </si>
  <si>
    <t>NAS1790C</t>
  </si>
  <si>
    <t>CRES Bolt, 100º Flush Head</t>
  </si>
  <si>
    <t>NAS1790_2016-06-30</t>
  </si>
  <si>
    <t>Valores admisibles calculados:</t>
  </si>
  <si>
    <t>NAS1790V</t>
  </si>
  <si>
    <t>Ti 6Al-4V Bolt, 100º Flush Head</t>
  </si>
  <si>
    <t>NAS1790-</t>
  </si>
  <si>
    <t>4140 Steel Bolt, 100º Flush Head</t>
  </si>
  <si>
    <t>version 1.0.3</t>
  </si>
  <si>
    <t>1.0.3</t>
  </si>
  <si>
    <t>Included NAS1790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</si>
</sst>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Up">
        <bgColor theme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B9C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indexed="64"/>
      </right>
      <top style="thin">
        <color theme="6"/>
      </top>
      <bottom/>
      <diagonal/>
    </border>
  </borders>
  <cellStyleXfs count="2">
    <xf numFmtId="0" fontId="0" fillId="0" borderId="0"/>
    <xf numFmtId="0" fontId="7" fillId="7" borderId="0" applyNumberFormat="0" applyBorder="0" applyAlignment="0" applyProtection="0"/>
  </cellStyleXfs>
  <cellXfs count="61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4" borderId="5" xfId="0" applyFill="1" applyBorder="1"/>
    <xf numFmtId="0" fontId="1" fillId="0" borderId="8" xfId="0" applyFont="1" applyBorder="1"/>
    <xf numFmtId="0" fontId="0" fillId="0" borderId="9" xfId="0" applyBorder="1"/>
    <xf numFmtId="14" fontId="0" fillId="0" borderId="0" xfId="0" applyNumberFormat="1"/>
    <xf numFmtId="0" fontId="1" fillId="0" borderId="0" xfId="0" applyFont="1" applyBorder="1"/>
    <xf numFmtId="0" fontId="0" fillId="6" borderId="2" xfId="0" applyFill="1" applyBorder="1"/>
    <xf numFmtId="0" fontId="6" fillId="3" borderId="5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4" fillId="5" borderId="14" xfId="0" quotePrefix="1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0" fillId="5" borderId="15" xfId="0" applyFont="1" applyFill="1" applyBorder="1"/>
    <xf numFmtId="2" fontId="4" fillId="5" borderId="15" xfId="0" applyNumberFormat="1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right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5" xfId="0" applyBorder="1"/>
    <xf numFmtId="0" fontId="0" fillId="2" borderId="0" xfId="0" applyFill="1"/>
    <xf numFmtId="0" fontId="1" fillId="0" borderId="0" xfId="0" applyFont="1"/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right" vertical="center"/>
    </xf>
    <xf numFmtId="0" fontId="4" fillId="0" borderId="10" xfId="0" applyFont="1" applyBorder="1" applyAlignment="1">
      <alignment horizontal="center" vertical="center"/>
    </xf>
    <xf numFmtId="0" fontId="4" fillId="5" borderId="0" xfId="0" quotePrefix="1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0" fillId="5" borderId="0" xfId="0" applyFill="1"/>
    <xf numFmtId="2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center"/>
    </xf>
    <xf numFmtId="0" fontId="4" fillId="0" borderId="11" xfId="0" applyFont="1" applyBorder="1" applyAlignment="1">
      <alignment horizontal="left" vertical="center"/>
    </xf>
    <xf numFmtId="0" fontId="4" fillId="0" borderId="6" xfId="0" applyFont="1" applyBorder="1" applyAlignment="1">
      <alignment horizontal="center"/>
    </xf>
    <xf numFmtId="2" fontId="4" fillId="0" borderId="6" xfId="0" applyNumberFormat="1" applyFont="1" applyBorder="1" applyAlignment="1">
      <alignment horizontal="center"/>
    </xf>
    <xf numFmtId="2" fontId="4" fillId="0" borderId="6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5" xfId="0" applyNumberFormat="1" applyFont="1" applyBorder="1"/>
    <xf numFmtId="0" fontId="4" fillId="0" borderId="5" xfId="0" applyFont="1" applyBorder="1"/>
    <xf numFmtId="0" fontId="8" fillId="7" borderId="0" xfId="1" applyFont="1" applyAlignment="1">
      <alignment horizontal="center" vertical="center"/>
    </xf>
    <xf numFmtId="0" fontId="0" fillId="0" borderId="7" xfId="0" applyBorder="1"/>
    <xf numFmtId="0" fontId="4" fillId="0" borderId="7" xfId="0" applyFont="1" applyBorder="1"/>
  </cellXfs>
  <cellStyles count="2">
    <cellStyle name="Neutral" xfId="1" builtinId="28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24</xdr:col>
      <xdr:colOff>108000</xdr:colOff>
      <xdr:row>31</xdr:row>
      <xdr:rowOff>26989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3F0BBD-5A69-4887-96A9-D31FDBC79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97325" y="200025"/>
          <a:ext cx="4680000" cy="6037264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</xdr:row>
      <xdr:rowOff>0</xdr:rowOff>
    </xdr:from>
    <xdr:to>
      <xdr:col>24</xdr:col>
      <xdr:colOff>108000</xdr:colOff>
      <xdr:row>64</xdr:row>
      <xdr:rowOff>5525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EFB220-8B7D-4775-8C3A-E1451C2B9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97325" y="6400800"/>
          <a:ext cx="4680000" cy="61015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A992A1-959F-40E0-AECA-243E948F4186}" name="FASTDB" displayName="FASTDB" ref="A3:K203" totalsRowShown="0" headerRowDxfId="14" dataDxfId="13" headerRowBorderDxfId="11" tableBorderDxfId="12">
  <autoFilter ref="A3:K203" xr:uid="{C0491950-67AC-4280-9389-C9879C774E00}"/>
  <tableColumns count="11">
    <tableColumn id="1" xr3:uid="{676B83B3-E3EE-42D5-92DF-4DDE08825B00}" name="Fastener_Code" dataDxfId="10"/>
    <tableColumn id="11" xr3:uid="{DF2B7DD3-B973-4D98-9D7C-0A5F53FE60F2}" name="Fastener Family" dataDxfId="9"/>
    <tableColumn id="2" xr3:uid="{7BB4085F-2AD1-4FD6-9D05-A83B5E20AE67}" name="Type" dataDxfId="8"/>
    <tableColumn id="3" xr3:uid="{5481EEE4-B2AF-44AD-B73A-396A340126B1}" name="Ref" dataDxfId="7"/>
    <tableColumn id="4" xr3:uid="{C8358DB8-7881-41C7-99E7-E737C6748A43}" name="Head Type" dataDxfId="6"/>
    <tableColumn id="10" xr3:uid="{EBC51F5A-5A07-482B-BADB-09984798EA36}" name="Dash Number" dataDxfId="5"/>
    <tableColumn id="5" xr3:uid="{BB360208-7E40-418E-82C7-8A9B5BCE3C99}" name="Diameter _x000a_(mm)" dataDxfId="4"/>
    <tableColumn id="6" xr3:uid="{D5C4CE76-2152-4572-B620-31304E4D49C2}" name="Double Shear Strength_x000a_[N]" dataDxfId="3"/>
    <tableColumn id="7" xr3:uid="{326FCE40-1789-4A13-8BE9-CE3B08FE6AFC}" name="Tensile Strength_x000a_[N]" dataDxfId="2"/>
    <tableColumn id="8" xr3:uid="{54C439AA-CECC-4D6B-9732-8EF03ECB4E2C}" name="Preload_x000a_[N]" dataDxfId="1"/>
    <tableColumn id="9" xr3:uid="{47641EFB-D9F1-40F5-81E8-968DB8C92417}" name="Countersunk_x000a_head height (H)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CB992-2014-439A-86FE-19EC59DAAFA2}">
  <dimension ref="B2:C7"/>
  <sheetViews>
    <sheetView showGridLines="0" tabSelected="1" workbookViewId="0">
      <selection activeCell="B7" sqref="B7"/>
    </sheetView>
  </sheetViews>
  <sheetFormatPr baseColWidth="10" defaultRowHeight="14.5" x14ac:dyDescent="0.35"/>
  <sheetData>
    <row r="2" spans="2:3" ht="15" thickBot="1" x14ac:dyDescent="0.4">
      <c r="B2" s="8" t="s">
        <v>13</v>
      </c>
      <c r="C2" s="8" t="s">
        <v>15</v>
      </c>
    </row>
    <row r="3" spans="2:3" x14ac:dyDescent="0.35">
      <c r="B3" t="s">
        <v>14</v>
      </c>
      <c r="C3" t="s">
        <v>16</v>
      </c>
    </row>
    <row r="4" spans="2:3" x14ac:dyDescent="0.35">
      <c r="B4" t="s">
        <v>17</v>
      </c>
      <c r="C4" t="s">
        <v>41</v>
      </c>
    </row>
    <row r="5" spans="2:3" x14ac:dyDescent="0.35">
      <c r="C5" t="s">
        <v>42</v>
      </c>
    </row>
    <row r="6" spans="2:3" x14ac:dyDescent="0.35">
      <c r="C6" t="s">
        <v>43</v>
      </c>
    </row>
    <row r="7" spans="2:3" x14ac:dyDescent="0.35">
      <c r="B7" t="s">
        <v>70</v>
      </c>
      <c r="C7" t="s">
        <v>71</v>
      </c>
    </row>
  </sheetData>
  <pageMargins left="0.7" right="0.7" top="0.75" bottom="0.75" header="0.3" footer="0.3"/>
  <pageSetup paperSize="9" orientation="portrait" r:id="rId1"/>
  <headerFooter>
    <oddHeader xml:space="preserve">&amp;C&amp;"arial,Regular"&amp;8&amp;KE29218Airbus Amber </oddHeader>
    <oddFooter xml:space="preserve">&amp;C&amp;"arial,Regular"&amp;8&amp;KE29218Airbus Amber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38B2E-4B3B-4BA1-9BCB-FE8404C0E647}">
  <sheetPr>
    <tabColor theme="7" tint="-0.249977111117893"/>
  </sheetPr>
  <dimension ref="A1:O203"/>
  <sheetViews>
    <sheetView showGridLines="0" topLeftCell="A46" zoomScaleNormal="100" workbookViewId="0">
      <selection activeCell="A2" sqref="A2"/>
    </sheetView>
  </sheetViews>
  <sheetFormatPr baseColWidth="10" defaultRowHeight="14.5" x14ac:dyDescent="0.35"/>
  <cols>
    <col min="1" max="1" width="12.54296875" bestFit="1" customWidth="1"/>
    <col min="2" max="2" width="17.81640625" bestFit="1" customWidth="1"/>
    <col min="3" max="3" width="45.1796875" bestFit="1" customWidth="1"/>
    <col min="4" max="4" width="32.81640625" bestFit="1" customWidth="1"/>
    <col min="5" max="5" width="12.26953125" bestFit="1" customWidth="1"/>
    <col min="6" max="6" width="12.26953125" customWidth="1"/>
    <col min="7" max="7" width="8.1796875" bestFit="1" customWidth="1"/>
    <col min="8" max="8" width="12.26953125" customWidth="1"/>
    <col min="9" max="9" width="13.453125" bestFit="1" customWidth="1"/>
  </cols>
  <sheetData>
    <row r="1" spans="1:11" ht="15" thickBot="1" x14ac:dyDescent="0.4">
      <c r="A1" s="7" t="s">
        <v>69</v>
      </c>
      <c r="B1" s="27"/>
      <c r="C1" s="9">
        <v>45783</v>
      </c>
    </row>
    <row r="2" spans="1:11" x14ac:dyDescent="0.35">
      <c r="A2" s="1">
        <v>1</v>
      </c>
      <c r="B2" s="1"/>
      <c r="C2" s="1">
        <f>A2+1</f>
        <v>2</v>
      </c>
      <c r="D2" s="1">
        <f t="shared" ref="D2:K2" si="0">C2+1</f>
        <v>3</v>
      </c>
      <c r="E2" s="1">
        <f t="shared" si="0"/>
        <v>4</v>
      </c>
      <c r="F2" s="1"/>
      <c r="G2" s="1">
        <f>E2+1</f>
        <v>5</v>
      </c>
      <c r="H2" s="1">
        <f t="shared" si="0"/>
        <v>6</v>
      </c>
      <c r="I2" s="1">
        <f t="shared" si="0"/>
        <v>7</v>
      </c>
      <c r="J2" s="1">
        <f t="shared" si="0"/>
        <v>8</v>
      </c>
      <c r="K2" s="1">
        <f t="shared" si="0"/>
        <v>9</v>
      </c>
    </row>
    <row r="3" spans="1:11" ht="39" x14ac:dyDescent="0.35">
      <c r="A3" s="2" t="s">
        <v>22</v>
      </c>
      <c r="B3" s="2" t="s">
        <v>23</v>
      </c>
      <c r="C3" s="3" t="s">
        <v>0</v>
      </c>
      <c r="D3" s="3" t="s">
        <v>1</v>
      </c>
      <c r="E3" s="3" t="s">
        <v>18</v>
      </c>
      <c r="F3" s="3" t="s">
        <v>21</v>
      </c>
      <c r="G3" s="4" t="s">
        <v>2</v>
      </c>
      <c r="H3" s="4" t="s">
        <v>28</v>
      </c>
      <c r="I3" s="4" t="s">
        <v>3</v>
      </c>
      <c r="J3" s="4" t="s">
        <v>4</v>
      </c>
      <c r="K3" s="5" t="s">
        <v>5</v>
      </c>
    </row>
    <row r="4" spans="1:11" x14ac:dyDescent="0.35">
      <c r="A4" s="28" t="str">
        <f>FASTDB[[#This Row],[Fastener Family]] &amp;"_" &amp;FASTDB[[#This Row],[Dash Number]]</f>
        <v>ABS2054_5</v>
      </c>
      <c r="B4" s="29" t="s">
        <v>24</v>
      </c>
      <c r="C4" s="29" t="s">
        <v>6</v>
      </c>
      <c r="D4" s="29" t="s">
        <v>7</v>
      </c>
      <c r="E4" s="6" t="s">
        <v>19</v>
      </c>
      <c r="F4" s="30">
        <v>5</v>
      </c>
      <c r="G4" s="31">
        <v>4</v>
      </c>
      <c r="H4" s="32">
        <f>14010</f>
        <v>14010</v>
      </c>
      <c r="I4" s="32">
        <v>4000</v>
      </c>
      <c r="J4" s="30" t="s">
        <v>8</v>
      </c>
      <c r="K4" s="33" t="s">
        <v>8</v>
      </c>
    </row>
    <row r="5" spans="1:11" x14ac:dyDescent="0.35">
      <c r="A5" s="28" t="str">
        <f>FASTDB[[#This Row],[Fastener Family]] &amp;"_" &amp;FASTDB[[#This Row],[Dash Number]]</f>
        <v>ABS2054_6</v>
      </c>
      <c r="B5" s="29" t="s">
        <v>24</v>
      </c>
      <c r="C5" s="29" t="s">
        <v>6</v>
      </c>
      <c r="D5" s="29" t="s">
        <v>7</v>
      </c>
      <c r="E5" s="6" t="s">
        <v>19</v>
      </c>
      <c r="F5" s="30">
        <v>6</v>
      </c>
      <c r="G5" s="31">
        <v>4.8</v>
      </c>
      <c r="H5" s="32">
        <f>20460</f>
        <v>20460</v>
      </c>
      <c r="I5" s="32">
        <v>6230</v>
      </c>
      <c r="J5" s="30" t="s">
        <v>8</v>
      </c>
      <c r="K5" s="33" t="s">
        <v>8</v>
      </c>
    </row>
    <row r="6" spans="1:11" x14ac:dyDescent="0.35">
      <c r="A6" s="28" t="str">
        <f>FASTDB[[#This Row],[Fastener Family]] &amp;"_" &amp;FASTDB[[#This Row],[Dash Number]]</f>
        <v>ABS2054_7</v>
      </c>
      <c r="B6" s="29" t="s">
        <v>24</v>
      </c>
      <c r="C6" s="29" t="s">
        <v>6</v>
      </c>
      <c r="D6" s="29" t="s">
        <v>7</v>
      </c>
      <c r="E6" s="6" t="s">
        <v>19</v>
      </c>
      <c r="F6" s="30">
        <v>7</v>
      </c>
      <c r="G6" s="31">
        <v>5.6</v>
      </c>
      <c r="H6" s="32">
        <f>26910</f>
        <v>26910</v>
      </c>
      <c r="I6" s="32">
        <v>7120</v>
      </c>
      <c r="J6" s="30" t="s">
        <v>8</v>
      </c>
      <c r="K6" s="33" t="s">
        <v>8</v>
      </c>
    </row>
    <row r="7" spans="1:11" x14ac:dyDescent="0.35">
      <c r="A7" s="28" t="str">
        <f>FASTDB[[#This Row],[Fastener Family]] &amp;"_" &amp;FASTDB[[#This Row],[Dash Number]]</f>
        <v>ABS2054_8</v>
      </c>
      <c r="B7" s="34" t="s">
        <v>24</v>
      </c>
      <c r="C7" s="34" t="s">
        <v>6</v>
      </c>
      <c r="D7" s="34" t="s">
        <v>7</v>
      </c>
      <c r="E7" s="6" t="s">
        <v>19</v>
      </c>
      <c r="F7" s="35">
        <v>8</v>
      </c>
      <c r="G7" s="36">
        <v>6.4</v>
      </c>
      <c r="H7" s="37">
        <f>35140</f>
        <v>35140</v>
      </c>
      <c r="I7" s="37">
        <v>9340</v>
      </c>
      <c r="J7" s="35" t="s">
        <v>8</v>
      </c>
      <c r="K7" s="38" t="s">
        <v>8</v>
      </c>
    </row>
    <row r="8" spans="1:11" x14ac:dyDescent="0.35">
      <c r="A8" s="39" t="s">
        <v>27</v>
      </c>
      <c r="B8" s="40"/>
      <c r="C8" s="40"/>
      <c r="D8" s="40"/>
      <c r="E8" s="41"/>
      <c r="F8" s="42"/>
      <c r="G8" s="42"/>
      <c r="H8" s="43"/>
      <c r="I8" s="43"/>
      <c r="J8" s="44"/>
      <c r="K8" s="44"/>
    </row>
    <row r="9" spans="1:11" x14ac:dyDescent="0.35">
      <c r="A9" s="28" t="str">
        <f>FASTDB[[#This Row],[Fastener Family]] &amp;"_" &amp;FASTDB[[#This Row],[Dash Number]]</f>
        <v>ABS0257_5</v>
      </c>
      <c r="B9" s="45" t="s">
        <v>25</v>
      </c>
      <c r="C9" s="46" t="s">
        <v>9</v>
      </c>
      <c r="D9" s="46" t="s">
        <v>10</v>
      </c>
      <c r="E9" s="11" t="s">
        <v>20</v>
      </c>
      <c r="F9" s="47">
        <v>5</v>
      </c>
      <c r="G9" s="48">
        <v>4</v>
      </c>
      <c r="H9" s="49">
        <f>14010</f>
        <v>14010</v>
      </c>
      <c r="I9" s="49">
        <v>4000</v>
      </c>
      <c r="J9" s="47"/>
      <c r="K9" s="50">
        <v>0.99</v>
      </c>
    </row>
    <row r="10" spans="1:11" x14ac:dyDescent="0.35">
      <c r="A10" s="28" t="str">
        <f>FASTDB[[#This Row],[Fastener Family]] &amp;"_" &amp;FASTDB[[#This Row],[Dash Number]]</f>
        <v>ABS0257_6</v>
      </c>
      <c r="B10" s="51" t="s">
        <v>25</v>
      </c>
      <c r="C10" s="34" t="s">
        <v>9</v>
      </c>
      <c r="D10" s="34" t="s">
        <v>10</v>
      </c>
      <c r="E10" s="11" t="s">
        <v>20</v>
      </c>
      <c r="F10" s="30">
        <v>6</v>
      </c>
      <c r="G10" s="31">
        <v>4.8</v>
      </c>
      <c r="H10" s="32">
        <f>20460</f>
        <v>20460</v>
      </c>
      <c r="I10" s="32">
        <v>6230</v>
      </c>
      <c r="J10" s="30"/>
      <c r="K10" s="52">
        <v>1.0900000000000001</v>
      </c>
    </row>
    <row r="11" spans="1:11" x14ac:dyDescent="0.35">
      <c r="A11" s="28" t="str">
        <f>FASTDB[[#This Row],[Fastener Family]] &amp;"_" &amp;FASTDB[[#This Row],[Dash Number]]</f>
        <v>ABS0257_7</v>
      </c>
      <c r="B11" s="51" t="s">
        <v>25</v>
      </c>
      <c r="C11" s="34" t="s">
        <v>9</v>
      </c>
      <c r="D11" s="34" t="s">
        <v>10</v>
      </c>
      <c r="E11" s="11" t="s">
        <v>20</v>
      </c>
      <c r="F11" s="30">
        <v>7</v>
      </c>
      <c r="G11" s="31">
        <v>5.6</v>
      </c>
      <c r="H11" s="32">
        <f>26910</f>
        <v>26910</v>
      </c>
      <c r="I11" s="32">
        <v>7120</v>
      </c>
      <c r="J11" s="30"/>
      <c r="K11" s="52">
        <v>1.0900000000000001</v>
      </c>
    </row>
    <row r="12" spans="1:11" x14ac:dyDescent="0.35">
      <c r="A12" s="28" t="str">
        <f>FASTDB[[#This Row],[Fastener Family]] &amp;"_" &amp;FASTDB[[#This Row],[Dash Number]]</f>
        <v>ABS0257_8</v>
      </c>
      <c r="B12" s="51" t="s">
        <v>25</v>
      </c>
      <c r="C12" s="34" t="s">
        <v>9</v>
      </c>
      <c r="D12" s="34" t="s">
        <v>10</v>
      </c>
      <c r="E12" s="11" t="s">
        <v>20</v>
      </c>
      <c r="F12" s="30">
        <v>8</v>
      </c>
      <c r="G12" s="31">
        <v>6.4</v>
      </c>
      <c r="H12" s="32">
        <f>35140</f>
        <v>35140</v>
      </c>
      <c r="I12" s="32">
        <v>9340</v>
      </c>
      <c r="J12" s="30"/>
      <c r="K12" s="52">
        <v>1.45</v>
      </c>
    </row>
    <row r="13" spans="1:11" x14ac:dyDescent="0.35">
      <c r="A13" s="28" t="str">
        <f>FASTDB[[#This Row],[Fastener Family]] &amp;"_" &amp;FASTDB[[#This Row],[Dash Number]]</f>
        <v>ABS0257_9</v>
      </c>
      <c r="B13" s="51" t="s">
        <v>25</v>
      </c>
      <c r="C13" s="34" t="s">
        <v>9</v>
      </c>
      <c r="D13" s="34" t="s">
        <v>10</v>
      </c>
      <c r="E13" s="11" t="s">
        <v>20</v>
      </c>
      <c r="F13" s="30">
        <v>9</v>
      </c>
      <c r="G13" s="31">
        <v>7.2</v>
      </c>
      <c r="H13" s="32">
        <f>43590</f>
        <v>43590</v>
      </c>
      <c r="I13" s="32">
        <f>11570</f>
        <v>11570</v>
      </c>
      <c r="J13" s="30"/>
      <c r="K13" s="52">
        <v>1.45</v>
      </c>
    </row>
    <row r="14" spans="1:11" x14ac:dyDescent="0.35">
      <c r="A14" s="28" t="str">
        <f>FASTDB[[#This Row],[Fastener Family]] &amp;"_" &amp;FASTDB[[#This Row],[Dash Number]]</f>
        <v>ABS0257_10</v>
      </c>
      <c r="B14" s="51" t="s">
        <v>25</v>
      </c>
      <c r="C14" s="34" t="s">
        <v>9</v>
      </c>
      <c r="D14" s="34" t="s">
        <v>10</v>
      </c>
      <c r="E14" s="11" t="s">
        <v>20</v>
      </c>
      <c r="F14" s="30">
        <v>10</v>
      </c>
      <c r="G14" s="31">
        <v>7.9</v>
      </c>
      <c r="H14" s="32">
        <f>50480</f>
        <v>50480</v>
      </c>
      <c r="I14" s="32">
        <v>16010</v>
      </c>
      <c r="J14" s="30"/>
      <c r="K14" s="53">
        <v>1.9</v>
      </c>
    </row>
    <row r="15" spans="1:11" x14ac:dyDescent="0.35">
      <c r="A15" s="39" t="s">
        <v>27</v>
      </c>
      <c r="B15" s="40"/>
      <c r="C15" s="40"/>
      <c r="D15" s="40"/>
      <c r="E15" s="41"/>
      <c r="F15" s="42"/>
      <c r="G15" s="42"/>
      <c r="H15" s="43"/>
      <c r="I15" s="43"/>
      <c r="J15" s="44"/>
      <c r="K15" s="44"/>
    </row>
    <row r="16" spans="1:11" x14ac:dyDescent="0.35">
      <c r="A16" s="28" t="str">
        <f>FASTDB[[#This Row],[Fastener Family]] &amp;"_" &amp;FASTDB[[#This Row],[Dash Number]]</f>
        <v>ABS2323K_5</v>
      </c>
      <c r="B16" s="28" t="s">
        <v>26</v>
      </c>
      <c r="C16" s="29" t="s">
        <v>11</v>
      </c>
      <c r="D16" s="29" t="s">
        <v>12</v>
      </c>
      <c r="E16" s="6" t="s">
        <v>19</v>
      </c>
      <c r="F16" s="30">
        <v>5</v>
      </c>
      <c r="G16" s="31">
        <v>4</v>
      </c>
      <c r="H16" s="32">
        <f>2*8919</f>
        <v>17838</v>
      </c>
      <c r="I16" s="32">
        <v>5250</v>
      </c>
      <c r="J16" s="30">
        <v>2224</v>
      </c>
      <c r="K16" s="33" t="s">
        <v>8</v>
      </c>
    </row>
    <row r="17" spans="1:11" x14ac:dyDescent="0.35">
      <c r="A17" s="28" t="str">
        <f>FASTDB[[#This Row],[Fastener Family]] &amp;"_" &amp;FASTDB[[#This Row],[Dash Number]]</f>
        <v>ABS2323K_6</v>
      </c>
      <c r="B17" s="28" t="s">
        <v>26</v>
      </c>
      <c r="C17" s="29" t="s">
        <v>11</v>
      </c>
      <c r="D17" s="29" t="s">
        <v>12</v>
      </c>
      <c r="E17" s="6" t="s">
        <v>19</v>
      </c>
      <c r="F17" s="30">
        <v>6</v>
      </c>
      <c r="G17" s="31">
        <v>4.8</v>
      </c>
      <c r="H17" s="32">
        <f>2*11966</f>
        <v>23932</v>
      </c>
      <c r="I17" s="32">
        <v>7100</v>
      </c>
      <c r="J17" s="30">
        <v>3560</v>
      </c>
      <c r="K17" s="33" t="s">
        <v>8</v>
      </c>
    </row>
    <row r="18" spans="1:11" x14ac:dyDescent="0.35">
      <c r="A18" s="28" t="str">
        <f>FASTDB[[#This Row],[Fastener Family]] &amp;"_" &amp;FASTDB[[#This Row],[Dash Number]]</f>
        <v>ABS2323K_8</v>
      </c>
      <c r="B18" s="28" t="s">
        <v>26</v>
      </c>
      <c r="C18" s="29" t="s">
        <v>11</v>
      </c>
      <c r="D18" s="29" t="s">
        <v>12</v>
      </c>
      <c r="E18" s="6" t="s">
        <v>19</v>
      </c>
      <c r="F18" s="30">
        <v>8</v>
      </c>
      <c r="G18" s="31">
        <v>6.4</v>
      </c>
      <c r="H18" s="32">
        <f>2*20684</f>
        <v>41368</v>
      </c>
      <c r="I18" s="32">
        <v>13345</v>
      </c>
      <c r="J18" s="30">
        <v>6670</v>
      </c>
      <c r="K18" s="33" t="s">
        <v>8</v>
      </c>
    </row>
    <row r="19" spans="1:11" x14ac:dyDescent="0.35">
      <c r="A19" s="28" t="str">
        <f>FASTDB[[#This Row],[Fastener Family]] &amp;"_" &amp;FASTDB[[#This Row],[Dash Number]]</f>
        <v>ABS2323K_10</v>
      </c>
      <c r="B19" s="28" t="s">
        <v>26</v>
      </c>
      <c r="C19" s="29" t="s">
        <v>11</v>
      </c>
      <c r="D19" s="29" t="s">
        <v>12</v>
      </c>
      <c r="E19" s="6" t="s">
        <v>19</v>
      </c>
      <c r="F19" s="35">
        <v>10</v>
      </c>
      <c r="G19" s="31">
        <v>8</v>
      </c>
      <c r="H19" s="32">
        <f>2*32472</f>
        <v>64944</v>
      </c>
      <c r="I19" s="32">
        <v>22240</v>
      </c>
      <c r="J19" s="30">
        <v>11120</v>
      </c>
      <c r="K19" s="33" t="s">
        <v>8</v>
      </c>
    </row>
    <row r="20" spans="1:11" x14ac:dyDescent="0.35">
      <c r="A20" s="39" t="s">
        <v>27</v>
      </c>
      <c r="B20" s="40"/>
      <c r="C20" s="40"/>
      <c r="D20" s="40"/>
      <c r="E20" s="41"/>
      <c r="F20" s="42"/>
      <c r="G20" s="42"/>
      <c r="H20" s="43"/>
      <c r="I20" s="43"/>
      <c r="J20" s="44"/>
      <c r="K20" s="44"/>
    </row>
    <row r="21" spans="1:11" x14ac:dyDescent="0.35">
      <c r="A21" s="28" t="str">
        <f>FASTDB[[#This Row],[Fastener Family]] &amp;"_" &amp;FASTDB[[#This Row],[Dash Number]]</f>
        <v>EN6115K_2</v>
      </c>
      <c r="B21" s="28" t="s">
        <v>31</v>
      </c>
      <c r="C21" s="29" t="s">
        <v>30</v>
      </c>
      <c r="D21" s="29" t="s">
        <v>33</v>
      </c>
      <c r="E21" s="6" t="s">
        <v>19</v>
      </c>
      <c r="F21" s="30">
        <v>2</v>
      </c>
      <c r="G21" s="31">
        <v>4</v>
      </c>
      <c r="H21" s="32">
        <v>17760</v>
      </c>
      <c r="I21" s="32">
        <v>9660</v>
      </c>
      <c r="J21" s="30" t="s">
        <v>8</v>
      </c>
      <c r="K21" s="33" t="s">
        <v>8</v>
      </c>
    </row>
    <row r="22" spans="1:11" x14ac:dyDescent="0.35">
      <c r="A22" s="28" t="str">
        <f>FASTDB[[#This Row],[Fastener Family]] &amp;"_" &amp;FASTDB[[#This Row],[Dash Number]]</f>
        <v>EN6115K_3</v>
      </c>
      <c r="B22" s="28" t="s">
        <v>31</v>
      </c>
      <c r="C22" s="29" t="s">
        <v>30</v>
      </c>
      <c r="D22" s="29" t="s">
        <v>33</v>
      </c>
      <c r="E22" s="6" t="s">
        <v>19</v>
      </c>
      <c r="F22" s="30">
        <v>3</v>
      </c>
      <c r="G22" s="31">
        <v>4.8</v>
      </c>
      <c r="H22" s="32">
        <v>23900</v>
      </c>
      <c r="I22" s="32">
        <v>14150</v>
      </c>
      <c r="J22" s="30" t="s">
        <v>8</v>
      </c>
      <c r="K22" s="33" t="s">
        <v>8</v>
      </c>
    </row>
    <row r="23" spans="1:11" x14ac:dyDescent="0.35">
      <c r="A23" s="28" t="str">
        <f>FASTDB[[#This Row],[Fastener Family]] &amp;"_" &amp;FASTDB[[#This Row],[Dash Number]]</f>
        <v>EN6115K_4</v>
      </c>
      <c r="B23" s="28" t="s">
        <v>31</v>
      </c>
      <c r="C23" s="29" t="s">
        <v>30</v>
      </c>
      <c r="D23" s="29" t="s">
        <v>33</v>
      </c>
      <c r="E23" s="6" t="s">
        <v>19</v>
      </c>
      <c r="F23" s="30">
        <v>4</v>
      </c>
      <c r="G23" s="31">
        <v>6.35</v>
      </c>
      <c r="H23" s="32">
        <v>41330</v>
      </c>
      <c r="I23" s="32">
        <v>25900</v>
      </c>
      <c r="J23" s="30" t="s">
        <v>8</v>
      </c>
      <c r="K23" s="33" t="s">
        <v>8</v>
      </c>
    </row>
    <row r="24" spans="1:11" x14ac:dyDescent="0.35">
      <c r="A24" s="28" t="str">
        <f>FASTDB[[#This Row],[Fastener Family]] &amp;"_" &amp;FASTDB[[#This Row],[Dash Number]]</f>
        <v>EN6115K_5</v>
      </c>
      <c r="B24" s="28" t="s">
        <v>31</v>
      </c>
      <c r="C24" s="29" t="s">
        <v>30</v>
      </c>
      <c r="D24" s="29" t="s">
        <v>33</v>
      </c>
      <c r="E24" s="6" t="s">
        <v>19</v>
      </c>
      <c r="F24" s="30">
        <v>5</v>
      </c>
      <c r="G24" s="31">
        <v>7.94</v>
      </c>
      <c r="H24" s="32">
        <v>64880</v>
      </c>
      <c r="I24" s="32">
        <v>40900</v>
      </c>
      <c r="J24" s="30" t="s">
        <v>8</v>
      </c>
      <c r="K24" s="33" t="s">
        <v>8</v>
      </c>
    </row>
    <row r="25" spans="1:11" x14ac:dyDescent="0.35">
      <c r="A25" s="28" t="str">
        <f>FASTDB[[#This Row],[Fastener Family]] &amp;"_" &amp;FASTDB[[#This Row],[Dash Number]]</f>
        <v>EN6115K_6</v>
      </c>
      <c r="B25" s="28" t="s">
        <v>31</v>
      </c>
      <c r="C25" s="29" t="s">
        <v>30</v>
      </c>
      <c r="D25" s="29" t="s">
        <v>33</v>
      </c>
      <c r="E25" s="6" t="s">
        <v>19</v>
      </c>
      <c r="F25" s="30">
        <v>6</v>
      </c>
      <c r="G25" s="31">
        <v>9.52</v>
      </c>
      <c r="H25" s="32">
        <v>93320</v>
      </c>
      <c r="I25" s="32">
        <v>62250</v>
      </c>
      <c r="J25" s="30" t="s">
        <v>8</v>
      </c>
      <c r="K25" s="33" t="s">
        <v>8</v>
      </c>
    </row>
    <row r="26" spans="1:11" x14ac:dyDescent="0.35">
      <c r="A26" s="28" t="str">
        <f>FASTDB[[#This Row],[Fastener Family]] &amp;"_" &amp;FASTDB[[#This Row],[Dash Number]]</f>
        <v>EN6115K_7</v>
      </c>
      <c r="B26" s="28" t="s">
        <v>31</v>
      </c>
      <c r="C26" s="29" t="s">
        <v>30</v>
      </c>
      <c r="D26" s="29" t="s">
        <v>33</v>
      </c>
      <c r="E26" s="6" t="s">
        <v>19</v>
      </c>
      <c r="F26" s="30">
        <v>7</v>
      </c>
      <c r="G26" s="31">
        <v>11.11</v>
      </c>
      <c r="H26" s="32">
        <v>127100</v>
      </c>
      <c r="I26" s="32">
        <v>78900</v>
      </c>
      <c r="J26" s="30" t="s">
        <v>8</v>
      </c>
      <c r="K26" s="33" t="s">
        <v>8</v>
      </c>
    </row>
    <row r="27" spans="1:11" x14ac:dyDescent="0.35">
      <c r="A27" s="39" t="s">
        <v>27</v>
      </c>
      <c r="B27" s="40"/>
      <c r="C27" s="40"/>
      <c r="D27" s="40"/>
      <c r="E27" s="41"/>
      <c r="F27" s="42"/>
      <c r="G27" s="42"/>
      <c r="H27" s="43"/>
      <c r="I27" s="43"/>
      <c r="J27" s="44"/>
      <c r="K27" s="44"/>
    </row>
    <row r="28" spans="1:11" x14ac:dyDescent="0.35">
      <c r="A28" s="28" t="str">
        <f>FASTDB[[#This Row],[Fastener Family]] &amp;"_" &amp;FASTDB[[#This Row],[Dash Number]]</f>
        <v>EN6114K_2</v>
      </c>
      <c r="B28" s="28" t="s">
        <v>32</v>
      </c>
      <c r="C28" s="29" t="s">
        <v>35</v>
      </c>
      <c r="D28" s="29" t="s">
        <v>34</v>
      </c>
      <c r="E28" s="11" t="s">
        <v>20</v>
      </c>
      <c r="F28" s="30">
        <v>2</v>
      </c>
      <c r="G28" s="31">
        <v>4</v>
      </c>
      <c r="H28" s="32">
        <v>17760</v>
      </c>
      <c r="I28" s="32">
        <v>2340</v>
      </c>
      <c r="J28" s="30" t="s">
        <v>8</v>
      </c>
      <c r="K28" s="54">
        <v>1.24</v>
      </c>
    </row>
    <row r="29" spans="1:11" x14ac:dyDescent="0.35">
      <c r="A29" s="28" t="str">
        <f>FASTDB[[#This Row],[Fastener Family]] &amp;"_" &amp;FASTDB[[#This Row],[Dash Number]]</f>
        <v>EN6114K_3</v>
      </c>
      <c r="B29" s="28" t="s">
        <v>32</v>
      </c>
      <c r="C29" s="29" t="s">
        <v>35</v>
      </c>
      <c r="D29" s="29" t="s">
        <v>34</v>
      </c>
      <c r="E29" s="11" t="s">
        <v>20</v>
      </c>
      <c r="F29" s="30">
        <v>3</v>
      </c>
      <c r="G29" s="31">
        <v>4.8</v>
      </c>
      <c r="H29" s="32">
        <v>23900</v>
      </c>
      <c r="I29" s="32">
        <v>4000</v>
      </c>
      <c r="J29" s="30" t="s">
        <v>8</v>
      </c>
      <c r="K29" s="54">
        <v>1.42</v>
      </c>
    </row>
    <row r="30" spans="1:11" x14ac:dyDescent="0.35">
      <c r="A30" s="28" t="str">
        <f>FASTDB[[#This Row],[Fastener Family]] &amp;"_" &amp;FASTDB[[#This Row],[Dash Number]]</f>
        <v>EN6114K_4</v>
      </c>
      <c r="B30" s="28" t="s">
        <v>32</v>
      </c>
      <c r="C30" s="29" t="s">
        <v>35</v>
      </c>
      <c r="D30" s="29" t="s">
        <v>34</v>
      </c>
      <c r="E30" s="11" t="s">
        <v>20</v>
      </c>
      <c r="F30" s="30">
        <v>4</v>
      </c>
      <c r="G30" s="31">
        <v>6.35</v>
      </c>
      <c r="H30" s="32">
        <v>41330</v>
      </c>
      <c r="I30" s="32">
        <v>7000</v>
      </c>
      <c r="J30" s="30" t="s">
        <v>8</v>
      </c>
      <c r="K30" s="54">
        <v>1.88</v>
      </c>
    </row>
    <row r="31" spans="1:11" x14ac:dyDescent="0.35">
      <c r="A31" s="28" t="str">
        <f>FASTDB[[#This Row],[Fastener Family]] &amp;"_" &amp;FASTDB[[#This Row],[Dash Number]]</f>
        <v>EN6114K_5</v>
      </c>
      <c r="B31" s="28" t="s">
        <v>32</v>
      </c>
      <c r="C31" s="29" t="s">
        <v>35</v>
      </c>
      <c r="D31" s="29" t="s">
        <v>34</v>
      </c>
      <c r="E31" s="11" t="s">
        <v>20</v>
      </c>
      <c r="F31" s="30">
        <v>5</v>
      </c>
      <c r="G31" s="31">
        <v>7.94</v>
      </c>
      <c r="H31" s="32">
        <v>64880</v>
      </c>
      <c r="I31" s="32">
        <v>10650</v>
      </c>
      <c r="J31" s="30" t="s">
        <v>8</v>
      </c>
      <c r="K31" s="54">
        <v>2.34</v>
      </c>
    </row>
    <row r="32" spans="1:11" x14ac:dyDescent="0.35">
      <c r="A32" s="28" t="str">
        <f>FASTDB[[#This Row],[Fastener Family]] &amp;"_" &amp;FASTDB[[#This Row],[Dash Number]]</f>
        <v>EN6114K_6</v>
      </c>
      <c r="B32" s="28" t="s">
        <v>32</v>
      </c>
      <c r="C32" s="29" t="s">
        <v>35</v>
      </c>
      <c r="D32" s="29" t="s">
        <v>34</v>
      </c>
      <c r="E32" s="11" t="s">
        <v>20</v>
      </c>
      <c r="F32" s="30">
        <v>6</v>
      </c>
      <c r="G32" s="31">
        <v>9.52</v>
      </c>
      <c r="H32" s="32">
        <v>93320</v>
      </c>
      <c r="I32" s="32">
        <v>15900</v>
      </c>
      <c r="J32" s="30" t="s">
        <v>8</v>
      </c>
      <c r="K32" s="54">
        <v>2.79</v>
      </c>
    </row>
    <row r="33" spans="1:11" x14ac:dyDescent="0.35">
      <c r="A33" s="28" t="str">
        <f>FASTDB[[#This Row],[Fastener Family]] &amp;"_" &amp;FASTDB[[#This Row],[Dash Number]]</f>
        <v>EN6114K_7</v>
      </c>
      <c r="B33" s="28" t="s">
        <v>32</v>
      </c>
      <c r="C33" s="29" t="s">
        <v>35</v>
      </c>
      <c r="D33" s="29" t="s">
        <v>34</v>
      </c>
      <c r="E33" s="11" t="s">
        <v>20</v>
      </c>
      <c r="F33" s="30">
        <v>7</v>
      </c>
      <c r="G33" s="31">
        <v>11.11</v>
      </c>
      <c r="H33" s="32">
        <v>127100</v>
      </c>
      <c r="I33" s="32">
        <v>20400</v>
      </c>
      <c r="J33" s="30" t="s">
        <v>8</v>
      </c>
      <c r="K33" s="54">
        <v>3.2</v>
      </c>
    </row>
    <row r="34" spans="1:11" x14ac:dyDescent="0.35">
      <c r="A34" s="39" t="s">
        <v>27</v>
      </c>
      <c r="B34" s="40"/>
      <c r="C34" s="40"/>
      <c r="D34" s="40"/>
      <c r="E34" s="41"/>
      <c r="F34" s="42"/>
      <c r="G34" s="42"/>
      <c r="H34" s="43"/>
      <c r="I34" s="43"/>
      <c r="J34" s="44"/>
      <c r="K34" s="44"/>
    </row>
    <row r="35" spans="1:11" x14ac:dyDescent="0.35">
      <c r="A35" s="28" t="str">
        <f>FASTDB[[#This Row],[Fastener Family]] &amp;"_" &amp;FASTDB[[#This Row],[Dash Number]]</f>
        <v>EN6115-_2</v>
      </c>
      <c r="B35" s="28" t="s">
        <v>38</v>
      </c>
      <c r="C35" s="29" t="s">
        <v>36</v>
      </c>
      <c r="D35" s="29" t="s">
        <v>33</v>
      </c>
      <c r="E35" s="6" t="s">
        <v>19</v>
      </c>
      <c r="F35" s="30">
        <v>2</v>
      </c>
      <c r="G35" s="31">
        <v>4</v>
      </c>
      <c r="H35" s="32" t="s">
        <v>29</v>
      </c>
      <c r="I35" s="32" t="s">
        <v>29</v>
      </c>
      <c r="J35" s="30" t="s">
        <v>8</v>
      </c>
      <c r="K35" s="33" t="s">
        <v>8</v>
      </c>
    </row>
    <row r="36" spans="1:11" x14ac:dyDescent="0.35">
      <c r="A36" s="28" t="str">
        <f>FASTDB[[#This Row],[Fastener Family]] &amp;"_" &amp;FASTDB[[#This Row],[Dash Number]]</f>
        <v>EN6115-_3</v>
      </c>
      <c r="B36" s="28" t="s">
        <v>38</v>
      </c>
      <c r="C36" s="29" t="s">
        <v>36</v>
      </c>
      <c r="D36" s="29" t="s">
        <v>33</v>
      </c>
      <c r="E36" s="6" t="s">
        <v>19</v>
      </c>
      <c r="F36" s="30">
        <v>3</v>
      </c>
      <c r="G36" s="31">
        <v>4.8</v>
      </c>
      <c r="H36" s="32">
        <v>27250</v>
      </c>
      <c r="I36" s="32">
        <v>17100</v>
      </c>
      <c r="J36" s="30" t="s">
        <v>8</v>
      </c>
      <c r="K36" s="33" t="s">
        <v>8</v>
      </c>
    </row>
    <row r="37" spans="1:11" x14ac:dyDescent="0.35">
      <c r="A37" s="28" t="str">
        <f>FASTDB[[#This Row],[Fastener Family]] &amp;"_" &amp;FASTDB[[#This Row],[Dash Number]]</f>
        <v>EN6115-_4</v>
      </c>
      <c r="B37" s="28" t="s">
        <v>38</v>
      </c>
      <c r="C37" s="29" t="s">
        <v>36</v>
      </c>
      <c r="D37" s="29" t="s">
        <v>33</v>
      </c>
      <c r="E37" s="6" t="s">
        <v>19</v>
      </c>
      <c r="F37" s="30">
        <v>4</v>
      </c>
      <c r="G37" s="31">
        <v>6.35</v>
      </c>
      <c r="H37" s="32">
        <v>47150</v>
      </c>
      <c r="I37" s="32">
        <v>29150</v>
      </c>
      <c r="J37" s="30" t="s">
        <v>8</v>
      </c>
      <c r="K37" s="33" t="s">
        <v>8</v>
      </c>
    </row>
    <row r="38" spans="1:11" x14ac:dyDescent="0.35">
      <c r="A38" s="28" t="str">
        <f>FASTDB[[#This Row],[Fastener Family]] &amp;"_" &amp;FASTDB[[#This Row],[Dash Number]]</f>
        <v>EN6115-_5</v>
      </c>
      <c r="B38" s="28" t="s">
        <v>38</v>
      </c>
      <c r="C38" s="29" t="s">
        <v>36</v>
      </c>
      <c r="D38" s="29" t="s">
        <v>33</v>
      </c>
      <c r="E38" s="6" t="s">
        <v>19</v>
      </c>
      <c r="F38" s="30">
        <v>5</v>
      </c>
      <c r="G38" s="31">
        <v>7.94</v>
      </c>
      <c r="H38" s="32">
        <v>73850</v>
      </c>
      <c r="I38" s="32">
        <v>46050</v>
      </c>
      <c r="J38" s="30" t="s">
        <v>8</v>
      </c>
      <c r="K38" s="33" t="s">
        <v>8</v>
      </c>
    </row>
    <row r="39" spans="1:11" x14ac:dyDescent="0.35">
      <c r="A39" s="28" t="str">
        <f>FASTDB[[#This Row],[Fastener Family]] &amp;"_" &amp;FASTDB[[#This Row],[Dash Number]]</f>
        <v>EN6115-_6</v>
      </c>
      <c r="B39" s="28" t="s">
        <v>38</v>
      </c>
      <c r="C39" s="29" t="s">
        <v>36</v>
      </c>
      <c r="D39" s="29" t="s">
        <v>33</v>
      </c>
      <c r="E39" s="6" t="s">
        <v>19</v>
      </c>
      <c r="F39" s="30">
        <v>6</v>
      </c>
      <c r="G39" s="31">
        <v>9.52</v>
      </c>
      <c r="H39" s="32">
        <v>106300</v>
      </c>
      <c r="I39" s="32">
        <v>70050</v>
      </c>
      <c r="J39" s="30" t="s">
        <v>8</v>
      </c>
      <c r="K39" s="33" t="s">
        <v>8</v>
      </c>
    </row>
    <row r="40" spans="1:11" x14ac:dyDescent="0.35">
      <c r="A40" s="28" t="str">
        <f>FASTDB[[#This Row],[Fastener Family]] &amp;"_" &amp;FASTDB[[#This Row],[Dash Number]]</f>
        <v>EN6115-_7</v>
      </c>
      <c r="B40" s="28" t="s">
        <v>38</v>
      </c>
      <c r="C40" s="29" t="s">
        <v>36</v>
      </c>
      <c r="D40" s="29" t="s">
        <v>33</v>
      </c>
      <c r="E40" s="6" t="s">
        <v>19</v>
      </c>
      <c r="F40" s="30">
        <v>7</v>
      </c>
      <c r="G40" s="31">
        <v>11.11</v>
      </c>
      <c r="H40" s="32">
        <v>144550</v>
      </c>
      <c r="I40" s="32">
        <v>94300</v>
      </c>
      <c r="J40" s="30" t="s">
        <v>8</v>
      </c>
      <c r="K40" s="33" t="s">
        <v>8</v>
      </c>
    </row>
    <row r="41" spans="1:11" x14ac:dyDescent="0.35">
      <c r="A41" s="39" t="s">
        <v>27</v>
      </c>
      <c r="B41" s="40"/>
      <c r="C41" s="40"/>
      <c r="D41" s="40"/>
      <c r="E41" s="41"/>
      <c r="F41" s="42"/>
      <c r="G41" s="42"/>
      <c r="H41" s="43"/>
      <c r="I41" s="43"/>
      <c r="J41" s="44"/>
      <c r="K41" s="44"/>
    </row>
    <row r="42" spans="1:11" x14ac:dyDescent="0.35">
      <c r="A42" s="28" t="str">
        <f>FASTDB[[#This Row],[Fastener Family]] &amp;"_" &amp;FASTDB[[#This Row],[Dash Number]]</f>
        <v>EN6114-_2</v>
      </c>
      <c r="B42" s="28" t="s">
        <v>39</v>
      </c>
      <c r="C42" s="29" t="s">
        <v>37</v>
      </c>
      <c r="D42" s="29" t="s">
        <v>34</v>
      </c>
      <c r="E42" s="11" t="s">
        <v>20</v>
      </c>
      <c r="F42" s="30">
        <v>2</v>
      </c>
      <c r="G42" s="31">
        <v>4</v>
      </c>
      <c r="H42" s="32" t="s">
        <v>29</v>
      </c>
      <c r="I42" s="32" t="s">
        <v>29</v>
      </c>
      <c r="J42" s="30" t="s">
        <v>8</v>
      </c>
      <c r="K42" s="54">
        <v>1.24</v>
      </c>
    </row>
    <row r="43" spans="1:11" x14ac:dyDescent="0.35">
      <c r="A43" s="28" t="str">
        <f>FASTDB[[#This Row],[Fastener Family]] &amp;"_" &amp;FASTDB[[#This Row],[Dash Number]]</f>
        <v>EN6114-_3</v>
      </c>
      <c r="B43" s="28" t="s">
        <v>39</v>
      </c>
      <c r="C43" s="29" t="s">
        <v>37</v>
      </c>
      <c r="D43" s="29" t="s">
        <v>34</v>
      </c>
      <c r="E43" s="11" t="s">
        <v>20</v>
      </c>
      <c r="F43" s="30">
        <v>3</v>
      </c>
      <c r="G43" s="31">
        <v>4.8</v>
      </c>
      <c r="H43" s="32">
        <v>27250</v>
      </c>
      <c r="I43" s="32">
        <v>4050</v>
      </c>
      <c r="J43" s="30" t="s">
        <v>8</v>
      </c>
      <c r="K43" s="54">
        <v>1.42</v>
      </c>
    </row>
    <row r="44" spans="1:11" x14ac:dyDescent="0.35">
      <c r="A44" s="28" t="str">
        <f>FASTDB[[#This Row],[Fastener Family]] &amp;"_" &amp;FASTDB[[#This Row],[Dash Number]]</f>
        <v>EN6114-_4</v>
      </c>
      <c r="B44" s="28" t="s">
        <v>39</v>
      </c>
      <c r="C44" s="29" t="s">
        <v>37</v>
      </c>
      <c r="D44" s="29" t="s">
        <v>34</v>
      </c>
      <c r="E44" s="11" t="s">
        <v>20</v>
      </c>
      <c r="F44" s="30">
        <v>4</v>
      </c>
      <c r="G44" s="31">
        <v>6.35</v>
      </c>
      <c r="H44" s="32">
        <v>47150</v>
      </c>
      <c r="I44" s="32">
        <v>7800</v>
      </c>
      <c r="J44" s="30" t="s">
        <v>8</v>
      </c>
      <c r="K44" s="54">
        <v>1.88</v>
      </c>
    </row>
    <row r="45" spans="1:11" x14ac:dyDescent="0.35">
      <c r="A45" s="28" t="str">
        <f>FASTDB[[#This Row],[Fastener Family]] &amp;"_" &amp;FASTDB[[#This Row],[Dash Number]]</f>
        <v>EN6114-_5</v>
      </c>
      <c r="B45" s="28" t="s">
        <v>39</v>
      </c>
      <c r="C45" s="29" t="s">
        <v>37</v>
      </c>
      <c r="D45" s="29" t="s">
        <v>34</v>
      </c>
      <c r="E45" s="11" t="s">
        <v>20</v>
      </c>
      <c r="F45" s="30">
        <v>5</v>
      </c>
      <c r="G45" s="31">
        <v>7.94</v>
      </c>
      <c r="H45" s="32">
        <v>73850</v>
      </c>
      <c r="I45" s="32">
        <v>11700</v>
      </c>
      <c r="J45" s="30" t="s">
        <v>8</v>
      </c>
      <c r="K45" s="54">
        <v>2.34</v>
      </c>
    </row>
    <row r="46" spans="1:11" x14ac:dyDescent="0.35">
      <c r="A46" s="28" t="str">
        <f>FASTDB[[#This Row],[Fastener Family]] &amp;"_" &amp;FASTDB[[#This Row],[Dash Number]]</f>
        <v>EN6114-_6</v>
      </c>
      <c r="B46" s="28" t="s">
        <v>39</v>
      </c>
      <c r="C46" s="29" t="s">
        <v>37</v>
      </c>
      <c r="D46" s="29" t="s">
        <v>34</v>
      </c>
      <c r="E46" s="11" t="s">
        <v>20</v>
      </c>
      <c r="F46" s="30">
        <v>6</v>
      </c>
      <c r="G46" s="31">
        <v>9.52</v>
      </c>
      <c r="H46" s="32">
        <v>106300</v>
      </c>
      <c r="I46" s="32">
        <v>17150</v>
      </c>
      <c r="J46" s="30" t="s">
        <v>8</v>
      </c>
      <c r="K46" s="54">
        <v>2.79</v>
      </c>
    </row>
    <row r="47" spans="1:11" x14ac:dyDescent="0.35">
      <c r="A47" s="28" t="str">
        <f>FASTDB[[#This Row],[Fastener Family]] &amp;"_" &amp;FASTDB[[#This Row],[Dash Number]]</f>
        <v>EN6114-_7</v>
      </c>
      <c r="B47" s="28" t="s">
        <v>39</v>
      </c>
      <c r="C47" s="29" t="s">
        <v>37</v>
      </c>
      <c r="D47" s="29" t="s">
        <v>34</v>
      </c>
      <c r="E47" s="11" t="s">
        <v>20</v>
      </c>
      <c r="F47" s="30">
        <v>7</v>
      </c>
      <c r="G47" s="31">
        <v>11.11</v>
      </c>
      <c r="H47" s="32">
        <v>144550</v>
      </c>
      <c r="I47" s="32">
        <v>22250</v>
      </c>
      <c r="J47" s="30" t="s">
        <v>8</v>
      </c>
      <c r="K47" s="54">
        <v>3.2</v>
      </c>
    </row>
    <row r="48" spans="1:11" x14ac:dyDescent="0.35">
      <c r="A48" s="39" t="s">
        <v>27</v>
      </c>
      <c r="B48" s="40"/>
      <c r="C48" s="40"/>
      <c r="D48" s="40"/>
      <c r="E48" s="41"/>
      <c r="F48" s="42"/>
      <c r="G48" s="42"/>
      <c r="H48" s="43"/>
      <c r="I48" s="43"/>
      <c r="J48" s="44"/>
      <c r="K48" s="44"/>
    </row>
    <row r="49" spans="1:15" x14ac:dyDescent="0.35">
      <c r="A49" s="28" t="str">
        <f>FASTDB[[#This Row],[Fastener Family]] &amp;"_" &amp;FASTDB[[#This Row],[Dash Number]]</f>
        <v>EN6115L_2</v>
      </c>
      <c r="B49" s="28" t="s">
        <v>40</v>
      </c>
      <c r="C49" s="29" t="s">
        <v>30</v>
      </c>
      <c r="D49" s="29" t="s">
        <v>33</v>
      </c>
      <c r="E49" s="6" t="s">
        <v>19</v>
      </c>
      <c r="F49" s="30">
        <v>2</v>
      </c>
      <c r="G49" s="31">
        <v>4</v>
      </c>
      <c r="H49" s="32" t="s">
        <v>29</v>
      </c>
      <c r="I49" s="32" t="s">
        <v>29</v>
      </c>
      <c r="J49" s="30" t="s">
        <v>8</v>
      </c>
      <c r="K49" s="33" t="s">
        <v>8</v>
      </c>
    </row>
    <row r="50" spans="1:15" x14ac:dyDescent="0.35">
      <c r="A50" s="28" t="str">
        <f>FASTDB[[#This Row],[Fastener Family]] &amp;"_" &amp;FASTDB[[#This Row],[Dash Number]]</f>
        <v>EN6115L_3</v>
      </c>
      <c r="B50" s="28" t="s">
        <v>40</v>
      </c>
      <c r="C50" s="29" t="s">
        <v>30</v>
      </c>
      <c r="D50" s="29" t="s">
        <v>33</v>
      </c>
      <c r="E50" s="6" t="s">
        <v>19</v>
      </c>
      <c r="F50" s="30">
        <v>3</v>
      </c>
      <c r="G50" s="31">
        <v>4.8</v>
      </c>
      <c r="H50" s="32">
        <v>31500</v>
      </c>
      <c r="I50" s="32">
        <v>20820</v>
      </c>
      <c r="J50" s="30" t="s">
        <v>8</v>
      </c>
      <c r="K50" s="33" t="s">
        <v>8</v>
      </c>
    </row>
    <row r="51" spans="1:15" x14ac:dyDescent="0.35">
      <c r="A51" s="28" t="str">
        <f>FASTDB[[#This Row],[Fastener Family]] &amp;"_" &amp;FASTDB[[#This Row],[Dash Number]]</f>
        <v>EN6115L_4</v>
      </c>
      <c r="B51" s="28" t="s">
        <v>40</v>
      </c>
      <c r="C51" s="29" t="s">
        <v>30</v>
      </c>
      <c r="D51" s="29" t="s">
        <v>33</v>
      </c>
      <c r="E51" s="6" t="s">
        <v>19</v>
      </c>
      <c r="F51" s="30">
        <v>4</v>
      </c>
      <c r="G51" s="31">
        <v>6.35</v>
      </c>
      <c r="H51" s="32">
        <v>54800</v>
      </c>
      <c r="I51" s="32">
        <v>35490</v>
      </c>
      <c r="J51" s="30" t="s">
        <v>8</v>
      </c>
      <c r="K51" s="33" t="s">
        <v>8</v>
      </c>
    </row>
    <row r="52" spans="1:15" x14ac:dyDescent="0.35">
      <c r="A52" s="28" t="str">
        <f>FASTDB[[#This Row],[Fastener Family]] &amp;"_" &amp;FASTDB[[#This Row],[Dash Number]]</f>
        <v>EN6115L_5</v>
      </c>
      <c r="B52" s="28" t="s">
        <v>40</v>
      </c>
      <c r="C52" s="29" t="s">
        <v>30</v>
      </c>
      <c r="D52" s="29" t="s">
        <v>33</v>
      </c>
      <c r="E52" s="6" t="s">
        <v>19</v>
      </c>
      <c r="F52" s="30">
        <v>5</v>
      </c>
      <c r="G52" s="31">
        <v>7.94</v>
      </c>
      <c r="H52" s="32">
        <v>85100</v>
      </c>
      <c r="I52" s="32">
        <v>56070</v>
      </c>
      <c r="J52" s="30" t="s">
        <v>8</v>
      </c>
      <c r="K52" s="33" t="s">
        <v>8</v>
      </c>
    </row>
    <row r="53" spans="1:15" x14ac:dyDescent="0.35">
      <c r="A53" s="28" t="str">
        <f>FASTDB[[#This Row],[Fastener Family]] &amp;"_" &amp;FASTDB[[#This Row],[Dash Number]]</f>
        <v>EN6115L_6</v>
      </c>
      <c r="B53" s="28" t="s">
        <v>40</v>
      </c>
      <c r="C53" s="29" t="s">
        <v>30</v>
      </c>
      <c r="D53" s="29" t="s">
        <v>33</v>
      </c>
      <c r="E53" s="6" t="s">
        <v>19</v>
      </c>
      <c r="F53" s="30">
        <v>6</v>
      </c>
      <c r="G53" s="31">
        <v>9.52</v>
      </c>
      <c r="H53" s="32">
        <v>123000</v>
      </c>
      <c r="I53" s="32">
        <v>85300</v>
      </c>
      <c r="J53" s="30" t="s">
        <v>8</v>
      </c>
      <c r="K53" s="33" t="s">
        <v>8</v>
      </c>
    </row>
    <row r="54" spans="1:15" x14ac:dyDescent="0.35">
      <c r="A54" s="28" t="str">
        <f>FASTDB[[#This Row],[Fastener Family]] &amp;"_" &amp;FASTDB[[#This Row],[Dash Number]]</f>
        <v>EN6115L_7</v>
      </c>
      <c r="B54" s="28" t="s">
        <v>40</v>
      </c>
      <c r="C54" s="29" t="s">
        <v>30</v>
      </c>
      <c r="D54" s="29" t="s">
        <v>33</v>
      </c>
      <c r="E54" s="6" t="s">
        <v>19</v>
      </c>
      <c r="F54" s="30">
        <v>7</v>
      </c>
      <c r="G54" s="31">
        <v>11.11</v>
      </c>
      <c r="H54" s="32">
        <v>167300</v>
      </c>
      <c r="I54" s="32">
        <v>114830</v>
      </c>
      <c r="J54" s="30" t="s">
        <v>8</v>
      </c>
      <c r="K54" s="33" t="s">
        <v>8</v>
      </c>
    </row>
    <row r="55" spans="1:15" x14ac:dyDescent="0.35">
      <c r="A55" s="39" t="s">
        <v>27</v>
      </c>
      <c r="B55" s="40"/>
      <c r="C55" s="40"/>
      <c r="D55" s="40"/>
      <c r="E55" s="41"/>
      <c r="F55" s="42"/>
      <c r="G55" s="42"/>
      <c r="H55" s="43"/>
      <c r="I55" s="43"/>
      <c r="J55" s="44"/>
      <c r="K55" s="44"/>
    </row>
    <row r="56" spans="1:15" x14ac:dyDescent="0.35">
      <c r="A56" s="28" t="str">
        <f>FASTDB[[#This Row],[Fastener Family]] &amp;"_" &amp;FASTDB[[#This Row],[Dash Number]]</f>
        <v>EN6115L_2</v>
      </c>
      <c r="B56" s="28" t="s">
        <v>40</v>
      </c>
      <c r="C56" s="29" t="s">
        <v>35</v>
      </c>
      <c r="D56" s="29" t="s">
        <v>34</v>
      </c>
      <c r="E56" s="11" t="s">
        <v>20</v>
      </c>
      <c r="F56" s="30">
        <v>2</v>
      </c>
      <c r="G56" s="31">
        <v>4</v>
      </c>
      <c r="H56" s="32" t="s">
        <v>29</v>
      </c>
      <c r="I56" s="32" t="s">
        <v>29</v>
      </c>
      <c r="J56" s="30" t="s">
        <v>8</v>
      </c>
      <c r="K56" s="54">
        <v>1.24</v>
      </c>
    </row>
    <row r="57" spans="1:15" x14ac:dyDescent="0.35">
      <c r="A57" s="28" t="str">
        <f>FASTDB[[#This Row],[Fastener Family]] &amp;"_" &amp;FASTDB[[#This Row],[Dash Number]]</f>
        <v>EN6115L_3</v>
      </c>
      <c r="B57" s="28" t="s">
        <v>40</v>
      </c>
      <c r="C57" s="29" t="s">
        <v>35</v>
      </c>
      <c r="D57" s="29" t="s">
        <v>34</v>
      </c>
      <c r="E57" s="11" t="s">
        <v>20</v>
      </c>
      <c r="F57" s="30">
        <v>3</v>
      </c>
      <c r="G57" s="31">
        <v>4.8</v>
      </c>
      <c r="H57" s="32">
        <v>31500</v>
      </c>
      <c r="I57" s="32">
        <v>4940</v>
      </c>
      <c r="J57" s="30" t="s">
        <v>8</v>
      </c>
      <c r="K57" s="54">
        <v>1.42</v>
      </c>
    </row>
    <row r="58" spans="1:15" x14ac:dyDescent="0.35">
      <c r="A58" s="28" t="str">
        <f>FASTDB[[#This Row],[Fastener Family]] &amp;"_" &amp;FASTDB[[#This Row],[Dash Number]]</f>
        <v>EN6115L_4</v>
      </c>
      <c r="B58" s="28" t="s">
        <v>40</v>
      </c>
      <c r="C58" s="29" t="s">
        <v>35</v>
      </c>
      <c r="D58" s="29" t="s">
        <v>34</v>
      </c>
      <c r="E58" s="11" t="s">
        <v>20</v>
      </c>
      <c r="F58" s="30">
        <v>4</v>
      </c>
      <c r="G58" s="31">
        <v>6.35</v>
      </c>
      <c r="H58" s="32">
        <v>54800</v>
      </c>
      <c r="I58" s="32">
        <v>9550</v>
      </c>
      <c r="J58" s="30" t="s">
        <v>8</v>
      </c>
      <c r="K58" s="54">
        <v>1.88</v>
      </c>
    </row>
    <row r="59" spans="1:15" x14ac:dyDescent="0.35">
      <c r="A59" s="28" t="str">
        <f>FASTDB[[#This Row],[Fastener Family]] &amp;"_" &amp;FASTDB[[#This Row],[Dash Number]]</f>
        <v>EN6115L_5</v>
      </c>
      <c r="B59" s="28" t="s">
        <v>40</v>
      </c>
      <c r="C59" s="29" t="s">
        <v>35</v>
      </c>
      <c r="D59" s="29" t="s">
        <v>34</v>
      </c>
      <c r="E59" s="11" t="s">
        <v>20</v>
      </c>
      <c r="F59" s="30">
        <v>5</v>
      </c>
      <c r="G59" s="31">
        <v>7.94</v>
      </c>
      <c r="H59" s="32">
        <v>85100</v>
      </c>
      <c r="I59" s="32">
        <v>14310</v>
      </c>
      <c r="J59" s="30" t="s">
        <v>8</v>
      </c>
      <c r="K59" s="54">
        <v>2.34</v>
      </c>
    </row>
    <row r="60" spans="1:15" x14ac:dyDescent="0.35">
      <c r="A60" s="28" t="str">
        <f>FASTDB[[#This Row],[Fastener Family]] &amp;"_" &amp;FASTDB[[#This Row],[Dash Number]]</f>
        <v>EN6115L_6</v>
      </c>
      <c r="B60" s="28" t="s">
        <v>40</v>
      </c>
      <c r="C60" s="29" t="s">
        <v>35</v>
      </c>
      <c r="D60" s="29" t="s">
        <v>34</v>
      </c>
      <c r="E60" s="11" t="s">
        <v>20</v>
      </c>
      <c r="F60" s="30">
        <v>6</v>
      </c>
      <c r="G60" s="31">
        <v>9.52</v>
      </c>
      <c r="H60" s="32">
        <v>123000</v>
      </c>
      <c r="I60" s="32">
        <v>21010</v>
      </c>
      <c r="J60" s="30" t="s">
        <v>8</v>
      </c>
      <c r="K60" s="54">
        <v>2.79</v>
      </c>
    </row>
    <row r="61" spans="1:15" x14ac:dyDescent="0.35">
      <c r="A61" s="28" t="str">
        <f>FASTDB[[#This Row],[Fastener Family]] &amp;"_" &amp;FASTDB[[#This Row],[Dash Number]]</f>
        <v>EN6115L_7</v>
      </c>
      <c r="B61" s="28" t="s">
        <v>40</v>
      </c>
      <c r="C61" s="29" t="s">
        <v>35</v>
      </c>
      <c r="D61" s="29" t="s">
        <v>34</v>
      </c>
      <c r="E61" s="11" t="s">
        <v>20</v>
      </c>
      <c r="F61" s="30">
        <v>7</v>
      </c>
      <c r="G61" s="31">
        <v>11.11</v>
      </c>
      <c r="H61" s="32">
        <v>167300</v>
      </c>
      <c r="I61" s="32">
        <v>27300</v>
      </c>
      <c r="J61" s="30" t="s">
        <v>8</v>
      </c>
      <c r="K61" s="54">
        <v>3.2</v>
      </c>
    </row>
    <row r="62" spans="1:15" x14ac:dyDescent="0.35">
      <c r="A62" s="39" t="s">
        <v>27</v>
      </c>
      <c r="B62" s="40"/>
      <c r="C62" s="40"/>
      <c r="D62" s="40"/>
      <c r="E62" s="41"/>
      <c r="F62" s="42"/>
      <c r="G62" s="42"/>
      <c r="H62" s="43"/>
      <c r="I62" s="43"/>
      <c r="J62" s="44"/>
      <c r="K62" s="44"/>
    </row>
    <row r="63" spans="1:15" x14ac:dyDescent="0.35">
      <c r="A63" s="28" t="str">
        <f>FASTDB[[#This Row],[Fastener Family]] &amp;FASTDB[[#This Row],[Dash Number]]</f>
        <v>NAS1790C3</v>
      </c>
      <c r="B63" s="28" t="s">
        <v>61</v>
      </c>
      <c r="C63" s="29" t="s">
        <v>62</v>
      </c>
      <c r="D63" s="29" t="s">
        <v>63</v>
      </c>
      <c r="E63" s="11" t="s">
        <v>20</v>
      </c>
      <c r="F63" s="55">
        <v>3</v>
      </c>
      <c r="G63" s="31">
        <f>FASTDB[[#This Row],[Dash Number]]*25.4*0.0625</f>
        <v>4.7624999999999993</v>
      </c>
      <c r="H63" s="56">
        <f>2*0.25*PI()*FASTDB[[#This Row],[Diameter 
(mm)]]^2*896.3/SQRT(3)</f>
        <v>18436.675993847653</v>
      </c>
      <c r="I63" s="56">
        <f>MIN(896.3*0.25*PI()*FASTDB[[#This Row],[Diameter 
(mm)]]^2,896.3/SQRT(3)*PI()*FASTDB[[#This Row],[Diameter 
(mm)]]*FASTDB[[#This Row],[Countersunk
head height (H)]])</f>
        <v>15966.62977201478</v>
      </c>
      <c r="J63" s="57"/>
      <c r="K63" s="54">
        <f>0.083*25.4</f>
        <v>2.1082000000000001</v>
      </c>
      <c r="L63" s="58" t="s">
        <v>64</v>
      </c>
      <c r="M63" s="58"/>
      <c r="N63" s="58"/>
      <c r="O63" s="58"/>
    </row>
    <row r="64" spans="1:15" x14ac:dyDescent="0.35">
      <c r="A64" s="28" t="str">
        <f>FASTDB[[#This Row],[Fastener Family]] &amp;FASTDB[[#This Row],[Dash Number]]</f>
        <v>NAS1790C4</v>
      </c>
      <c r="B64" s="28" t="s">
        <v>61</v>
      </c>
      <c r="C64" s="29" t="s">
        <v>62</v>
      </c>
      <c r="D64" s="29" t="s">
        <v>63</v>
      </c>
      <c r="E64" s="11" t="s">
        <v>20</v>
      </c>
      <c r="F64" s="55">
        <v>4</v>
      </c>
      <c r="G64" s="31">
        <f>FASTDB[[#This Row],[Dash Number]]*25.4*0.0625</f>
        <v>6.35</v>
      </c>
      <c r="H64" s="56">
        <f>2*0.25*PI()*FASTDB[[#This Row],[Diameter 
(mm)]]^2*896.3/SQRT(3)</f>
        <v>32776.312877951394</v>
      </c>
      <c r="I64" s="56">
        <f>MIN(896.3*0.25*PI()*FASTDB[[#This Row],[Diameter 
(mm)]]^2,896.3/SQRT(3)*PI()*FASTDB[[#This Row],[Diameter 
(mm)]]*FASTDB[[#This Row],[Countersunk
head height (H)]])</f>
        <v>28385.119594692947</v>
      </c>
      <c r="J64" s="57"/>
      <c r="K64" s="54">
        <f>0.111*25.4</f>
        <v>2.8193999999999999</v>
      </c>
      <c r="L64" s="58"/>
      <c r="M64" s="58"/>
      <c r="N64" s="58"/>
      <c r="O64" s="58"/>
    </row>
    <row r="65" spans="1:15" x14ac:dyDescent="0.35">
      <c r="A65" s="28" t="str">
        <f>FASTDB[[#This Row],[Fastener Family]] &amp;FASTDB[[#This Row],[Dash Number]]</f>
        <v>NAS1790C5</v>
      </c>
      <c r="B65" s="28" t="s">
        <v>61</v>
      </c>
      <c r="C65" s="29" t="s">
        <v>62</v>
      </c>
      <c r="D65" s="29" t="s">
        <v>63</v>
      </c>
      <c r="E65" s="11" t="s">
        <v>20</v>
      </c>
      <c r="F65" s="55">
        <v>5</v>
      </c>
      <c r="G65" s="31">
        <f>FASTDB[[#This Row],[Dash Number]]*25.4*0.0625</f>
        <v>7.9375</v>
      </c>
      <c r="H65" s="56">
        <f>2*0.25*PI()*FASTDB[[#This Row],[Diameter 
(mm)]]^2*896.3/SQRT(3)</f>
        <v>51212.988871799047</v>
      </c>
      <c r="I65" s="56">
        <f>MIN(896.3*0.25*PI()*FASTDB[[#This Row],[Diameter 
(mm)]]^2,896.3/SQRT(3)*PI()*FASTDB[[#This Row],[Diameter 
(mm)]]*FASTDB[[#This Row],[Countersunk
head height (H)]])</f>
        <v>44351.749366707729</v>
      </c>
      <c r="J65" s="57"/>
      <c r="K65" s="54">
        <f>0.167*25.4</f>
        <v>4.2417999999999996</v>
      </c>
      <c r="L65" s="58"/>
      <c r="M65" s="58"/>
      <c r="N65" s="58"/>
      <c r="O65" s="58"/>
    </row>
    <row r="66" spans="1:15" x14ac:dyDescent="0.35">
      <c r="A66" s="28" t="str">
        <f>FASTDB[[#This Row],[Fastener Family]] &amp;FASTDB[[#This Row],[Dash Number]]</f>
        <v>NAS1790C6</v>
      </c>
      <c r="B66" s="28" t="s">
        <v>61</v>
      </c>
      <c r="C66" s="29" t="s">
        <v>62</v>
      </c>
      <c r="D66" s="29" t="s">
        <v>63</v>
      </c>
      <c r="E66" s="11" t="s">
        <v>20</v>
      </c>
      <c r="F66" s="55">
        <v>6</v>
      </c>
      <c r="G66" s="31">
        <f>FASTDB[[#This Row],[Dash Number]]*25.4*0.0625</f>
        <v>9.5249999999999986</v>
      </c>
      <c r="H66" s="56">
        <f>2*0.25*PI()*FASTDB[[#This Row],[Diameter 
(mm)]]^2*896.3/SQRT(3)</f>
        <v>73746.703975390614</v>
      </c>
      <c r="I66" s="56">
        <f>MIN(896.3*0.25*PI()*FASTDB[[#This Row],[Diameter 
(mm)]]^2,896.3/SQRT(3)*PI()*FASTDB[[#This Row],[Diameter 
(mm)]]*FASTDB[[#This Row],[Countersunk
head height (H)]])</f>
        <v>63866.519088059118</v>
      </c>
      <c r="J66" s="57"/>
      <c r="K66" s="54">
        <f>0.195*25.4</f>
        <v>4.9530000000000003</v>
      </c>
      <c r="L66" s="58"/>
      <c r="M66" s="58"/>
      <c r="N66" s="58"/>
      <c r="O66" s="58"/>
    </row>
    <row r="67" spans="1:15" x14ac:dyDescent="0.35">
      <c r="A67" s="28" t="str">
        <f>FASTDB[[#This Row],[Fastener Family]] &amp;FASTDB[[#This Row],[Dash Number]]</f>
        <v>NAS1790C7</v>
      </c>
      <c r="B67" s="28" t="s">
        <v>61</v>
      </c>
      <c r="C67" s="29" t="s">
        <v>62</v>
      </c>
      <c r="D67" s="29" t="s">
        <v>63</v>
      </c>
      <c r="E67" s="11" t="s">
        <v>20</v>
      </c>
      <c r="F67" s="55">
        <v>7</v>
      </c>
      <c r="G67" s="31">
        <f>FASTDB[[#This Row],[Dash Number]]*25.4*0.0625</f>
        <v>11.112499999999999</v>
      </c>
      <c r="H67" s="56">
        <f>2*0.25*PI()*FASTDB[[#This Row],[Diameter 
(mm)]]^2*896.3/SQRT(3)</f>
        <v>100377.45818872612</v>
      </c>
      <c r="I67" s="56">
        <f>MIN(896.3*0.25*PI()*FASTDB[[#This Row],[Diameter 
(mm)]]^2,896.3/SQRT(3)*PI()*FASTDB[[#This Row],[Diameter 
(mm)]]*FASTDB[[#This Row],[Countersunk
head height (H)]])</f>
        <v>86929.428758747134</v>
      </c>
      <c r="J67" s="57"/>
      <c r="K67" s="54">
        <f>0.222*25.4</f>
        <v>5.6387999999999998</v>
      </c>
      <c r="L67" s="58"/>
      <c r="M67" s="58"/>
      <c r="N67" s="58"/>
      <c r="O67" s="58"/>
    </row>
    <row r="68" spans="1:15" x14ac:dyDescent="0.35">
      <c r="A68" s="28" t="str">
        <f>FASTDB[[#This Row],[Fastener Family]] &amp;FASTDB[[#This Row],[Dash Number]]</f>
        <v>NAS1790C8</v>
      </c>
      <c r="B68" s="28" t="s">
        <v>61</v>
      </c>
      <c r="C68" s="29" t="s">
        <v>62</v>
      </c>
      <c r="D68" s="29" t="s">
        <v>63</v>
      </c>
      <c r="E68" s="11" t="s">
        <v>20</v>
      </c>
      <c r="F68" s="55">
        <v>8</v>
      </c>
      <c r="G68" s="31">
        <f>FASTDB[[#This Row],[Dash Number]]*25.4*0.0625</f>
        <v>12.7</v>
      </c>
      <c r="H68" s="56">
        <f>2*0.25*PI()*FASTDB[[#This Row],[Diameter 
(mm)]]^2*896.3/SQRT(3)</f>
        <v>131105.25151180557</v>
      </c>
      <c r="I68" s="56">
        <f>MIN(896.3*0.25*PI()*FASTDB[[#This Row],[Diameter 
(mm)]]^2,896.3/SQRT(3)*PI()*FASTDB[[#This Row],[Diameter 
(mm)]]*FASTDB[[#This Row],[Countersunk
head height (H)]])</f>
        <v>113540.47837877179</v>
      </c>
      <c r="J68" s="57"/>
      <c r="K68" s="54">
        <f>0.25*25.4</f>
        <v>6.35</v>
      </c>
      <c r="L68" s="58"/>
      <c r="M68" s="58"/>
      <c r="N68" s="58"/>
      <c r="O68" s="58"/>
    </row>
    <row r="69" spans="1:15" x14ac:dyDescent="0.35">
      <c r="A69" s="39" t="s">
        <v>27</v>
      </c>
      <c r="B69" s="40"/>
      <c r="C69" s="40"/>
      <c r="D69" s="40"/>
      <c r="E69" s="41"/>
      <c r="F69" s="42"/>
      <c r="G69" s="42"/>
      <c r="H69" s="43"/>
      <c r="I69" s="43"/>
      <c r="J69" s="44"/>
      <c r="K69" s="44"/>
    </row>
    <row r="70" spans="1:15" x14ac:dyDescent="0.35">
      <c r="A70" s="28" t="str">
        <f>FASTDB[[#This Row],[Fastener Family]] &amp;FASTDB[[#This Row],[Dash Number]]</f>
        <v>NAS1790V3</v>
      </c>
      <c r="B70" s="28" t="s">
        <v>65</v>
      </c>
      <c r="C70" s="29" t="s">
        <v>66</v>
      </c>
      <c r="D70" s="29" t="s">
        <v>63</v>
      </c>
      <c r="E70" s="11" t="s">
        <v>20</v>
      </c>
      <c r="F70" s="55">
        <v>3</v>
      </c>
      <c r="G70" s="31">
        <f>FASTDB[[#This Row],[Dash Number]]*25.4*0.0625</f>
        <v>4.7624999999999993</v>
      </c>
      <c r="H70" s="56">
        <f>2*0.25*PI()*FASTDB[[#This Row],[Diameter 
(mm)]]^2*572.3</f>
        <v>20389.829785839695</v>
      </c>
      <c r="I70" s="56">
        <f>MIN(930.8*0.25*PI()*FASTDB[[#This Row],[Diameter 
(mm)]]^2,572.3*PI()*FASTDB[[#This Row],[Diameter 
(mm)]]*FASTDB[[#This Row],[Countersunk
head height (H)]])</f>
        <v>16581.21052302952</v>
      </c>
      <c r="J70" s="57"/>
      <c r="K70" s="54">
        <f>0.083*25.4</f>
        <v>2.1082000000000001</v>
      </c>
      <c r="L70" s="58" t="s">
        <v>64</v>
      </c>
      <c r="M70" s="58"/>
      <c r="N70" s="58"/>
      <c r="O70" s="58"/>
    </row>
    <row r="71" spans="1:15" x14ac:dyDescent="0.35">
      <c r="A71" s="28" t="str">
        <f>FASTDB[[#This Row],[Fastener Family]] &amp;FASTDB[[#This Row],[Dash Number]]</f>
        <v>NAS1790V4</v>
      </c>
      <c r="B71" s="28" t="s">
        <v>65</v>
      </c>
      <c r="C71" s="29" t="s">
        <v>66</v>
      </c>
      <c r="D71" s="29" t="s">
        <v>63</v>
      </c>
      <c r="E71" s="11" t="s">
        <v>20</v>
      </c>
      <c r="F71" s="55">
        <v>4</v>
      </c>
      <c r="G71" s="31">
        <f>FASTDB[[#This Row],[Dash Number]]*25.4*0.0625</f>
        <v>6.35</v>
      </c>
      <c r="H71" s="56">
        <f>2*0.25*PI()*FASTDB[[#This Row],[Diameter 
(mm)]]^2*572.3</f>
        <v>36248.586285937236</v>
      </c>
      <c r="I71" s="56">
        <f>MIN(930.8*0.25*PI()*FASTDB[[#This Row],[Diameter 
(mm)]]^2,572.3*PI()*FASTDB[[#This Row],[Diameter 
(mm)]]*FASTDB[[#This Row],[Countersunk
head height (H)]])</f>
        <v>29477.707596496926</v>
      </c>
      <c r="J71" s="57"/>
      <c r="K71" s="54">
        <f>0.111*25.4</f>
        <v>2.8193999999999999</v>
      </c>
      <c r="L71" s="58"/>
      <c r="M71" s="58"/>
      <c r="N71" s="58"/>
      <c r="O71" s="58"/>
    </row>
    <row r="72" spans="1:15" x14ac:dyDescent="0.35">
      <c r="A72" s="28" t="str">
        <f>FASTDB[[#This Row],[Fastener Family]] &amp;FASTDB[[#This Row],[Dash Number]]</f>
        <v>NAS1790V5</v>
      </c>
      <c r="B72" s="28" t="s">
        <v>65</v>
      </c>
      <c r="C72" s="29" t="s">
        <v>66</v>
      </c>
      <c r="D72" s="29" t="s">
        <v>63</v>
      </c>
      <c r="E72" s="11" t="s">
        <v>20</v>
      </c>
      <c r="F72" s="55">
        <v>5</v>
      </c>
      <c r="G72" s="31">
        <f>FASTDB[[#This Row],[Dash Number]]*25.4*0.0625</f>
        <v>7.9375</v>
      </c>
      <c r="H72" s="56">
        <f>2*0.25*PI()*FASTDB[[#This Row],[Diameter 
(mm)]]^2*572.3</f>
        <v>56638.416071776934</v>
      </c>
      <c r="I72" s="56">
        <f>MIN(930.8*0.25*PI()*FASTDB[[#This Row],[Diameter 
(mm)]]^2,572.3*PI()*FASTDB[[#This Row],[Diameter 
(mm)]]*FASTDB[[#This Row],[Countersunk
head height (H)]])</f>
        <v>46058.918119526454</v>
      </c>
      <c r="J72" s="57"/>
      <c r="K72" s="54">
        <f>0.167*25.4</f>
        <v>4.2417999999999996</v>
      </c>
      <c r="L72" s="58"/>
      <c r="M72" s="58"/>
      <c r="N72" s="58"/>
      <c r="O72" s="58"/>
    </row>
    <row r="73" spans="1:15" x14ac:dyDescent="0.35">
      <c r="A73" s="28" t="str">
        <f>FASTDB[[#This Row],[Fastener Family]] &amp;FASTDB[[#This Row],[Dash Number]]</f>
        <v>NAS1790V6</v>
      </c>
      <c r="B73" s="28" t="s">
        <v>65</v>
      </c>
      <c r="C73" s="29" t="s">
        <v>66</v>
      </c>
      <c r="D73" s="29" t="s">
        <v>63</v>
      </c>
      <c r="E73" s="11" t="s">
        <v>20</v>
      </c>
      <c r="F73" s="55">
        <v>6</v>
      </c>
      <c r="G73" s="31">
        <f>FASTDB[[#This Row],[Dash Number]]*25.4*0.0625</f>
        <v>9.5249999999999986</v>
      </c>
      <c r="H73" s="56">
        <f>2*0.25*PI()*FASTDB[[#This Row],[Diameter 
(mm)]]^2*572.3</f>
        <v>81559.319143358778</v>
      </c>
      <c r="I73" s="56">
        <f>MIN(930.8*0.25*PI()*FASTDB[[#This Row],[Diameter 
(mm)]]^2,572.3*PI()*FASTDB[[#This Row],[Diameter 
(mm)]]*FASTDB[[#This Row],[Countersunk
head height (H)]])</f>
        <v>66324.84209211808</v>
      </c>
      <c r="J73" s="57"/>
      <c r="K73" s="54">
        <f>0.195*25.4</f>
        <v>4.9530000000000003</v>
      </c>
      <c r="L73" s="58"/>
      <c r="M73" s="58"/>
      <c r="N73" s="58"/>
      <c r="O73" s="58"/>
    </row>
    <row r="74" spans="1:15" x14ac:dyDescent="0.35">
      <c r="A74" s="28" t="str">
        <f>FASTDB[[#This Row],[Fastener Family]] &amp;FASTDB[[#This Row],[Dash Number]]</f>
        <v>NAS1790V7</v>
      </c>
      <c r="B74" s="28" t="s">
        <v>65</v>
      </c>
      <c r="C74" s="29" t="s">
        <v>66</v>
      </c>
      <c r="D74" s="29" t="s">
        <v>63</v>
      </c>
      <c r="E74" s="11" t="s">
        <v>20</v>
      </c>
      <c r="F74" s="55">
        <v>7</v>
      </c>
      <c r="G74" s="31">
        <f>FASTDB[[#This Row],[Dash Number]]*25.4*0.0625</f>
        <v>11.112499999999999</v>
      </c>
      <c r="H74" s="56">
        <f>2*0.25*PI()*FASTDB[[#This Row],[Diameter 
(mm)]]^2*572.3</f>
        <v>111011.29550068278</v>
      </c>
      <c r="I74" s="56">
        <f>MIN(930.8*0.25*PI()*FASTDB[[#This Row],[Diameter 
(mm)]]^2,572.3*PI()*FASTDB[[#This Row],[Diameter 
(mm)]]*FASTDB[[#This Row],[Countersunk
head height (H)]])</f>
        <v>90275.479514271821</v>
      </c>
      <c r="J74" s="57"/>
      <c r="K74" s="54">
        <f>0.222*25.4</f>
        <v>5.6387999999999998</v>
      </c>
      <c r="L74" s="58"/>
      <c r="M74" s="58"/>
      <c r="N74" s="58"/>
      <c r="O74" s="58"/>
    </row>
    <row r="75" spans="1:15" x14ac:dyDescent="0.35">
      <c r="A75" s="28" t="str">
        <f>FASTDB[[#This Row],[Fastener Family]] &amp;FASTDB[[#This Row],[Dash Number]]</f>
        <v>NAS1790V8</v>
      </c>
      <c r="B75" s="28" t="s">
        <v>65</v>
      </c>
      <c r="C75" s="29" t="s">
        <v>66</v>
      </c>
      <c r="D75" s="29" t="s">
        <v>63</v>
      </c>
      <c r="E75" s="11" t="s">
        <v>20</v>
      </c>
      <c r="F75" s="55">
        <v>8</v>
      </c>
      <c r="G75" s="31">
        <f>FASTDB[[#This Row],[Dash Number]]*25.4*0.0625</f>
        <v>12.7</v>
      </c>
      <c r="H75" s="56">
        <f>2*0.25*PI()*FASTDB[[#This Row],[Diameter 
(mm)]]^2*572.3</f>
        <v>144994.34514374894</v>
      </c>
      <c r="I75" s="56">
        <f>MIN(930.8*0.25*PI()*FASTDB[[#This Row],[Diameter 
(mm)]]^2,572.3*PI()*FASTDB[[#This Row],[Diameter 
(mm)]]*FASTDB[[#This Row],[Countersunk
head height (H)]])</f>
        <v>117910.83038598771</v>
      </c>
      <c r="J75" s="57"/>
      <c r="K75" s="54">
        <f>0.25*25.4</f>
        <v>6.35</v>
      </c>
      <c r="L75" s="58"/>
      <c r="M75" s="58"/>
      <c r="N75" s="58"/>
      <c r="O75" s="58"/>
    </row>
    <row r="76" spans="1:15" x14ac:dyDescent="0.35">
      <c r="A76" s="39" t="s">
        <v>27</v>
      </c>
      <c r="B76" s="40"/>
      <c r="C76" s="40"/>
      <c r="D76" s="40"/>
      <c r="E76" s="41"/>
      <c r="F76" s="42"/>
      <c r="G76" s="42"/>
      <c r="H76" s="43"/>
      <c r="I76" s="43"/>
      <c r="J76" s="44"/>
      <c r="K76" s="44"/>
    </row>
    <row r="77" spans="1:15" x14ac:dyDescent="0.35">
      <c r="A77" s="28" t="str">
        <f>FASTDB[[#This Row],[Fastener Family]] &amp;FASTDB[[#This Row],[Dash Number]]</f>
        <v>NAS1790-3</v>
      </c>
      <c r="B77" s="28" t="s">
        <v>67</v>
      </c>
      <c r="C77" s="29" t="s">
        <v>68</v>
      </c>
      <c r="D77" s="29" t="s">
        <v>63</v>
      </c>
      <c r="E77" s="11" t="s">
        <v>20</v>
      </c>
      <c r="F77" s="55">
        <v>3</v>
      </c>
      <c r="G77" s="31">
        <f>FASTDB[[#This Row],[Dash Number]]*25.4*0.0625</f>
        <v>4.7624999999999993</v>
      </c>
      <c r="H77" s="56">
        <f>2*0.25*PI()*FASTDB[[#This Row],[Diameter 
(mm)]]^2*620.5</f>
        <v>22107.093101718558</v>
      </c>
      <c r="I77" s="56">
        <f>MIN(1034*0.25*PI()*FASTDB[[#This Row],[Diameter 
(mm)]]^2,620.5*PI()*FASTDB[[#This Row],[Diameter 
(mm)]]*FASTDB[[#This Row],[Countersunk
head height (H)]])</f>
        <v>18419.608595630129</v>
      </c>
      <c r="J77" s="57"/>
      <c r="K77" s="54">
        <f>0.083*25.4</f>
        <v>2.1082000000000001</v>
      </c>
      <c r="L77" s="58" t="s">
        <v>64</v>
      </c>
      <c r="M77" s="58"/>
      <c r="N77" s="58"/>
      <c r="O77" s="58"/>
    </row>
    <row r="78" spans="1:15" x14ac:dyDescent="0.35">
      <c r="A78" s="28" t="str">
        <f>FASTDB[[#This Row],[Fastener Family]] &amp;FASTDB[[#This Row],[Dash Number]]</f>
        <v>NAS1790-4</v>
      </c>
      <c r="B78" s="28" t="s">
        <v>67</v>
      </c>
      <c r="C78" s="29" t="s">
        <v>68</v>
      </c>
      <c r="D78" s="29" t="s">
        <v>63</v>
      </c>
      <c r="E78" s="11" t="s">
        <v>20</v>
      </c>
      <c r="F78" s="55">
        <v>4</v>
      </c>
      <c r="G78" s="31">
        <f>FASTDB[[#This Row],[Dash Number]]*25.4*0.0625</f>
        <v>6.35</v>
      </c>
      <c r="H78" s="56">
        <f>2*0.25*PI()*FASTDB[[#This Row],[Diameter 
(mm)]]^2*620.5</f>
        <v>39301.498847499664</v>
      </c>
      <c r="I78" s="56">
        <f>MIN(1034*0.25*PI()*FASTDB[[#This Row],[Diameter 
(mm)]]^2,620.5*PI()*FASTDB[[#This Row],[Diameter 
(mm)]]*FASTDB[[#This Row],[Countersunk
head height (H)]])</f>
        <v>32745.970836675791</v>
      </c>
      <c r="J78" s="57"/>
      <c r="K78" s="54">
        <f>0.111*25.4</f>
        <v>2.8193999999999999</v>
      </c>
      <c r="L78" s="58"/>
      <c r="M78" s="58"/>
      <c r="N78" s="58"/>
      <c r="O78" s="58"/>
    </row>
    <row r="79" spans="1:15" x14ac:dyDescent="0.35">
      <c r="A79" s="28" t="str">
        <f>FASTDB[[#This Row],[Fastener Family]] &amp;FASTDB[[#This Row],[Dash Number]]</f>
        <v>NAS1790-5</v>
      </c>
      <c r="B79" s="28" t="s">
        <v>67</v>
      </c>
      <c r="C79" s="29" t="s">
        <v>68</v>
      </c>
      <c r="D79" s="29" t="s">
        <v>63</v>
      </c>
      <c r="E79" s="11" t="s">
        <v>20</v>
      </c>
      <c r="F79" s="55">
        <v>5</v>
      </c>
      <c r="G79" s="31">
        <f>FASTDB[[#This Row],[Dash Number]]*25.4*0.0625</f>
        <v>7.9375</v>
      </c>
      <c r="H79" s="56">
        <f>2*0.25*PI()*FASTDB[[#This Row],[Diameter 
(mm)]]^2*620.5</f>
        <v>61408.591949218229</v>
      </c>
      <c r="I79" s="56">
        <f>MIN(1034*0.25*PI()*FASTDB[[#This Row],[Diameter 
(mm)]]^2,620.5*PI()*FASTDB[[#This Row],[Diameter 
(mm)]]*FASTDB[[#This Row],[Countersunk
head height (H)]])</f>
        <v>51165.579432305924</v>
      </c>
      <c r="J79" s="57"/>
      <c r="K79" s="54">
        <f>0.167*25.4</f>
        <v>4.2417999999999996</v>
      </c>
      <c r="L79" s="58"/>
      <c r="M79" s="58"/>
      <c r="N79" s="58"/>
      <c r="O79" s="58"/>
    </row>
    <row r="80" spans="1:15" x14ac:dyDescent="0.35">
      <c r="A80" s="28" t="str">
        <f>FASTDB[[#This Row],[Fastener Family]] &amp;FASTDB[[#This Row],[Dash Number]]</f>
        <v>NAS1790-6</v>
      </c>
      <c r="B80" s="28" t="s">
        <v>67</v>
      </c>
      <c r="C80" s="29" t="s">
        <v>68</v>
      </c>
      <c r="D80" s="29" t="s">
        <v>63</v>
      </c>
      <c r="E80" s="11" t="s">
        <v>20</v>
      </c>
      <c r="F80" s="55">
        <v>6</v>
      </c>
      <c r="G80" s="31">
        <f>FASTDB[[#This Row],[Dash Number]]*25.4*0.0625</f>
        <v>9.5249999999999986</v>
      </c>
      <c r="H80" s="56">
        <f>2*0.25*PI()*FASTDB[[#This Row],[Diameter 
(mm)]]^2*620.5</f>
        <v>88428.37240687423</v>
      </c>
      <c r="I80" s="56">
        <f>MIN(1034*0.25*PI()*FASTDB[[#This Row],[Diameter 
(mm)]]^2,620.5*PI()*FASTDB[[#This Row],[Diameter 
(mm)]]*FASTDB[[#This Row],[Countersunk
head height (H)]])</f>
        <v>73678.434382520514</v>
      </c>
      <c r="J80" s="57"/>
      <c r="K80" s="54">
        <f>0.195*25.4</f>
        <v>4.9530000000000003</v>
      </c>
      <c r="L80" s="58"/>
      <c r="M80" s="58"/>
      <c r="N80" s="58"/>
      <c r="O80" s="58"/>
    </row>
    <row r="81" spans="1:15" x14ac:dyDescent="0.35">
      <c r="A81" s="28" t="str">
        <f>FASTDB[[#This Row],[Fastener Family]] &amp;FASTDB[[#This Row],[Dash Number]]</f>
        <v>NAS1790-7</v>
      </c>
      <c r="B81" s="28" t="s">
        <v>67</v>
      </c>
      <c r="C81" s="29" t="s">
        <v>68</v>
      </c>
      <c r="D81" s="29" t="s">
        <v>63</v>
      </c>
      <c r="E81" s="11" t="s">
        <v>20</v>
      </c>
      <c r="F81" s="55">
        <v>7</v>
      </c>
      <c r="G81" s="31">
        <f>FASTDB[[#This Row],[Dash Number]]*25.4*0.0625</f>
        <v>11.112499999999999</v>
      </c>
      <c r="H81" s="56">
        <f>2*0.25*PI()*FASTDB[[#This Row],[Diameter 
(mm)]]^2*620.5</f>
        <v>120360.84022046771</v>
      </c>
      <c r="I81" s="56">
        <f>MIN(1034*0.25*PI()*FASTDB[[#This Row],[Diameter 
(mm)]]^2,620.5*PI()*FASTDB[[#This Row],[Diameter 
(mm)]]*FASTDB[[#This Row],[Countersunk
head height (H)]])</f>
        <v>100284.53568731959</v>
      </c>
      <c r="J81" s="57"/>
      <c r="K81" s="54">
        <f>0.222*25.4</f>
        <v>5.6387999999999998</v>
      </c>
      <c r="L81" s="58"/>
      <c r="M81" s="58"/>
      <c r="N81" s="58"/>
      <c r="O81" s="58"/>
    </row>
    <row r="82" spans="1:15" x14ac:dyDescent="0.35">
      <c r="A82" s="28" t="str">
        <f>FASTDB[[#This Row],[Fastener Family]] &amp;FASTDB[[#This Row],[Dash Number]]</f>
        <v>NAS1790-8</v>
      </c>
      <c r="B82" s="28" t="s">
        <v>67</v>
      </c>
      <c r="C82" s="29" t="s">
        <v>68</v>
      </c>
      <c r="D82" s="29" t="s">
        <v>63</v>
      </c>
      <c r="E82" s="11" t="s">
        <v>20</v>
      </c>
      <c r="F82" s="55">
        <v>8</v>
      </c>
      <c r="G82" s="31">
        <f>FASTDB[[#This Row],[Dash Number]]*25.4*0.0625</f>
        <v>12.7</v>
      </c>
      <c r="H82" s="56">
        <f>2*0.25*PI()*FASTDB[[#This Row],[Diameter 
(mm)]]^2*620.5</f>
        <v>157205.99538999866</v>
      </c>
      <c r="I82" s="56">
        <f>MIN(1034*0.25*PI()*FASTDB[[#This Row],[Diameter 
(mm)]]^2,620.5*PI()*FASTDB[[#This Row],[Diameter 
(mm)]]*FASTDB[[#This Row],[Countersunk
head height (H)]])</f>
        <v>130983.88334670317</v>
      </c>
      <c r="J82" s="57"/>
      <c r="K82" s="54">
        <f>0.25*25.4</f>
        <v>6.35</v>
      </c>
      <c r="L82" s="58"/>
      <c r="M82" s="58"/>
      <c r="N82" s="58"/>
      <c r="O82" s="58"/>
    </row>
    <row r="83" spans="1:15" x14ac:dyDescent="0.35">
      <c r="A83" s="28"/>
      <c r="B83" s="28"/>
      <c r="C83" s="29"/>
      <c r="D83" s="29"/>
      <c r="E83" s="25"/>
      <c r="F83" s="31"/>
      <c r="G83" s="31"/>
      <c r="H83" s="57"/>
      <c r="I83" s="57"/>
      <c r="J83" s="57"/>
      <c r="K83" s="33"/>
    </row>
    <row r="84" spans="1:15" x14ac:dyDescent="0.35">
      <c r="A84" s="28"/>
      <c r="B84" s="28"/>
      <c r="C84" s="29"/>
      <c r="D84" s="29"/>
      <c r="E84" s="25"/>
      <c r="F84" s="31"/>
      <c r="G84" s="31"/>
      <c r="H84" s="57"/>
      <c r="I84" s="57"/>
      <c r="J84" s="57"/>
      <c r="K84" s="33"/>
    </row>
    <row r="85" spans="1:15" x14ac:dyDescent="0.35">
      <c r="A85" s="28"/>
      <c r="B85" s="28"/>
      <c r="C85" s="29"/>
      <c r="D85" s="29"/>
      <c r="E85" s="25"/>
      <c r="F85" s="31"/>
      <c r="G85" s="31"/>
      <c r="H85" s="57"/>
      <c r="I85" s="57"/>
      <c r="J85" s="57"/>
      <c r="K85" s="33"/>
    </row>
    <row r="86" spans="1:15" x14ac:dyDescent="0.35">
      <c r="A86" s="28"/>
      <c r="B86" s="28"/>
      <c r="C86" s="29"/>
      <c r="D86" s="29"/>
      <c r="E86" s="25"/>
      <c r="F86" s="31"/>
      <c r="G86" s="31"/>
      <c r="H86" s="57"/>
      <c r="I86" s="57"/>
      <c r="J86" s="57"/>
      <c r="K86" s="33"/>
    </row>
    <row r="87" spans="1:15" x14ac:dyDescent="0.35">
      <c r="A87" s="28"/>
      <c r="B87" s="28"/>
      <c r="C87" s="29"/>
      <c r="D87" s="29"/>
      <c r="E87" s="25"/>
      <c r="F87" s="31"/>
      <c r="G87" s="31"/>
      <c r="H87" s="57"/>
      <c r="I87" s="57"/>
      <c r="J87" s="57"/>
      <c r="K87" s="33"/>
    </row>
    <row r="88" spans="1:15" x14ac:dyDescent="0.35">
      <c r="A88" s="28"/>
      <c r="B88" s="28"/>
      <c r="C88" s="29"/>
      <c r="D88" s="29"/>
      <c r="E88" s="25"/>
      <c r="F88" s="31"/>
      <c r="G88" s="31"/>
      <c r="H88" s="57"/>
      <c r="I88" s="57"/>
      <c r="J88" s="57"/>
      <c r="K88" s="33"/>
    </row>
    <row r="89" spans="1:15" x14ac:dyDescent="0.35">
      <c r="A89" s="28"/>
      <c r="B89" s="28"/>
      <c r="C89" s="29"/>
      <c r="D89" s="29"/>
      <c r="E89" s="25"/>
      <c r="F89" s="31"/>
      <c r="G89" s="31"/>
      <c r="H89" s="57"/>
      <c r="I89" s="57"/>
      <c r="J89" s="57"/>
      <c r="K89" s="33"/>
    </row>
    <row r="90" spans="1:15" x14ac:dyDescent="0.35">
      <c r="A90" s="28"/>
      <c r="B90" s="28"/>
      <c r="C90" s="29"/>
      <c r="D90" s="29"/>
      <c r="E90" s="25"/>
      <c r="F90" s="31"/>
      <c r="G90" s="31"/>
      <c r="H90" s="57"/>
      <c r="I90" s="57"/>
      <c r="J90" s="57"/>
      <c r="K90" s="33"/>
    </row>
    <row r="91" spans="1:15" x14ac:dyDescent="0.35">
      <c r="A91" s="28"/>
      <c r="B91" s="28"/>
      <c r="C91" s="29"/>
      <c r="D91" s="29"/>
      <c r="E91" s="25"/>
      <c r="F91" s="31"/>
      <c r="G91" s="31"/>
      <c r="H91" s="57"/>
      <c r="I91" s="57"/>
      <c r="J91" s="57"/>
      <c r="K91" s="33"/>
    </row>
    <row r="92" spans="1:15" x14ac:dyDescent="0.35">
      <c r="A92" s="28"/>
      <c r="B92" s="28"/>
      <c r="C92" s="29"/>
      <c r="D92" s="29"/>
      <c r="E92" s="25"/>
      <c r="F92" s="31"/>
      <c r="G92" s="31"/>
      <c r="H92" s="57"/>
      <c r="I92" s="57"/>
      <c r="J92" s="57"/>
      <c r="K92" s="33"/>
    </row>
    <row r="93" spans="1:15" x14ac:dyDescent="0.35">
      <c r="A93" s="28"/>
      <c r="B93" s="28"/>
      <c r="C93" s="29"/>
      <c r="D93" s="29"/>
      <c r="E93" s="25"/>
      <c r="F93" s="31"/>
      <c r="G93" s="31"/>
      <c r="H93" s="57"/>
      <c r="I93" s="57"/>
      <c r="J93" s="57"/>
      <c r="K93" s="33"/>
    </row>
    <row r="94" spans="1:15" x14ac:dyDescent="0.35">
      <c r="A94" s="28"/>
      <c r="B94" s="28"/>
      <c r="C94" s="29"/>
      <c r="D94" s="29"/>
      <c r="E94" s="25"/>
      <c r="F94" s="31"/>
      <c r="G94" s="31"/>
      <c r="H94" s="57"/>
      <c r="I94" s="57"/>
      <c r="J94" s="57"/>
      <c r="K94" s="33"/>
    </row>
    <row r="95" spans="1:15" x14ac:dyDescent="0.35">
      <c r="A95" s="28"/>
      <c r="B95" s="28"/>
      <c r="C95" s="29"/>
      <c r="D95" s="29"/>
      <c r="E95" s="25"/>
      <c r="F95" s="31"/>
      <c r="G95" s="31"/>
      <c r="H95" s="57"/>
      <c r="I95" s="57"/>
      <c r="J95" s="57"/>
      <c r="K95" s="33"/>
    </row>
    <row r="96" spans="1:15" x14ac:dyDescent="0.35">
      <c r="A96" s="28"/>
      <c r="B96" s="28"/>
      <c r="C96" s="29"/>
      <c r="D96" s="29"/>
      <c r="E96" s="25"/>
      <c r="F96" s="31"/>
      <c r="G96" s="31"/>
      <c r="H96" s="57"/>
      <c r="I96" s="57"/>
      <c r="J96" s="57"/>
      <c r="K96" s="33"/>
    </row>
    <row r="97" spans="1:11" x14ac:dyDescent="0.35">
      <c r="A97" s="28"/>
      <c r="B97" s="28"/>
      <c r="C97" s="29"/>
      <c r="D97" s="29"/>
      <c r="E97" s="25"/>
      <c r="F97" s="31"/>
      <c r="G97" s="31"/>
      <c r="H97" s="57"/>
      <c r="I97" s="57"/>
      <c r="J97" s="57"/>
      <c r="K97" s="33"/>
    </row>
    <row r="98" spans="1:11" x14ac:dyDescent="0.35">
      <c r="A98" s="28"/>
      <c r="B98" s="28"/>
      <c r="C98" s="29"/>
      <c r="D98" s="29"/>
      <c r="E98" s="25"/>
      <c r="F98" s="31"/>
      <c r="G98" s="31"/>
      <c r="H98" s="57"/>
      <c r="I98" s="57"/>
      <c r="J98" s="57"/>
      <c r="K98" s="33"/>
    </row>
    <row r="99" spans="1:11" x14ac:dyDescent="0.35">
      <c r="A99" s="28"/>
      <c r="B99" s="28"/>
      <c r="C99" s="29"/>
      <c r="D99" s="29"/>
      <c r="E99" s="25"/>
      <c r="F99" s="31"/>
      <c r="G99" s="31"/>
      <c r="H99" s="57"/>
      <c r="I99" s="57"/>
      <c r="J99" s="57"/>
      <c r="K99" s="33"/>
    </row>
    <row r="100" spans="1:11" x14ac:dyDescent="0.35">
      <c r="A100" s="28"/>
      <c r="B100" s="28"/>
      <c r="C100" s="29"/>
      <c r="D100" s="29"/>
      <c r="E100" s="25"/>
      <c r="F100" s="31"/>
      <c r="G100" s="31"/>
      <c r="H100" s="57"/>
      <c r="I100" s="57"/>
      <c r="J100" s="57"/>
      <c r="K100" s="33"/>
    </row>
    <row r="101" spans="1:11" x14ac:dyDescent="0.35">
      <c r="A101" s="28"/>
      <c r="B101" s="28"/>
      <c r="C101" s="29"/>
      <c r="D101" s="29"/>
      <c r="E101" s="25"/>
      <c r="F101" s="31"/>
      <c r="G101" s="31"/>
      <c r="H101" s="57"/>
      <c r="I101" s="57"/>
      <c r="J101" s="57"/>
      <c r="K101" s="33"/>
    </row>
    <row r="102" spans="1:11" x14ac:dyDescent="0.35">
      <c r="A102" s="28"/>
      <c r="B102" s="28"/>
      <c r="C102" s="29"/>
      <c r="D102" s="29"/>
      <c r="E102" s="25"/>
      <c r="F102" s="31"/>
      <c r="G102" s="31"/>
      <c r="H102" s="57"/>
      <c r="I102" s="57"/>
      <c r="J102" s="57"/>
      <c r="K102" s="33"/>
    </row>
    <row r="103" spans="1:11" x14ac:dyDescent="0.35">
      <c r="A103" s="28"/>
      <c r="B103" s="28"/>
      <c r="C103" s="29"/>
      <c r="D103" s="29"/>
      <c r="E103" s="25"/>
      <c r="F103" s="31"/>
      <c r="G103" s="31"/>
      <c r="H103" s="57"/>
      <c r="I103" s="57"/>
      <c r="J103" s="57"/>
      <c r="K103" s="33"/>
    </row>
    <row r="104" spans="1:11" x14ac:dyDescent="0.35">
      <c r="A104" s="28"/>
      <c r="B104" s="28"/>
      <c r="C104" s="29"/>
      <c r="D104" s="29"/>
      <c r="E104" s="25"/>
      <c r="F104" s="31"/>
      <c r="G104" s="31"/>
      <c r="H104" s="57"/>
      <c r="I104" s="57"/>
      <c r="J104" s="57"/>
      <c r="K104" s="33"/>
    </row>
    <row r="105" spans="1:11" x14ac:dyDescent="0.35">
      <c r="A105" s="28"/>
      <c r="B105" s="28"/>
      <c r="C105" s="29"/>
      <c r="D105" s="29"/>
      <c r="E105" s="25"/>
      <c r="F105" s="31"/>
      <c r="G105" s="31"/>
      <c r="H105" s="57"/>
      <c r="I105" s="57"/>
      <c r="J105" s="57"/>
      <c r="K105" s="33"/>
    </row>
    <row r="106" spans="1:11" x14ac:dyDescent="0.35">
      <c r="A106" s="28"/>
      <c r="B106" s="28"/>
      <c r="C106" s="29"/>
      <c r="D106" s="29"/>
      <c r="E106" s="25"/>
      <c r="F106" s="31"/>
      <c r="G106" s="31"/>
      <c r="H106" s="57"/>
      <c r="I106" s="57"/>
      <c r="J106" s="57"/>
      <c r="K106" s="33"/>
    </row>
    <row r="107" spans="1:11" x14ac:dyDescent="0.35">
      <c r="A107" s="28"/>
      <c r="B107" s="28"/>
      <c r="C107" s="29"/>
      <c r="D107" s="29"/>
      <c r="E107" s="25"/>
      <c r="F107" s="31"/>
      <c r="G107" s="31"/>
      <c r="H107" s="57"/>
      <c r="I107" s="57"/>
      <c r="J107" s="57"/>
      <c r="K107" s="33"/>
    </row>
    <row r="108" spans="1:11" x14ac:dyDescent="0.35">
      <c r="A108" s="28"/>
      <c r="B108" s="28"/>
      <c r="C108" s="29"/>
      <c r="D108" s="29"/>
      <c r="E108" s="25"/>
      <c r="F108" s="31"/>
      <c r="G108" s="31"/>
      <c r="H108" s="57"/>
      <c r="I108" s="57"/>
      <c r="J108" s="57"/>
      <c r="K108" s="33"/>
    </row>
    <row r="109" spans="1:11" x14ac:dyDescent="0.35">
      <c r="A109" s="28"/>
      <c r="B109" s="28"/>
      <c r="C109" s="29"/>
      <c r="D109" s="29"/>
      <c r="E109" s="25"/>
      <c r="F109" s="31"/>
      <c r="G109" s="31"/>
      <c r="H109" s="57"/>
      <c r="I109" s="57"/>
      <c r="J109" s="57"/>
      <c r="K109" s="33"/>
    </row>
    <row r="110" spans="1:11" x14ac:dyDescent="0.35">
      <c r="A110" s="28"/>
      <c r="B110" s="28"/>
      <c r="C110" s="29"/>
      <c r="D110" s="29"/>
      <c r="E110" s="25"/>
      <c r="F110" s="31"/>
      <c r="G110" s="31"/>
      <c r="H110" s="57"/>
      <c r="I110" s="57"/>
      <c r="J110" s="57"/>
      <c r="K110" s="33"/>
    </row>
    <row r="111" spans="1:11" x14ac:dyDescent="0.35">
      <c r="A111" s="28"/>
      <c r="B111" s="28"/>
      <c r="C111" s="29"/>
      <c r="D111" s="29"/>
      <c r="E111" s="25"/>
      <c r="F111" s="31"/>
      <c r="G111" s="31"/>
      <c r="H111" s="57"/>
      <c r="I111" s="57"/>
      <c r="J111" s="57"/>
      <c r="K111" s="33"/>
    </row>
    <row r="112" spans="1:11" x14ac:dyDescent="0.35">
      <c r="A112" s="28"/>
      <c r="B112" s="28"/>
      <c r="C112" s="29"/>
      <c r="D112" s="29"/>
      <c r="E112" s="25"/>
      <c r="F112" s="31"/>
      <c r="G112" s="31"/>
      <c r="H112" s="57"/>
      <c r="I112" s="57"/>
      <c r="J112" s="57"/>
      <c r="K112" s="33"/>
    </row>
    <row r="113" spans="1:11" x14ac:dyDescent="0.35">
      <c r="A113" s="28"/>
      <c r="B113" s="28"/>
      <c r="C113" s="29"/>
      <c r="D113" s="29"/>
      <c r="E113" s="25"/>
      <c r="F113" s="31"/>
      <c r="G113" s="31"/>
      <c r="H113" s="57"/>
      <c r="I113" s="57"/>
      <c r="J113" s="57"/>
      <c r="K113" s="33"/>
    </row>
    <row r="114" spans="1:11" x14ac:dyDescent="0.35">
      <c r="A114" s="28"/>
      <c r="B114" s="28"/>
      <c r="C114" s="29"/>
      <c r="D114" s="29"/>
      <c r="E114" s="25"/>
      <c r="F114" s="31"/>
      <c r="G114" s="31"/>
      <c r="H114" s="57"/>
      <c r="I114" s="57"/>
      <c r="J114" s="57"/>
      <c r="K114" s="33"/>
    </row>
    <row r="115" spans="1:11" x14ac:dyDescent="0.35">
      <c r="A115" s="28"/>
      <c r="B115" s="28"/>
      <c r="C115" s="29"/>
      <c r="D115" s="29"/>
      <c r="E115" s="25"/>
      <c r="F115" s="31"/>
      <c r="G115" s="31"/>
      <c r="H115" s="57"/>
      <c r="I115" s="57"/>
      <c r="J115" s="57"/>
      <c r="K115" s="33"/>
    </row>
    <row r="116" spans="1:11" x14ac:dyDescent="0.35">
      <c r="A116" s="28"/>
      <c r="B116" s="28"/>
      <c r="C116" s="29"/>
      <c r="D116" s="29"/>
      <c r="E116" s="25"/>
      <c r="F116" s="31"/>
      <c r="G116" s="31"/>
      <c r="H116" s="57"/>
      <c r="I116" s="57"/>
      <c r="J116" s="57"/>
      <c r="K116" s="33"/>
    </row>
    <row r="117" spans="1:11" x14ac:dyDescent="0.35">
      <c r="A117" s="28"/>
      <c r="B117" s="28"/>
      <c r="C117" s="29"/>
      <c r="D117" s="29"/>
      <c r="E117" s="25"/>
      <c r="F117" s="31"/>
      <c r="G117" s="31"/>
      <c r="H117" s="57"/>
      <c r="I117" s="57"/>
      <c r="J117" s="57"/>
      <c r="K117" s="33"/>
    </row>
    <row r="118" spans="1:11" x14ac:dyDescent="0.35">
      <c r="A118" s="28"/>
      <c r="B118" s="28"/>
      <c r="C118" s="29"/>
      <c r="D118" s="29"/>
      <c r="E118" s="25"/>
      <c r="F118" s="31"/>
      <c r="G118" s="31"/>
      <c r="H118" s="57"/>
      <c r="I118" s="57"/>
      <c r="J118" s="57"/>
      <c r="K118" s="33"/>
    </row>
    <row r="119" spans="1:11" x14ac:dyDescent="0.35">
      <c r="A119" s="28"/>
      <c r="B119" s="28"/>
      <c r="C119" s="29"/>
      <c r="D119" s="29"/>
      <c r="E119" s="25"/>
      <c r="F119" s="31"/>
      <c r="G119" s="31"/>
      <c r="H119" s="57"/>
      <c r="I119" s="57"/>
      <c r="J119" s="57"/>
      <c r="K119" s="33"/>
    </row>
    <row r="120" spans="1:11" x14ac:dyDescent="0.35">
      <c r="A120" s="28"/>
      <c r="B120" s="28"/>
      <c r="C120" s="29"/>
      <c r="D120" s="29"/>
      <c r="E120" s="25"/>
      <c r="F120" s="31"/>
      <c r="G120" s="31"/>
      <c r="H120" s="57"/>
      <c r="I120" s="57"/>
      <c r="J120" s="57"/>
      <c r="K120" s="33"/>
    </row>
    <row r="121" spans="1:11" x14ac:dyDescent="0.35">
      <c r="A121" s="28"/>
      <c r="B121" s="28"/>
      <c r="C121" s="29"/>
      <c r="D121" s="29"/>
      <c r="E121" s="25"/>
      <c r="F121" s="31"/>
      <c r="G121" s="31"/>
      <c r="H121" s="57"/>
      <c r="I121" s="57"/>
      <c r="J121" s="57"/>
      <c r="K121" s="33"/>
    </row>
    <row r="122" spans="1:11" x14ac:dyDescent="0.35">
      <c r="A122" s="28"/>
      <c r="B122" s="28"/>
      <c r="C122" s="29"/>
      <c r="D122" s="29"/>
      <c r="E122" s="25"/>
      <c r="F122" s="31"/>
      <c r="G122" s="31"/>
      <c r="H122" s="57"/>
      <c r="I122" s="57"/>
      <c r="J122" s="57"/>
      <c r="K122" s="33"/>
    </row>
    <row r="123" spans="1:11" x14ac:dyDescent="0.35">
      <c r="A123" s="28"/>
      <c r="B123" s="28"/>
      <c r="C123" s="29"/>
      <c r="D123" s="29"/>
      <c r="E123" s="25"/>
      <c r="F123" s="31"/>
      <c r="G123" s="31"/>
      <c r="H123" s="57"/>
      <c r="I123" s="57"/>
      <c r="J123" s="57"/>
      <c r="K123" s="33"/>
    </row>
    <row r="124" spans="1:11" x14ac:dyDescent="0.35">
      <c r="A124" s="28"/>
      <c r="B124" s="28"/>
      <c r="C124" s="29"/>
      <c r="D124" s="29"/>
      <c r="E124" s="25"/>
      <c r="F124" s="31"/>
      <c r="G124" s="31"/>
      <c r="H124" s="57"/>
      <c r="I124" s="57"/>
      <c r="J124" s="57"/>
      <c r="K124" s="33"/>
    </row>
    <row r="125" spans="1:11" x14ac:dyDescent="0.35">
      <c r="A125" s="28"/>
      <c r="B125" s="28"/>
      <c r="C125" s="29"/>
      <c r="D125" s="29"/>
      <c r="E125" s="25"/>
      <c r="F125" s="31"/>
      <c r="G125" s="31"/>
      <c r="H125" s="57"/>
      <c r="I125" s="57"/>
      <c r="J125" s="57"/>
      <c r="K125" s="33"/>
    </row>
    <row r="126" spans="1:11" x14ac:dyDescent="0.35">
      <c r="A126" s="28"/>
      <c r="B126" s="28"/>
      <c r="C126" s="29"/>
      <c r="D126" s="29"/>
      <c r="E126" s="25"/>
      <c r="F126" s="31"/>
      <c r="G126" s="31"/>
      <c r="H126" s="57"/>
      <c r="I126" s="57"/>
      <c r="J126" s="57"/>
      <c r="K126" s="33"/>
    </row>
    <row r="127" spans="1:11" x14ac:dyDescent="0.35">
      <c r="A127" s="28"/>
      <c r="B127" s="28"/>
      <c r="C127" s="29"/>
      <c r="D127" s="29"/>
      <c r="E127" s="25"/>
      <c r="F127" s="31"/>
      <c r="G127" s="31"/>
      <c r="H127" s="57"/>
      <c r="I127" s="57"/>
      <c r="J127" s="57"/>
      <c r="K127" s="33"/>
    </row>
    <row r="128" spans="1:11" x14ac:dyDescent="0.35">
      <c r="A128" s="28"/>
      <c r="B128" s="28"/>
      <c r="C128" s="29"/>
      <c r="D128" s="29"/>
      <c r="E128" s="25"/>
      <c r="F128" s="31"/>
      <c r="G128" s="31"/>
      <c r="H128" s="57"/>
      <c r="I128" s="57"/>
      <c r="J128" s="57"/>
      <c r="K128" s="33"/>
    </row>
    <row r="129" spans="1:11" x14ac:dyDescent="0.35">
      <c r="A129" s="28"/>
      <c r="B129" s="28"/>
      <c r="C129" s="29"/>
      <c r="D129" s="29"/>
      <c r="E129" s="25"/>
      <c r="F129" s="31"/>
      <c r="G129" s="31"/>
      <c r="H129" s="57"/>
      <c r="I129" s="57"/>
      <c r="J129" s="57"/>
      <c r="K129" s="33"/>
    </row>
    <row r="130" spans="1:11" x14ac:dyDescent="0.35">
      <c r="A130" s="28"/>
      <c r="B130" s="28"/>
      <c r="C130" s="29"/>
      <c r="D130" s="29"/>
      <c r="E130" s="25"/>
      <c r="F130" s="31"/>
      <c r="G130" s="31"/>
      <c r="H130" s="57"/>
      <c r="I130" s="57"/>
      <c r="J130" s="57"/>
      <c r="K130" s="33"/>
    </row>
    <row r="131" spans="1:11" x14ac:dyDescent="0.35">
      <c r="A131" s="28"/>
      <c r="B131" s="28"/>
      <c r="C131" s="29"/>
      <c r="D131" s="29"/>
      <c r="E131" s="25"/>
      <c r="F131" s="31"/>
      <c r="G131" s="31"/>
      <c r="H131" s="57"/>
      <c r="I131" s="57"/>
      <c r="J131" s="57"/>
      <c r="K131" s="33"/>
    </row>
    <row r="132" spans="1:11" x14ac:dyDescent="0.35">
      <c r="A132" s="28"/>
      <c r="B132" s="28"/>
      <c r="C132" s="29"/>
      <c r="D132" s="29"/>
      <c r="E132" s="25"/>
      <c r="F132" s="31"/>
      <c r="G132" s="31"/>
      <c r="H132" s="57"/>
      <c r="I132" s="57"/>
      <c r="J132" s="57"/>
      <c r="K132" s="33"/>
    </row>
    <row r="133" spans="1:11" x14ac:dyDescent="0.35">
      <c r="A133" s="28"/>
      <c r="B133" s="28"/>
      <c r="C133" s="29"/>
      <c r="D133" s="29"/>
      <c r="E133" s="25"/>
      <c r="F133" s="31"/>
      <c r="G133" s="31"/>
      <c r="H133" s="57"/>
      <c r="I133" s="57"/>
      <c r="J133" s="57"/>
      <c r="K133" s="33"/>
    </row>
    <row r="134" spans="1:11" x14ac:dyDescent="0.35">
      <c r="A134" s="28"/>
      <c r="B134" s="28"/>
      <c r="C134" s="29"/>
      <c r="D134" s="29"/>
      <c r="E134" s="25"/>
      <c r="F134" s="31"/>
      <c r="G134" s="31"/>
      <c r="H134" s="57"/>
      <c r="I134" s="57"/>
      <c r="J134" s="57"/>
      <c r="K134" s="33"/>
    </row>
    <row r="135" spans="1:11" x14ac:dyDescent="0.35">
      <c r="A135" s="28"/>
      <c r="B135" s="28"/>
      <c r="C135" s="29"/>
      <c r="D135" s="29"/>
      <c r="E135" s="25"/>
      <c r="F135" s="31"/>
      <c r="G135" s="31"/>
      <c r="H135" s="57"/>
      <c r="I135" s="57"/>
      <c r="J135" s="57"/>
      <c r="K135" s="33"/>
    </row>
    <row r="136" spans="1:11" x14ac:dyDescent="0.35">
      <c r="A136" s="28"/>
      <c r="B136" s="28"/>
      <c r="C136" s="29"/>
      <c r="D136" s="29"/>
      <c r="E136" s="25"/>
      <c r="F136" s="31"/>
      <c r="G136" s="31"/>
      <c r="H136" s="57"/>
      <c r="I136" s="57"/>
      <c r="J136" s="57"/>
      <c r="K136" s="33"/>
    </row>
    <row r="137" spans="1:11" x14ac:dyDescent="0.35">
      <c r="A137" s="28"/>
      <c r="B137" s="28"/>
      <c r="C137" s="29"/>
      <c r="D137" s="29"/>
      <c r="E137" s="25"/>
      <c r="F137" s="31"/>
      <c r="G137" s="31"/>
      <c r="H137" s="57"/>
      <c r="I137" s="57"/>
      <c r="J137" s="57"/>
      <c r="K137" s="33"/>
    </row>
    <row r="138" spans="1:11" x14ac:dyDescent="0.35">
      <c r="A138" s="28"/>
      <c r="B138" s="28"/>
      <c r="C138" s="29"/>
      <c r="D138" s="29"/>
      <c r="E138" s="25"/>
      <c r="F138" s="31"/>
      <c r="G138" s="31"/>
      <c r="H138" s="57"/>
      <c r="I138" s="57"/>
      <c r="J138" s="57"/>
      <c r="K138" s="33"/>
    </row>
    <row r="139" spans="1:11" x14ac:dyDescent="0.35">
      <c r="A139" s="28"/>
      <c r="B139" s="28"/>
      <c r="C139" s="29"/>
      <c r="D139" s="29"/>
      <c r="E139" s="25"/>
      <c r="F139" s="31"/>
      <c r="G139" s="31"/>
      <c r="H139" s="57"/>
      <c r="I139" s="57"/>
      <c r="J139" s="57"/>
      <c r="K139" s="33"/>
    </row>
    <row r="140" spans="1:11" x14ac:dyDescent="0.35">
      <c r="A140" s="28"/>
      <c r="B140" s="28"/>
      <c r="C140" s="29"/>
      <c r="D140" s="29"/>
      <c r="E140" s="25"/>
      <c r="F140" s="31"/>
      <c r="G140" s="31"/>
      <c r="H140" s="57"/>
      <c r="I140" s="57"/>
      <c r="J140" s="57"/>
      <c r="K140" s="33"/>
    </row>
    <row r="141" spans="1:11" x14ac:dyDescent="0.35">
      <c r="A141" s="28"/>
      <c r="B141" s="28"/>
      <c r="C141" s="29"/>
      <c r="D141" s="29"/>
      <c r="E141" s="25"/>
      <c r="F141" s="31"/>
      <c r="G141" s="31"/>
      <c r="H141" s="57"/>
      <c r="I141" s="57"/>
      <c r="J141" s="57"/>
      <c r="K141" s="33"/>
    </row>
    <row r="142" spans="1:11" x14ac:dyDescent="0.35">
      <c r="A142" s="28"/>
      <c r="B142" s="28"/>
      <c r="C142" s="29"/>
      <c r="D142" s="29"/>
      <c r="E142" s="25"/>
      <c r="F142" s="31"/>
      <c r="G142" s="31"/>
      <c r="H142" s="57"/>
      <c r="I142" s="57"/>
      <c r="J142" s="57"/>
      <c r="K142" s="33"/>
    </row>
    <row r="143" spans="1:11" x14ac:dyDescent="0.35">
      <c r="A143" s="28"/>
      <c r="B143" s="28"/>
      <c r="C143" s="29"/>
      <c r="D143" s="29"/>
      <c r="E143" s="25"/>
      <c r="F143" s="31"/>
      <c r="G143" s="31"/>
      <c r="H143" s="57"/>
      <c r="I143" s="57"/>
      <c r="J143" s="57"/>
      <c r="K143" s="33"/>
    </row>
    <row r="144" spans="1:11" x14ac:dyDescent="0.35">
      <c r="A144" s="28"/>
      <c r="B144" s="28"/>
      <c r="C144" s="29"/>
      <c r="D144" s="29"/>
      <c r="E144" s="25"/>
      <c r="F144" s="31"/>
      <c r="G144" s="31"/>
      <c r="H144" s="57"/>
      <c r="I144" s="57"/>
      <c r="J144" s="57"/>
      <c r="K144" s="33"/>
    </row>
    <row r="145" spans="1:11" x14ac:dyDescent="0.35">
      <c r="A145" s="28"/>
      <c r="B145" s="28"/>
      <c r="C145" s="29"/>
      <c r="D145" s="29"/>
      <c r="E145" s="25"/>
      <c r="F145" s="31"/>
      <c r="G145" s="31"/>
      <c r="H145" s="57"/>
      <c r="I145" s="57"/>
      <c r="J145" s="57"/>
      <c r="K145" s="33"/>
    </row>
    <row r="146" spans="1:11" x14ac:dyDescent="0.35">
      <c r="A146" s="28"/>
      <c r="B146" s="28"/>
      <c r="C146" s="29"/>
      <c r="D146" s="29"/>
      <c r="E146" s="25"/>
      <c r="F146" s="31"/>
      <c r="G146" s="31"/>
      <c r="H146" s="57"/>
      <c r="I146" s="57"/>
      <c r="J146" s="57"/>
      <c r="K146" s="33"/>
    </row>
    <row r="147" spans="1:11" x14ac:dyDescent="0.35">
      <c r="A147" s="28"/>
      <c r="B147" s="28"/>
      <c r="C147" s="29"/>
      <c r="D147" s="29"/>
      <c r="E147" s="25"/>
      <c r="F147" s="31"/>
      <c r="G147" s="31"/>
      <c r="H147" s="57"/>
      <c r="I147" s="57"/>
      <c r="J147" s="57"/>
      <c r="K147" s="33"/>
    </row>
    <row r="148" spans="1:11" x14ac:dyDescent="0.35">
      <c r="A148" s="28"/>
      <c r="B148" s="28"/>
      <c r="C148" s="29"/>
      <c r="D148" s="29"/>
      <c r="E148" s="25"/>
      <c r="F148" s="31"/>
      <c r="G148" s="31"/>
      <c r="H148" s="57"/>
      <c r="I148" s="57"/>
      <c r="J148" s="57"/>
      <c r="K148" s="33"/>
    </row>
    <row r="149" spans="1:11" x14ac:dyDescent="0.35">
      <c r="A149" s="28"/>
      <c r="B149" s="28"/>
      <c r="C149" s="29"/>
      <c r="D149" s="29"/>
      <c r="E149" s="25"/>
      <c r="F149" s="31"/>
      <c r="G149" s="31"/>
      <c r="H149" s="57"/>
      <c r="I149" s="57"/>
      <c r="J149" s="57"/>
      <c r="K149" s="33"/>
    </row>
    <row r="150" spans="1:11" x14ac:dyDescent="0.35">
      <c r="A150" s="28"/>
      <c r="B150" s="28"/>
      <c r="C150" s="29"/>
      <c r="D150" s="29"/>
      <c r="E150" s="25"/>
      <c r="F150" s="31"/>
      <c r="G150" s="31"/>
      <c r="H150" s="57"/>
      <c r="I150" s="57"/>
      <c r="J150" s="57"/>
      <c r="K150" s="33"/>
    </row>
    <row r="151" spans="1:11" x14ac:dyDescent="0.35">
      <c r="A151" s="28"/>
      <c r="B151" s="28"/>
      <c r="C151" s="29"/>
      <c r="D151" s="29"/>
      <c r="E151" s="25"/>
      <c r="F151" s="31"/>
      <c r="G151" s="31"/>
      <c r="H151" s="57"/>
      <c r="I151" s="57"/>
      <c r="J151" s="57"/>
      <c r="K151" s="33"/>
    </row>
    <row r="152" spans="1:11" x14ac:dyDescent="0.35">
      <c r="A152" s="28"/>
      <c r="B152" s="28"/>
      <c r="C152" s="29"/>
      <c r="D152" s="29"/>
      <c r="E152" s="25"/>
      <c r="F152" s="31"/>
      <c r="G152" s="31"/>
      <c r="H152" s="57"/>
      <c r="I152" s="57"/>
      <c r="J152" s="57"/>
      <c r="K152" s="33"/>
    </row>
    <row r="153" spans="1:11" x14ac:dyDescent="0.35">
      <c r="A153" s="28"/>
      <c r="B153" s="28"/>
      <c r="C153" s="29"/>
      <c r="D153" s="29"/>
      <c r="E153" s="25"/>
      <c r="F153" s="31"/>
      <c r="G153" s="31"/>
      <c r="H153" s="57"/>
      <c r="I153" s="57"/>
      <c r="J153" s="57"/>
      <c r="K153" s="33"/>
    </row>
    <row r="154" spans="1:11" x14ac:dyDescent="0.35">
      <c r="A154" s="28"/>
      <c r="B154" s="28"/>
      <c r="C154" s="29"/>
      <c r="D154" s="29"/>
      <c r="E154" s="25"/>
      <c r="F154" s="31"/>
      <c r="G154" s="31"/>
      <c r="H154" s="57"/>
      <c r="I154" s="57"/>
      <c r="J154" s="57"/>
      <c r="K154" s="33"/>
    </row>
    <row r="155" spans="1:11" x14ac:dyDescent="0.35">
      <c r="A155" s="28"/>
      <c r="B155" s="28"/>
      <c r="C155" s="29"/>
      <c r="D155" s="29"/>
      <c r="E155" s="25"/>
      <c r="F155" s="31"/>
      <c r="G155" s="31"/>
      <c r="H155" s="57"/>
      <c r="I155" s="57"/>
      <c r="J155" s="57"/>
      <c r="K155" s="33"/>
    </row>
    <row r="156" spans="1:11" x14ac:dyDescent="0.35">
      <c r="A156" s="28"/>
      <c r="B156" s="28"/>
      <c r="C156" s="29"/>
      <c r="D156" s="29"/>
      <c r="E156" s="25"/>
      <c r="F156" s="31"/>
      <c r="G156" s="31"/>
      <c r="H156" s="57"/>
      <c r="I156" s="57"/>
      <c r="J156" s="57"/>
      <c r="K156" s="33"/>
    </row>
    <row r="157" spans="1:11" x14ac:dyDescent="0.35">
      <c r="A157" s="28"/>
      <c r="B157" s="28"/>
      <c r="C157" s="29"/>
      <c r="D157" s="29"/>
      <c r="E157" s="25"/>
      <c r="F157" s="31"/>
      <c r="G157" s="31"/>
      <c r="H157" s="57"/>
      <c r="I157" s="57"/>
      <c r="J157" s="57"/>
      <c r="K157" s="33"/>
    </row>
    <row r="158" spans="1:11" x14ac:dyDescent="0.35">
      <c r="A158" s="28"/>
      <c r="B158" s="28"/>
      <c r="C158" s="29"/>
      <c r="D158" s="29"/>
      <c r="E158" s="25"/>
      <c r="F158" s="31"/>
      <c r="G158" s="31"/>
      <c r="H158" s="57"/>
      <c r="I158" s="57"/>
      <c r="J158" s="57"/>
      <c r="K158" s="33"/>
    </row>
    <row r="159" spans="1:11" x14ac:dyDescent="0.35">
      <c r="A159" s="28"/>
      <c r="B159" s="28"/>
      <c r="C159" s="29"/>
      <c r="D159" s="29"/>
      <c r="E159" s="25"/>
      <c r="F159" s="31"/>
      <c r="G159" s="31"/>
      <c r="H159" s="57"/>
      <c r="I159" s="57"/>
      <c r="J159" s="57"/>
      <c r="K159" s="33"/>
    </row>
    <row r="160" spans="1:11" x14ac:dyDescent="0.35">
      <c r="A160" s="28"/>
      <c r="B160" s="28"/>
      <c r="C160" s="29"/>
      <c r="D160" s="29"/>
      <c r="E160" s="25"/>
      <c r="F160" s="31"/>
      <c r="G160" s="31"/>
      <c r="H160" s="57"/>
      <c r="I160" s="57"/>
      <c r="J160" s="57"/>
      <c r="K160" s="33"/>
    </row>
    <row r="161" spans="1:11" x14ac:dyDescent="0.35">
      <c r="A161" s="28"/>
      <c r="B161" s="28"/>
      <c r="C161" s="29"/>
      <c r="D161" s="29"/>
      <c r="E161" s="25"/>
      <c r="F161" s="31"/>
      <c r="G161" s="31"/>
      <c r="H161" s="57"/>
      <c r="I161" s="57"/>
      <c r="J161" s="57"/>
      <c r="K161" s="33"/>
    </row>
    <row r="162" spans="1:11" x14ac:dyDescent="0.35">
      <c r="A162" s="28"/>
      <c r="B162" s="28"/>
      <c r="C162" s="29"/>
      <c r="D162" s="29"/>
      <c r="E162" s="25"/>
      <c r="F162" s="31"/>
      <c r="G162" s="31"/>
      <c r="H162" s="57"/>
      <c r="I162" s="57"/>
      <c r="J162" s="57"/>
      <c r="K162" s="33"/>
    </row>
    <row r="163" spans="1:11" x14ac:dyDescent="0.35">
      <c r="A163" s="28"/>
      <c r="B163" s="28"/>
      <c r="C163" s="29"/>
      <c r="D163" s="29"/>
      <c r="E163" s="25"/>
      <c r="F163" s="31"/>
      <c r="G163" s="31"/>
      <c r="H163" s="57"/>
      <c r="I163" s="57"/>
      <c r="J163" s="57"/>
      <c r="K163" s="33"/>
    </row>
    <row r="164" spans="1:11" x14ac:dyDescent="0.35">
      <c r="A164" s="28"/>
      <c r="B164" s="28"/>
      <c r="C164" s="29"/>
      <c r="D164" s="29"/>
      <c r="E164" s="25"/>
      <c r="F164" s="31"/>
      <c r="G164" s="31"/>
      <c r="H164" s="57"/>
      <c r="I164" s="57"/>
      <c r="J164" s="57"/>
      <c r="K164" s="33"/>
    </row>
    <row r="165" spans="1:11" x14ac:dyDescent="0.35">
      <c r="A165" s="28"/>
      <c r="B165" s="28"/>
      <c r="C165" s="29"/>
      <c r="D165" s="29"/>
      <c r="E165" s="25"/>
      <c r="F165" s="31"/>
      <c r="G165" s="31"/>
      <c r="H165" s="57"/>
      <c r="I165" s="57"/>
      <c r="J165" s="57"/>
      <c r="K165" s="33"/>
    </row>
    <row r="166" spans="1:11" x14ac:dyDescent="0.35">
      <c r="A166" s="28"/>
      <c r="B166" s="28"/>
      <c r="C166" s="29"/>
      <c r="D166" s="29"/>
      <c r="E166" s="25"/>
      <c r="F166" s="31"/>
      <c r="G166" s="31"/>
      <c r="H166" s="57"/>
      <c r="I166" s="57"/>
      <c r="J166" s="57"/>
      <c r="K166" s="33"/>
    </row>
    <row r="167" spans="1:11" x14ac:dyDescent="0.35">
      <c r="A167" s="28"/>
      <c r="B167" s="28"/>
      <c r="C167" s="29"/>
      <c r="D167" s="29"/>
      <c r="E167" s="25"/>
      <c r="F167" s="31"/>
      <c r="G167" s="31"/>
      <c r="H167" s="57"/>
      <c r="I167" s="57"/>
      <c r="J167" s="57"/>
      <c r="K167" s="33"/>
    </row>
    <row r="168" spans="1:11" x14ac:dyDescent="0.35">
      <c r="A168" s="28"/>
      <c r="B168" s="28"/>
      <c r="C168" s="29"/>
      <c r="D168" s="29"/>
      <c r="E168" s="25"/>
      <c r="F168" s="31"/>
      <c r="G168" s="31"/>
      <c r="H168" s="57"/>
      <c r="I168" s="57"/>
      <c r="J168" s="57"/>
      <c r="K168" s="33"/>
    </row>
    <row r="169" spans="1:11" x14ac:dyDescent="0.35">
      <c r="A169" s="28"/>
      <c r="B169" s="28"/>
      <c r="C169" s="29"/>
      <c r="D169" s="29"/>
      <c r="E169" s="25"/>
      <c r="F169" s="31"/>
      <c r="G169" s="31"/>
      <c r="H169" s="57"/>
      <c r="I169" s="57"/>
      <c r="J169" s="57"/>
      <c r="K169" s="33"/>
    </row>
    <row r="170" spans="1:11" x14ac:dyDescent="0.35">
      <c r="A170" s="28"/>
      <c r="B170" s="28"/>
      <c r="C170" s="29"/>
      <c r="D170" s="29"/>
      <c r="E170" s="25"/>
      <c r="F170" s="31"/>
      <c r="G170" s="31"/>
      <c r="H170" s="57"/>
      <c r="I170" s="57"/>
      <c r="J170" s="57"/>
      <c r="K170" s="33"/>
    </row>
    <row r="171" spans="1:11" x14ac:dyDescent="0.35">
      <c r="A171" s="28"/>
      <c r="B171" s="28"/>
      <c r="C171" s="29"/>
      <c r="D171" s="29"/>
      <c r="E171" s="25"/>
      <c r="F171" s="31"/>
      <c r="G171" s="31"/>
      <c r="H171" s="57"/>
      <c r="I171" s="57"/>
      <c r="J171" s="57"/>
      <c r="K171" s="33"/>
    </row>
    <row r="172" spans="1:11" x14ac:dyDescent="0.35">
      <c r="A172" s="28"/>
      <c r="B172" s="28"/>
      <c r="C172" s="29"/>
      <c r="D172" s="29"/>
      <c r="E172" s="25"/>
      <c r="F172" s="31"/>
      <c r="G172" s="31"/>
      <c r="H172" s="57"/>
      <c r="I172" s="57"/>
      <c r="J172" s="57"/>
      <c r="K172" s="33"/>
    </row>
    <row r="173" spans="1:11" x14ac:dyDescent="0.35">
      <c r="A173" s="28"/>
      <c r="B173" s="28"/>
      <c r="C173" s="29"/>
      <c r="D173" s="29"/>
      <c r="E173" s="25"/>
      <c r="F173" s="31"/>
      <c r="G173" s="31"/>
      <c r="H173" s="57"/>
      <c r="I173" s="57"/>
      <c r="J173" s="57"/>
      <c r="K173" s="33"/>
    </row>
    <row r="174" spans="1:11" x14ac:dyDescent="0.35">
      <c r="A174" s="28"/>
      <c r="B174" s="28"/>
      <c r="C174" s="29"/>
      <c r="D174" s="29"/>
      <c r="E174" s="25"/>
      <c r="F174" s="31"/>
      <c r="G174" s="31"/>
      <c r="H174" s="57"/>
      <c r="I174" s="57"/>
      <c r="J174" s="57"/>
      <c r="K174" s="33"/>
    </row>
    <row r="175" spans="1:11" x14ac:dyDescent="0.35">
      <c r="A175" s="28"/>
      <c r="B175" s="28"/>
      <c r="C175" s="29"/>
      <c r="D175" s="29"/>
      <c r="E175" s="25"/>
      <c r="F175" s="31"/>
      <c r="G175" s="31"/>
      <c r="H175" s="57"/>
      <c r="I175" s="57"/>
      <c r="J175" s="57"/>
      <c r="K175" s="33"/>
    </row>
    <row r="176" spans="1:11" x14ac:dyDescent="0.35">
      <c r="A176" s="28"/>
      <c r="B176" s="28"/>
      <c r="C176" s="29"/>
      <c r="D176" s="29"/>
      <c r="E176" s="25"/>
      <c r="F176" s="31"/>
      <c r="G176" s="31"/>
      <c r="H176" s="57"/>
      <c r="I176" s="57"/>
      <c r="J176" s="57"/>
      <c r="K176" s="33"/>
    </row>
    <row r="177" spans="1:11" x14ac:dyDescent="0.35">
      <c r="A177" s="28"/>
      <c r="B177" s="28"/>
      <c r="C177" s="29"/>
      <c r="D177" s="29"/>
      <c r="E177" s="25"/>
      <c r="F177" s="31"/>
      <c r="G177" s="31"/>
      <c r="H177" s="57"/>
      <c r="I177" s="57"/>
      <c r="J177" s="57"/>
      <c r="K177" s="33"/>
    </row>
    <row r="178" spans="1:11" x14ac:dyDescent="0.35">
      <c r="A178" s="28"/>
      <c r="B178" s="28"/>
      <c r="C178" s="29"/>
      <c r="D178" s="29"/>
      <c r="E178" s="25"/>
      <c r="F178" s="31"/>
      <c r="G178" s="31"/>
      <c r="H178" s="57"/>
      <c r="I178" s="57"/>
      <c r="J178" s="57"/>
      <c r="K178" s="33"/>
    </row>
    <row r="179" spans="1:11" x14ac:dyDescent="0.35">
      <c r="A179" s="28"/>
      <c r="B179" s="28"/>
      <c r="C179" s="29"/>
      <c r="D179" s="29"/>
      <c r="E179" s="25"/>
      <c r="F179" s="31"/>
      <c r="G179" s="31"/>
      <c r="H179" s="57"/>
      <c r="I179" s="57"/>
      <c r="J179" s="57"/>
      <c r="K179" s="33"/>
    </row>
    <row r="180" spans="1:11" x14ac:dyDescent="0.35">
      <c r="A180" s="28"/>
      <c r="B180" s="28"/>
      <c r="C180" s="29"/>
      <c r="D180" s="29"/>
      <c r="E180" s="25"/>
      <c r="F180" s="31"/>
      <c r="G180" s="31"/>
      <c r="H180" s="57"/>
      <c r="I180" s="57"/>
      <c r="J180" s="57"/>
      <c r="K180" s="33"/>
    </row>
    <row r="181" spans="1:11" x14ac:dyDescent="0.35">
      <c r="A181" s="28"/>
      <c r="B181" s="28"/>
      <c r="C181" s="29"/>
      <c r="D181" s="29"/>
      <c r="E181" s="25"/>
      <c r="F181" s="31"/>
      <c r="G181" s="31"/>
      <c r="H181" s="57"/>
      <c r="I181" s="57"/>
      <c r="J181" s="57"/>
      <c r="K181" s="33"/>
    </row>
    <row r="182" spans="1:11" x14ac:dyDescent="0.35">
      <c r="A182" s="28"/>
      <c r="B182" s="28"/>
      <c r="C182" s="29"/>
      <c r="D182" s="29"/>
      <c r="E182" s="25"/>
      <c r="F182" s="31"/>
      <c r="G182" s="31"/>
      <c r="H182" s="57"/>
      <c r="I182" s="57"/>
      <c r="J182" s="57"/>
      <c r="K182" s="33"/>
    </row>
    <row r="183" spans="1:11" x14ac:dyDescent="0.35">
      <c r="A183" s="28"/>
      <c r="B183" s="28"/>
      <c r="C183" s="29"/>
      <c r="D183" s="29"/>
      <c r="E183" s="25"/>
      <c r="F183" s="31"/>
      <c r="G183" s="31"/>
      <c r="H183" s="57"/>
      <c r="I183" s="57"/>
      <c r="J183" s="57"/>
      <c r="K183" s="33"/>
    </row>
    <row r="184" spans="1:11" x14ac:dyDescent="0.35">
      <c r="A184" s="28"/>
      <c r="B184" s="28"/>
      <c r="C184" s="29"/>
      <c r="D184" s="29"/>
      <c r="E184" s="25"/>
      <c r="F184" s="31"/>
      <c r="G184" s="31"/>
      <c r="H184" s="57"/>
      <c r="I184" s="57"/>
      <c r="J184" s="57"/>
      <c r="K184" s="33"/>
    </row>
    <row r="185" spans="1:11" x14ac:dyDescent="0.35">
      <c r="A185" s="28"/>
      <c r="B185" s="28"/>
      <c r="C185" s="29"/>
      <c r="D185" s="29"/>
      <c r="E185" s="25"/>
      <c r="F185" s="31"/>
      <c r="G185" s="31"/>
      <c r="H185" s="57"/>
      <c r="I185" s="57"/>
      <c r="J185" s="57"/>
      <c r="K185" s="33"/>
    </row>
    <row r="186" spans="1:11" x14ac:dyDescent="0.35">
      <c r="A186" s="28"/>
      <c r="B186" s="28"/>
      <c r="C186" s="29"/>
      <c r="D186" s="29"/>
      <c r="E186" s="25"/>
      <c r="F186" s="31"/>
      <c r="G186" s="31"/>
      <c r="H186" s="57"/>
      <c r="I186" s="57"/>
      <c r="J186" s="57"/>
      <c r="K186" s="33"/>
    </row>
    <row r="187" spans="1:11" x14ac:dyDescent="0.35">
      <c r="A187" s="28"/>
      <c r="B187" s="28"/>
      <c r="C187" s="29"/>
      <c r="D187" s="29"/>
      <c r="E187" s="25"/>
      <c r="F187" s="31"/>
      <c r="G187" s="31"/>
      <c r="H187" s="57"/>
      <c r="I187" s="57"/>
      <c r="J187" s="57"/>
      <c r="K187" s="33"/>
    </row>
    <row r="188" spans="1:11" x14ac:dyDescent="0.35">
      <c r="A188" s="28"/>
      <c r="B188" s="28"/>
      <c r="C188" s="29"/>
      <c r="D188" s="29"/>
      <c r="E188" s="25"/>
      <c r="F188" s="31"/>
      <c r="G188" s="31"/>
      <c r="H188" s="57"/>
      <c r="I188" s="57"/>
      <c r="J188" s="57"/>
      <c r="K188" s="33"/>
    </row>
    <row r="189" spans="1:11" x14ac:dyDescent="0.35">
      <c r="A189" s="28"/>
      <c r="B189" s="28"/>
      <c r="C189" s="29"/>
      <c r="D189" s="29"/>
      <c r="E189" s="25"/>
      <c r="F189" s="31"/>
      <c r="G189" s="31"/>
      <c r="H189" s="57"/>
      <c r="I189" s="57"/>
      <c r="J189" s="57"/>
      <c r="K189" s="33"/>
    </row>
    <row r="190" spans="1:11" x14ac:dyDescent="0.35">
      <c r="A190" s="28"/>
      <c r="B190" s="28"/>
      <c r="C190" s="29"/>
      <c r="D190" s="29"/>
      <c r="E190" s="25"/>
      <c r="F190" s="31"/>
      <c r="G190" s="31"/>
      <c r="H190" s="57"/>
      <c r="I190" s="57"/>
      <c r="J190" s="57"/>
      <c r="K190" s="33"/>
    </row>
    <row r="191" spans="1:11" x14ac:dyDescent="0.35">
      <c r="A191" s="28"/>
      <c r="B191" s="28"/>
      <c r="C191" s="29"/>
      <c r="D191" s="29"/>
      <c r="E191" s="25"/>
      <c r="F191" s="31"/>
      <c r="G191" s="31"/>
      <c r="H191" s="57"/>
      <c r="I191" s="57"/>
      <c r="J191" s="57"/>
      <c r="K191" s="33"/>
    </row>
    <row r="192" spans="1:11" x14ac:dyDescent="0.35">
      <c r="A192" s="28"/>
      <c r="B192" s="28"/>
      <c r="C192" s="29"/>
      <c r="D192" s="29"/>
      <c r="E192" s="25"/>
      <c r="F192" s="31"/>
      <c r="G192" s="31"/>
      <c r="H192" s="57"/>
      <c r="I192" s="57"/>
      <c r="J192" s="57"/>
      <c r="K192" s="33"/>
    </row>
    <row r="193" spans="1:11" x14ac:dyDescent="0.35">
      <c r="A193" s="28"/>
      <c r="B193" s="28"/>
      <c r="C193" s="29"/>
      <c r="D193" s="29"/>
      <c r="E193" s="25"/>
      <c r="F193" s="31"/>
      <c r="G193" s="31"/>
      <c r="H193" s="57"/>
      <c r="I193" s="57"/>
      <c r="J193" s="57"/>
      <c r="K193" s="33"/>
    </row>
    <row r="194" spans="1:11" x14ac:dyDescent="0.35">
      <c r="A194" s="28"/>
      <c r="B194" s="28"/>
      <c r="C194" s="29"/>
      <c r="D194" s="29"/>
      <c r="E194" s="25"/>
      <c r="F194" s="31"/>
      <c r="G194" s="31"/>
      <c r="H194" s="57"/>
      <c r="I194" s="57"/>
      <c r="J194" s="57"/>
      <c r="K194" s="33"/>
    </row>
    <row r="195" spans="1:11" x14ac:dyDescent="0.35">
      <c r="A195" s="28"/>
      <c r="B195" s="28"/>
      <c r="C195" s="29"/>
      <c r="D195" s="29"/>
      <c r="E195" s="25"/>
      <c r="F195" s="31"/>
      <c r="G195" s="31"/>
      <c r="H195" s="57"/>
      <c r="I195" s="57"/>
      <c r="J195" s="57"/>
      <c r="K195" s="33"/>
    </row>
    <row r="196" spans="1:11" x14ac:dyDescent="0.35">
      <c r="A196" s="28"/>
      <c r="B196" s="28"/>
      <c r="C196" s="29"/>
      <c r="D196" s="29"/>
      <c r="E196" s="25"/>
      <c r="F196" s="31"/>
      <c r="G196" s="31"/>
      <c r="H196" s="57"/>
      <c r="I196" s="57"/>
      <c r="J196" s="57"/>
      <c r="K196" s="33"/>
    </row>
    <row r="197" spans="1:11" x14ac:dyDescent="0.35">
      <c r="A197" s="28"/>
      <c r="B197" s="28"/>
      <c r="C197" s="29"/>
      <c r="D197" s="29"/>
      <c r="E197" s="25"/>
      <c r="F197" s="31"/>
      <c r="G197" s="31"/>
      <c r="H197" s="57"/>
      <c r="I197" s="57"/>
      <c r="J197" s="57"/>
      <c r="K197" s="33"/>
    </row>
    <row r="198" spans="1:11" x14ac:dyDescent="0.35">
      <c r="A198" s="28"/>
      <c r="B198" s="28"/>
      <c r="C198" s="29"/>
      <c r="D198" s="29"/>
      <c r="E198" s="25"/>
      <c r="F198" s="31"/>
      <c r="G198" s="31"/>
      <c r="H198" s="57"/>
      <c r="I198" s="57"/>
      <c r="J198" s="57"/>
      <c r="K198" s="33"/>
    </row>
    <row r="199" spans="1:11" x14ac:dyDescent="0.35">
      <c r="A199" s="28"/>
      <c r="B199" s="28"/>
      <c r="C199" s="29"/>
      <c r="D199" s="29"/>
      <c r="E199" s="25"/>
      <c r="F199" s="31"/>
      <c r="G199" s="31"/>
      <c r="H199" s="57"/>
      <c r="I199" s="57"/>
      <c r="J199" s="57"/>
      <c r="K199" s="33"/>
    </row>
    <row r="200" spans="1:11" x14ac:dyDescent="0.35">
      <c r="A200" s="28"/>
      <c r="B200" s="28"/>
      <c r="C200" s="29"/>
      <c r="D200" s="29"/>
      <c r="E200" s="25"/>
      <c r="F200" s="31"/>
      <c r="G200" s="31"/>
      <c r="H200" s="57"/>
      <c r="I200" s="57"/>
      <c r="J200" s="57"/>
      <c r="K200" s="33"/>
    </row>
    <row r="201" spans="1:11" x14ac:dyDescent="0.35">
      <c r="A201" s="28"/>
      <c r="B201" s="28"/>
      <c r="C201" s="29"/>
      <c r="D201" s="29"/>
      <c r="E201" s="25"/>
      <c r="F201" s="31"/>
      <c r="G201" s="31"/>
      <c r="H201" s="57"/>
      <c r="I201" s="57"/>
      <c r="J201" s="57"/>
      <c r="K201" s="33"/>
    </row>
    <row r="202" spans="1:11" x14ac:dyDescent="0.35">
      <c r="A202" s="28"/>
      <c r="B202" s="28"/>
      <c r="C202" s="29"/>
      <c r="D202" s="29"/>
      <c r="E202" s="25"/>
      <c r="F202" s="31"/>
      <c r="G202" s="31"/>
      <c r="H202" s="57"/>
      <c r="I202" s="57"/>
      <c r="J202" s="57"/>
      <c r="K202" s="33"/>
    </row>
    <row r="203" spans="1:11" x14ac:dyDescent="0.35">
      <c r="A203" s="51"/>
      <c r="B203" s="51"/>
      <c r="C203" s="34"/>
      <c r="D203" s="34"/>
      <c r="E203" s="59"/>
      <c r="F203" s="36"/>
      <c r="G203" s="36"/>
      <c r="H203" s="60"/>
      <c r="I203" s="60"/>
      <c r="J203" s="60"/>
      <c r="K203" s="38"/>
    </row>
  </sheetData>
  <mergeCells count="3">
    <mergeCell ref="L63:O68"/>
    <mergeCell ref="L70:O75"/>
    <mergeCell ref="L77:O82"/>
  </mergeCells>
  <dataValidations count="2">
    <dataValidation type="list" allowBlank="1" showInputMessage="1" showErrorMessage="1" sqref="E4:E203" xr:uid="{F6618015-30FD-477E-B906-D5F67670A3A9}">
      <formula1>"Ptd,Csk"</formula1>
    </dataValidation>
    <dataValidation type="list" allowBlank="1" showInputMessage="1" showErrorMessage="1" sqref="M7" xr:uid="{94ECE3A1-F17E-4281-A8CD-0651558121A4}">
      <formula1>$A$3:$A$203</formula1>
    </dataValidation>
  </dataValidations>
  <pageMargins left="0.7" right="0.7" top="0.75" bottom="0.75" header="0.3" footer="0.3"/>
  <pageSetup paperSize="9" orientation="portrait" r:id="rId1"/>
  <headerFooter>
    <oddHeader>&amp;C&amp;"arial,Regular"&amp;8&amp;KE29218Airbus Amber &amp;L&amp;KFFFFFF.</oddHeader>
    <oddFooter>&amp;C&amp;"arial,Regular"&amp;8&amp;KE29218Airbus Amber &amp;L&amp;KFFFFFF.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FBDA-04E1-48EC-BFAB-36213DEB5E76}">
  <dimension ref="A1:K12"/>
  <sheetViews>
    <sheetView workbookViewId="0">
      <selection activeCell="F25" sqref="F25"/>
    </sheetView>
  </sheetViews>
  <sheetFormatPr baseColWidth="10" defaultRowHeight="14.5" x14ac:dyDescent="0.35"/>
  <cols>
    <col min="2" max="2" width="13.26953125" bestFit="1" customWidth="1"/>
    <col min="3" max="3" width="36.26953125" bestFit="1" customWidth="1"/>
    <col min="4" max="4" width="29.453125" bestFit="1" customWidth="1"/>
    <col min="5" max="5" width="9.1796875" bestFit="1" customWidth="1"/>
  </cols>
  <sheetData>
    <row r="1" spans="1:11" ht="15" thickBot="1" x14ac:dyDescent="0.4">
      <c r="A1" s="7" t="s">
        <v>44</v>
      </c>
      <c r="B1" s="10"/>
      <c r="C1" s="9">
        <v>45783</v>
      </c>
    </row>
    <row r="2" spans="1:11" x14ac:dyDescent="0.35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</row>
    <row r="3" spans="1:11" ht="52" x14ac:dyDescent="0.35">
      <c r="A3" s="12" t="s">
        <v>45</v>
      </c>
      <c r="B3" s="13" t="s">
        <v>23</v>
      </c>
      <c r="C3" s="12" t="s">
        <v>0</v>
      </c>
      <c r="D3" s="12" t="s">
        <v>1</v>
      </c>
      <c r="E3" s="12" t="s">
        <v>18</v>
      </c>
      <c r="F3" s="12" t="s">
        <v>21</v>
      </c>
      <c r="G3" s="14" t="s">
        <v>2</v>
      </c>
      <c r="H3" s="14" t="s">
        <v>28</v>
      </c>
      <c r="I3" s="14" t="s">
        <v>3</v>
      </c>
      <c r="J3" s="14" t="s">
        <v>4</v>
      </c>
      <c r="K3" s="14" t="s">
        <v>5</v>
      </c>
    </row>
    <row r="4" spans="1:11" x14ac:dyDescent="0.35">
      <c r="A4" t="str">
        <f>B4 &amp; TEXT(F4,"00")</f>
        <v>NAS6704</v>
      </c>
      <c r="B4" t="s">
        <v>49</v>
      </c>
      <c r="C4" s="15" t="s">
        <v>46</v>
      </c>
      <c r="D4" s="15" t="s">
        <v>47</v>
      </c>
      <c r="E4" s="15" t="s">
        <v>48</v>
      </c>
      <c r="F4" s="15">
        <v>4</v>
      </c>
      <c r="G4" s="15">
        <v>4.8</v>
      </c>
      <c r="H4" s="15">
        <f>TRUNC(655*2*PI()*(G4^2)/4,0)</f>
        <v>23705</v>
      </c>
      <c r="I4" s="15">
        <f>TRUNC(1103*PI()*(G4^2)/4,0)</f>
        <v>19959</v>
      </c>
      <c r="J4" s="16" t="s">
        <v>50</v>
      </c>
      <c r="K4" s="16" t="s">
        <v>50</v>
      </c>
    </row>
    <row r="5" spans="1:11" x14ac:dyDescent="0.35">
      <c r="A5" t="str">
        <f t="shared" ref="A5:A11" si="0">B5 &amp; TEXT(F5,"00")</f>
        <v>NAS6705</v>
      </c>
      <c r="B5" t="s">
        <v>49</v>
      </c>
      <c r="C5" s="15" t="s">
        <v>46</v>
      </c>
      <c r="D5" s="15" t="s">
        <v>47</v>
      </c>
      <c r="E5" s="15" t="s">
        <v>48</v>
      </c>
      <c r="F5" s="15">
        <v>5</v>
      </c>
      <c r="G5" s="15">
        <v>6.35</v>
      </c>
      <c r="H5" s="15">
        <f t="shared" ref="H5:H11" si="1">TRUNC(655*2*PI()*(G5^2)/4,0)</f>
        <v>41486</v>
      </c>
      <c r="I5" s="15">
        <f t="shared" ref="I5:I11" si="2">TRUNC(1103*PI()*(G5^2)/4,0)</f>
        <v>34931</v>
      </c>
      <c r="J5" s="16" t="s">
        <v>50</v>
      </c>
      <c r="K5" s="16" t="s">
        <v>50</v>
      </c>
    </row>
    <row r="6" spans="1:11" x14ac:dyDescent="0.35">
      <c r="A6" t="str">
        <f t="shared" si="0"/>
        <v>NAS6706</v>
      </c>
      <c r="B6" t="s">
        <v>49</v>
      </c>
      <c r="C6" s="15" t="s">
        <v>46</v>
      </c>
      <c r="D6" s="15" t="s">
        <v>47</v>
      </c>
      <c r="E6" s="15" t="s">
        <v>48</v>
      </c>
      <c r="F6" s="15">
        <v>6</v>
      </c>
      <c r="G6" s="15">
        <v>8</v>
      </c>
      <c r="H6" s="15">
        <f t="shared" si="1"/>
        <v>65847</v>
      </c>
      <c r="I6" s="15">
        <f t="shared" si="2"/>
        <v>55442</v>
      </c>
      <c r="J6" s="16" t="s">
        <v>50</v>
      </c>
      <c r="K6" s="16" t="s">
        <v>50</v>
      </c>
    </row>
    <row r="7" spans="1:11" x14ac:dyDescent="0.35">
      <c r="A7" t="str">
        <f t="shared" si="0"/>
        <v>NAS6707</v>
      </c>
      <c r="B7" t="s">
        <v>49</v>
      </c>
      <c r="C7" s="15" t="s">
        <v>46</v>
      </c>
      <c r="D7" s="15" t="s">
        <v>47</v>
      </c>
      <c r="E7" s="15" t="s">
        <v>48</v>
      </c>
      <c r="F7" s="15">
        <v>7</v>
      </c>
      <c r="G7" s="15">
        <v>9.5</v>
      </c>
      <c r="H7" s="15">
        <f t="shared" si="1"/>
        <v>92855</v>
      </c>
      <c r="I7" s="15">
        <f t="shared" si="2"/>
        <v>78183</v>
      </c>
      <c r="J7" s="16" t="s">
        <v>50</v>
      </c>
      <c r="K7" s="16" t="s">
        <v>50</v>
      </c>
    </row>
    <row r="8" spans="1:11" x14ac:dyDescent="0.35">
      <c r="A8" t="str">
        <f t="shared" si="0"/>
        <v>NAS6708</v>
      </c>
      <c r="B8" t="s">
        <v>49</v>
      </c>
      <c r="C8" s="15" t="s">
        <v>46</v>
      </c>
      <c r="D8" s="15" t="s">
        <v>47</v>
      </c>
      <c r="E8" s="15" t="s">
        <v>48</v>
      </c>
      <c r="F8" s="15">
        <v>8</v>
      </c>
      <c r="G8" s="15">
        <v>11</v>
      </c>
      <c r="H8" s="15">
        <f t="shared" si="1"/>
        <v>124493</v>
      </c>
      <c r="I8" s="15">
        <f t="shared" si="2"/>
        <v>104821</v>
      </c>
      <c r="J8" s="16" t="s">
        <v>50</v>
      </c>
      <c r="K8" s="16" t="s">
        <v>50</v>
      </c>
    </row>
    <row r="9" spans="1:11" x14ac:dyDescent="0.35">
      <c r="A9" t="str">
        <f t="shared" si="0"/>
        <v>NAS6709</v>
      </c>
      <c r="B9" t="s">
        <v>49</v>
      </c>
      <c r="C9" s="15" t="s">
        <v>46</v>
      </c>
      <c r="D9" s="15" t="s">
        <v>47</v>
      </c>
      <c r="E9" s="15" t="s">
        <v>48</v>
      </c>
      <c r="F9" s="15">
        <v>9</v>
      </c>
      <c r="G9" s="15">
        <f>G5*2</f>
        <v>12.7</v>
      </c>
      <c r="H9" s="15">
        <f t="shared" si="1"/>
        <v>165946</v>
      </c>
      <c r="I9" s="15">
        <f t="shared" si="2"/>
        <v>139724</v>
      </c>
      <c r="J9" s="16" t="s">
        <v>50</v>
      </c>
      <c r="K9" s="16" t="s">
        <v>50</v>
      </c>
    </row>
    <row r="10" spans="1:11" x14ac:dyDescent="0.35">
      <c r="A10" t="str">
        <f t="shared" si="0"/>
        <v>NAS6710</v>
      </c>
      <c r="B10" t="s">
        <v>49</v>
      </c>
      <c r="C10" s="15" t="s">
        <v>46</v>
      </c>
      <c r="D10" s="15" t="s">
        <v>47</v>
      </c>
      <c r="E10" s="15" t="s">
        <v>48</v>
      </c>
      <c r="F10" s="15">
        <v>10</v>
      </c>
      <c r="G10" s="15">
        <v>14.3</v>
      </c>
      <c r="H10" s="15">
        <f t="shared" si="1"/>
        <v>210393</v>
      </c>
      <c r="I10" s="15">
        <f t="shared" si="2"/>
        <v>177148</v>
      </c>
      <c r="J10" s="16" t="s">
        <v>50</v>
      </c>
      <c r="K10" s="16" t="s">
        <v>50</v>
      </c>
    </row>
    <row r="11" spans="1:11" x14ac:dyDescent="0.35">
      <c r="A11" t="str">
        <f t="shared" si="0"/>
        <v>NAS6712</v>
      </c>
      <c r="B11" t="s">
        <v>49</v>
      </c>
      <c r="C11" s="15" t="s">
        <v>46</v>
      </c>
      <c r="D11" s="15" t="s">
        <v>47</v>
      </c>
      <c r="E11" s="15" t="s">
        <v>48</v>
      </c>
      <c r="F11" s="15">
        <v>12</v>
      </c>
      <c r="G11" s="15">
        <v>15.8</v>
      </c>
      <c r="H11" s="15">
        <f t="shared" si="1"/>
        <v>256847</v>
      </c>
      <c r="I11" s="15">
        <f t="shared" si="2"/>
        <v>216261</v>
      </c>
      <c r="J11" s="16" t="s">
        <v>50</v>
      </c>
      <c r="K11" s="16" t="s">
        <v>50</v>
      </c>
    </row>
    <row r="12" spans="1:11" x14ac:dyDescent="0.35">
      <c r="A12" s="17" t="s">
        <v>27</v>
      </c>
      <c r="B12" s="18"/>
      <c r="C12" s="18"/>
      <c r="D12" s="18"/>
      <c r="E12" s="19"/>
      <c r="F12" s="20"/>
      <c r="G12" s="20"/>
      <c r="H12" s="21"/>
      <c r="I12" s="21"/>
      <c r="J12" s="22"/>
      <c r="K12" s="23"/>
    </row>
  </sheetData>
  <phoneticPr fontId="5" type="noConversion"/>
  <dataValidations count="1">
    <dataValidation type="list" allowBlank="1" showInputMessage="1" showErrorMessage="1" sqref="E12" xr:uid="{65D3DD90-1739-4F11-A02F-C936360A4D43}">
      <formula1>"Ptd,Csk"</formula1>
    </dataValidation>
  </dataValidations>
  <pageMargins left="0.7" right="0.7" top="0.75" bottom="0.75" header="0.3" footer="0.3"/>
  <pageSetup paperSize="9" orientation="portrait" r:id="rId1"/>
  <headerFooter>
    <oddHeader xml:space="preserve">&amp;C&amp;"arial,Regular"&amp;8&amp;KE29218Airbus Amber </oddHeader>
    <oddFooter xml:space="preserve">&amp;C&amp;"arial,Regular"&amp;8&amp;KE29218Airbus Amber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C7FD2-C2A1-4855-9A64-6C605206E2A4}">
  <dimension ref="A1:Q11"/>
  <sheetViews>
    <sheetView workbookViewId="0">
      <selection activeCell="F22" sqref="F22"/>
    </sheetView>
  </sheetViews>
  <sheetFormatPr baseColWidth="10" defaultRowHeight="14.5" x14ac:dyDescent="0.35"/>
  <cols>
    <col min="2" max="2" width="44.26953125" bestFit="1" customWidth="1"/>
    <col min="4" max="4" width="30.453125" bestFit="1" customWidth="1"/>
    <col min="17" max="17" width="4.26953125" style="26" customWidth="1"/>
  </cols>
  <sheetData>
    <row r="1" spans="1:15" ht="15" thickBot="1" x14ac:dyDescent="0.4">
      <c r="A1" s="7" t="s">
        <v>44</v>
      </c>
      <c r="B1" s="10"/>
      <c r="C1" s="9">
        <v>45783</v>
      </c>
    </row>
    <row r="2" spans="1:15" x14ac:dyDescent="0.35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N2" s="14" t="s">
        <v>60</v>
      </c>
      <c r="O2" s="25">
        <v>4.4480000000000004</v>
      </c>
    </row>
    <row r="3" spans="1:15" ht="52" x14ac:dyDescent="0.35">
      <c r="A3" s="12" t="s">
        <v>51</v>
      </c>
      <c r="B3" s="13" t="s">
        <v>52</v>
      </c>
      <c r="C3" s="12" t="s">
        <v>0</v>
      </c>
      <c r="D3" s="12" t="s">
        <v>1</v>
      </c>
      <c r="E3" s="12" t="s">
        <v>18</v>
      </c>
      <c r="F3" s="12" t="s">
        <v>21</v>
      </c>
      <c r="G3" s="14" t="s">
        <v>2</v>
      </c>
      <c r="H3" s="14" t="s">
        <v>28</v>
      </c>
      <c r="I3" s="14" t="s">
        <v>3</v>
      </c>
      <c r="J3" s="14" t="s">
        <v>4</v>
      </c>
      <c r="K3" s="14" t="s">
        <v>5</v>
      </c>
    </row>
    <row r="4" spans="1:15" x14ac:dyDescent="0.35">
      <c r="A4" t="str">
        <f>B4 &amp; "_"&amp;TEXT(F4,"00")</f>
        <v>NAS1791_03</v>
      </c>
      <c r="B4" s="24" t="s">
        <v>55</v>
      </c>
      <c r="C4" s="15" t="s">
        <v>53</v>
      </c>
      <c r="D4" s="15" t="s">
        <v>54</v>
      </c>
      <c r="E4" s="15" t="s">
        <v>59</v>
      </c>
      <c r="F4" s="15">
        <v>3</v>
      </c>
      <c r="G4" s="15">
        <v>4.8</v>
      </c>
      <c r="H4" s="16" t="s">
        <v>50</v>
      </c>
      <c r="I4" s="15">
        <f>TRUNC(2000*$O$2,0)</f>
        <v>8896</v>
      </c>
      <c r="J4" s="16" t="s">
        <v>50</v>
      </c>
      <c r="K4" s="16" t="s">
        <v>50</v>
      </c>
    </row>
    <row r="5" spans="1:15" x14ac:dyDescent="0.35">
      <c r="A5" t="str">
        <f t="shared" ref="A5:A7" si="0">B5 &amp; "_"&amp;TEXT(F5,"00")</f>
        <v>NAS1791_04</v>
      </c>
      <c r="B5" s="24" t="s">
        <v>55</v>
      </c>
      <c r="C5" s="15" t="s">
        <v>53</v>
      </c>
      <c r="D5" s="15" t="s">
        <v>56</v>
      </c>
      <c r="E5" s="15" t="s">
        <v>59</v>
      </c>
      <c r="F5" s="15">
        <v>4</v>
      </c>
      <c r="G5" s="15">
        <v>6.35</v>
      </c>
      <c r="H5" s="16" t="s">
        <v>50</v>
      </c>
      <c r="I5" s="15">
        <f>TRUNC(2825*O2,0)</f>
        <v>12565</v>
      </c>
      <c r="J5" s="16" t="s">
        <v>50</v>
      </c>
      <c r="K5" s="16" t="s">
        <v>50</v>
      </c>
    </row>
    <row r="6" spans="1:15" x14ac:dyDescent="0.35">
      <c r="A6" t="str">
        <f t="shared" si="0"/>
        <v>NAS1791_05</v>
      </c>
      <c r="B6" s="24" t="s">
        <v>55</v>
      </c>
      <c r="C6" s="15" t="s">
        <v>53</v>
      </c>
      <c r="D6" s="15" t="s">
        <v>57</v>
      </c>
      <c r="E6" s="15" t="s">
        <v>59</v>
      </c>
      <c r="F6" s="15">
        <v>5</v>
      </c>
      <c r="G6" s="15">
        <v>8</v>
      </c>
      <c r="H6" s="16" t="s">
        <v>50</v>
      </c>
      <c r="I6" s="15">
        <f>TRUNC(5060*$O$2,0)</f>
        <v>22506</v>
      </c>
      <c r="J6" s="16" t="s">
        <v>50</v>
      </c>
      <c r="K6" s="16" t="s">
        <v>50</v>
      </c>
    </row>
    <row r="7" spans="1:15" x14ac:dyDescent="0.35">
      <c r="A7" t="str">
        <f t="shared" si="0"/>
        <v>NAS1791_06</v>
      </c>
      <c r="B7" s="24" t="s">
        <v>55</v>
      </c>
      <c r="C7" s="15" t="s">
        <v>53</v>
      </c>
      <c r="D7" s="15" t="s">
        <v>58</v>
      </c>
      <c r="E7" s="15" t="s">
        <v>59</v>
      </c>
      <c r="F7" s="15">
        <v>6</v>
      </c>
      <c r="G7" s="15">
        <v>9.5</v>
      </c>
      <c r="H7" s="16" t="s">
        <v>50</v>
      </c>
      <c r="I7" s="15">
        <f>TRUNC(8000*$O$2,0)</f>
        <v>35584</v>
      </c>
      <c r="J7" s="16" t="s">
        <v>50</v>
      </c>
      <c r="K7" s="16" t="s">
        <v>50</v>
      </c>
    </row>
    <row r="8" spans="1:15" x14ac:dyDescent="0.35">
      <c r="A8" s="17" t="s">
        <v>27</v>
      </c>
      <c r="B8" s="18"/>
      <c r="C8" s="18"/>
      <c r="D8" s="18"/>
      <c r="E8" s="19"/>
      <c r="F8" s="20"/>
      <c r="G8" s="20"/>
      <c r="H8" s="21"/>
      <c r="I8" s="21"/>
      <c r="J8" s="22"/>
      <c r="K8" s="23"/>
    </row>
    <row r="9" spans="1:15" x14ac:dyDescent="0.35">
      <c r="C9" s="15"/>
      <c r="D9" s="15"/>
      <c r="E9" s="15"/>
      <c r="F9" s="15"/>
      <c r="G9" s="15"/>
      <c r="H9" s="15"/>
      <c r="I9" s="15"/>
      <c r="J9" s="16"/>
      <c r="K9" s="16"/>
    </row>
    <row r="10" spans="1:15" x14ac:dyDescent="0.35">
      <c r="C10" s="15"/>
      <c r="D10" s="15"/>
      <c r="E10" s="15"/>
      <c r="F10" s="15"/>
      <c r="G10" s="15"/>
      <c r="H10" s="15"/>
      <c r="I10" s="15"/>
      <c r="J10" s="16"/>
      <c r="K10" s="16"/>
    </row>
    <row r="11" spans="1:15" x14ac:dyDescent="0.35">
      <c r="C11" s="15"/>
      <c r="D11" s="15"/>
      <c r="E11" s="15"/>
      <c r="F11" s="15"/>
      <c r="G11" s="15"/>
      <c r="H11" s="15"/>
      <c r="I11" s="15"/>
      <c r="J11" s="16"/>
      <c r="K11" s="16"/>
    </row>
  </sheetData>
  <phoneticPr fontId="5" type="noConversion"/>
  <dataValidations count="1">
    <dataValidation type="list" allowBlank="1" showInputMessage="1" showErrorMessage="1" sqref="E8" xr:uid="{4113B998-7CC8-40C1-A58B-A51F62711323}">
      <formula1>"Ptd,Csk"</formula1>
    </dataValidation>
  </dataValidations>
  <pageMargins left="0.7" right="0.7" top="0.75" bottom="0.75" header="0.3" footer="0.3"/>
  <pageSetup paperSize="9" orientation="portrait" r:id="rId1"/>
  <headerFooter>
    <oddHeader xml:space="preserve">&amp;C&amp;"arial,Regular"&amp;8&amp;KE29218Airbus Amber </oddHeader>
    <oddFooter xml:space="preserve">&amp;C&amp;"arial,Regular"&amp;8&amp;KE29218Airbus Amber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Version_contol</vt:lpstr>
      <vt:lpstr>FASTDB</vt:lpstr>
      <vt:lpstr>BOLTDB</vt:lpstr>
      <vt:lpstr>NUTDB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Maroto Herreros, Enrique (external) [ES]</dc:creator>
  <cp:lastModifiedBy>Maroto Herreros, Enrique (external) [ES]</cp:lastModifiedBy>
  <dcterms:created xsi:type="dcterms:W3CDTF">2025-03-05T13:56:34Z</dcterms:created>
  <dcterms:modified xsi:type="dcterms:W3CDTF">2025-08-06T08:07:18Z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9563b48f-c2a1-4a23-aabd-4b62a365111f</vt:lpwstr>
  </property>
  <property fmtid="{D5CDD505-2E9C-101B-9397-08002B2CF9AE}" pid="3" name="L">
    <vt:lpwstr>XXSEN</vt:lpwstr>
  </property>
  <property fmtid="{D5CDD505-2E9C-101B-9397-08002B2CF9AE}" pid="4" name="CC">
    <vt:lpwstr>XXAAM</vt:lpwstr>
  </property>
  <property fmtid="{D5CDD505-2E9C-101B-9397-08002B2CF9AE}" pid="5" name="PP">
    <vt:lpwstr>XXPCA</vt:lpwstr>
  </property>
  <property fmtid="{D5CDD505-2E9C-101B-9397-08002B2CF9AE}" pid="6" name="E">
    <vt:lpwstr>E0000</vt:lpwstr>
  </property>
  <property fmtid="{D5CDD505-2E9C-101B-9397-08002B2CF9AE}" pid="7" name="GD">
    <vt:lpwstr>XXGCA</vt:lpwstr>
  </property>
  <property fmtid="{D5CDD505-2E9C-101B-9397-08002B2CF9AE}" pid="8" name="OT">
    <vt:lpwstr>XXOCA</vt:lpwstr>
  </property>
  <property fmtid="{D5CDD505-2E9C-101B-9397-08002B2CF9AE}" pid="9" name="CAV">
    <vt:lpwstr>NOC</vt:lpwstr>
  </property>
  <property fmtid="{D5CDD505-2E9C-101B-9397-08002B2CF9AE}" pid="10" name="STAMP">
    <vt:lpwstr>YES</vt:lpwstr>
  </property>
</Properties>
</file>