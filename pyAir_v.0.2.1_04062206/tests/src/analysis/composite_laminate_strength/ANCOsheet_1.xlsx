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U69432\Desktop\PyAir\tests\analysis\composite_laminate_strength\"/>
    </mc:Choice>
  </mc:AlternateContent>
  <xr:revisionPtr revIDLastSave="0" documentId="8_{2360B3E7-A378-48D8-AAAF-E6A6E2D559FF}" xr6:coauthVersionLast="47" xr6:coauthVersionMax="47" xr10:uidLastSave="{00000000-0000-0000-0000-000000000000}"/>
  <bookViews>
    <workbookView xWindow="-120" yWindow="-120" windowWidth="29040" windowHeight="15720" xr2:uid="{00000000-000D-0000-FFFF-FFFF00000000}"/>
  </bookViews>
  <sheets>
    <sheet name="cover" sheetId="1" r:id="rId1"/>
    <sheet name="moduli" sheetId="2" r:id="rId2"/>
    <sheet name="strength" sheetId="3" r:id="rId3"/>
    <sheet name="method" sheetId="4" r:id="rId4"/>
  </sheets>
  <definedNames>
    <definedName name="_xlnm.Print_Area" localSheetId="0">cover!$A$1:$E$29</definedName>
    <definedName name="_xlnm.Print_Area" localSheetId="3">method!$A$1:$I$75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8" i="2" l="1"/>
  <c r="D39" i="2"/>
  <c r="D33" i="2"/>
  <c r="D34" i="2"/>
  <c r="D35" i="2"/>
  <c r="D36" i="2"/>
  <c r="D37" i="2"/>
  <c r="D30" i="2"/>
  <c r="D31" i="2"/>
  <c r="D32" i="2"/>
  <c r="B12" i="3" l="1"/>
  <c r="A12" i="3"/>
  <c r="A6" i="2"/>
  <c r="B6" i="2" s="1"/>
  <c r="D29" i="2"/>
  <c r="E21" i="3" l="1"/>
  <c r="F21" i="3"/>
  <c r="G21" i="3"/>
  <c r="E22" i="3"/>
  <c r="F22" i="3"/>
  <c r="G22" i="3"/>
  <c r="E23" i="3"/>
  <c r="F23" i="3"/>
  <c r="G23" i="3"/>
  <c r="E24" i="3"/>
  <c r="F24" i="3"/>
  <c r="J24" i="3" s="1"/>
  <c r="G24" i="3"/>
  <c r="E25" i="3"/>
  <c r="F25" i="3"/>
  <c r="G25" i="3"/>
  <c r="H25" i="3"/>
  <c r="E26" i="3"/>
  <c r="F26" i="3"/>
  <c r="G26" i="3"/>
  <c r="E27" i="3"/>
  <c r="F27" i="3"/>
  <c r="G27"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F355"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B392" i="3"/>
  <c r="E392" i="3" s="1"/>
  <c r="C392" i="3"/>
  <c r="B393" i="3"/>
  <c r="E393" i="3" s="1"/>
  <c r="C393" i="3"/>
  <c r="B390" i="3"/>
  <c r="C390" i="3"/>
  <c r="B391" i="3"/>
  <c r="C391" i="3"/>
  <c r="B389" i="3"/>
  <c r="C389" i="3"/>
  <c r="B35" i="3"/>
  <c r="C35" i="3"/>
  <c r="B36" i="3"/>
  <c r="C36" i="3"/>
  <c r="B37" i="3"/>
  <c r="C37" i="3"/>
  <c r="B38" i="3"/>
  <c r="C38" i="3"/>
  <c r="B39" i="3"/>
  <c r="C39" i="3"/>
  <c r="B40" i="3"/>
  <c r="C40" i="3"/>
  <c r="B41" i="3"/>
  <c r="C41" i="3"/>
  <c r="B42" i="3"/>
  <c r="C42" i="3"/>
  <c r="B43" i="3"/>
  <c r="C43" i="3"/>
  <c r="B44" i="3"/>
  <c r="C44" i="3"/>
  <c r="B45" i="3"/>
  <c r="C45" i="3"/>
  <c r="B46" i="3"/>
  <c r="C46" i="3"/>
  <c r="B47" i="3"/>
  <c r="C47" i="3"/>
  <c r="B48" i="3"/>
  <c r="C48" i="3"/>
  <c r="B49" i="3"/>
  <c r="C49" i="3"/>
  <c r="B50" i="3"/>
  <c r="C50" i="3"/>
  <c r="B51" i="3"/>
  <c r="C51" i="3"/>
  <c r="B52" i="3"/>
  <c r="C52" i="3"/>
  <c r="B53" i="3"/>
  <c r="C53" i="3"/>
  <c r="B54" i="3"/>
  <c r="C54" i="3"/>
  <c r="B55" i="3"/>
  <c r="F55" i="3" s="1"/>
  <c r="C55" i="3"/>
  <c r="B56" i="3"/>
  <c r="C56" i="3"/>
  <c r="B57" i="3"/>
  <c r="C57" i="3"/>
  <c r="B58" i="3"/>
  <c r="C58" i="3"/>
  <c r="B59" i="3"/>
  <c r="C59" i="3"/>
  <c r="B60" i="3"/>
  <c r="C60" i="3"/>
  <c r="B61" i="3"/>
  <c r="C61" i="3"/>
  <c r="B62" i="3"/>
  <c r="C62" i="3"/>
  <c r="B63" i="3"/>
  <c r="C63" i="3"/>
  <c r="B64" i="3"/>
  <c r="C64" i="3"/>
  <c r="B65" i="3"/>
  <c r="C65" i="3"/>
  <c r="B66" i="3"/>
  <c r="C66" i="3"/>
  <c r="B67" i="3"/>
  <c r="C67" i="3"/>
  <c r="B68" i="3"/>
  <c r="C68" i="3"/>
  <c r="B69" i="3"/>
  <c r="C69" i="3"/>
  <c r="B70" i="3"/>
  <c r="C70" i="3"/>
  <c r="B71" i="3"/>
  <c r="C71" i="3"/>
  <c r="B72" i="3"/>
  <c r="C72" i="3"/>
  <c r="B73" i="3"/>
  <c r="C73" i="3"/>
  <c r="B74" i="3"/>
  <c r="C74" i="3"/>
  <c r="B75" i="3"/>
  <c r="C75" i="3"/>
  <c r="B76" i="3"/>
  <c r="C76" i="3"/>
  <c r="B77" i="3"/>
  <c r="C77" i="3"/>
  <c r="B78" i="3"/>
  <c r="C78" i="3"/>
  <c r="B79" i="3"/>
  <c r="F79" i="3" s="1"/>
  <c r="C79" i="3"/>
  <c r="B80" i="3"/>
  <c r="C80" i="3"/>
  <c r="B81" i="3"/>
  <c r="C81" i="3"/>
  <c r="B82" i="3"/>
  <c r="C82" i="3"/>
  <c r="B83" i="3"/>
  <c r="E83" i="3" s="1"/>
  <c r="C83" i="3"/>
  <c r="B84" i="3"/>
  <c r="C84" i="3"/>
  <c r="B85" i="3"/>
  <c r="C85" i="3"/>
  <c r="B86" i="3"/>
  <c r="C86" i="3"/>
  <c r="B87" i="3"/>
  <c r="C87" i="3"/>
  <c r="B88" i="3"/>
  <c r="C88" i="3"/>
  <c r="B89" i="3"/>
  <c r="C89" i="3"/>
  <c r="B90" i="3"/>
  <c r="F90" i="3" s="1"/>
  <c r="C90" i="3"/>
  <c r="B91" i="3"/>
  <c r="C91" i="3"/>
  <c r="B92" i="3"/>
  <c r="C92" i="3"/>
  <c r="B93" i="3"/>
  <c r="C93" i="3"/>
  <c r="B94" i="3"/>
  <c r="C94" i="3"/>
  <c r="B95" i="3"/>
  <c r="C95" i="3"/>
  <c r="B96" i="3"/>
  <c r="C96" i="3"/>
  <c r="B97" i="3"/>
  <c r="C97" i="3"/>
  <c r="B98" i="3"/>
  <c r="C98" i="3"/>
  <c r="B99" i="3"/>
  <c r="C99" i="3"/>
  <c r="B100" i="3"/>
  <c r="C100" i="3"/>
  <c r="B101" i="3"/>
  <c r="C101" i="3"/>
  <c r="B102" i="3"/>
  <c r="C102" i="3"/>
  <c r="B103" i="3"/>
  <c r="C103" i="3"/>
  <c r="B104" i="3"/>
  <c r="C104" i="3"/>
  <c r="B105" i="3"/>
  <c r="C105" i="3"/>
  <c r="B106" i="3"/>
  <c r="C106" i="3"/>
  <c r="B107" i="3"/>
  <c r="C107" i="3"/>
  <c r="B108" i="3"/>
  <c r="C108" i="3"/>
  <c r="B109" i="3"/>
  <c r="C109" i="3"/>
  <c r="B110" i="3"/>
  <c r="F110" i="3" s="1"/>
  <c r="C110" i="3"/>
  <c r="B111" i="3"/>
  <c r="C111" i="3"/>
  <c r="B112" i="3"/>
  <c r="C112" i="3"/>
  <c r="B113" i="3"/>
  <c r="C113" i="3"/>
  <c r="B114" i="3"/>
  <c r="C114" i="3"/>
  <c r="B115" i="3"/>
  <c r="F115" i="3" s="1"/>
  <c r="C115" i="3"/>
  <c r="B116" i="3"/>
  <c r="C116" i="3"/>
  <c r="B117" i="3"/>
  <c r="C117" i="3"/>
  <c r="B118" i="3"/>
  <c r="C118" i="3"/>
  <c r="B119" i="3"/>
  <c r="C119" i="3"/>
  <c r="B120" i="3"/>
  <c r="C120" i="3"/>
  <c r="B121" i="3"/>
  <c r="C121" i="3"/>
  <c r="B122" i="3"/>
  <c r="C122" i="3"/>
  <c r="B123" i="3"/>
  <c r="C123" i="3"/>
  <c r="B124" i="3"/>
  <c r="C124" i="3"/>
  <c r="B125" i="3"/>
  <c r="C125" i="3"/>
  <c r="B126" i="3"/>
  <c r="C126" i="3"/>
  <c r="B127" i="3"/>
  <c r="C127" i="3"/>
  <c r="B128" i="3"/>
  <c r="C128" i="3"/>
  <c r="B129" i="3"/>
  <c r="C129" i="3"/>
  <c r="B130" i="3"/>
  <c r="C130" i="3"/>
  <c r="B131" i="3"/>
  <c r="C131" i="3"/>
  <c r="B132" i="3"/>
  <c r="C132" i="3"/>
  <c r="B133" i="3"/>
  <c r="C133" i="3"/>
  <c r="B134" i="3"/>
  <c r="F134" i="3" s="1"/>
  <c r="C134" i="3"/>
  <c r="B135" i="3"/>
  <c r="C135" i="3"/>
  <c r="B136" i="3"/>
  <c r="C136" i="3"/>
  <c r="B137" i="3"/>
  <c r="C137" i="3"/>
  <c r="B138" i="3"/>
  <c r="C138" i="3"/>
  <c r="B139" i="3"/>
  <c r="E139" i="3" s="1"/>
  <c r="C139" i="3"/>
  <c r="B140" i="3"/>
  <c r="C140" i="3"/>
  <c r="B141" i="3"/>
  <c r="C141" i="3"/>
  <c r="B142" i="3"/>
  <c r="C142" i="3"/>
  <c r="B143" i="3"/>
  <c r="C143" i="3"/>
  <c r="B144" i="3"/>
  <c r="C144" i="3"/>
  <c r="B145" i="3"/>
  <c r="C145" i="3"/>
  <c r="B146" i="3"/>
  <c r="C146" i="3"/>
  <c r="B147" i="3"/>
  <c r="C147" i="3"/>
  <c r="B148" i="3"/>
  <c r="C148" i="3"/>
  <c r="B149" i="3"/>
  <c r="C149" i="3"/>
  <c r="B150" i="3"/>
  <c r="C150" i="3"/>
  <c r="B151" i="3"/>
  <c r="C151" i="3"/>
  <c r="B152" i="3"/>
  <c r="C152" i="3"/>
  <c r="B153" i="3"/>
  <c r="C153" i="3"/>
  <c r="B154" i="3"/>
  <c r="E154" i="3" s="1"/>
  <c r="C154" i="3"/>
  <c r="B155" i="3"/>
  <c r="C155" i="3"/>
  <c r="B156" i="3"/>
  <c r="C156" i="3"/>
  <c r="B157" i="3"/>
  <c r="C157" i="3"/>
  <c r="B158" i="3"/>
  <c r="C158" i="3"/>
  <c r="B159" i="3"/>
  <c r="C159" i="3"/>
  <c r="B160" i="3"/>
  <c r="C160" i="3"/>
  <c r="B161" i="3"/>
  <c r="C161" i="3"/>
  <c r="B162" i="3"/>
  <c r="C162" i="3"/>
  <c r="B163" i="3"/>
  <c r="E163" i="3" s="1"/>
  <c r="C163" i="3"/>
  <c r="B164" i="3"/>
  <c r="C164" i="3"/>
  <c r="B165" i="3"/>
  <c r="C165" i="3"/>
  <c r="B166" i="3"/>
  <c r="C166" i="3"/>
  <c r="B167" i="3"/>
  <c r="C167" i="3"/>
  <c r="B168" i="3"/>
  <c r="C168" i="3"/>
  <c r="B169" i="3"/>
  <c r="C169" i="3"/>
  <c r="B170" i="3"/>
  <c r="C170" i="3"/>
  <c r="B171" i="3"/>
  <c r="C171" i="3"/>
  <c r="B172" i="3"/>
  <c r="C172" i="3"/>
  <c r="B173" i="3"/>
  <c r="C173" i="3"/>
  <c r="B174" i="3"/>
  <c r="C174" i="3"/>
  <c r="B175" i="3"/>
  <c r="C175" i="3"/>
  <c r="B176" i="3"/>
  <c r="C176" i="3"/>
  <c r="B177" i="3"/>
  <c r="C177" i="3"/>
  <c r="B178" i="3"/>
  <c r="C178" i="3"/>
  <c r="B179" i="3"/>
  <c r="F179" i="3" s="1"/>
  <c r="C179" i="3"/>
  <c r="B180" i="3"/>
  <c r="C180" i="3"/>
  <c r="B181" i="3"/>
  <c r="C181" i="3"/>
  <c r="B182" i="3"/>
  <c r="C182" i="3"/>
  <c r="B183" i="3"/>
  <c r="C183" i="3"/>
  <c r="B184" i="3"/>
  <c r="C184" i="3"/>
  <c r="B185" i="3"/>
  <c r="C185" i="3"/>
  <c r="B186" i="3"/>
  <c r="C186" i="3"/>
  <c r="B187" i="3"/>
  <c r="E187" i="3" s="1"/>
  <c r="C187" i="3"/>
  <c r="B188" i="3"/>
  <c r="C188" i="3"/>
  <c r="B189" i="3"/>
  <c r="C189" i="3"/>
  <c r="B190" i="3"/>
  <c r="C190" i="3"/>
  <c r="B191" i="3"/>
  <c r="C191" i="3"/>
  <c r="B192" i="3"/>
  <c r="C192" i="3"/>
  <c r="B193" i="3"/>
  <c r="C193" i="3"/>
  <c r="B194" i="3"/>
  <c r="C194" i="3"/>
  <c r="B195" i="3"/>
  <c r="C195" i="3"/>
  <c r="B196" i="3"/>
  <c r="C196" i="3"/>
  <c r="B197" i="3"/>
  <c r="C197" i="3"/>
  <c r="B198" i="3"/>
  <c r="C198" i="3"/>
  <c r="B199" i="3"/>
  <c r="C199" i="3"/>
  <c r="B200" i="3"/>
  <c r="C200" i="3"/>
  <c r="B201" i="3"/>
  <c r="C201" i="3"/>
  <c r="B202" i="3"/>
  <c r="C202" i="3"/>
  <c r="B203" i="3"/>
  <c r="E203" i="3" s="1"/>
  <c r="C203" i="3"/>
  <c r="B204" i="3"/>
  <c r="C204" i="3"/>
  <c r="B205" i="3"/>
  <c r="C205" i="3"/>
  <c r="B206" i="3"/>
  <c r="C206" i="3"/>
  <c r="B207" i="3"/>
  <c r="C207" i="3"/>
  <c r="B208" i="3"/>
  <c r="C208" i="3"/>
  <c r="B209" i="3"/>
  <c r="C209" i="3"/>
  <c r="B210" i="3"/>
  <c r="C210" i="3"/>
  <c r="B211" i="3"/>
  <c r="F211" i="3" s="1"/>
  <c r="C211" i="3"/>
  <c r="B212" i="3"/>
  <c r="C212" i="3"/>
  <c r="B213" i="3"/>
  <c r="C213" i="3"/>
  <c r="B214" i="3"/>
  <c r="C214" i="3"/>
  <c r="B215" i="3"/>
  <c r="C215" i="3"/>
  <c r="B216" i="3"/>
  <c r="C216" i="3"/>
  <c r="B217" i="3"/>
  <c r="C217" i="3"/>
  <c r="B218" i="3"/>
  <c r="C218" i="3"/>
  <c r="B219" i="3"/>
  <c r="C219" i="3"/>
  <c r="B220" i="3"/>
  <c r="C220" i="3"/>
  <c r="B221" i="3"/>
  <c r="C221" i="3"/>
  <c r="B222" i="3"/>
  <c r="C222" i="3"/>
  <c r="B223" i="3"/>
  <c r="F223" i="3" s="1"/>
  <c r="C223" i="3"/>
  <c r="B224" i="3"/>
  <c r="C224" i="3"/>
  <c r="B225" i="3"/>
  <c r="C225" i="3"/>
  <c r="B226" i="3"/>
  <c r="E226" i="3" s="1"/>
  <c r="C226" i="3"/>
  <c r="B227" i="3"/>
  <c r="C227" i="3"/>
  <c r="B228" i="3"/>
  <c r="C228" i="3"/>
  <c r="B229" i="3"/>
  <c r="C229" i="3"/>
  <c r="B230" i="3"/>
  <c r="C230" i="3"/>
  <c r="B231" i="3"/>
  <c r="C231" i="3"/>
  <c r="B232" i="3"/>
  <c r="C232" i="3"/>
  <c r="B233" i="3"/>
  <c r="C233" i="3"/>
  <c r="B234" i="3"/>
  <c r="E234" i="3" s="1"/>
  <c r="C234" i="3"/>
  <c r="B235" i="3"/>
  <c r="C235" i="3"/>
  <c r="B236" i="3"/>
  <c r="C236" i="3"/>
  <c r="B237" i="3"/>
  <c r="C237" i="3"/>
  <c r="B238" i="3"/>
  <c r="C238" i="3"/>
  <c r="B239" i="3"/>
  <c r="C239" i="3"/>
  <c r="B240" i="3"/>
  <c r="C240" i="3"/>
  <c r="B241" i="3"/>
  <c r="C241" i="3"/>
  <c r="B242" i="3"/>
  <c r="E242" i="3" s="1"/>
  <c r="C242" i="3"/>
  <c r="B243" i="3"/>
  <c r="C243" i="3"/>
  <c r="B244" i="3"/>
  <c r="C244" i="3"/>
  <c r="B245" i="3"/>
  <c r="C245" i="3"/>
  <c r="B246" i="3"/>
  <c r="C246" i="3"/>
  <c r="B247" i="3"/>
  <c r="F247" i="3" s="1"/>
  <c r="C247" i="3"/>
  <c r="B248" i="3"/>
  <c r="C248" i="3"/>
  <c r="B249" i="3"/>
  <c r="C249" i="3"/>
  <c r="B250" i="3"/>
  <c r="C250" i="3"/>
  <c r="B251" i="3"/>
  <c r="E251" i="3" s="1"/>
  <c r="C251" i="3"/>
  <c r="B252" i="3"/>
  <c r="C252" i="3"/>
  <c r="B253" i="3"/>
  <c r="C253" i="3"/>
  <c r="B254" i="3"/>
  <c r="C254" i="3"/>
  <c r="B255" i="3"/>
  <c r="C255" i="3"/>
  <c r="B256" i="3"/>
  <c r="C256" i="3"/>
  <c r="B257" i="3"/>
  <c r="C257" i="3"/>
  <c r="B258" i="3"/>
  <c r="F258" i="3" s="1"/>
  <c r="C258" i="3"/>
  <c r="B259" i="3"/>
  <c r="C259" i="3"/>
  <c r="B260" i="3"/>
  <c r="C260" i="3"/>
  <c r="B261" i="3"/>
  <c r="C261" i="3"/>
  <c r="B262" i="3"/>
  <c r="C262" i="3"/>
  <c r="B263" i="3"/>
  <c r="F263" i="3" s="1"/>
  <c r="C263" i="3"/>
  <c r="B264" i="3"/>
  <c r="C264" i="3"/>
  <c r="B265" i="3"/>
  <c r="C265" i="3"/>
  <c r="B266" i="3"/>
  <c r="C266" i="3"/>
  <c r="B267" i="3"/>
  <c r="C267" i="3"/>
  <c r="B268" i="3"/>
  <c r="C268" i="3"/>
  <c r="B269" i="3"/>
  <c r="C269" i="3"/>
  <c r="B270" i="3"/>
  <c r="E270" i="3" s="1"/>
  <c r="C270" i="3"/>
  <c r="B271" i="3"/>
  <c r="E271" i="3" s="1"/>
  <c r="C271" i="3"/>
  <c r="B272" i="3"/>
  <c r="C272" i="3"/>
  <c r="B273" i="3"/>
  <c r="C273" i="3"/>
  <c r="B274" i="3"/>
  <c r="C274" i="3"/>
  <c r="B275" i="3"/>
  <c r="F275" i="3" s="1"/>
  <c r="C275" i="3"/>
  <c r="B276" i="3"/>
  <c r="C276" i="3"/>
  <c r="B277" i="3"/>
  <c r="C277" i="3"/>
  <c r="B278" i="3"/>
  <c r="C278" i="3"/>
  <c r="B279" i="3"/>
  <c r="C279" i="3"/>
  <c r="B280" i="3"/>
  <c r="C280" i="3"/>
  <c r="B281" i="3"/>
  <c r="C281" i="3"/>
  <c r="B282" i="3"/>
  <c r="E282" i="3" s="1"/>
  <c r="C282" i="3"/>
  <c r="B283" i="3"/>
  <c r="C283" i="3"/>
  <c r="B284" i="3"/>
  <c r="C284" i="3"/>
  <c r="B285" i="3"/>
  <c r="C285" i="3"/>
  <c r="B286" i="3"/>
  <c r="C286" i="3"/>
  <c r="B287" i="3"/>
  <c r="F287" i="3" s="1"/>
  <c r="C287" i="3"/>
  <c r="B288" i="3"/>
  <c r="C288" i="3"/>
  <c r="B289" i="3"/>
  <c r="C289" i="3"/>
  <c r="B290" i="3"/>
  <c r="C290" i="3"/>
  <c r="B291" i="3"/>
  <c r="C291" i="3"/>
  <c r="B292" i="3"/>
  <c r="C292" i="3"/>
  <c r="B293" i="3"/>
  <c r="C293" i="3"/>
  <c r="B294" i="3"/>
  <c r="F294" i="3" s="1"/>
  <c r="C294" i="3"/>
  <c r="B295" i="3"/>
  <c r="C295" i="3"/>
  <c r="B296" i="3"/>
  <c r="C296" i="3"/>
  <c r="B297" i="3"/>
  <c r="C297" i="3"/>
  <c r="B298" i="3"/>
  <c r="C298" i="3"/>
  <c r="B299" i="3"/>
  <c r="F299" i="3" s="1"/>
  <c r="C299" i="3"/>
  <c r="B300" i="3"/>
  <c r="C300" i="3"/>
  <c r="B301" i="3"/>
  <c r="C301" i="3"/>
  <c r="B302" i="3"/>
  <c r="C302" i="3"/>
  <c r="B303" i="3"/>
  <c r="C303" i="3"/>
  <c r="B304" i="3"/>
  <c r="C304" i="3"/>
  <c r="B305" i="3"/>
  <c r="C305" i="3"/>
  <c r="B306" i="3"/>
  <c r="C306" i="3"/>
  <c r="B307" i="3"/>
  <c r="E307" i="3" s="1"/>
  <c r="C307" i="3"/>
  <c r="B308" i="3"/>
  <c r="C308" i="3"/>
  <c r="B309" i="3"/>
  <c r="C309" i="3"/>
  <c r="B310" i="3"/>
  <c r="C310" i="3"/>
  <c r="B311" i="3"/>
  <c r="E311" i="3" s="1"/>
  <c r="C311" i="3"/>
  <c r="B312" i="3"/>
  <c r="C312" i="3"/>
  <c r="B313" i="3"/>
  <c r="C313" i="3"/>
  <c r="B314" i="3"/>
  <c r="C314" i="3"/>
  <c r="B315" i="3"/>
  <c r="C315" i="3"/>
  <c r="B316" i="3"/>
  <c r="C316" i="3"/>
  <c r="B317" i="3"/>
  <c r="C317" i="3"/>
  <c r="B318" i="3"/>
  <c r="C318" i="3"/>
  <c r="B319" i="3"/>
  <c r="E319" i="3" s="1"/>
  <c r="C319" i="3"/>
  <c r="B320" i="3"/>
  <c r="C320" i="3"/>
  <c r="B321" i="3"/>
  <c r="C321" i="3"/>
  <c r="B322" i="3"/>
  <c r="C322" i="3"/>
  <c r="B323" i="3"/>
  <c r="E323" i="3" s="1"/>
  <c r="C323" i="3"/>
  <c r="B324" i="3"/>
  <c r="C324" i="3"/>
  <c r="B325" i="3"/>
  <c r="C325" i="3"/>
  <c r="B326" i="3"/>
  <c r="C326" i="3"/>
  <c r="B327" i="3"/>
  <c r="C327" i="3"/>
  <c r="B328" i="3"/>
  <c r="C328" i="3"/>
  <c r="B329" i="3"/>
  <c r="C329" i="3"/>
  <c r="B330" i="3"/>
  <c r="E330" i="3" s="1"/>
  <c r="C330" i="3"/>
  <c r="B331" i="3"/>
  <c r="F331" i="3" s="1"/>
  <c r="C331" i="3"/>
  <c r="B332" i="3"/>
  <c r="C332" i="3"/>
  <c r="B333" i="3"/>
  <c r="C333" i="3"/>
  <c r="B334" i="3"/>
  <c r="C334" i="3"/>
  <c r="B335" i="3"/>
  <c r="E335" i="3" s="1"/>
  <c r="C335" i="3"/>
  <c r="B336" i="3"/>
  <c r="C336" i="3"/>
  <c r="B337" i="3"/>
  <c r="C337" i="3"/>
  <c r="B338" i="3"/>
  <c r="C338" i="3"/>
  <c r="B339" i="3"/>
  <c r="C339" i="3"/>
  <c r="B340" i="3"/>
  <c r="C340" i="3"/>
  <c r="B341" i="3"/>
  <c r="C341" i="3"/>
  <c r="B342" i="3"/>
  <c r="F342" i="3" s="1"/>
  <c r="C342" i="3"/>
  <c r="B343" i="3"/>
  <c r="E343" i="3" s="1"/>
  <c r="C343" i="3"/>
  <c r="B344" i="3"/>
  <c r="C344" i="3"/>
  <c r="B345" i="3"/>
  <c r="C345" i="3"/>
  <c r="B346" i="3"/>
  <c r="C346" i="3"/>
  <c r="B347" i="3"/>
  <c r="F347" i="3" s="1"/>
  <c r="C347" i="3"/>
  <c r="B348" i="3"/>
  <c r="C348" i="3"/>
  <c r="B349" i="3"/>
  <c r="C349" i="3"/>
  <c r="B350" i="3"/>
  <c r="F350" i="3" s="1"/>
  <c r="C350" i="3"/>
  <c r="B351" i="3"/>
  <c r="C351" i="3"/>
  <c r="B352" i="3"/>
  <c r="C352" i="3"/>
  <c r="B353" i="3"/>
  <c r="C353" i="3"/>
  <c r="B354" i="3"/>
  <c r="C354" i="3"/>
  <c r="B355" i="3"/>
  <c r="E355" i="3" s="1"/>
  <c r="C355" i="3"/>
  <c r="B356" i="3"/>
  <c r="C356" i="3"/>
  <c r="B357" i="3"/>
  <c r="C357" i="3"/>
  <c r="B358" i="3"/>
  <c r="C358" i="3"/>
  <c r="B359" i="3"/>
  <c r="E359" i="3" s="1"/>
  <c r="C359" i="3"/>
  <c r="B360" i="3"/>
  <c r="C360" i="3"/>
  <c r="B361" i="3"/>
  <c r="C361" i="3"/>
  <c r="B362" i="3"/>
  <c r="E362" i="3" s="1"/>
  <c r="C362" i="3"/>
  <c r="B363" i="3"/>
  <c r="C363" i="3"/>
  <c r="B364" i="3"/>
  <c r="C364" i="3"/>
  <c r="B365" i="3"/>
  <c r="C365" i="3"/>
  <c r="B366" i="3"/>
  <c r="E366" i="3" s="1"/>
  <c r="C366" i="3"/>
  <c r="B367" i="3"/>
  <c r="E367" i="3" s="1"/>
  <c r="C367" i="3"/>
  <c r="B368" i="3"/>
  <c r="C368" i="3"/>
  <c r="B369" i="3"/>
  <c r="C369" i="3"/>
  <c r="B370" i="3"/>
  <c r="C370" i="3"/>
  <c r="B371" i="3"/>
  <c r="E371" i="3" s="1"/>
  <c r="C371" i="3"/>
  <c r="B372" i="3"/>
  <c r="C372" i="3"/>
  <c r="B373" i="3"/>
  <c r="C373" i="3"/>
  <c r="B374" i="3"/>
  <c r="E374" i="3" s="1"/>
  <c r="C374" i="3"/>
  <c r="B375" i="3"/>
  <c r="C375" i="3"/>
  <c r="B376" i="3"/>
  <c r="C376" i="3"/>
  <c r="B377" i="3"/>
  <c r="C377" i="3"/>
  <c r="B378" i="3"/>
  <c r="E378" i="3" s="1"/>
  <c r="C378" i="3"/>
  <c r="B379" i="3"/>
  <c r="E379" i="3" s="1"/>
  <c r="C379" i="3"/>
  <c r="B380" i="3"/>
  <c r="C380" i="3"/>
  <c r="B381" i="3"/>
  <c r="C381" i="3"/>
  <c r="B382" i="3"/>
  <c r="C382" i="3"/>
  <c r="B383" i="3"/>
  <c r="E383" i="3" s="1"/>
  <c r="C383" i="3"/>
  <c r="B384" i="3"/>
  <c r="C384" i="3"/>
  <c r="B385" i="3"/>
  <c r="C385" i="3"/>
  <c r="B386" i="3"/>
  <c r="C386" i="3"/>
  <c r="B387" i="3"/>
  <c r="C387" i="3"/>
  <c r="B388" i="3"/>
  <c r="C388" i="3"/>
  <c r="B34" i="3"/>
  <c r="C34" i="3"/>
  <c r="C33" i="3"/>
  <c r="B33" i="3"/>
  <c r="E19" i="3"/>
  <c r="F19" i="3"/>
  <c r="G19" i="3"/>
  <c r="E20" i="3"/>
  <c r="F20" i="3"/>
  <c r="G20" i="3"/>
  <c r="G18" i="3"/>
  <c r="F18" i="3"/>
  <c r="E18" i="3"/>
  <c r="E363" i="3" l="1"/>
  <c r="E339" i="3"/>
  <c r="F327" i="3"/>
  <c r="F315" i="3"/>
  <c r="E303" i="3"/>
  <c r="E291" i="3"/>
  <c r="E267" i="3"/>
  <c r="F243" i="3"/>
  <c r="F231" i="3"/>
  <c r="F171" i="3"/>
  <c r="E123" i="3"/>
  <c r="F111" i="3"/>
  <c r="F39" i="3"/>
  <c r="I24" i="3"/>
  <c r="E332" i="3"/>
  <c r="F296" i="3"/>
  <c r="F284" i="3"/>
  <c r="E387" i="3"/>
  <c r="E351" i="3"/>
  <c r="E39" i="3"/>
  <c r="E384" i="3"/>
  <c r="F336" i="3"/>
  <c r="E312" i="3"/>
  <c r="F60" i="3"/>
  <c r="E36" i="3"/>
  <c r="E375" i="3"/>
  <c r="F203" i="3"/>
  <c r="I25" i="3"/>
  <c r="H24" i="3"/>
  <c r="L24" i="3" s="1"/>
  <c r="H22" i="3"/>
  <c r="K27" i="3"/>
  <c r="K23" i="3"/>
  <c r="K22" i="3"/>
  <c r="J22" i="3"/>
  <c r="J23" i="3"/>
  <c r="I22" i="3"/>
  <c r="L22" i="3" s="1"/>
  <c r="K21" i="3"/>
  <c r="I23" i="3"/>
  <c r="H26" i="3"/>
  <c r="J18" i="3"/>
  <c r="H23" i="3"/>
  <c r="L23" i="3" s="1"/>
  <c r="H21" i="3"/>
  <c r="J21" i="3"/>
  <c r="I21" i="3"/>
  <c r="L25" i="3"/>
  <c r="J27" i="3"/>
  <c r="K26" i="3"/>
  <c r="I27" i="3"/>
  <c r="J26" i="3"/>
  <c r="K25" i="3"/>
  <c r="H27" i="3"/>
  <c r="I26" i="3"/>
  <c r="J25" i="3"/>
  <c r="K24" i="3"/>
  <c r="E328" i="3"/>
  <c r="E216" i="3"/>
  <c r="F311" i="3"/>
  <c r="H311" i="3" s="1"/>
  <c r="F371" i="3"/>
  <c r="H371" i="3" s="1"/>
  <c r="F385" i="3"/>
  <c r="F369" i="3"/>
  <c r="E364" i="3"/>
  <c r="F348" i="3"/>
  <c r="E212" i="3"/>
  <c r="F168" i="3"/>
  <c r="E128" i="3"/>
  <c r="F120" i="3"/>
  <c r="F100" i="3"/>
  <c r="E390" i="3"/>
  <c r="E223" i="3"/>
  <c r="K223" i="3" s="1"/>
  <c r="F123" i="3"/>
  <c r="E345" i="3"/>
  <c r="F321" i="3"/>
  <c r="E301" i="3"/>
  <c r="E324" i="3"/>
  <c r="E284" i="3"/>
  <c r="K284" i="3" s="1"/>
  <c r="F367" i="3"/>
  <c r="J367" i="3" s="1"/>
  <c r="F323" i="3"/>
  <c r="J323" i="3" s="1"/>
  <c r="E245" i="3"/>
  <c r="E276" i="3"/>
  <c r="E373" i="3"/>
  <c r="F357" i="3"/>
  <c r="H357" i="3" s="1"/>
  <c r="E333" i="3"/>
  <c r="E313" i="3"/>
  <c r="F273" i="3"/>
  <c r="F148" i="3"/>
  <c r="F388" i="3"/>
  <c r="F372" i="3"/>
  <c r="E352" i="3"/>
  <c r="E340" i="3"/>
  <c r="F320" i="3"/>
  <c r="E296" i="3"/>
  <c r="H296" i="3" s="1"/>
  <c r="F268" i="3"/>
  <c r="E260" i="3"/>
  <c r="F248" i="3"/>
  <c r="E240" i="3"/>
  <c r="E232" i="3"/>
  <c r="E228" i="3"/>
  <c r="F216" i="3"/>
  <c r="E176" i="3"/>
  <c r="E136" i="3"/>
  <c r="E108" i="3"/>
  <c r="F393" i="3"/>
  <c r="H393" i="3" s="1"/>
  <c r="F359" i="3"/>
  <c r="E327" i="3"/>
  <c r="J327" i="3" s="1"/>
  <c r="E179" i="3"/>
  <c r="K179" i="3" s="1"/>
  <c r="F387" i="3"/>
  <c r="H387" i="3" s="1"/>
  <c r="F339" i="3"/>
  <c r="I339" i="3" s="1"/>
  <c r="E315" i="3"/>
  <c r="J315" i="3" s="1"/>
  <c r="F276" i="3"/>
  <c r="E248" i="3"/>
  <c r="E171" i="3"/>
  <c r="K171" i="3" s="1"/>
  <c r="F380" i="3"/>
  <c r="F368" i="3"/>
  <c r="E380" i="3"/>
  <c r="K380" i="3" s="1"/>
  <c r="F343" i="3"/>
  <c r="H343" i="3" s="1"/>
  <c r="E287" i="3"/>
  <c r="H287" i="3" s="1"/>
  <c r="E247" i="3"/>
  <c r="K247" i="3" s="1"/>
  <c r="F163" i="3"/>
  <c r="E79" i="3"/>
  <c r="J79" i="3" s="1"/>
  <c r="E115" i="3"/>
  <c r="J115" i="3" s="1"/>
  <c r="F390" i="3"/>
  <c r="E368" i="3"/>
  <c r="F351" i="3"/>
  <c r="E347" i="3"/>
  <c r="F319" i="3"/>
  <c r="F307" i="3"/>
  <c r="K307" i="3" s="1"/>
  <c r="E275" i="3"/>
  <c r="F83" i="3"/>
  <c r="H83" i="3" s="1"/>
  <c r="F384" i="3"/>
  <c r="K384" i="3" s="1"/>
  <c r="E360" i="3"/>
  <c r="J360" i="3" s="1"/>
  <c r="I343" i="3"/>
  <c r="F333" i="3"/>
  <c r="E305" i="3"/>
  <c r="E101" i="3"/>
  <c r="F379" i="3"/>
  <c r="H379" i="3" s="1"/>
  <c r="E299" i="3"/>
  <c r="I299" i="3" s="1"/>
  <c r="E231" i="3"/>
  <c r="E211" i="3"/>
  <c r="F382" i="3"/>
  <c r="E382" i="3"/>
  <c r="E326" i="3"/>
  <c r="F326" i="3"/>
  <c r="K326" i="3" s="1"/>
  <c r="E310" i="3"/>
  <c r="F310" i="3"/>
  <c r="E278" i="3"/>
  <c r="F278" i="3"/>
  <c r="E266" i="3"/>
  <c r="F266" i="3"/>
  <c r="E246" i="3"/>
  <c r="F246" i="3"/>
  <c r="E210" i="3"/>
  <c r="F210" i="3"/>
  <c r="E194" i="3"/>
  <c r="F194" i="3"/>
  <c r="E178" i="3"/>
  <c r="F178" i="3"/>
  <c r="F166" i="3"/>
  <c r="E166" i="3"/>
  <c r="E150" i="3"/>
  <c r="F150" i="3"/>
  <c r="E138" i="3"/>
  <c r="F138" i="3"/>
  <c r="E126" i="3"/>
  <c r="F126" i="3"/>
  <c r="E94" i="3"/>
  <c r="F94" i="3"/>
  <c r="E82" i="3"/>
  <c r="F82" i="3"/>
  <c r="E66" i="3"/>
  <c r="F66" i="3"/>
  <c r="E54" i="3"/>
  <c r="F54" i="3"/>
  <c r="E38" i="3"/>
  <c r="F38" i="3"/>
  <c r="H38" i="3" s="1"/>
  <c r="E342" i="3"/>
  <c r="E381" i="3"/>
  <c r="E361" i="3"/>
  <c r="F345" i="3"/>
  <c r="F329" i="3"/>
  <c r="E329" i="3"/>
  <c r="F309" i="3"/>
  <c r="E309" i="3"/>
  <c r="E293" i="3"/>
  <c r="F293" i="3"/>
  <c r="E277" i="3"/>
  <c r="F277" i="3"/>
  <c r="E261" i="3"/>
  <c r="F261" i="3"/>
  <c r="E249" i="3"/>
  <c r="F249" i="3"/>
  <c r="E233" i="3"/>
  <c r="F233" i="3"/>
  <c r="F213" i="3"/>
  <c r="E213" i="3"/>
  <c r="E197" i="3"/>
  <c r="F197" i="3"/>
  <c r="E181" i="3"/>
  <c r="F181" i="3"/>
  <c r="E165" i="3"/>
  <c r="F165" i="3"/>
  <c r="E157" i="3"/>
  <c r="F157" i="3"/>
  <c r="E141" i="3"/>
  <c r="F141" i="3"/>
  <c r="E125" i="3"/>
  <c r="F125" i="3"/>
  <c r="E105" i="3"/>
  <c r="F89" i="3"/>
  <c r="E89" i="3"/>
  <c r="F73" i="3"/>
  <c r="E73" i="3"/>
  <c r="E61" i="3"/>
  <c r="J61" i="3" s="1"/>
  <c r="F61" i="3"/>
  <c r="E49" i="3"/>
  <c r="F49" i="3"/>
  <c r="E41" i="3"/>
  <c r="F41" i="3"/>
  <c r="F226" i="3"/>
  <c r="K226" i="3" s="1"/>
  <c r="F392" i="3"/>
  <c r="K392" i="3" s="1"/>
  <c r="F374" i="3"/>
  <c r="E357" i="3"/>
  <c r="F330" i="3"/>
  <c r="I330" i="3" s="1"/>
  <c r="F301" i="3"/>
  <c r="E110" i="3"/>
  <c r="E90" i="3"/>
  <c r="H90" i="3" s="1"/>
  <c r="F234" i="3"/>
  <c r="E134" i="3"/>
  <c r="F370" i="3"/>
  <c r="E370" i="3"/>
  <c r="E358" i="3"/>
  <c r="F358" i="3"/>
  <c r="E346" i="3"/>
  <c r="F346" i="3"/>
  <c r="F314" i="3"/>
  <c r="E314" i="3"/>
  <c r="E298" i="3"/>
  <c r="F298" i="3"/>
  <c r="F230" i="3"/>
  <c r="E230" i="3"/>
  <c r="E214" i="3"/>
  <c r="F214" i="3"/>
  <c r="I214" i="3" s="1"/>
  <c r="E202" i="3"/>
  <c r="F202" i="3"/>
  <c r="E186" i="3"/>
  <c r="F186" i="3"/>
  <c r="E170" i="3"/>
  <c r="F170" i="3"/>
  <c r="E142" i="3"/>
  <c r="H142" i="3" s="1"/>
  <c r="F142" i="3"/>
  <c r="I142" i="3" s="1"/>
  <c r="E122" i="3"/>
  <c r="F122" i="3"/>
  <c r="E106" i="3"/>
  <c r="F106" i="3"/>
  <c r="E74" i="3"/>
  <c r="F74" i="3"/>
  <c r="F62" i="3"/>
  <c r="E62" i="3"/>
  <c r="J62" i="3" s="1"/>
  <c r="E46" i="3"/>
  <c r="F46" i="3"/>
  <c r="E389" i="3"/>
  <c r="F389" i="3"/>
  <c r="F154" i="3"/>
  <c r="F377" i="3"/>
  <c r="E365" i="3"/>
  <c r="F365" i="3"/>
  <c r="E353" i="3"/>
  <c r="F353" i="3"/>
  <c r="E337" i="3"/>
  <c r="F337" i="3"/>
  <c r="E325" i="3"/>
  <c r="F325" i="3"/>
  <c r="E297" i="3"/>
  <c r="F297" i="3"/>
  <c r="I297" i="3" s="1"/>
  <c r="F281" i="3"/>
  <c r="E281" i="3"/>
  <c r="F265" i="3"/>
  <c r="E265" i="3"/>
  <c r="F245" i="3"/>
  <c r="F229" i="3"/>
  <c r="E229" i="3"/>
  <c r="E217" i="3"/>
  <c r="F217" i="3"/>
  <c r="E201" i="3"/>
  <c r="F201" i="3"/>
  <c r="F185" i="3"/>
  <c r="E185" i="3"/>
  <c r="E169" i="3"/>
  <c r="F169" i="3"/>
  <c r="F149" i="3"/>
  <c r="E149" i="3"/>
  <c r="E137" i="3"/>
  <c r="F137" i="3"/>
  <c r="E121" i="3"/>
  <c r="F121" i="3"/>
  <c r="E113" i="3"/>
  <c r="F113" i="3"/>
  <c r="E97" i="3"/>
  <c r="F97" i="3"/>
  <c r="E93" i="3"/>
  <c r="F93" i="3"/>
  <c r="E77" i="3"/>
  <c r="F77" i="3"/>
  <c r="E69" i="3"/>
  <c r="F69" i="3"/>
  <c r="F53" i="3"/>
  <c r="E53" i="3"/>
  <c r="E37" i="3"/>
  <c r="F37" i="3"/>
  <c r="F378" i="3"/>
  <c r="I378" i="3" s="1"/>
  <c r="F366" i="3"/>
  <c r="H366" i="3" s="1"/>
  <c r="F362" i="3"/>
  <c r="H362" i="3" s="1"/>
  <c r="E258" i="3"/>
  <c r="K258" i="3" s="1"/>
  <c r="F354" i="3"/>
  <c r="E354" i="3"/>
  <c r="E338" i="3"/>
  <c r="F338" i="3"/>
  <c r="F322" i="3"/>
  <c r="E322" i="3"/>
  <c r="E306" i="3"/>
  <c r="F306" i="3"/>
  <c r="F286" i="3"/>
  <c r="E286" i="3"/>
  <c r="E254" i="3"/>
  <c r="F254" i="3"/>
  <c r="E238" i="3"/>
  <c r="F238" i="3"/>
  <c r="E222" i="3"/>
  <c r="F222" i="3"/>
  <c r="F198" i="3"/>
  <c r="E198" i="3"/>
  <c r="F182" i="3"/>
  <c r="E182" i="3"/>
  <c r="E162" i="3"/>
  <c r="F162" i="3"/>
  <c r="E146" i="3"/>
  <c r="F146" i="3"/>
  <c r="E130" i="3"/>
  <c r="F130" i="3"/>
  <c r="F114" i="3"/>
  <c r="E114" i="3"/>
  <c r="F98" i="3"/>
  <c r="E98" i="3"/>
  <c r="E78" i="3"/>
  <c r="F78" i="3"/>
  <c r="E58" i="3"/>
  <c r="F58" i="3"/>
  <c r="E42" i="3"/>
  <c r="F42" i="3"/>
  <c r="E294" i="3"/>
  <c r="I294" i="3" s="1"/>
  <c r="E385" i="3"/>
  <c r="E369" i="3"/>
  <c r="E349" i="3"/>
  <c r="F349" i="3"/>
  <c r="E317" i="3"/>
  <c r="E285" i="3"/>
  <c r="F285" i="3"/>
  <c r="F269" i="3"/>
  <c r="E269" i="3"/>
  <c r="E253" i="3"/>
  <c r="F253" i="3"/>
  <c r="E237" i="3"/>
  <c r="F237" i="3"/>
  <c r="F221" i="3"/>
  <c r="E221" i="3"/>
  <c r="F205" i="3"/>
  <c r="E205" i="3"/>
  <c r="F189" i="3"/>
  <c r="E189" i="3"/>
  <c r="E173" i="3"/>
  <c r="F173" i="3"/>
  <c r="E153" i="3"/>
  <c r="F153" i="3"/>
  <c r="F133" i="3"/>
  <c r="E133" i="3"/>
  <c r="E117" i="3"/>
  <c r="F117" i="3"/>
  <c r="E109" i="3"/>
  <c r="F109" i="3"/>
  <c r="E85" i="3"/>
  <c r="F85" i="3"/>
  <c r="F65" i="3"/>
  <c r="E65" i="3"/>
  <c r="E45" i="3"/>
  <c r="F45" i="3"/>
  <c r="H355" i="3"/>
  <c r="F313" i="3"/>
  <c r="F270" i="3"/>
  <c r="F105" i="3"/>
  <c r="E386" i="3"/>
  <c r="F386" i="3"/>
  <c r="F334" i="3"/>
  <c r="E334" i="3"/>
  <c r="F318" i="3"/>
  <c r="E318" i="3"/>
  <c r="E302" i="3"/>
  <c r="F302" i="3"/>
  <c r="E290" i="3"/>
  <c r="F290" i="3"/>
  <c r="E274" i="3"/>
  <c r="F274" i="3"/>
  <c r="E262" i="3"/>
  <c r="F262" i="3"/>
  <c r="F250" i="3"/>
  <c r="E250" i="3"/>
  <c r="E218" i="3"/>
  <c r="F218" i="3"/>
  <c r="E206" i="3"/>
  <c r="F206" i="3"/>
  <c r="E190" i="3"/>
  <c r="F190" i="3"/>
  <c r="E174" i="3"/>
  <c r="F174" i="3"/>
  <c r="E158" i="3"/>
  <c r="F158" i="3"/>
  <c r="F118" i="3"/>
  <c r="E118" i="3"/>
  <c r="E102" i="3"/>
  <c r="F102" i="3"/>
  <c r="E86" i="3"/>
  <c r="F86" i="3"/>
  <c r="E70" i="3"/>
  <c r="F70" i="3"/>
  <c r="E50" i="3"/>
  <c r="F50" i="3"/>
  <c r="I311" i="3"/>
  <c r="K311" i="3"/>
  <c r="F34" i="3"/>
  <c r="E34" i="3"/>
  <c r="F373" i="3"/>
  <c r="E341" i="3"/>
  <c r="F341" i="3"/>
  <c r="J341" i="3" s="1"/>
  <c r="E321" i="3"/>
  <c r="F305" i="3"/>
  <c r="F289" i="3"/>
  <c r="E289" i="3"/>
  <c r="E273" i="3"/>
  <c r="E257" i="3"/>
  <c r="F257" i="3"/>
  <c r="E241" i="3"/>
  <c r="F241" i="3"/>
  <c r="E225" i="3"/>
  <c r="F225" i="3"/>
  <c r="F209" i="3"/>
  <c r="E209" i="3"/>
  <c r="E193" i="3"/>
  <c r="F193" i="3"/>
  <c r="E177" i="3"/>
  <c r="F177" i="3"/>
  <c r="E161" i="3"/>
  <c r="F161" i="3"/>
  <c r="E145" i="3"/>
  <c r="F145" i="3"/>
  <c r="E129" i="3"/>
  <c r="F129" i="3"/>
  <c r="F101" i="3"/>
  <c r="H101" i="3" s="1"/>
  <c r="E81" i="3"/>
  <c r="F81" i="3"/>
  <c r="E57" i="3"/>
  <c r="F57" i="3"/>
  <c r="F391" i="3"/>
  <c r="E391" i="3"/>
  <c r="F381" i="3"/>
  <c r="F282" i="3"/>
  <c r="I282" i="3" s="1"/>
  <c r="E377" i="3"/>
  <c r="F361" i="3"/>
  <c r="E350" i="3"/>
  <c r="F317" i="3"/>
  <c r="F242" i="3"/>
  <c r="H242" i="3" s="1"/>
  <c r="F356" i="3"/>
  <c r="E344" i="3"/>
  <c r="F332" i="3"/>
  <c r="K332" i="3" s="1"/>
  <c r="F280" i="3"/>
  <c r="E76" i="3"/>
  <c r="F76" i="3"/>
  <c r="F383" i="3"/>
  <c r="H383" i="3" s="1"/>
  <c r="F375" i="3"/>
  <c r="E372" i="3"/>
  <c r="F363" i="3"/>
  <c r="K363" i="3" s="1"/>
  <c r="E331" i="3"/>
  <c r="K331" i="3" s="1"/>
  <c r="F303" i="3"/>
  <c r="F291" i="3"/>
  <c r="E268" i="3"/>
  <c r="F260" i="3"/>
  <c r="F251" i="3"/>
  <c r="E243" i="3"/>
  <c r="H243" i="3" s="1"/>
  <c r="F228" i="3"/>
  <c r="E348" i="3"/>
  <c r="E336" i="3"/>
  <c r="F324" i="3"/>
  <c r="F316" i="3"/>
  <c r="E308" i="3"/>
  <c r="F308" i="3"/>
  <c r="E300" i="3"/>
  <c r="F300" i="3"/>
  <c r="E288" i="3"/>
  <c r="F288" i="3"/>
  <c r="F264" i="3"/>
  <c r="E264" i="3"/>
  <c r="H264" i="3" s="1"/>
  <c r="F256" i="3"/>
  <c r="F232" i="3"/>
  <c r="E224" i="3"/>
  <c r="F224" i="3"/>
  <c r="F208" i="3"/>
  <c r="E208" i="3"/>
  <c r="E200" i="3"/>
  <c r="F200" i="3"/>
  <c r="F192" i="3"/>
  <c r="E192" i="3"/>
  <c r="F184" i="3"/>
  <c r="E184" i="3"/>
  <c r="E168" i="3"/>
  <c r="E160" i="3"/>
  <c r="F160" i="3"/>
  <c r="F152" i="3"/>
  <c r="E152" i="3"/>
  <c r="F144" i="3"/>
  <c r="E144" i="3"/>
  <c r="F136" i="3"/>
  <c r="F128" i="3"/>
  <c r="E124" i="3"/>
  <c r="F124" i="3"/>
  <c r="E116" i="3"/>
  <c r="K116" i="3" s="1"/>
  <c r="F116" i="3"/>
  <c r="E112" i="3"/>
  <c r="K112" i="3" s="1"/>
  <c r="F112" i="3"/>
  <c r="E104" i="3"/>
  <c r="F104" i="3"/>
  <c r="E96" i="3"/>
  <c r="F96" i="3"/>
  <c r="F92" i="3"/>
  <c r="E92" i="3"/>
  <c r="F84" i="3"/>
  <c r="E84" i="3"/>
  <c r="E72" i="3"/>
  <c r="F72" i="3"/>
  <c r="E60" i="3"/>
  <c r="E52" i="3"/>
  <c r="F52" i="3"/>
  <c r="F44" i="3"/>
  <c r="E44" i="3"/>
  <c r="F36" i="3"/>
  <c r="I36" i="3" s="1"/>
  <c r="E316" i="3"/>
  <c r="K275" i="3"/>
  <c r="I275" i="3"/>
  <c r="J275" i="3"/>
  <c r="F295" i="3"/>
  <c r="E295" i="3"/>
  <c r="E283" i="3"/>
  <c r="F283" i="3"/>
  <c r="E279" i="3"/>
  <c r="F279" i="3"/>
  <c r="E259" i="3"/>
  <c r="F259" i="3"/>
  <c r="E255" i="3"/>
  <c r="F255" i="3"/>
  <c r="E239" i="3"/>
  <c r="F239" i="3"/>
  <c r="F235" i="3"/>
  <c r="E235" i="3"/>
  <c r="E227" i="3"/>
  <c r="F227" i="3"/>
  <c r="E219" i="3"/>
  <c r="F219" i="3"/>
  <c r="F215" i="3"/>
  <c r="E215" i="3"/>
  <c r="E207" i="3"/>
  <c r="F207" i="3"/>
  <c r="E199" i="3"/>
  <c r="F199" i="3"/>
  <c r="E195" i="3"/>
  <c r="F195" i="3"/>
  <c r="E191" i="3"/>
  <c r="F191" i="3"/>
  <c r="E183" i="3"/>
  <c r="F183" i="3"/>
  <c r="K183" i="3" s="1"/>
  <c r="F175" i="3"/>
  <c r="E175" i="3"/>
  <c r="E167" i="3"/>
  <c r="F167" i="3"/>
  <c r="E159" i="3"/>
  <c r="F159" i="3"/>
  <c r="F155" i="3"/>
  <c r="E155" i="3"/>
  <c r="F151" i="3"/>
  <c r="E151" i="3"/>
  <c r="E147" i="3"/>
  <c r="F147" i="3"/>
  <c r="E143" i="3"/>
  <c r="F143" i="3"/>
  <c r="E135" i="3"/>
  <c r="F135" i="3"/>
  <c r="J135" i="3" s="1"/>
  <c r="E131" i="3"/>
  <c r="F131" i="3"/>
  <c r="E127" i="3"/>
  <c r="F127" i="3"/>
  <c r="F119" i="3"/>
  <c r="E119" i="3"/>
  <c r="E107" i="3"/>
  <c r="F107" i="3"/>
  <c r="E103" i="3"/>
  <c r="F103" i="3"/>
  <c r="E99" i="3"/>
  <c r="F99" i="3"/>
  <c r="E95" i="3"/>
  <c r="F95" i="3"/>
  <c r="E91" i="3"/>
  <c r="F91" i="3"/>
  <c r="E87" i="3"/>
  <c r="F87" i="3"/>
  <c r="E75" i="3"/>
  <c r="F75" i="3"/>
  <c r="E71" i="3"/>
  <c r="F71" i="3"/>
  <c r="E67" i="3"/>
  <c r="F67" i="3"/>
  <c r="K67" i="3" s="1"/>
  <c r="F63" i="3"/>
  <c r="E63" i="3"/>
  <c r="E59" i="3"/>
  <c r="F59" i="3"/>
  <c r="E51" i="3"/>
  <c r="F51" i="3"/>
  <c r="E47" i="3"/>
  <c r="F47" i="3"/>
  <c r="E43" i="3"/>
  <c r="F43" i="3"/>
  <c r="E35" i="3"/>
  <c r="F35" i="3"/>
  <c r="F360" i="3"/>
  <c r="E356" i="3"/>
  <c r="F344" i="3"/>
  <c r="E280" i="3"/>
  <c r="F271" i="3"/>
  <c r="I271" i="3" s="1"/>
  <c r="E256" i="3"/>
  <c r="F240" i="3"/>
  <c r="F187" i="3"/>
  <c r="K187" i="3" s="1"/>
  <c r="F176" i="3"/>
  <c r="F139" i="3"/>
  <c r="H139" i="3" s="1"/>
  <c r="E111" i="3"/>
  <c r="E388" i="3"/>
  <c r="E376" i="3"/>
  <c r="F364" i="3"/>
  <c r="F352" i="3"/>
  <c r="I352" i="3" s="1"/>
  <c r="F340" i="3"/>
  <c r="F328" i="3"/>
  <c r="I328" i="3" s="1"/>
  <c r="E320" i="3"/>
  <c r="F312" i="3"/>
  <c r="J312" i="3" s="1"/>
  <c r="E304" i="3"/>
  <c r="F304" i="3"/>
  <c r="E292" i="3"/>
  <c r="F292" i="3"/>
  <c r="E272" i="3"/>
  <c r="F272" i="3"/>
  <c r="E252" i="3"/>
  <c r="F252" i="3"/>
  <c r="E244" i="3"/>
  <c r="F244" i="3"/>
  <c r="E236" i="3"/>
  <c r="F236" i="3"/>
  <c r="F220" i="3"/>
  <c r="F212" i="3"/>
  <c r="E204" i="3"/>
  <c r="F204" i="3"/>
  <c r="F196" i="3"/>
  <c r="E196" i="3"/>
  <c r="E188" i="3"/>
  <c r="F188" i="3"/>
  <c r="E180" i="3"/>
  <c r="F180" i="3"/>
  <c r="E172" i="3"/>
  <c r="F172" i="3"/>
  <c r="E164" i="3"/>
  <c r="F164" i="3"/>
  <c r="F156" i="3"/>
  <c r="E156" i="3"/>
  <c r="E148" i="3"/>
  <c r="E140" i="3"/>
  <c r="K140" i="3" s="1"/>
  <c r="F140" i="3"/>
  <c r="E132" i="3"/>
  <c r="F132" i="3"/>
  <c r="E120" i="3"/>
  <c r="F108" i="3"/>
  <c r="E100" i="3"/>
  <c r="E88" i="3"/>
  <c r="F88" i="3"/>
  <c r="E80" i="3"/>
  <c r="F80" i="3"/>
  <c r="E68" i="3"/>
  <c r="F68" i="3"/>
  <c r="E64" i="3"/>
  <c r="F64" i="3"/>
  <c r="E56" i="3"/>
  <c r="F56" i="3"/>
  <c r="E48" i="3"/>
  <c r="F48" i="3"/>
  <c r="E40" i="3"/>
  <c r="F40" i="3"/>
  <c r="E33" i="3"/>
  <c r="F33" i="3"/>
  <c r="F376" i="3"/>
  <c r="F335" i="3"/>
  <c r="J335" i="3" s="1"/>
  <c r="F267" i="3"/>
  <c r="E263" i="3"/>
  <c r="E220" i="3"/>
  <c r="E55" i="3"/>
  <c r="I55" i="3" s="1"/>
  <c r="K19" i="3"/>
  <c r="H20" i="3"/>
  <c r="H319" i="3"/>
  <c r="I115" i="3"/>
  <c r="H115" i="3"/>
  <c r="J355" i="3"/>
  <c r="K355" i="3"/>
  <c r="I355" i="3"/>
  <c r="K330" i="3"/>
  <c r="I380" i="3"/>
  <c r="K378" i="3"/>
  <c r="J311" i="3"/>
  <c r="H39" i="3"/>
  <c r="I39" i="3"/>
  <c r="J39" i="3"/>
  <c r="K39" i="3"/>
  <c r="H307" i="3"/>
  <c r="I301" i="3"/>
  <c r="H223" i="3"/>
  <c r="I223" i="3"/>
  <c r="J223" i="3"/>
  <c r="H232" i="3"/>
  <c r="I226" i="3"/>
  <c r="H275" i="3"/>
  <c r="H214" i="3"/>
  <c r="I140" i="3"/>
  <c r="H203" i="3"/>
  <c r="I203" i="3"/>
  <c r="J203" i="3"/>
  <c r="K203" i="3"/>
  <c r="K115" i="3"/>
  <c r="K139" i="3"/>
  <c r="I18" i="3"/>
  <c r="K18" i="3"/>
  <c r="K20" i="3"/>
  <c r="H18" i="3"/>
  <c r="H19" i="3"/>
  <c r="J20" i="3"/>
  <c r="I19" i="3"/>
  <c r="I20" i="3"/>
  <c r="J19" i="3"/>
  <c r="D28" i="2"/>
  <c r="D27" i="2"/>
  <c r="D26" i="2"/>
  <c r="D25" i="2"/>
  <c r="D16" i="2"/>
  <c r="D12" i="2"/>
  <c r="F6" i="2"/>
  <c r="G6" i="2" s="1"/>
  <c r="E6" i="2"/>
  <c r="C11" i="2" s="1"/>
  <c r="I236" i="3" l="1"/>
  <c r="K152" i="3"/>
  <c r="H339" i="3"/>
  <c r="K91" i="3"/>
  <c r="J155" i="3"/>
  <c r="I95" i="3"/>
  <c r="I229" i="3"/>
  <c r="K123" i="3"/>
  <c r="K339" i="3"/>
  <c r="H204" i="3"/>
  <c r="K248" i="3"/>
  <c r="K216" i="3"/>
  <c r="J276" i="3"/>
  <c r="H301" i="3"/>
  <c r="L301" i="3" s="1"/>
  <c r="H187" i="3"/>
  <c r="J339" i="3"/>
  <c r="I331" i="3"/>
  <c r="J44" i="3"/>
  <c r="J214" i="3"/>
  <c r="I53" i="3"/>
  <c r="H87" i="3"/>
  <c r="H297" i="3"/>
  <c r="K343" i="3"/>
  <c r="J390" i="3"/>
  <c r="H112" i="3"/>
  <c r="J187" i="3"/>
  <c r="I258" i="3"/>
  <c r="H328" i="3"/>
  <c r="L328" i="3" s="1"/>
  <c r="H140" i="3"/>
  <c r="K224" i="3"/>
  <c r="H300" i="3"/>
  <c r="K165" i="3"/>
  <c r="I293" i="3"/>
  <c r="H381" i="3"/>
  <c r="I82" i="3"/>
  <c r="I150" i="3"/>
  <c r="H210" i="3"/>
  <c r="H310" i="3"/>
  <c r="J392" i="3"/>
  <c r="H315" i="3"/>
  <c r="L315" i="3" s="1"/>
  <c r="I367" i="3"/>
  <c r="K265" i="3"/>
  <c r="J242" i="3"/>
  <c r="J149" i="3"/>
  <c r="K61" i="3"/>
  <c r="I392" i="3"/>
  <c r="M24" i="3"/>
  <c r="J333" i="3"/>
  <c r="J296" i="3"/>
  <c r="I296" i="3"/>
  <c r="L296" i="3" s="1"/>
  <c r="K100" i="3"/>
  <c r="H236" i="3"/>
  <c r="L236" i="3" s="1"/>
  <c r="M236" i="3" s="1"/>
  <c r="I122" i="3"/>
  <c r="J202" i="3"/>
  <c r="I298" i="3"/>
  <c r="I371" i="3"/>
  <c r="L371" i="3" s="1"/>
  <c r="I149" i="3"/>
  <c r="J371" i="3"/>
  <c r="K149" i="3"/>
  <c r="J112" i="3"/>
  <c r="J258" i="3"/>
  <c r="J379" i="3"/>
  <c r="K362" i="3"/>
  <c r="K214" i="3"/>
  <c r="I387" i="3"/>
  <c r="L387" i="3" s="1"/>
  <c r="H43" i="3"/>
  <c r="H63" i="3"/>
  <c r="I103" i="3"/>
  <c r="J324" i="3"/>
  <c r="I45" i="3"/>
  <c r="K117" i="3"/>
  <c r="H298" i="3"/>
  <c r="K370" i="3"/>
  <c r="I66" i="3"/>
  <c r="I194" i="3"/>
  <c r="I278" i="3"/>
  <c r="I379" i="3"/>
  <c r="L379" i="3" s="1"/>
  <c r="H390" i="3"/>
  <c r="L26" i="3"/>
  <c r="M26" i="3" s="1"/>
  <c r="L21" i="3"/>
  <c r="M21" i="3" s="1"/>
  <c r="H365" i="3"/>
  <c r="K371" i="3"/>
  <c r="J210" i="3"/>
  <c r="I204" i="3"/>
  <c r="J222" i="3"/>
  <c r="K357" i="3"/>
  <c r="K323" i="3"/>
  <c r="K390" i="3"/>
  <c r="I228" i="3"/>
  <c r="K379" i="3"/>
  <c r="I313" i="3"/>
  <c r="J384" i="3"/>
  <c r="I162" i="3"/>
  <c r="H216" i="3"/>
  <c r="M22" i="3"/>
  <c r="J297" i="3"/>
  <c r="K387" i="3"/>
  <c r="J320" i="3"/>
  <c r="J284" i="3"/>
  <c r="H161" i="3"/>
  <c r="I250" i="3"/>
  <c r="K269" i="3"/>
  <c r="H69" i="3"/>
  <c r="J226" i="3"/>
  <c r="J365" i="3"/>
  <c r="I320" i="3"/>
  <c r="I224" i="3"/>
  <c r="J387" i="3"/>
  <c r="J380" i="3"/>
  <c r="I384" i="3"/>
  <c r="I216" i="3"/>
  <c r="H345" i="3"/>
  <c r="J212" i="3"/>
  <c r="M23" i="3"/>
  <c r="K92" i="3"/>
  <c r="H116" i="3"/>
  <c r="I152" i="3"/>
  <c r="H341" i="3"/>
  <c r="I109" i="3"/>
  <c r="I201" i="3"/>
  <c r="J216" i="3"/>
  <c r="J301" i="3"/>
  <c r="J108" i="3"/>
  <c r="I284" i="3"/>
  <c r="M25" i="3"/>
  <c r="B11" i="2"/>
  <c r="B10" i="2"/>
  <c r="L27" i="3"/>
  <c r="M27" i="3" s="1"/>
  <c r="J150" i="3"/>
  <c r="J152" i="3"/>
  <c r="J362" i="3"/>
  <c r="I325" i="3"/>
  <c r="K204" i="3"/>
  <c r="H360" i="3"/>
  <c r="K341" i="3"/>
  <c r="J123" i="3"/>
  <c r="I221" i="3"/>
  <c r="J162" i="3"/>
  <c r="H122" i="3"/>
  <c r="L122" i="3" s="1"/>
  <c r="J101" i="3"/>
  <c r="J204" i="3"/>
  <c r="I362" i="3"/>
  <c r="L362" i="3" s="1"/>
  <c r="H229" i="3"/>
  <c r="L229" i="3" s="1"/>
  <c r="J343" i="3"/>
  <c r="I101" i="3"/>
  <c r="L101" i="3" s="1"/>
  <c r="I187" i="3"/>
  <c r="L187" i="3" s="1"/>
  <c r="M187" i="3" s="1"/>
  <c r="K299" i="3"/>
  <c r="I366" i="3"/>
  <c r="L366" i="3" s="1"/>
  <c r="K297" i="3"/>
  <c r="K393" i="3"/>
  <c r="H294" i="3"/>
  <c r="L294" i="3" s="1"/>
  <c r="J229" i="3"/>
  <c r="K180" i="3"/>
  <c r="I356" i="3"/>
  <c r="K95" i="3"/>
  <c r="K348" i="3"/>
  <c r="I209" i="3"/>
  <c r="H70" i="3"/>
  <c r="H158" i="3"/>
  <c r="J353" i="3"/>
  <c r="K367" i="3"/>
  <c r="I287" i="3"/>
  <c r="L287" i="3" s="1"/>
  <c r="H323" i="3"/>
  <c r="J228" i="3"/>
  <c r="J245" i="3"/>
  <c r="H282" i="3"/>
  <c r="L282" i="3" s="1"/>
  <c r="H152" i="3"/>
  <c r="H331" i="3"/>
  <c r="L331" i="3" s="1"/>
  <c r="M331" i="3" s="1"/>
  <c r="K131" i="3"/>
  <c r="I52" i="3"/>
  <c r="K49" i="3"/>
  <c r="I323" i="3"/>
  <c r="I92" i="3"/>
  <c r="H299" i="3"/>
  <c r="L299" i="3" s="1"/>
  <c r="K301" i="3"/>
  <c r="K296" i="3"/>
  <c r="H330" i="3"/>
  <c r="L330" i="3" s="1"/>
  <c r="M330" i="3" s="1"/>
  <c r="K312" i="3"/>
  <c r="H33" i="3"/>
  <c r="K188" i="3"/>
  <c r="I176" i="3"/>
  <c r="J393" i="3"/>
  <c r="H284" i="3"/>
  <c r="I289" i="3"/>
  <c r="K287" i="3"/>
  <c r="H305" i="3"/>
  <c r="H367" i="3"/>
  <c r="K361" i="3"/>
  <c r="I161" i="3"/>
  <c r="J225" i="3"/>
  <c r="H86" i="3"/>
  <c r="H174" i="3"/>
  <c r="H250" i="3"/>
  <c r="H302" i="3"/>
  <c r="I315" i="3"/>
  <c r="J287" i="3"/>
  <c r="H40" i="3"/>
  <c r="H196" i="3"/>
  <c r="H304" i="3"/>
  <c r="I78" i="3"/>
  <c r="K69" i="3"/>
  <c r="K229" i="3"/>
  <c r="K242" i="3"/>
  <c r="H388" i="3"/>
  <c r="H227" i="3"/>
  <c r="I227" i="3"/>
  <c r="J227" i="3"/>
  <c r="K264" i="3"/>
  <c r="I264" i="3"/>
  <c r="L264" i="3" s="1"/>
  <c r="J264" i="3"/>
  <c r="I238" i="3"/>
  <c r="J238" i="3"/>
  <c r="K238" i="3"/>
  <c r="H238" i="3"/>
  <c r="J359" i="3"/>
  <c r="K359" i="3"/>
  <c r="K321" i="3"/>
  <c r="J321" i="3"/>
  <c r="H321" i="3"/>
  <c r="H47" i="3"/>
  <c r="I47" i="3"/>
  <c r="J47" i="3"/>
  <c r="H347" i="3"/>
  <c r="J347" i="3"/>
  <c r="H276" i="3"/>
  <c r="K276" i="3"/>
  <c r="I276" i="3"/>
  <c r="J109" i="3"/>
  <c r="K231" i="3"/>
  <c r="H231" i="3"/>
  <c r="I231" i="3"/>
  <c r="J231" i="3"/>
  <c r="H135" i="3"/>
  <c r="J70" i="3"/>
  <c r="J158" i="3"/>
  <c r="J183" i="3"/>
  <c r="K47" i="3"/>
  <c r="I183" i="3"/>
  <c r="I263" i="3"/>
  <c r="H263" i="3"/>
  <c r="I40" i="3"/>
  <c r="J68" i="3"/>
  <c r="H244" i="3"/>
  <c r="H324" i="3"/>
  <c r="H226" i="3"/>
  <c r="L226" i="3" s="1"/>
  <c r="M226" i="3" s="1"/>
  <c r="K267" i="3"/>
  <c r="H267" i="3"/>
  <c r="H132" i="3"/>
  <c r="I372" i="3"/>
  <c r="I322" i="3"/>
  <c r="K322" i="3"/>
  <c r="J322" i="3"/>
  <c r="K107" i="3"/>
  <c r="H107" i="3"/>
  <c r="K155" i="3"/>
  <c r="H155" i="3"/>
  <c r="I155" i="3"/>
  <c r="H235" i="3"/>
  <c r="J235" i="3"/>
  <c r="K235" i="3"/>
  <c r="I235" i="3"/>
  <c r="I211" i="3"/>
  <c r="H211" i="3"/>
  <c r="K211" i="3"/>
  <c r="J211" i="3"/>
  <c r="H163" i="3"/>
  <c r="J163" i="3"/>
  <c r="I163" i="3"/>
  <c r="L163" i="3" s="1"/>
  <c r="K163" i="3"/>
  <c r="K347" i="3"/>
  <c r="K374" i="3"/>
  <c r="J374" i="3"/>
  <c r="I374" i="3"/>
  <c r="K351" i="3"/>
  <c r="H351" i="3"/>
  <c r="I351" i="3"/>
  <c r="J351" i="3"/>
  <c r="K324" i="3"/>
  <c r="I70" i="3"/>
  <c r="H121" i="3"/>
  <c r="H185" i="3"/>
  <c r="K185" i="3"/>
  <c r="I358" i="3"/>
  <c r="J251" i="3"/>
  <c r="K251" i="3"/>
  <c r="I251" i="3"/>
  <c r="H162" i="3"/>
  <c r="L162" i="3" s="1"/>
  <c r="K162" i="3"/>
  <c r="H171" i="3"/>
  <c r="I171" i="3"/>
  <c r="I67" i="3"/>
  <c r="H67" i="3"/>
  <c r="J67" i="3"/>
  <c r="J160" i="3"/>
  <c r="I160" i="3"/>
  <c r="H248" i="3"/>
  <c r="I248" i="3"/>
  <c r="J248" i="3"/>
  <c r="J171" i="3"/>
  <c r="I309" i="3"/>
  <c r="H309" i="3"/>
  <c r="H111" i="3"/>
  <c r="J111" i="3"/>
  <c r="K111" i="3"/>
  <c r="J124" i="3"/>
  <c r="H183" i="3"/>
  <c r="I237" i="3"/>
  <c r="H110" i="3"/>
  <c r="J110" i="3"/>
  <c r="K110" i="3"/>
  <c r="I110" i="3"/>
  <c r="I324" i="3"/>
  <c r="J107" i="3"/>
  <c r="I107" i="3"/>
  <c r="J332" i="3"/>
  <c r="I332" i="3"/>
  <c r="H332" i="3"/>
  <c r="H374" i="3"/>
  <c r="J125" i="3"/>
  <c r="H125" i="3"/>
  <c r="I125" i="3"/>
  <c r="J181" i="3"/>
  <c r="H181" i="3"/>
  <c r="K181" i="3"/>
  <c r="I181" i="3"/>
  <c r="H94" i="3"/>
  <c r="J326" i="3"/>
  <c r="H95" i="3"/>
  <c r="L95" i="3" s="1"/>
  <c r="K132" i="3"/>
  <c r="H312" i="3"/>
  <c r="J289" i="3"/>
  <c r="I312" i="3"/>
  <c r="J139" i="3"/>
  <c r="H247" i="3"/>
  <c r="K101" i="3"/>
  <c r="H176" i="3"/>
  <c r="J116" i="3"/>
  <c r="I210" i="3"/>
  <c r="L210" i="3" s="1"/>
  <c r="J299" i="3"/>
  <c r="I390" i="3"/>
  <c r="I69" i="3"/>
  <c r="I139" i="3"/>
  <c r="L139" i="3" s="1"/>
  <c r="M139" i="3" s="1"/>
  <c r="J92" i="3"/>
  <c r="H108" i="3"/>
  <c r="K364" i="3"/>
  <c r="J131" i="3"/>
  <c r="H151" i="3"/>
  <c r="I175" i="3"/>
  <c r="K227" i="3"/>
  <c r="J259" i="3"/>
  <c r="H384" i="3"/>
  <c r="H380" i="3"/>
  <c r="L380" i="3" s="1"/>
  <c r="M380" i="3" s="1"/>
  <c r="N380" i="3" s="1"/>
  <c r="H123" i="3"/>
  <c r="J80" i="3"/>
  <c r="I360" i="3"/>
  <c r="K356" i="3"/>
  <c r="K42" i="3"/>
  <c r="I344" i="3"/>
  <c r="I202" i="3"/>
  <c r="J48" i="3"/>
  <c r="J247" i="3"/>
  <c r="J51" i="3"/>
  <c r="H71" i="3"/>
  <c r="H72" i="3"/>
  <c r="J57" i="3"/>
  <c r="J114" i="3"/>
  <c r="H254" i="3"/>
  <c r="I93" i="3"/>
  <c r="I137" i="3"/>
  <c r="K201" i="3"/>
  <c r="H54" i="3"/>
  <c r="K109" i="3"/>
  <c r="J95" i="3"/>
  <c r="I132" i="3"/>
  <c r="I116" i="3"/>
  <c r="L275" i="3"/>
  <c r="M275" i="3" s="1"/>
  <c r="K210" i="3"/>
  <c r="K150" i="3"/>
  <c r="I310" i="3"/>
  <c r="L310" i="3" s="1"/>
  <c r="K315" i="3"/>
  <c r="J331" i="3"/>
  <c r="I123" i="3"/>
  <c r="J298" i="3"/>
  <c r="K212" i="3"/>
  <c r="I247" i="3"/>
  <c r="K35" i="3"/>
  <c r="I75" i="3"/>
  <c r="H159" i="3"/>
  <c r="J84" i="3"/>
  <c r="J224" i="3"/>
  <c r="I225" i="3"/>
  <c r="H130" i="3"/>
  <c r="K53" i="3"/>
  <c r="H62" i="3"/>
  <c r="K345" i="3"/>
  <c r="K66" i="3"/>
  <c r="K194" i="3"/>
  <c r="J330" i="3"/>
  <c r="L343" i="3"/>
  <c r="M343" i="3" s="1"/>
  <c r="K46" i="3"/>
  <c r="I300" i="3"/>
  <c r="L300" i="3" s="1"/>
  <c r="K289" i="3"/>
  <c r="J340" i="3"/>
  <c r="H127" i="3"/>
  <c r="H147" i="3"/>
  <c r="H195" i="3"/>
  <c r="J308" i="3"/>
  <c r="I321" i="3"/>
  <c r="I133" i="3"/>
  <c r="H205" i="3"/>
  <c r="I269" i="3"/>
  <c r="H44" i="3"/>
  <c r="K43" i="3"/>
  <c r="I87" i="3"/>
  <c r="L87" i="3" s="1"/>
  <c r="H52" i="3"/>
  <c r="H78" i="3"/>
  <c r="L78" i="3" s="1"/>
  <c r="J69" i="3"/>
  <c r="J82" i="3"/>
  <c r="I65" i="3"/>
  <c r="I86" i="3"/>
  <c r="I51" i="3"/>
  <c r="K62" i="3"/>
  <c r="J53" i="3"/>
  <c r="I48" i="3"/>
  <c r="K51" i="3"/>
  <c r="K65" i="3"/>
  <c r="J71" i="3"/>
  <c r="H48" i="3"/>
  <c r="K80" i="3"/>
  <c r="K82" i="3"/>
  <c r="K44" i="3"/>
  <c r="H65" i="3"/>
  <c r="K41" i="3"/>
  <c r="H89" i="3"/>
  <c r="J66" i="3"/>
  <c r="I44" i="3"/>
  <c r="I80" i="3"/>
  <c r="H92" i="3"/>
  <c r="I62" i="3"/>
  <c r="H80" i="3"/>
  <c r="H51" i="3"/>
  <c r="J52" i="3"/>
  <c r="I71" i="3"/>
  <c r="I76" i="3"/>
  <c r="J78" i="3"/>
  <c r="H82" i="3"/>
  <c r="L20" i="3"/>
  <c r="M20" i="3" s="1"/>
  <c r="K52" i="3"/>
  <c r="I83" i="3"/>
  <c r="L83" i="3" s="1"/>
  <c r="H53" i="3"/>
  <c r="L53" i="3" s="1"/>
  <c r="J83" i="3"/>
  <c r="K83" i="3"/>
  <c r="K86" i="3"/>
  <c r="J86" i="3"/>
  <c r="K57" i="3"/>
  <c r="J37" i="3"/>
  <c r="H46" i="3"/>
  <c r="H189" i="3"/>
  <c r="I189" i="3"/>
  <c r="J189" i="3"/>
  <c r="K189" i="3"/>
  <c r="I338" i="3"/>
  <c r="K338" i="3"/>
  <c r="J338" i="3"/>
  <c r="I148" i="3"/>
  <c r="J148" i="3"/>
  <c r="K148" i="3"/>
  <c r="H148" i="3"/>
  <c r="H272" i="3"/>
  <c r="I272" i="3"/>
  <c r="K272" i="3"/>
  <c r="H35" i="3"/>
  <c r="J295" i="3"/>
  <c r="H295" i="3"/>
  <c r="H117" i="3"/>
  <c r="J117" i="3"/>
  <c r="J314" i="3"/>
  <c r="I314" i="3"/>
  <c r="I114" i="3"/>
  <c r="H64" i="3"/>
  <c r="I307" i="3"/>
  <c r="L307" i="3" s="1"/>
  <c r="M307" i="3" s="1"/>
  <c r="J307" i="3"/>
  <c r="H368" i="3"/>
  <c r="I368" i="3"/>
  <c r="K368" i="3"/>
  <c r="J368" i="3"/>
  <c r="H179" i="3"/>
  <c r="I179" i="3"/>
  <c r="J179" i="3"/>
  <c r="K340" i="3"/>
  <c r="I340" i="3"/>
  <c r="H340" i="3"/>
  <c r="J180" i="3"/>
  <c r="H224" i="3"/>
  <c r="K333" i="3"/>
  <c r="H333" i="3"/>
  <c r="I333" i="3"/>
  <c r="I319" i="3"/>
  <c r="L319" i="3" s="1"/>
  <c r="K319" i="3"/>
  <c r="J319" i="3"/>
  <c r="K327" i="3"/>
  <c r="H327" i="3"/>
  <c r="I327" i="3"/>
  <c r="I232" i="3"/>
  <c r="L232" i="3" s="1"/>
  <c r="J232" i="3"/>
  <c r="K232" i="3"/>
  <c r="H42" i="3"/>
  <c r="J42" i="3"/>
  <c r="I42" i="3"/>
  <c r="J126" i="3"/>
  <c r="I126" i="3"/>
  <c r="K126" i="3"/>
  <c r="H56" i="3"/>
  <c r="K56" i="3"/>
  <c r="I56" i="3"/>
  <c r="H75" i="3"/>
  <c r="K75" i="3"/>
  <c r="H45" i="3"/>
  <c r="K45" i="3"/>
  <c r="H253" i="3"/>
  <c r="I253" i="3"/>
  <c r="J55" i="3"/>
  <c r="K55" i="3"/>
  <c r="H55" i="3"/>
  <c r="L55" i="3" s="1"/>
  <c r="I180" i="3"/>
  <c r="K314" i="3"/>
  <c r="H118" i="3"/>
  <c r="I118" i="3"/>
  <c r="H240" i="3"/>
  <c r="K88" i="3"/>
  <c r="H88" i="3"/>
  <c r="J88" i="3"/>
  <c r="J240" i="3"/>
  <c r="K240" i="3"/>
  <c r="J159" i="3"/>
  <c r="H338" i="3"/>
  <c r="K316" i="3"/>
  <c r="H316" i="3"/>
  <c r="J316" i="3"/>
  <c r="K72" i="3"/>
  <c r="J104" i="3"/>
  <c r="J128" i="3"/>
  <c r="K128" i="3"/>
  <c r="H260" i="3"/>
  <c r="K260" i="3"/>
  <c r="J260" i="3"/>
  <c r="I260" i="3"/>
  <c r="I34" i="3"/>
  <c r="H34" i="3"/>
  <c r="I77" i="3"/>
  <c r="J239" i="3"/>
  <c r="I239" i="3"/>
  <c r="K141" i="3"/>
  <c r="J141" i="3"/>
  <c r="H266" i="3"/>
  <c r="J266" i="3"/>
  <c r="K266" i="3"/>
  <c r="K134" i="3"/>
  <c r="H134" i="3"/>
  <c r="I134" i="3"/>
  <c r="J134" i="3"/>
  <c r="I88" i="3"/>
  <c r="I104" i="3"/>
  <c r="K104" i="3"/>
  <c r="I136" i="3"/>
  <c r="K136" i="3"/>
  <c r="H136" i="3"/>
  <c r="J136" i="3"/>
  <c r="H184" i="3"/>
  <c r="J184" i="3"/>
  <c r="K184" i="3"/>
  <c r="K268" i="3"/>
  <c r="J268" i="3"/>
  <c r="I268" i="3"/>
  <c r="H268" i="3"/>
  <c r="K70" i="3"/>
  <c r="I158" i="3"/>
  <c r="I218" i="3"/>
  <c r="J290" i="3"/>
  <c r="H386" i="3"/>
  <c r="H114" i="3"/>
  <c r="K114" i="3"/>
  <c r="I182" i="3"/>
  <c r="K182" i="3"/>
  <c r="J182" i="3"/>
  <c r="H182" i="3"/>
  <c r="H61" i="3"/>
  <c r="I61" i="3"/>
  <c r="I54" i="3"/>
  <c r="H126" i="3"/>
  <c r="I266" i="3"/>
  <c r="I195" i="3"/>
  <c r="J300" i="3"/>
  <c r="K389" i="3"/>
  <c r="I186" i="3"/>
  <c r="J269" i="3"/>
  <c r="I305" i="3"/>
  <c r="H133" i="3"/>
  <c r="I37" i="3"/>
  <c r="K157" i="3"/>
  <c r="H361" i="3"/>
  <c r="J46" i="3"/>
  <c r="I79" i="3"/>
  <c r="J63" i="3"/>
  <c r="J194" i="3"/>
  <c r="H269" i="3"/>
  <c r="J205" i="3"/>
  <c r="H271" i="3"/>
  <c r="L271" i="3" s="1"/>
  <c r="I363" i="3"/>
  <c r="J302" i="3"/>
  <c r="I57" i="3"/>
  <c r="H66" i="3"/>
  <c r="J40" i="3"/>
  <c r="K68" i="3"/>
  <c r="J132" i="3"/>
  <c r="K388" i="3"/>
  <c r="I308" i="3"/>
  <c r="H241" i="3"/>
  <c r="L311" i="3"/>
  <c r="M311" i="3" s="1"/>
  <c r="H378" i="3"/>
  <c r="L378" i="3" s="1"/>
  <c r="M378" i="3" s="1"/>
  <c r="K78" i="3"/>
  <c r="I222" i="3"/>
  <c r="I306" i="3"/>
  <c r="J328" i="3"/>
  <c r="H202" i="3"/>
  <c r="K282" i="3"/>
  <c r="H358" i="3"/>
  <c r="K360" i="3"/>
  <c r="H233" i="3"/>
  <c r="K293" i="3"/>
  <c r="K366" i="3"/>
  <c r="H359" i="3"/>
  <c r="I147" i="3"/>
  <c r="H337" i="3"/>
  <c r="K300" i="3"/>
  <c r="K263" i="3"/>
  <c r="K79" i="3"/>
  <c r="I46" i="3"/>
  <c r="H79" i="3"/>
  <c r="I63" i="3"/>
  <c r="K151" i="3"/>
  <c r="I84" i="3"/>
  <c r="K133" i="3"/>
  <c r="K205" i="3"/>
  <c r="I347" i="3"/>
  <c r="L347" i="3" s="1"/>
  <c r="M347" i="3" s="1"/>
  <c r="J361" i="3"/>
  <c r="H389" i="3"/>
  <c r="K308" i="3"/>
  <c r="H36" i="3"/>
  <c r="L36" i="3" s="1"/>
  <c r="K302" i="3"/>
  <c r="K228" i="3"/>
  <c r="K176" i="3"/>
  <c r="J282" i="3"/>
  <c r="J366" i="3"/>
  <c r="K127" i="3"/>
  <c r="H57" i="3"/>
  <c r="H103" i="3"/>
  <c r="K36" i="3"/>
  <c r="J151" i="3"/>
  <c r="H84" i="3"/>
  <c r="K158" i="3"/>
  <c r="J133" i="3"/>
  <c r="J267" i="3"/>
  <c r="K202" i="3"/>
  <c r="K290" i="3"/>
  <c r="I205" i="3"/>
  <c r="I359" i="3"/>
  <c r="H353" i="3"/>
  <c r="K225" i="3"/>
  <c r="I259" i="3"/>
  <c r="J389" i="3"/>
  <c r="H308" i="3"/>
  <c r="L308" i="3" s="1"/>
  <c r="J294" i="3"/>
  <c r="K103" i="3"/>
  <c r="I302" i="3"/>
  <c r="K48" i="3"/>
  <c r="I172" i="3"/>
  <c r="I341" i="3"/>
  <c r="H313" i="3"/>
  <c r="I393" i="3"/>
  <c r="L393" i="3" s="1"/>
  <c r="I167" i="3"/>
  <c r="K63" i="3"/>
  <c r="J93" i="3"/>
  <c r="I151" i="3"/>
  <c r="I267" i="3"/>
  <c r="H186" i="3"/>
  <c r="K259" i="3"/>
  <c r="L339" i="3"/>
  <c r="M339" i="3" s="1"/>
  <c r="K294" i="3"/>
  <c r="J103" i="3"/>
  <c r="H180" i="3"/>
  <c r="K71" i="3"/>
  <c r="H237" i="3"/>
  <c r="I345" i="3"/>
  <c r="J74" i="3"/>
  <c r="H251" i="3"/>
  <c r="K125" i="3"/>
  <c r="I38" i="3"/>
  <c r="L38" i="3" s="1"/>
  <c r="I94" i="3"/>
  <c r="L94" i="3" s="1"/>
  <c r="I246" i="3"/>
  <c r="K58" i="3"/>
  <c r="I58" i="3"/>
  <c r="H354" i="3"/>
  <c r="K354" i="3"/>
  <c r="J354" i="3"/>
  <c r="I354" i="3"/>
  <c r="I318" i="3"/>
  <c r="J318" i="3"/>
  <c r="H318" i="3"/>
  <c r="K318" i="3"/>
  <c r="L223" i="3"/>
  <c r="M223" i="3" s="1"/>
  <c r="J102" i="3"/>
  <c r="I85" i="3"/>
  <c r="H85" i="3"/>
  <c r="K85" i="3"/>
  <c r="J85" i="3"/>
  <c r="H153" i="3"/>
  <c r="I153" i="3"/>
  <c r="K153" i="3"/>
  <c r="J153" i="3"/>
  <c r="H221" i="3"/>
  <c r="J221" i="3"/>
  <c r="K221" i="3"/>
  <c r="K285" i="3"/>
  <c r="H285" i="3"/>
  <c r="J285" i="3"/>
  <c r="I285" i="3"/>
  <c r="I60" i="3"/>
  <c r="J60" i="3"/>
  <c r="H60" i="3"/>
  <c r="K60" i="3"/>
  <c r="J96" i="3"/>
  <c r="K96" i="3"/>
  <c r="I96" i="3"/>
  <c r="H96" i="3"/>
  <c r="H124" i="3"/>
  <c r="K124" i="3"/>
  <c r="I124" i="3"/>
  <c r="K160" i="3"/>
  <c r="H160" i="3"/>
  <c r="L160" i="3" s="1"/>
  <c r="K208" i="3"/>
  <c r="H208" i="3"/>
  <c r="I208" i="3"/>
  <c r="J208" i="3"/>
  <c r="I336" i="3"/>
  <c r="J336" i="3"/>
  <c r="K336" i="3"/>
  <c r="H336" i="3"/>
  <c r="J391" i="3"/>
  <c r="H391" i="3"/>
  <c r="I391" i="3"/>
  <c r="K391" i="3"/>
  <c r="H129" i="3"/>
  <c r="K129" i="3"/>
  <c r="J129" i="3"/>
  <c r="I129" i="3"/>
  <c r="H193" i="3"/>
  <c r="J193" i="3"/>
  <c r="K193" i="3"/>
  <c r="I257" i="3"/>
  <c r="J257" i="3"/>
  <c r="K257" i="3"/>
  <c r="I373" i="3"/>
  <c r="K373" i="3"/>
  <c r="J373" i="3"/>
  <c r="H373" i="3"/>
  <c r="H166" i="3"/>
  <c r="I166" i="3"/>
  <c r="K166" i="3"/>
  <c r="J166" i="3"/>
  <c r="J346" i="3"/>
  <c r="I346" i="3"/>
  <c r="K346" i="3"/>
  <c r="H346" i="3"/>
  <c r="H119" i="3"/>
  <c r="J119" i="3"/>
  <c r="H143" i="3"/>
  <c r="K143" i="3"/>
  <c r="J143" i="3"/>
  <c r="I143" i="3"/>
  <c r="K159" i="3"/>
  <c r="I159" i="3"/>
  <c r="K191" i="3"/>
  <c r="J191" i="3"/>
  <c r="H191" i="3"/>
  <c r="I191" i="3"/>
  <c r="K239" i="3"/>
  <c r="H239" i="3"/>
  <c r="L239" i="3" s="1"/>
  <c r="K283" i="3"/>
  <c r="J283" i="3"/>
  <c r="H283" i="3"/>
  <c r="I283" i="3"/>
  <c r="I230" i="3"/>
  <c r="H230" i="3"/>
  <c r="J230" i="3"/>
  <c r="K230" i="3"/>
  <c r="I286" i="3"/>
  <c r="J286" i="3"/>
  <c r="K286" i="3"/>
  <c r="H286" i="3"/>
  <c r="I130" i="3"/>
  <c r="K220" i="3"/>
  <c r="J220" i="3"/>
  <c r="H220" i="3"/>
  <c r="I220" i="3"/>
  <c r="H100" i="3"/>
  <c r="I100" i="3"/>
  <c r="J100" i="3"/>
  <c r="H156" i="3"/>
  <c r="I156" i="3"/>
  <c r="J156" i="3"/>
  <c r="K156" i="3"/>
  <c r="I292" i="3"/>
  <c r="K292" i="3"/>
  <c r="J352" i="3"/>
  <c r="H352" i="3"/>
  <c r="L352" i="3" s="1"/>
  <c r="K352" i="3"/>
  <c r="I256" i="3"/>
  <c r="J256" i="3"/>
  <c r="K256" i="3"/>
  <c r="H256" i="3"/>
  <c r="I185" i="3"/>
  <c r="J185" i="3"/>
  <c r="K245" i="3"/>
  <c r="H245" i="3"/>
  <c r="I245" i="3"/>
  <c r="J325" i="3"/>
  <c r="H325" i="3"/>
  <c r="K325" i="3"/>
  <c r="K154" i="3"/>
  <c r="H154" i="3"/>
  <c r="I154" i="3"/>
  <c r="J154" i="3"/>
  <c r="K74" i="3"/>
  <c r="H198" i="3"/>
  <c r="I198" i="3"/>
  <c r="J198" i="3"/>
  <c r="K198" i="3"/>
  <c r="J270" i="3"/>
  <c r="K270" i="3"/>
  <c r="H270" i="3"/>
  <c r="I270" i="3"/>
  <c r="I64" i="3"/>
  <c r="J188" i="3"/>
  <c r="K236" i="3"/>
  <c r="J292" i="3"/>
  <c r="I291" i="3"/>
  <c r="K291" i="3"/>
  <c r="J291" i="3"/>
  <c r="H291" i="3"/>
  <c r="J77" i="3"/>
  <c r="K234" i="3"/>
  <c r="I234" i="3"/>
  <c r="J234" i="3"/>
  <c r="H234" i="3"/>
  <c r="H73" i="3"/>
  <c r="I73" i="3"/>
  <c r="K73" i="3"/>
  <c r="I141" i="3"/>
  <c r="H141" i="3"/>
  <c r="J197" i="3"/>
  <c r="I197" i="3"/>
  <c r="H197" i="3"/>
  <c r="K197" i="3"/>
  <c r="J261" i="3"/>
  <c r="K261" i="3"/>
  <c r="H261" i="3"/>
  <c r="I261" i="3"/>
  <c r="H59" i="3"/>
  <c r="J59" i="3"/>
  <c r="I168" i="3"/>
  <c r="J168" i="3"/>
  <c r="K168" i="3"/>
  <c r="I273" i="3"/>
  <c r="J273" i="3"/>
  <c r="K273" i="3"/>
  <c r="H273" i="3"/>
  <c r="J213" i="3"/>
  <c r="H213" i="3"/>
  <c r="K213" i="3"/>
  <c r="I326" i="3"/>
  <c r="H326" i="3"/>
  <c r="K295" i="3"/>
  <c r="J280" i="3"/>
  <c r="H280" i="3"/>
  <c r="I280" i="3"/>
  <c r="K280" i="3"/>
  <c r="I219" i="3"/>
  <c r="J219" i="3"/>
  <c r="J118" i="3"/>
  <c r="K118" i="3"/>
  <c r="K173" i="3"/>
  <c r="I173" i="3"/>
  <c r="J173" i="3"/>
  <c r="K358" i="3"/>
  <c r="K313" i="3"/>
  <c r="I188" i="3"/>
  <c r="K196" i="3"/>
  <c r="L355" i="3"/>
  <c r="M355" i="3" s="1"/>
  <c r="H175" i="3"/>
  <c r="J175" i="3"/>
  <c r="K175" i="3"/>
  <c r="K144" i="3"/>
  <c r="H144" i="3"/>
  <c r="I144" i="3"/>
  <c r="J144" i="3"/>
  <c r="I184" i="3"/>
  <c r="K243" i="3"/>
  <c r="J243" i="3"/>
  <c r="I243" i="3"/>
  <c r="L243" i="3" s="1"/>
  <c r="H76" i="3"/>
  <c r="H128" i="3"/>
  <c r="I206" i="3"/>
  <c r="J206" i="3"/>
  <c r="K206" i="3"/>
  <c r="H274" i="3"/>
  <c r="K274" i="3"/>
  <c r="I274" i="3"/>
  <c r="J274" i="3"/>
  <c r="J349" i="3"/>
  <c r="I349" i="3"/>
  <c r="K349" i="3"/>
  <c r="I146" i="3"/>
  <c r="K146" i="3"/>
  <c r="H146" i="3"/>
  <c r="J146" i="3"/>
  <c r="H222" i="3"/>
  <c r="K222" i="3"/>
  <c r="H306" i="3"/>
  <c r="J306" i="3"/>
  <c r="K306" i="3"/>
  <c r="H93" i="3"/>
  <c r="J137" i="3"/>
  <c r="K137" i="3"/>
  <c r="H201" i="3"/>
  <c r="L201" i="3" s="1"/>
  <c r="K281" i="3"/>
  <c r="H281" i="3"/>
  <c r="I281" i="3"/>
  <c r="J281" i="3"/>
  <c r="I106" i="3"/>
  <c r="K106" i="3"/>
  <c r="H106" i="3"/>
  <c r="J106" i="3"/>
  <c r="H370" i="3"/>
  <c r="I370" i="3"/>
  <c r="J370" i="3"/>
  <c r="K271" i="3"/>
  <c r="H41" i="3"/>
  <c r="J381" i="3"/>
  <c r="K381" i="3"/>
  <c r="I381" i="3"/>
  <c r="L381" i="3" s="1"/>
  <c r="I178" i="3"/>
  <c r="J178" i="3"/>
  <c r="K178" i="3"/>
  <c r="L19" i="3"/>
  <c r="M19" i="3" s="1"/>
  <c r="I117" i="3"/>
  <c r="I35" i="3"/>
  <c r="L140" i="3"/>
  <c r="M140" i="3" s="1"/>
  <c r="H104" i="3"/>
  <c r="J36" i="3"/>
  <c r="I72" i="3"/>
  <c r="K147" i="3"/>
  <c r="I111" i="3"/>
  <c r="H206" i="3"/>
  <c r="I157" i="3"/>
  <c r="H188" i="3"/>
  <c r="J196" i="3"/>
  <c r="H225" i="3"/>
  <c r="I361" i="3"/>
  <c r="I295" i="3"/>
  <c r="I364" i="3"/>
  <c r="H335" i="3"/>
  <c r="I240" i="3"/>
  <c r="H363" i="3"/>
  <c r="J76" i="3"/>
  <c r="J35" i="3"/>
  <c r="K89" i="3"/>
  <c r="K59" i="3"/>
  <c r="J75" i="3"/>
  <c r="K328" i="3"/>
  <c r="J91" i="3"/>
  <c r="I131" i="3"/>
  <c r="I199" i="3"/>
  <c r="K199" i="3"/>
  <c r="H199" i="3"/>
  <c r="J199" i="3"/>
  <c r="I112" i="3"/>
  <c r="K192" i="3"/>
  <c r="H192" i="3"/>
  <c r="I192" i="3"/>
  <c r="J192" i="3"/>
  <c r="I212" i="3"/>
  <c r="H372" i="3"/>
  <c r="K372" i="3"/>
  <c r="J372" i="3"/>
  <c r="K161" i="3"/>
  <c r="J176" i="3"/>
  <c r="J253" i="3"/>
  <c r="K253" i="3"/>
  <c r="H369" i="3"/>
  <c r="J369" i="3"/>
  <c r="K369" i="3"/>
  <c r="I369" i="3"/>
  <c r="K98" i="3"/>
  <c r="I98" i="3"/>
  <c r="J98" i="3"/>
  <c r="H98" i="3"/>
  <c r="H322" i="3"/>
  <c r="H149" i="3"/>
  <c r="J217" i="3"/>
  <c r="I353" i="3"/>
  <c r="K353" i="3"/>
  <c r="I242" i="3"/>
  <c r="L242" i="3" s="1"/>
  <c r="K298" i="3"/>
  <c r="I335" i="3"/>
  <c r="J49" i="3"/>
  <c r="I105" i="3"/>
  <c r="J105" i="3"/>
  <c r="K105" i="3"/>
  <c r="H105" i="3"/>
  <c r="H165" i="3"/>
  <c r="I165" i="3"/>
  <c r="J165" i="3"/>
  <c r="K233" i="3"/>
  <c r="J342" i="3"/>
  <c r="H342" i="3"/>
  <c r="K342" i="3"/>
  <c r="I342" i="3"/>
  <c r="J138" i="3"/>
  <c r="H194" i="3"/>
  <c r="K288" i="3"/>
  <c r="J288" i="3"/>
  <c r="K303" i="3"/>
  <c r="I303" i="3"/>
  <c r="I262" i="3"/>
  <c r="K121" i="3"/>
  <c r="I121" i="3"/>
  <c r="J121" i="3"/>
  <c r="I170" i="3"/>
  <c r="J170" i="3"/>
  <c r="K170" i="3"/>
  <c r="H170" i="3"/>
  <c r="J313" i="3"/>
  <c r="J236" i="3"/>
  <c r="I59" i="3"/>
  <c r="I128" i="3"/>
  <c r="H209" i="3"/>
  <c r="H334" i="3"/>
  <c r="I334" i="3"/>
  <c r="K334" i="3"/>
  <c r="J334" i="3"/>
  <c r="J72" i="3"/>
  <c r="J157" i="3"/>
  <c r="J364" i="3"/>
  <c r="K40" i="3"/>
  <c r="I43" i="3"/>
  <c r="H289" i="3"/>
  <c r="K37" i="3"/>
  <c r="H77" i="3"/>
  <c r="H168" i="3"/>
  <c r="K64" i="3"/>
  <c r="K38" i="3"/>
  <c r="K94" i="3"/>
  <c r="K219" i="3"/>
  <c r="J147" i="3"/>
  <c r="K195" i="3"/>
  <c r="K209" i="3"/>
  <c r="H157" i="3"/>
  <c r="K262" i="3"/>
  <c r="J127" i="3"/>
  <c r="J233" i="3"/>
  <c r="J303" i="3"/>
  <c r="K186" i="3"/>
  <c r="J265" i="3"/>
  <c r="I196" i="3"/>
  <c r="K237" i="3"/>
  <c r="J293" i="3"/>
  <c r="J363" i="3"/>
  <c r="J41" i="3"/>
  <c r="K90" i="3"/>
  <c r="I89" i="3"/>
  <c r="I90" i="3"/>
  <c r="L90" i="3" s="1"/>
  <c r="J43" i="3"/>
  <c r="H173" i="3"/>
  <c r="K172" i="3"/>
  <c r="H172" i="3"/>
  <c r="J172" i="3"/>
  <c r="J252" i="3"/>
  <c r="H252" i="3"/>
  <c r="I252" i="3"/>
  <c r="K252" i="3"/>
  <c r="H320" i="3"/>
  <c r="K320" i="3"/>
  <c r="H91" i="3"/>
  <c r="I91" i="3"/>
  <c r="K335" i="3"/>
  <c r="H212" i="3"/>
  <c r="K375" i="3"/>
  <c r="I375" i="3"/>
  <c r="J375" i="3"/>
  <c r="H81" i="3"/>
  <c r="K81" i="3"/>
  <c r="I81" i="3"/>
  <c r="J81" i="3"/>
  <c r="J218" i="3"/>
  <c r="K218" i="3"/>
  <c r="H218" i="3"/>
  <c r="I290" i="3"/>
  <c r="H290" i="3"/>
  <c r="K386" i="3"/>
  <c r="I386" i="3"/>
  <c r="J386" i="3"/>
  <c r="J65" i="3"/>
  <c r="K385" i="3"/>
  <c r="I385" i="3"/>
  <c r="J385" i="3"/>
  <c r="H385" i="3"/>
  <c r="H137" i="3"/>
  <c r="J97" i="3"/>
  <c r="K97" i="3"/>
  <c r="H97" i="3"/>
  <c r="I97" i="3"/>
  <c r="I217" i="3"/>
  <c r="K217" i="3"/>
  <c r="H217" i="3"/>
  <c r="J122" i="3"/>
  <c r="K122" i="3"/>
  <c r="H314" i="3"/>
  <c r="J378" i="3"/>
  <c r="H49" i="3"/>
  <c r="I49" i="3"/>
  <c r="K309" i="3"/>
  <c r="J309" i="3"/>
  <c r="H138" i="3"/>
  <c r="I138" i="3"/>
  <c r="K138" i="3"/>
  <c r="H278" i="3"/>
  <c r="J278" i="3"/>
  <c r="K278" i="3"/>
  <c r="J305" i="3"/>
  <c r="H364" i="3"/>
  <c r="K99" i="3"/>
  <c r="H99" i="3"/>
  <c r="J99" i="3"/>
  <c r="H348" i="3"/>
  <c r="J348" i="3"/>
  <c r="H190" i="3"/>
  <c r="I190" i="3"/>
  <c r="J190" i="3"/>
  <c r="K190" i="3"/>
  <c r="H58" i="3"/>
  <c r="J73" i="3"/>
  <c r="I348" i="3"/>
  <c r="J58" i="3"/>
  <c r="J34" i="3"/>
  <c r="I120" i="3"/>
  <c r="J120" i="3"/>
  <c r="H120" i="3"/>
  <c r="K120" i="3"/>
  <c r="H167" i="3"/>
  <c r="J167" i="3"/>
  <c r="K167" i="3"/>
  <c r="H109" i="3"/>
  <c r="J337" i="3"/>
  <c r="I337" i="3"/>
  <c r="K337" i="3"/>
  <c r="I277" i="3"/>
  <c r="K277" i="3"/>
  <c r="J277" i="3"/>
  <c r="J201" i="3"/>
  <c r="J358" i="3"/>
  <c r="K34" i="3"/>
  <c r="J244" i="3"/>
  <c r="K244" i="3"/>
  <c r="I244" i="3"/>
  <c r="K87" i="3"/>
  <c r="L18" i="3"/>
  <c r="J54" i="3"/>
  <c r="J45" i="3"/>
  <c r="H131" i="3"/>
  <c r="J161" i="3"/>
  <c r="H219" i="3"/>
  <c r="J195" i="3"/>
  <c r="J209" i="3"/>
  <c r="I213" i="3"/>
  <c r="J262" i="3"/>
  <c r="I127" i="3"/>
  <c r="I233" i="3"/>
  <c r="H303" i="3"/>
  <c r="J186" i="3"/>
  <c r="I265" i="3"/>
  <c r="J237" i="3"/>
  <c r="H293" i="3"/>
  <c r="H228" i="3"/>
  <c r="H259" i="3"/>
  <c r="J388" i="3"/>
  <c r="J271" i="3"/>
  <c r="J89" i="3"/>
  <c r="H178" i="3"/>
  <c r="J140" i="3"/>
  <c r="J356" i="3"/>
  <c r="H356" i="3"/>
  <c r="I135" i="3"/>
  <c r="K135" i="3"/>
  <c r="K207" i="3"/>
  <c r="I207" i="3"/>
  <c r="J207" i="3"/>
  <c r="H207" i="3"/>
  <c r="H279" i="3"/>
  <c r="I279" i="3"/>
  <c r="K279" i="3"/>
  <c r="J279" i="3"/>
  <c r="J383" i="3"/>
  <c r="K383" i="3"/>
  <c r="H344" i="3"/>
  <c r="L344" i="3" s="1"/>
  <c r="J344" i="3"/>
  <c r="K344" i="3"/>
  <c r="K177" i="3"/>
  <c r="J177" i="3"/>
  <c r="H177" i="3"/>
  <c r="I177" i="3"/>
  <c r="J241" i="3"/>
  <c r="I241" i="3"/>
  <c r="K241" i="3"/>
  <c r="J250" i="3"/>
  <c r="K250" i="3"/>
  <c r="K365" i="3"/>
  <c r="I365" i="3"/>
  <c r="L365" i="3" s="1"/>
  <c r="H258" i="3"/>
  <c r="H375" i="3"/>
  <c r="K249" i="3"/>
  <c r="H249" i="3"/>
  <c r="I249" i="3"/>
  <c r="J249" i="3"/>
  <c r="H150" i="3"/>
  <c r="L150" i="3" s="1"/>
  <c r="K305" i="3"/>
  <c r="H392" i="3"/>
  <c r="L392" i="3" s="1"/>
  <c r="M392" i="3" s="1"/>
  <c r="I33" i="3"/>
  <c r="J33" i="3"/>
  <c r="K33" i="3"/>
  <c r="H292" i="3"/>
  <c r="K102" i="3"/>
  <c r="H317" i="3"/>
  <c r="J317" i="3"/>
  <c r="K317" i="3"/>
  <c r="K130" i="3"/>
  <c r="J130" i="3"/>
  <c r="H74" i="3"/>
  <c r="I74" i="3"/>
  <c r="H246" i="3"/>
  <c r="J246" i="3"/>
  <c r="K246" i="3"/>
  <c r="J263" i="3"/>
  <c r="I376" i="3"/>
  <c r="J376" i="3"/>
  <c r="H376" i="3"/>
  <c r="K376" i="3"/>
  <c r="J255" i="3"/>
  <c r="K255" i="3"/>
  <c r="H255" i="3"/>
  <c r="I255" i="3"/>
  <c r="K350" i="3"/>
  <c r="I350" i="3"/>
  <c r="H350" i="3"/>
  <c r="J350" i="3"/>
  <c r="H145" i="3"/>
  <c r="I145" i="3"/>
  <c r="J145" i="3"/>
  <c r="K145" i="3"/>
  <c r="K382" i="3"/>
  <c r="I382" i="3"/>
  <c r="J382" i="3"/>
  <c r="H382" i="3"/>
  <c r="H37" i="3"/>
  <c r="I99" i="3"/>
  <c r="H68" i="3"/>
  <c r="I68" i="3"/>
  <c r="H164" i="3"/>
  <c r="K164" i="3"/>
  <c r="I164" i="3"/>
  <c r="J164" i="3"/>
  <c r="I304" i="3"/>
  <c r="J304" i="3"/>
  <c r="K304" i="3"/>
  <c r="K50" i="3"/>
  <c r="J50" i="3"/>
  <c r="I50" i="3"/>
  <c r="K54" i="3"/>
  <c r="I102" i="3"/>
  <c r="K76" i="3"/>
  <c r="H102" i="3"/>
  <c r="K77" i="3"/>
  <c r="J64" i="3"/>
  <c r="J38" i="3"/>
  <c r="J94" i="3"/>
  <c r="M18" i="3"/>
  <c r="K84" i="3"/>
  <c r="K93" i="3"/>
  <c r="J87" i="3"/>
  <c r="K108" i="3"/>
  <c r="L214" i="3"/>
  <c r="H277" i="3"/>
  <c r="H262" i="3"/>
  <c r="H265" i="3"/>
  <c r="I317" i="3"/>
  <c r="J345" i="3"/>
  <c r="I389" i="3"/>
  <c r="I316" i="3"/>
  <c r="H349" i="3"/>
  <c r="I388" i="3"/>
  <c r="H288" i="3"/>
  <c r="I41" i="3"/>
  <c r="J90" i="3"/>
  <c r="H50" i="3"/>
  <c r="J56" i="3"/>
  <c r="J272" i="3"/>
  <c r="I119" i="3"/>
  <c r="K119" i="3"/>
  <c r="I215" i="3"/>
  <c r="H215" i="3"/>
  <c r="J215" i="3"/>
  <c r="K215" i="3"/>
  <c r="K200" i="3"/>
  <c r="J200" i="3"/>
  <c r="I200" i="3"/>
  <c r="H200" i="3"/>
  <c r="I288" i="3"/>
  <c r="H377" i="3"/>
  <c r="I377" i="3"/>
  <c r="K377" i="3"/>
  <c r="J377" i="3"/>
  <c r="I193" i="3"/>
  <c r="H257" i="3"/>
  <c r="J174" i="3"/>
  <c r="K174" i="3"/>
  <c r="I174" i="3"/>
  <c r="I108" i="3"/>
  <c r="I254" i="3"/>
  <c r="K254" i="3"/>
  <c r="J254" i="3"/>
  <c r="H113" i="3"/>
  <c r="I113" i="3"/>
  <c r="J113" i="3"/>
  <c r="K113" i="3"/>
  <c r="H169" i="3"/>
  <c r="I169" i="3"/>
  <c r="J169" i="3"/>
  <c r="K169" i="3"/>
  <c r="K142" i="3"/>
  <c r="J142" i="3"/>
  <c r="I357" i="3"/>
  <c r="L357" i="3" s="1"/>
  <c r="J357" i="3"/>
  <c r="I383" i="3"/>
  <c r="L383" i="3" s="1"/>
  <c r="H329" i="3"/>
  <c r="I329" i="3"/>
  <c r="K329" i="3"/>
  <c r="J329" i="3"/>
  <c r="K310" i="3"/>
  <c r="J310" i="3"/>
  <c r="L297" i="3"/>
  <c r="L298" i="3"/>
  <c r="L142" i="3"/>
  <c r="L39" i="3"/>
  <c r="M39" i="3" s="1"/>
  <c r="L203" i="3"/>
  <c r="M203" i="3" s="1"/>
  <c r="L204" i="3"/>
  <c r="L115" i="3"/>
  <c r="M115" i="3" s="1"/>
  <c r="C14" i="2"/>
  <c r="B14" i="2"/>
  <c r="B15" i="2"/>
  <c r="C15" i="2"/>
  <c r="C10" i="2"/>
  <c r="M296" i="3" l="1"/>
  <c r="L309" i="3"/>
  <c r="L263" i="3"/>
  <c r="L71" i="3"/>
  <c r="M328" i="3"/>
  <c r="L216" i="3"/>
  <c r="M216" i="3" s="1"/>
  <c r="L374" i="3"/>
  <c r="M374" i="3" s="1"/>
  <c r="L161" i="3"/>
  <c r="M78" i="3"/>
  <c r="L132" i="3"/>
  <c r="M214" i="3"/>
  <c r="N214" i="3" s="1"/>
  <c r="L267" i="3"/>
  <c r="M267" i="3" s="1"/>
  <c r="O267" i="3" s="1"/>
  <c r="C18" i="2"/>
  <c r="G35" i="2" s="1"/>
  <c r="C19" i="2"/>
  <c r="B18" i="2"/>
  <c r="E37" i="2" s="1"/>
  <c r="E34" i="2"/>
  <c r="E38" i="2"/>
  <c r="E32" i="2"/>
  <c r="G36" i="2"/>
  <c r="G33" i="2"/>
  <c r="G32" i="2"/>
  <c r="G31" i="2"/>
  <c r="G38" i="2"/>
  <c r="G30" i="2"/>
  <c r="G37" i="2"/>
  <c r="L332" i="3"/>
  <c r="M332" i="3" s="1"/>
  <c r="N332" i="3" s="1"/>
  <c r="L155" i="3"/>
  <c r="M155" i="3" s="1"/>
  <c r="O155" i="3" s="1"/>
  <c r="L367" i="3"/>
  <c r="M371" i="3"/>
  <c r="N371" i="3" s="1"/>
  <c r="L258" i="3"/>
  <c r="M258" i="3" s="1"/>
  <c r="L82" i="3"/>
  <c r="L135" i="3"/>
  <c r="L320" i="3"/>
  <c r="L304" i="3"/>
  <c r="M304" i="3" s="1"/>
  <c r="O304" i="3" s="1"/>
  <c r="L356" i="3"/>
  <c r="M356" i="3" s="1"/>
  <c r="N356" i="3" s="1"/>
  <c r="L353" i="3"/>
  <c r="M353" i="3" s="1"/>
  <c r="N353" i="3" s="1"/>
  <c r="L112" i="3"/>
  <c r="M112" i="3" s="1"/>
  <c r="N112" i="3" s="1"/>
  <c r="L221" i="3"/>
  <c r="M221" i="3" s="1"/>
  <c r="N221" i="3" s="1"/>
  <c r="L66" i="3"/>
  <c r="M66" i="3" s="1"/>
  <c r="L110" i="3"/>
  <c r="M110" i="3" s="1"/>
  <c r="N110" i="3" s="1"/>
  <c r="L211" i="3"/>
  <c r="M211" i="3" s="1"/>
  <c r="L228" i="3"/>
  <c r="M228" i="3" s="1"/>
  <c r="L111" i="3"/>
  <c r="L251" i="3"/>
  <c r="M251" i="3" s="1"/>
  <c r="O251" i="3" s="1"/>
  <c r="L84" i="3"/>
  <c r="M84" i="3" s="1"/>
  <c r="L324" i="3"/>
  <c r="M324" i="3" s="1"/>
  <c r="N324" i="3" s="1"/>
  <c r="L194" i="3"/>
  <c r="L224" i="3"/>
  <c r="M224" i="3" s="1"/>
  <c r="N224" i="3" s="1"/>
  <c r="L293" i="3"/>
  <c r="M293" i="3" s="1"/>
  <c r="N293" i="3" s="1"/>
  <c r="L289" i="3"/>
  <c r="L149" i="3"/>
  <c r="M149" i="3" s="1"/>
  <c r="N149" i="3" s="1"/>
  <c r="L373" i="3"/>
  <c r="M373" i="3" s="1"/>
  <c r="N373" i="3" s="1"/>
  <c r="L241" i="3"/>
  <c r="M241" i="3" s="1"/>
  <c r="L295" i="3"/>
  <c r="L205" i="3"/>
  <c r="M379" i="3"/>
  <c r="N379" i="3" s="1"/>
  <c r="M387" i="3"/>
  <c r="N387" i="3" s="1"/>
  <c r="L231" i="3"/>
  <c r="M231" i="3" s="1"/>
  <c r="N231" i="3" s="1"/>
  <c r="L254" i="3"/>
  <c r="M254" i="3" s="1"/>
  <c r="O254" i="3" s="1"/>
  <c r="L174" i="3"/>
  <c r="M174" i="3" s="1"/>
  <c r="L43" i="3"/>
  <c r="M43" i="3" s="1"/>
  <c r="O43" i="3" s="1"/>
  <c r="L225" i="3"/>
  <c r="M225" i="3" s="1"/>
  <c r="N225" i="3" s="1"/>
  <c r="L345" i="3"/>
  <c r="L313" i="3"/>
  <c r="M313" i="3" s="1"/>
  <c r="L63" i="3"/>
  <c r="L109" i="3"/>
  <c r="M109" i="3" s="1"/>
  <c r="N109" i="3" s="1"/>
  <c r="L333" i="3"/>
  <c r="L268" i="3"/>
  <c r="M268" i="3" s="1"/>
  <c r="L327" i="3"/>
  <c r="M327" i="3" s="1"/>
  <c r="O327" i="3" s="1"/>
  <c r="L52" i="3"/>
  <c r="L116" i="3"/>
  <c r="M116" i="3" s="1"/>
  <c r="N116" i="3" s="1"/>
  <c r="L384" i="3"/>
  <c r="M384" i="3" s="1"/>
  <c r="N384" i="3" s="1"/>
  <c r="L250" i="3"/>
  <c r="M250" i="3" s="1"/>
  <c r="N250" i="3" s="1"/>
  <c r="M242" i="3"/>
  <c r="N242" i="3" s="1"/>
  <c r="M357" i="3"/>
  <c r="L278" i="3"/>
  <c r="L302" i="3"/>
  <c r="M302" i="3" s="1"/>
  <c r="L133" i="3"/>
  <c r="M133" i="3" s="1"/>
  <c r="O133" i="3" s="1"/>
  <c r="L45" i="3"/>
  <c r="M45" i="3" s="1"/>
  <c r="N45" i="3" s="1"/>
  <c r="M345" i="3"/>
  <c r="N345" i="3" s="1"/>
  <c r="L335" i="3"/>
  <c r="M335" i="3" s="1"/>
  <c r="O335" i="3" s="1"/>
  <c r="L305" i="3"/>
  <c r="M305" i="3" s="1"/>
  <c r="O305" i="3" s="1"/>
  <c r="L54" i="3"/>
  <c r="M54" i="3" s="1"/>
  <c r="O54" i="3" s="1"/>
  <c r="L69" i="3"/>
  <c r="M69" i="3" s="1"/>
  <c r="N69" i="3" s="1"/>
  <c r="L86" i="3"/>
  <c r="M86" i="3" s="1"/>
  <c r="O86" i="3" s="1"/>
  <c r="L284" i="3"/>
  <c r="M284" i="3" s="1"/>
  <c r="O284" i="3" s="1"/>
  <c r="L152" i="3"/>
  <c r="M152" i="3" s="1"/>
  <c r="L220" i="3"/>
  <c r="M220" i="3" s="1"/>
  <c r="N220" i="3" s="1"/>
  <c r="L341" i="3"/>
  <c r="L33" i="3"/>
  <c r="M33" i="3" s="1"/>
  <c r="L103" i="3"/>
  <c r="M103" i="3" s="1"/>
  <c r="O103" i="3" s="1"/>
  <c r="M55" i="3"/>
  <c r="N55" i="3" s="1"/>
  <c r="L75" i="3"/>
  <c r="M75" i="3" s="1"/>
  <c r="O75" i="3" s="1"/>
  <c r="L148" i="3"/>
  <c r="M148" i="3" s="1"/>
  <c r="L390" i="3"/>
  <c r="M390" i="3" s="1"/>
  <c r="O390" i="3" s="1"/>
  <c r="L70" i="3"/>
  <c r="M70" i="3" s="1"/>
  <c r="O70" i="3" s="1"/>
  <c r="M362" i="3"/>
  <c r="N362" i="3" s="1"/>
  <c r="M289" i="3"/>
  <c r="O289" i="3" s="1"/>
  <c r="M298" i="3"/>
  <c r="N298" i="3" s="1"/>
  <c r="M393" i="3"/>
  <c r="N393" i="3" s="1"/>
  <c r="M367" i="3"/>
  <c r="M83" i="3"/>
  <c r="N83" i="3" s="1"/>
  <c r="M82" i="3"/>
  <c r="N82" i="3" s="1"/>
  <c r="M122" i="3"/>
  <c r="N122" i="3" s="1"/>
  <c r="M294" i="3"/>
  <c r="O294" i="3" s="1"/>
  <c r="M229" i="3"/>
  <c r="N229" i="3" s="1"/>
  <c r="M308" i="3"/>
  <c r="O308" i="3" s="1"/>
  <c r="M287" i="3"/>
  <c r="N287" i="3" s="1"/>
  <c r="M163" i="3"/>
  <c r="N163" i="3" s="1"/>
  <c r="M315" i="3"/>
  <c r="M239" i="3"/>
  <c r="O239" i="3" s="1"/>
  <c r="M295" i="3"/>
  <c r="N295" i="3" s="1"/>
  <c r="M366" i="3"/>
  <c r="O366" i="3" s="1"/>
  <c r="E28" i="2"/>
  <c r="L44" i="3"/>
  <c r="M44" i="3" s="1"/>
  <c r="O44" i="3" s="1"/>
  <c r="L117" i="3"/>
  <c r="M117" i="3" s="1"/>
  <c r="O117" i="3" s="1"/>
  <c r="L186" i="3"/>
  <c r="M186" i="3" s="1"/>
  <c r="N186" i="3" s="1"/>
  <c r="M282" i="3"/>
  <c r="O282" i="3" s="1"/>
  <c r="L312" i="3"/>
  <c r="M312" i="3" s="1"/>
  <c r="N312" i="3" s="1"/>
  <c r="L107" i="3"/>
  <c r="M107" i="3" s="1"/>
  <c r="N107" i="3" s="1"/>
  <c r="L183" i="3"/>
  <c r="M183" i="3" s="1"/>
  <c r="N183" i="3" s="1"/>
  <c r="L238" i="3"/>
  <c r="M238" i="3" s="1"/>
  <c r="O238" i="3" s="1"/>
  <c r="L202" i="3"/>
  <c r="M202" i="3" s="1"/>
  <c r="N202" i="3" s="1"/>
  <c r="L158" i="3"/>
  <c r="M158" i="3" s="1"/>
  <c r="L51" i="3"/>
  <c r="M51" i="3" s="1"/>
  <c r="N51" i="3" s="1"/>
  <c r="L123" i="3"/>
  <c r="M123" i="3" s="1"/>
  <c r="O123" i="3" s="1"/>
  <c r="L235" i="3"/>
  <c r="M235" i="3" s="1"/>
  <c r="N235" i="3" s="1"/>
  <c r="L323" i="3"/>
  <c r="M323" i="3" s="1"/>
  <c r="O323" i="3" s="1"/>
  <c r="M299" i="3"/>
  <c r="O299" i="3" s="1"/>
  <c r="L181" i="3"/>
  <c r="M181" i="3" s="1"/>
  <c r="O181" i="3" s="1"/>
  <c r="L67" i="3"/>
  <c r="M67" i="3" s="1"/>
  <c r="N67" i="3" s="1"/>
  <c r="L175" i="3"/>
  <c r="M175" i="3" s="1"/>
  <c r="O175" i="3" s="1"/>
  <c r="L151" i="3"/>
  <c r="M151" i="3" s="1"/>
  <c r="L64" i="3"/>
  <c r="M64" i="3" s="1"/>
  <c r="O64" i="3" s="1"/>
  <c r="L40" i="3"/>
  <c r="M40" i="3" s="1"/>
  <c r="N40" i="3" s="1"/>
  <c r="L76" i="3"/>
  <c r="M76" i="3" s="1"/>
  <c r="N76" i="3" s="1"/>
  <c r="L47" i="3"/>
  <c r="M47" i="3" s="1"/>
  <c r="N47" i="3" s="1"/>
  <c r="L127" i="3"/>
  <c r="M127" i="3" s="1"/>
  <c r="N127" i="3" s="1"/>
  <c r="L218" i="3"/>
  <c r="M218" i="3" s="1"/>
  <c r="N218" i="3" s="1"/>
  <c r="L157" i="3"/>
  <c r="M157" i="3" s="1"/>
  <c r="O157" i="3" s="1"/>
  <c r="L168" i="3"/>
  <c r="M168" i="3" s="1"/>
  <c r="L134" i="3"/>
  <c r="M134" i="3" s="1"/>
  <c r="O134" i="3" s="1"/>
  <c r="L62" i="3"/>
  <c r="M62" i="3" s="1"/>
  <c r="N62" i="3" s="1"/>
  <c r="M205" i="3"/>
  <c r="N205" i="3" s="1"/>
  <c r="L360" i="3"/>
  <c r="M360" i="3" s="1"/>
  <c r="O360" i="3" s="1"/>
  <c r="L219" i="3"/>
  <c r="M219" i="3" s="1"/>
  <c r="M310" i="3"/>
  <c r="N310" i="3" s="1"/>
  <c r="L196" i="3"/>
  <c r="M196" i="3" s="1"/>
  <c r="O196" i="3" s="1"/>
  <c r="L326" i="3"/>
  <c r="M326" i="3" s="1"/>
  <c r="O326" i="3" s="1"/>
  <c r="L159" i="3"/>
  <c r="M159" i="3" s="1"/>
  <c r="N159" i="3" s="1"/>
  <c r="L166" i="3"/>
  <c r="M166" i="3" s="1"/>
  <c r="L269" i="3"/>
  <c r="M269" i="3" s="1"/>
  <c r="N269" i="3" s="1"/>
  <c r="M204" i="3"/>
  <c r="N204" i="3" s="1"/>
  <c r="L325" i="3"/>
  <c r="M325" i="3" s="1"/>
  <c r="L363" i="3"/>
  <c r="M363" i="3" s="1"/>
  <c r="N363" i="3" s="1"/>
  <c r="L35" i="3"/>
  <c r="M35" i="3" s="1"/>
  <c r="N35" i="3" s="1"/>
  <c r="M201" i="3"/>
  <c r="L222" i="3"/>
  <c r="M222" i="3" s="1"/>
  <c r="L346" i="3"/>
  <c r="M346" i="3" s="1"/>
  <c r="O346" i="3" s="1"/>
  <c r="L96" i="3"/>
  <c r="M96" i="3" s="1"/>
  <c r="O96" i="3" s="1"/>
  <c r="L79" i="3"/>
  <c r="M79" i="3" s="1"/>
  <c r="N79" i="3" s="1"/>
  <c r="L195" i="3"/>
  <c r="M195" i="3" s="1"/>
  <c r="L56" i="3"/>
  <c r="M56" i="3" s="1"/>
  <c r="N56" i="3" s="1"/>
  <c r="L227" i="3"/>
  <c r="M227" i="3" s="1"/>
  <c r="O227" i="3" s="1"/>
  <c r="L270" i="3"/>
  <c r="M270" i="3" s="1"/>
  <c r="O270" i="3" s="1"/>
  <c r="L388" i="3"/>
  <c r="M388" i="3" s="1"/>
  <c r="N388" i="3" s="1"/>
  <c r="L176" i="3"/>
  <c r="M176" i="3" s="1"/>
  <c r="N176" i="3" s="1"/>
  <c r="L233" i="3"/>
  <c r="M233" i="3" s="1"/>
  <c r="M301" i="3"/>
  <c r="N301" i="3" s="1"/>
  <c r="L72" i="3"/>
  <c r="M72" i="3" s="1"/>
  <c r="M341" i="3"/>
  <c r="N341" i="3" s="1"/>
  <c r="L92" i="3"/>
  <c r="M92" i="3" s="1"/>
  <c r="N92" i="3" s="1"/>
  <c r="M101" i="3"/>
  <c r="N101" i="3" s="1"/>
  <c r="M95" i="3"/>
  <c r="O95" i="3" s="1"/>
  <c r="L125" i="3"/>
  <c r="M125" i="3" s="1"/>
  <c r="N125" i="3" s="1"/>
  <c r="M111" i="3"/>
  <c r="N111" i="3" s="1"/>
  <c r="L248" i="3"/>
  <c r="M248" i="3" s="1"/>
  <c r="N248" i="3" s="1"/>
  <c r="L276" i="3"/>
  <c r="M276" i="3" s="1"/>
  <c r="N276" i="3" s="1"/>
  <c r="M264" i="3"/>
  <c r="O264" i="3" s="1"/>
  <c r="L348" i="3"/>
  <c r="M348" i="3" s="1"/>
  <c r="O348" i="3" s="1"/>
  <c r="L245" i="3"/>
  <c r="M245" i="3" s="1"/>
  <c r="O245" i="3" s="1"/>
  <c r="L126" i="3"/>
  <c r="M126" i="3" s="1"/>
  <c r="N126" i="3" s="1"/>
  <c r="M297" i="3"/>
  <c r="N297" i="3" s="1"/>
  <c r="L171" i="3"/>
  <c r="M171" i="3" s="1"/>
  <c r="O171" i="3" s="1"/>
  <c r="L316" i="3"/>
  <c r="M316" i="3" s="1"/>
  <c r="O316" i="3" s="1"/>
  <c r="L74" i="3"/>
  <c r="M74" i="3" s="1"/>
  <c r="L334" i="3"/>
  <c r="M334" i="3" s="1"/>
  <c r="M150" i="3"/>
  <c r="N150" i="3" s="1"/>
  <c r="L167" i="3"/>
  <c r="M167" i="3" s="1"/>
  <c r="L351" i="3"/>
  <c r="M351" i="3" s="1"/>
  <c r="O351" i="3" s="1"/>
  <c r="L321" i="3"/>
  <c r="M321" i="3" s="1"/>
  <c r="N321" i="3" s="1"/>
  <c r="L244" i="3"/>
  <c r="M244" i="3" s="1"/>
  <c r="N244" i="3" s="1"/>
  <c r="L285" i="3"/>
  <c r="M285" i="3" s="1"/>
  <c r="L237" i="3"/>
  <c r="M237" i="3" s="1"/>
  <c r="N237" i="3" s="1"/>
  <c r="L209" i="3"/>
  <c r="L104" i="3"/>
  <c r="M104" i="3" s="1"/>
  <c r="N104" i="3" s="1"/>
  <c r="L266" i="3"/>
  <c r="M266" i="3" s="1"/>
  <c r="N266" i="3" s="1"/>
  <c r="L260" i="3"/>
  <c r="M260" i="3" s="1"/>
  <c r="N260" i="3" s="1"/>
  <c r="M52" i="3"/>
  <c r="O52" i="3" s="1"/>
  <c r="O343" i="3"/>
  <c r="N343" i="3"/>
  <c r="M162" i="3"/>
  <c r="O162" i="3" s="1"/>
  <c r="L185" i="3"/>
  <c r="M185" i="3" s="1"/>
  <c r="N185" i="3" s="1"/>
  <c r="L130" i="3"/>
  <c r="M130" i="3" s="1"/>
  <c r="L215" i="3"/>
  <c r="M215" i="3" s="1"/>
  <c r="L389" i="3"/>
  <c r="M389" i="3" s="1"/>
  <c r="N389" i="3" s="1"/>
  <c r="L121" i="3"/>
  <c r="M121" i="3" s="1"/>
  <c r="L274" i="3"/>
  <c r="M274" i="3" s="1"/>
  <c r="L143" i="3"/>
  <c r="M143" i="3" s="1"/>
  <c r="O380" i="3"/>
  <c r="M263" i="3"/>
  <c r="N263" i="3" s="1"/>
  <c r="L240" i="3"/>
  <c r="M240" i="3" s="1"/>
  <c r="O240" i="3" s="1"/>
  <c r="L340" i="3"/>
  <c r="M340" i="3" s="1"/>
  <c r="N340" i="3" s="1"/>
  <c r="L368" i="3"/>
  <c r="M368" i="3" s="1"/>
  <c r="L48" i="3"/>
  <c r="M48" i="3" s="1"/>
  <c r="O48" i="3" s="1"/>
  <c r="L247" i="3"/>
  <c r="M247" i="3" s="1"/>
  <c r="L329" i="3"/>
  <c r="M329" i="3" s="1"/>
  <c r="M271" i="3"/>
  <c r="O271" i="3" s="1"/>
  <c r="L154" i="3"/>
  <c r="M154" i="3" s="1"/>
  <c r="N154" i="3" s="1"/>
  <c r="M383" i="3"/>
  <c r="O383" i="3" s="1"/>
  <c r="L93" i="3"/>
  <c r="M93" i="3" s="1"/>
  <c r="L272" i="3"/>
  <c r="M272" i="3" s="1"/>
  <c r="N272" i="3" s="1"/>
  <c r="L137" i="3"/>
  <c r="M137" i="3" s="1"/>
  <c r="L322" i="3"/>
  <c r="M322" i="3" s="1"/>
  <c r="O322" i="3" s="1"/>
  <c r="L372" i="3"/>
  <c r="M372" i="3" s="1"/>
  <c r="L199" i="3"/>
  <c r="M199" i="3" s="1"/>
  <c r="L188" i="3"/>
  <c r="M188" i="3" s="1"/>
  <c r="N188" i="3" s="1"/>
  <c r="L184" i="3"/>
  <c r="M184" i="3" s="1"/>
  <c r="N184" i="3" s="1"/>
  <c r="M333" i="3"/>
  <c r="O333" i="3" s="1"/>
  <c r="L359" i="3"/>
  <c r="M359" i="3" s="1"/>
  <c r="O359" i="3" s="1"/>
  <c r="L114" i="3"/>
  <c r="M114" i="3" s="1"/>
  <c r="O114" i="3" s="1"/>
  <c r="L338" i="3"/>
  <c r="M338" i="3" s="1"/>
  <c r="O338" i="3" s="1"/>
  <c r="L65" i="3"/>
  <c r="M65" i="3" s="1"/>
  <c r="O65" i="3" s="1"/>
  <c r="M132" i="3"/>
  <c r="O132" i="3" s="1"/>
  <c r="L177" i="3"/>
  <c r="M177" i="3" s="1"/>
  <c r="O177" i="3" s="1"/>
  <c r="M278" i="3"/>
  <c r="O278" i="3" s="1"/>
  <c r="L108" i="3"/>
  <c r="M108" i="3" s="1"/>
  <c r="L314" i="3"/>
  <c r="M314" i="3" s="1"/>
  <c r="O314" i="3" s="1"/>
  <c r="L207" i="3"/>
  <c r="M207" i="3" s="1"/>
  <c r="O207" i="3" s="1"/>
  <c r="L217" i="3"/>
  <c r="M217" i="3" s="1"/>
  <c r="L385" i="3"/>
  <c r="M385" i="3" s="1"/>
  <c r="N385" i="3" s="1"/>
  <c r="L172" i="3"/>
  <c r="M172" i="3" s="1"/>
  <c r="M194" i="3"/>
  <c r="O194" i="3" s="1"/>
  <c r="L361" i="3"/>
  <c r="M361" i="3" s="1"/>
  <c r="N361" i="3" s="1"/>
  <c r="M381" i="3"/>
  <c r="N381" i="3" s="1"/>
  <c r="L234" i="3"/>
  <c r="M234" i="3" s="1"/>
  <c r="L119" i="3"/>
  <c r="M119" i="3" s="1"/>
  <c r="N119" i="3" s="1"/>
  <c r="L337" i="3"/>
  <c r="M337" i="3" s="1"/>
  <c r="N337" i="3" s="1"/>
  <c r="L358" i="3"/>
  <c r="M358" i="3" s="1"/>
  <c r="L57" i="3"/>
  <c r="M57" i="3" s="1"/>
  <c r="N57" i="3" s="1"/>
  <c r="L61" i="3"/>
  <c r="M61" i="3" s="1"/>
  <c r="N61" i="3" s="1"/>
  <c r="L118" i="3"/>
  <c r="M118" i="3" s="1"/>
  <c r="L253" i="3"/>
  <c r="M253" i="3" s="1"/>
  <c r="L189" i="3"/>
  <c r="M189" i="3" s="1"/>
  <c r="O189" i="3" s="1"/>
  <c r="M53" i="3"/>
  <c r="O53" i="3" s="1"/>
  <c r="L131" i="3"/>
  <c r="M131" i="3" s="1"/>
  <c r="N131" i="3" s="1"/>
  <c r="L102" i="3"/>
  <c r="M102" i="3" s="1"/>
  <c r="N102" i="3" s="1"/>
  <c r="L259" i="3"/>
  <c r="M259" i="3" s="1"/>
  <c r="O259" i="3" s="1"/>
  <c r="L190" i="3"/>
  <c r="M190" i="3" s="1"/>
  <c r="N190" i="3" s="1"/>
  <c r="M210" i="3"/>
  <c r="N210" i="3" s="1"/>
  <c r="L306" i="3"/>
  <c r="M306" i="3" s="1"/>
  <c r="L147" i="3"/>
  <c r="M147" i="3" s="1"/>
  <c r="M300" i="3"/>
  <c r="N300" i="3" s="1"/>
  <c r="M63" i="3"/>
  <c r="N63" i="3" s="1"/>
  <c r="M87" i="3"/>
  <c r="N87" i="3" s="1"/>
  <c r="L89" i="3"/>
  <c r="M89" i="3" s="1"/>
  <c r="L46" i="3"/>
  <c r="M46" i="3" s="1"/>
  <c r="N46" i="3" s="1"/>
  <c r="L88" i="3"/>
  <c r="M88" i="3" s="1"/>
  <c r="N88" i="3" s="1"/>
  <c r="M38" i="3"/>
  <c r="N38" i="3" s="1"/>
  <c r="L34" i="3"/>
  <c r="M34" i="3" s="1"/>
  <c r="L80" i="3"/>
  <c r="M80" i="3" s="1"/>
  <c r="N80" i="3" s="1"/>
  <c r="M94" i="3"/>
  <c r="O94" i="3" s="1"/>
  <c r="N311" i="3"/>
  <c r="O311" i="3"/>
  <c r="M36" i="3"/>
  <c r="O36" i="3" s="1"/>
  <c r="L277" i="3"/>
  <c r="M277" i="3" s="1"/>
  <c r="N277" i="3" s="1"/>
  <c r="L246" i="3"/>
  <c r="M246" i="3" s="1"/>
  <c r="L291" i="3"/>
  <c r="M291" i="3" s="1"/>
  <c r="L286" i="3"/>
  <c r="M286" i="3" s="1"/>
  <c r="O286" i="3" s="1"/>
  <c r="L257" i="3"/>
  <c r="M257" i="3" s="1"/>
  <c r="N257" i="3" s="1"/>
  <c r="L124" i="3"/>
  <c r="M124" i="3" s="1"/>
  <c r="O124" i="3" s="1"/>
  <c r="L60" i="3"/>
  <c r="M60" i="3" s="1"/>
  <c r="L318" i="3"/>
  <c r="M318" i="3" s="1"/>
  <c r="N318" i="3" s="1"/>
  <c r="L42" i="3"/>
  <c r="M42" i="3" s="1"/>
  <c r="N42" i="3" s="1"/>
  <c r="L41" i="3"/>
  <c r="M41" i="3" s="1"/>
  <c r="N41" i="3" s="1"/>
  <c r="L382" i="3"/>
  <c r="M382" i="3" s="1"/>
  <c r="M135" i="3"/>
  <c r="N135" i="3" s="1"/>
  <c r="L49" i="3"/>
  <c r="M49" i="3" s="1"/>
  <c r="N49" i="3" s="1"/>
  <c r="M209" i="3"/>
  <c r="N209" i="3" s="1"/>
  <c r="L77" i="3"/>
  <c r="M77" i="3" s="1"/>
  <c r="N77" i="3" s="1"/>
  <c r="M243" i="3"/>
  <c r="O243" i="3" s="1"/>
  <c r="L141" i="3"/>
  <c r="M141" i="3" s="1"/>
  <c r="N141" i="3" s="1"/>
  <c r="L283" i="3"/>
  <c r="M283" i="3" s="1"/>
  <c r="O283" i="3" s="1"/>
  <c r="L136" i="3"/>
  <c r="M136" i="3" s="1"/>
  <c r="L192" i="3"/>
  <c r="M192" i="3" s="1"/>
  <c r="N192" i="3" s="1"/>
  <c r="M319" i="3"/>
  <c r="M161" i="3"/>
  <c r="N161" i="3" s="1"/>
  <c r="L212" i="3"/>
  <c r="M212" i="3" s="1"/>
  <c r="O212" i="3" s="1"/>
  <c r="L156" i="3"/>
  <c r="M156" i="3" s="1"/>
  <c r="N156" i="3" s="1"/>
  <c r="L85" i="3"/>
  <c r="M85" i="3" s="1"/>
  <c r="N85" i="3" s="1"/>
  <c r="M232" i="3"/>
  <c r="N232" i="3" s="1"/>
  <c r="L265" i="3"/>
  <c r="M265" i="3" s="1"/>
  <c r="N265" i="3" s="1"/>
  <c r="L37" i="3"/>
  <c r="M37" i="3" s="1"/>
  <c r="N37" i="3" s="1"/>
  <c r="L99" i="3"/>
  <c r="M99" i="3" s="1"/>
  <c r="L386" i="3"/>
  <c r="M386" i="3" s="1"/>
  <c r="O386" i="3" s="1"/>
  <c r="L170" i="3"/>
  <c r="M170" i="3" s="1"/>
  <c r="L198" i="3"/>
  <c r="M198" i="3" s="1"/>
  <c r="L256" i="3"/>
  <c r="M256" i="3" s="1"/>
  <c r="N256" i="3" s="1"/>
  <c r="N155" i="3"/>
  <c r="L182" i="3"/>
  <c r="M182" i="3" s="1"/>
  <c r="O182" i="3" s="1"/>
  <c r="L179" i="3"/>
  <c r="M179" i="3" s="1"/>
  <c r="O179" i="3" s="1"/>
  <c r="L208" i="3"/>
  <c r="M208" i="3" s="1"/>
  <c r="M71" i="3"/>
  <c r="N71" i="3" s="1"/>
  <c r="L50" i="3"/>
  <c r="M50" i="3" s="1"/>
  <c r="N50" i="3" s="1"/>
  <c r="M365" i="3"/>
  <c r="N365" i="3" s="1"/>
  <c r="M90" i="3"/>
  <c r="N90" i="3" s="1"/>
  <c r="L364" i="3"/>
  <c r="M364" i="3" s="1"/>
  <c r="N364" i="3" s="1"/>
  <c r="L180" i="3"/>
  <c r="M180" i="3" s="1"/>
  <c r="N180" i="3" s="1"/>
  <c r="L342" i="3"/>
  <c r="M342" i="3" s="1"/>
  <c r="N342" i="3" s="1"/>
  <c r="M309" i="3"/>
  <c r="O309" i="3" s="1"/>
  <c r="M142" i="3"/>
  <c r="N142" i="3" s="1"/>
  <c r="L169" i="3"/>
  <c r="M169" i="3" s="1"/>
  <c r="L290" i="3"/>
  <c r="M290" i="3" s="1"/>
  <c r="L292" i="3"/>
  <c r="M292" i="3" s="1"/>
  <c r="L100" i="3"/>
  <c r="M100" i="3" s="1"/>
  <c r="O100" i="3" s="1"/>
  <c r="L129" i="3"/>
  <c r="M129" i="3" s="1"/>
  <c r="N148" i="3"/>
  <c r="O148" i="3"/>
  <c r="O235" i="3"/>
  <c r="N66" i="3"/>
  <c r="O66" i="3"/>
  <c r="O355" i="3"/>
  <c r="N355" i="3"/>
  <c r="N140" i="3"/>
  <c r="O140" i="3"/>
  <c r="O126" i="3"/>
  <c r="O331" i="3"/>
  <c r="N331" i="3"/>
  <c r="N357" i="3"/>
  <c r="O357" i="3"/>
  <c r="N238" i="3"/>
  <c r="N392" i="3"/>
  <c r="O392" i="3"/>
  <c r="N201" i="3"/>
  <c r="O201" i="3"/>
  <c r="O307" i="3"/>
  <c r="N307" i="3"/>
  <c r="O365" i="3"/>
  <c r="N258" i="3"/>
  <c r="O258" i="3"/>
  <c r="O315" i="3"/>
  <c r="N315" i="3"/>
  <c r="L262" i="3"/>
  <c r="M262" i="3" s="1"/>
  <c r="L370" i="3"/>
  <c r="M370" i="3" s="1"/>
  <c r="L391" i="3"/>
  <c r="M391" i="3" s="1"/>
  <c r="O223" i="3"/>
  <c r="N223" i="3"/>
  <c r="L113" i="3"/>
  <c r="M113" i="3" s="1"/>
  <c r="L200" i="3"/>
  <c r="M200" i="3" s="1"/>
  <c r="L164" i="3"/>
  <c r="M164" i="3" s="1"/>
  <c r="L145" i="3"/>
  <c r="M145" i="3" s="1"/>
  <c r="L375" i="3"/>
  <c r="M375" i="3" s="1"/>
  <c r="L178" i="3"/>
  <c r="M178" i="3" s="1"/>
  <c r="L81" i="3"/>
  <c r="M81" i="3" s="1"/>
  <c r="L91" i="3"/>
  <c r="M91" i="3" s="1"/>
  <c r="L165" i="3"/>
  <c r="M165" i="3" s="1"/>
  <c r="L98" i="3"/>
  <c r="M98" i="3" s="1"/>
  <c r="L106" i="3"/>
  <c r="M106" i="3" s="1"/>
  <c r="L128" i="3"/>
  <c r="M128" i="3" s="1"/>
  <c r="L144" i="3"/>
  <c r="M144" i="3" s="1"/>
  <c r="L193" i="3"/>
  <c r="M193" i="3" s="1"/>
  <c r="L354" i="3"/>
  <c r="M354" i="3" s="1"/>
  <c r="N236" i="3"/>
  <c r="O236" i="3"/>
  <c r="L138" i="3"/>
  <c r="M138" i="3" s="1"/>
  <c r="O101" i="3"/>
  <c r="L288" i="3"/>
  <c r="M288" i="3" s="1"/>
  <c r="L317" i="3"/>
  <c r="M317" i="3" s="1"/>
  <c r="L303" i="3"/>
  <c r="M303" i="3" s="1"/>
  <c r="O367" i="3"/>
  <c r="N367" i="3"/>
  <c r="M320" i="3"/>
  <c r="L206" i="3"/>
  <c r="M206" i="3" s="1"/>
  <c r="L213" i="3"/>
  <c r="M213" i="3" s="1"/>
  <c r="O347" i="3"/>
  <c r="N347" i="3"/>
  <c r="N187" i="3"/>
  <c r="O187" i="3"/>
  <c r="O275" i="3"/>
  <c r="N275" i="3"/>
  <c r="N374" i="3"/>
  <c r="O374" i="3"/>
  <c r="N103" i="3"/>
  <c r="L252" i="3"/>
  <c r="M252" i="3" s="1"/>
  <c r="L153" i="3"/>
  <c r="M153" i="3" s="1"/>
  <c r="L377" i="3"/>
  <c r="M377" i="3" s="1"/>
  <c r="L255" i="3"/>
  <c r="M255" i="3" s="1"/>
  <c r="N39" i="3"/>
  <c r="O39" i="3"/>
  <c r="N152" i="3"/>
  <c r="O152" i="3"/>
  <c r="O203" i="3"/>
  <c r="N203" i="3"/>
  <c r="O339" i="3"/>
  <c r="N339" i="3"/>
  <c r="L68" i="3"/>
  <c r="M68" i="3" s="1"/>
  <c r="L350" i="3"/>
  <c r="M350" i="3" s="1"/>
  <c r="L376" i="3"/>
  <c r="M376" i="3" s="1"/>
  <c r="L120" i="3"/>
  <c r="M120" i="3" s="1"/>
  <c r="L97" i="3"/>
  <c r="M97" i="3" s="1"/>
  <c r="L173" i="3"/>
  <c r="M173" i="3" s="1"/>
  <c r="N378" i="3"/>
  <c r="O378" i="3"/>
  <c r="L105" i="3"/>
  <c r="M105" i="3" s="1"/>
  <c r="L73" i="3"/>
  <c r="M73" i="3" s="1"/>
  <c r="N78" i="3"/>
  <c r="O78" i="3"/>
  <c r="O328" i="3"/>
  <c r="N328" i="3"/>
  <c r="N245" i="3"/>
  <c r="O296" i="3"/>
  <c r="N296" i="3"/>
  <c r="L58" i="3"/>
  <c r="M58" i="3" s="1"/>
  <c r="L280" i="3"/>
  <c r="M280" i="3" s="1"/>
  <c r="L191" i="3"/>
  <c r="M191" i="3" s="1"/>
  <c r="L249" i="3"/>
  <c r="M249" i="3" s="1"/>
  <c r="L279" i="3"/>
  <c r="M279" i="3" s="1"/>
  <c r="L281" i="3"/>
  <c r="M281" i="3" s="1"/>
  <c r="N115" i="3"/>
  <c r="O115" i="3"/>
  <c r="N226" i="3"/>
  <c r="O226" i="3"/>
  <c r="L369" i="3"/>
  <c r="M369" i="3" s="1"/>
  <c r="L261" i="3"/>
  <c r="M261" i="3" s="1"/>
  <c r="M160" i="3"/>
  <c r="N95" i="3"/>
  <c r="N139" i="3"/>
  <c r="O139" i="3"/>
  <c r="L349" i="3"/>
  <c r="M349" i="3" s="1"/>
  <c r="M344" i="3"/>
  <c r="N216" i="3"/>
  <c r="O216" i="3"/>
  <c r="L146" i="3"/>
  <c r="M146" i="3" s="1"/>
  <c r="N330" i="3"/>
  <c r="O330" i="3"/>
  <c r="L273" i="3"/>
  <c r="M273" i="3" s="1"/>
  <c r="L59" i="3"/>
  <c r="M59" i="3" s="1"/>
  <c r="L197" i="3"/>
  <c r="M197" i="3" s="1"/>
  <c r="M352" i="3"/>
  <c r="L230" i="3"/>
  <c r="M230" i="3" s="1"/>
  <c r="L336" i="3"/>
  <c r="M336" i="3" s="1"/>
  <c r="E25" i="2"/>
  <c r="F29" i="2"/>
  <c r="B19" i="2"/>
  <c r="G28" i="2"/>
  <c r="D20" i="2"/>
  <c r="O332" i="3" l="1"/>
  <c r="L31" i="2"/>
  <c r="E35" i="2"/>
  <c r="I35" i="2" s="1"/>
  <c r="N289" i="3"/>
  <c r="F33" i="2"/>
  <c r="J33" i="2" s="1"/>
  <c r="F32" i="2"/>
  <c r="J32" i="2" s="1"/>
  <c r="F39" i="2"/>
  <c r="J39" i="2" s="1"/>
  <c r="F31" i="2"/>
  <c r="F34" i="2"/>
  <c r="F30" i="2"/>
  <c r="J30" i="2" s="1"/>
  <c r="F37" i="2"/>
  <c r="J37" i="2" s="1"/>
  <c r="F35" i="2"/>
  <c r="F38" i="2"/>
  <c r="J38" i="2" s="1"/>
  <c r="F36" i="2"/>
  <c r="J36" i="2" s="1"/>
  <c r="L37" i="2"/>
  <c r="N284" i="3"/>
  <c r="L30" i="2"/>
  <c r="N308" i="3"/>
  <c r="L33" i="2"/>
  <c r="E30" i="2"/>
  <c r="O214" i="3"/>
  <c r="G34" i="2"/>
  <c r="L34" i="2" s="1"/>
  <c r="E33" i="2"/>
  <c r="I34" i="2"/>
  <c r="G39" i="2"/>
  <c r="E36" i="2"/>
  <c r="H29" i="2"/>
  <c r="K29" i="2" s="1"/>
  <c r="H34" i="2"/>
  <c r="K34" i="2" s="1"/>
  <c r="H30" i="2"/>
  <c r="K30" i="2" s="1"/>
  <c r="H35" i="2"/>
  <c r="K35" i="2" s="1"/>
  <c r="H39" i="2"/>
  <c r="K39" i="2" s="1"/>
  <c r="H32" i="2"/>
  <c r="K32" i="2" s="1"/>
  <c r="H33" i="2"/>
  <c r="K33" i="2" s="1"/>
  <c r="H36" i="2"/>
  <c r="K36" i="2" s="1"/>
  <c r="H38" i="2"/>
  <c r="K38" i="2" s="1"/>
  <c r="H37" i="2"/>
  <c r="K37" i="2" s="1"/>
  <c r="H31" i="2"/>
  <c r="K31" i="2" s="1"/>
  <c r="O224" i="3"/>
  <c r="E39" i="2"/>
  <c r="E31" i="2"/>
  <c r="I31" i="2" s="1"/>
  <c r="O211" i="3"/>
  <c r="N211" i="3"/>
  <c r="N333" i="3"/>
  <c r="N264" i="3"/>
  <c r="O242" i="3"/>
  <c r="O142" i="3"/>
  <c r="O55" i="3"/>
  <c r="N326" i="3"/>
  <c r="O237" i="3"/>
  <c r="O371" i="3"/>
  <c r="O387" i="3"/>
  <c r="O337" i="3"/>
  <c r="O295" i="3"/>
  <c r="O379" i="3"/>
  <c r="O82" i="3"/>
  <c r="O257" i="3"/>
  <c r="O107" i="3"/>
  <c r="N228" i="3"/>
  <c r="O228" i="3"/>
  <c r="N268" i="3"/>
  <c r="O268" i="3"/>
  <c r="N251" i="3"/>
  <c r="N43" i="3"/>
  <c r="N171" i="3"/>
  <c r="O393" i="3"/>
  <c r="O373" i="3"/>
  <c r="O112" i="3"/>
  <c r="O184" i="3"/>
  <c r="O340" i="3"/>
  <c r="O205" i="3"/>
  <c r="O122" i="3"/>
  <c r="O83" i="3"/>
  <c r="O229" i="3"/>
  <c r="O149" i="3"/>
  <c r="N302" i="3"/>
  <c r="O302" i="3"/>
  <c r="O51" i="3"/>
  <c r="O263" i="3"/>
  <c r="N181" i="3"/>
  <c r="O356" i="3"/>
  <c r="O384" i="3"/>
  <c r="O363" i="3"/>
  <c r="O116" i="3"/>
  <c r="N390" i="3"/>
  <c r="O362" i="3"/>
  <c r="O111" i="3"/>
  <c r="O69" i="3"/>
  <c r="N366" i="3"/>
  <c r="N157" i="3"/>
  <c r="O110" i="3"/>
  <c r="N65" i="3"/>
  <c r="O345" i="3"/>
  <c r="O353" i="3"/>
  <c r="O287" i="3"/>
  <c r="O298" i="3"/>
  <c r="O265" i="3"/>
  <c r="O185" i="3"/>
  <c r="O210" i="3"/>
  <c r="O188" i="3"/>
  <c r="E26" i="2"/>
  <c r="E27" i="2"/>
  <c r="E29" i="2"/>
  <c r="O209" i="3"/>
  <c r="N96" i="3"/>
  <c r="O301" i="3"/>
  <c r="N335" i="3"/>
  <c r="O127" i="3"/>
  <c r="O109" i="3"/>
  <c r="N314" i="3"/>
  <c r="O67" i="3"/>
  <c r="O276" i="3"/>
  <c r="N351" i="3"/>
  <c r="O293" i="3"/>
  <c r="O225" i="3"/>
  <c r="O79" i="3"/>
  <c r="O297" i="3"/>
  <c r="O248" i="3"/>
  <c r="N117" i="3"/>
  <c r="N151" i="3"/>
  <c r="O151" i="3"/>
  <c r="O158" i="3"/>
  <c r="N158" i="3"/>
  <c r="N358" i="3"/>
  <c r="O358" i="3"/>
  <c r="N294" i="3"/>
  <c r="N123" i="3"/>
  <c r="N196" i="3"/>
  <c r="O324" i="3"/>
  <c r="O231" i="3"/>
  <c r="O204" i="3"/>
  <c r="N239" i="3"/>
  <c r="N383" i="3"/>
  <c r="N86" i="3"/>
  <c r="O341" i="3"/>
  <c r="N282" i="3"/>
  <c r="N304" i="3"/>
  <c r="N179" i="3"/>
  <c r="O256" i="3"/>
  <c r="O202" i="3"/>
  <c r="O163" i="3"/>
  <c r="N240" i="3"/>
  <c r="O321" i="3"/>
  <c r="G25" i="2"/>
  <c r="G29" i="2"/>
  <c r="L29" i="2" s="1"/>
  <c r="N64" i="3"/>
  <c r="O46" i="3"/>
  <c r="O87" i="3"/>
  <c r="O42" i="3"/>
  <c r="O90" i="3"/>
  <c r="O45" i="3"/>
  <c r="N53" i="3"/>
  <c r="N70" i="3"/>
  <c r="O167" i="3"/>
  <c r="N167" i="3"/>
  <c r="N52" i="3"/>
  <c r="N359" i="3"/>
  <c r="N299" i="3"/>
  <c r="O272" i="3"/>
  <c r="N194" i="3"/>
  <c r="N175" i="3"/>
  <c r="O220" i="3"/>
  <c r="N100" i="3"/>
  <c r="N323" i="3"/>
  <c r="N162" i="3"/>
  <c r="N278" i="3"/>
  <c r="O381" i="3"/>
  <c r="O312" i="3"/>
  <c r="O342" i="3"/>
  <c r="N254" i="3"/>
  <c r="N94" i="3"/>
  <c r="N309" i="3"/>
  <c r="N133" i="3"/>
  <c r="O150" i="3"/>
  <c r="O269" i="3"/>
  <c r="O183" i="3"/>
  <c r="O310" i="3"/>
  <c r="O125" i="3"/>
  <c r="N346" i="3"/>
  <c r="O62" i="3"/>
  <c r="O47" i="3"/>
  <c r="N124" i="3"/>
  <c r="O156" i="3"/>
  <c r="O131" i="3"/>
  <c r="O88" i="3"/>
  <c r="N132" i="3"/>
  <c r="O186" i="3"/>
  <c r="N253" i="3"/>
  <c r="O253" i="3"/>
  <c r="N147" i="3"/>
  <c r="O147" i="3"/>
  <c r="O334" i="3"/>
  <c r="N334" i="3"/>
  <c r="O195" i="3"/>
  <c r="N195" i="3"/>
  <c r="N285" i="3"/>
  <c r="O285" i="3"/>
  <c r="N72" i="3"/>
  <c r="O72" i="3"/>
  <c r="O180" i="3"/>
  <c r="N114" i="3"/>
  <c r="N177" i="3"/>
  <c r="N54" i="3"/>
  <c r="N348" i="3"/>
  <c r="N134" i="3"/>
  <c r="O154" i="3"/>
  <c r="N322" i="3"/>
  <c r="N360" i="3"/>
  <c r="O63" i="3"/>
  <c r="O92" i="3"/>
  <c r="O102" i="3"/>
  <c r="O389" i="3"/>
  <c r="N189" i="3"/>
  <c r="N267" i="3"/>
  <c r="N227" i="3"/>
  <c r="O250" i="3"/>
  <c r="N338" i="3"/>
  <c r="O35" i="3"/>
  <c r="O266" i="3"/>
  <c r="O221" i="3"/>
  <c r="O141" i="3"/>
  <c r="O104" i="3"/>
  <c r="N48" i="3"/>
  <c r="O38" i="3"/>
  <c r="O300" i="3"/>
  <c r="N207" i="3"/>
  <c r="N259" i="3"/>
  <c r="N137" i="3"/>
  <c r="O137" i="3"/>
  <c r="O198" i="3"/>
  <c r="N198" i="3"/>
  <c r="O234" i="3"/>
  <c r="N234" i="3"/>
  <c r="N172" i="3"/>
  <c r="O172" i="3"/>
  <c r="O215" i="3"/>
  <c r="N215" i="3"/>
  <c r="O108" i="3"/>
  <c r="N108" i="3"/>
  <c r="N143" i="3"/>
  <c r="O143" i="3"/>
  <c r="O56" i="3"/>
  <c r="O119" i="3"/>
  <c r="N270" i="3"/>
  <c r="N286" i="3"/>
  <c r="O364" i="3"/>
  <c r="N386" i="3"/>
  <c r="O388" i="3"/>
  <c r="O159" i="3"/>
  <c r="N271" i="3"/>
  <c r="N247" i="3"/>
  <c r="O247" i="3"/>
  <c r="O361" i="3"/>
  <c r="N327" i="3"/>
  <c r="O80" i="3"/>
  <c r="O135" i="3"/>
  <c r="O244" i="3"/>
  <c r="N316" i="3"/>
  <c r="O57" i="3"/>
  <c r="N75" i="3"/>
  <c r="O61" i="3"/>
  <c r="N305" i="3"/>
  <c r="O232" i="3"/>
  <c r="O260" i="3"/>
  <c r="O34" i="3"/>
  <c r="N34" i="3"/>
  <c r="N44" i="3"/>
  <c r="O85" i="3"/>
  <c r="O37" i="3"/>
  <c r="N36" i="3"/>
  <c r="N60" i="3"/>
  <c r="O60" i="3"/>
  <c r="O77" i="3"/>
  <c r="O41" i="3"/>
  <c r="O49" i="3"/>
  <c r="O76" i="3"/>
  <c r="O40" i="3"/>
  <c r="O292" i="3"/>
  <c r="N292" i="3"/>
  <c r="O290" i="3"/>
  <c r="N290" i="3"/>
  <c r="N382" i="3"/>
  <c r="O382" i="3"/>
  <c r="O291" i="3"/>
  <c r="N291" i="3"/>
  <c r="O136" i="3"/>
  <c r="N136" i="3"/>
  <c r="O218" i="3"/>
  <c r="N212" i="3"/>
  <c r="O319" i="3"/>
  <c r="N319" i="3"/>
  <c r="N283" i="3"/>
  <c r="O176" i="3"/>
  <c r="O71" i="3"/>
  <c r="O277" i="3"/>
  <c r="O190" i="3"/>
  <c r="N182" i="3"/>
  <c r="O385" i="3"/>
  <c r="O50" i="3"/>
  <c r="O161" i="3"/>
  <c r="O318" i="3"/>
  <c r="O192" i="3"/>
  <c r="N243" i="3"/>
  <c r="N368" i="3"/>
  <c r="O368" i="3"/>
  <c r="N280" i="3"/>
  <c r="O280" i="3"/>
  <c r="N349" i="3"/>
  <c r="O349" i="3"/>
  <c r="N336" i="3"/>
  <c r="O336" i="3"/>
  <c r="N59" i="3"/>
  <c r="O59" i="3"/>
  <c r="O279" i="3"/>
  <c r="N279" i="3"/>
  <c r="O273" i="3"/>
  <c r="N273" i="3"/>
  <c r="N81" i="3"/>
  <c r="O81" i="3"/>
  <c r="N230" i="3"/>
  <c r="O230" i="3"/>
  <c r="O191" i="3"/>
  <c r="N191" i="3"/>
  <c r="O255" i="3"/>
  <c r="N255" i="3"/>
  <c r="N145" i="3"/>
  <c r="O145" i="3"/>
  <c r="N120" i="3"/>
  <c r="O120" i="3"/>
  <c r="O303" i="3"/>
  <c r="N303" i="3"/>
  <c r="N138" i="3"/>
  <c r="O138" i="3"/>
  <c r="N146" i="3"/>
  <c r="O146" i="3"/>
  <c r="N144" i="3"/>
  <c r="O144" i="3"/>
  <c r="O199" i="3"/>
  <c r="N199" i="3"/>
  <c r="N391" i="3"/>
  <c r="O391" i="3"/>
  <c r="N377" i="3"/>
  <c r="O377" i="3"/>
  <c r="N73" i="3"/>
  <c r="O73" i="3"/>
  <c r="N74" i="3"/>
  <c r="O74" i="3"/>
  <c r="O33" i="3"/>
  <c r="N33" i="3"/>
  <c r="N166" i="3"/>
  <c r="O166" i="3"/>
  <c r="N173" i="3"/>
  <c r="O173" i="3"/>
  <c r="N372" i="3"/>
  <c r="O372" i="3"/>
  <c r="N213" i="3"/>
  <c r="O213" i="3"/>
  <c r="N320" i="3"/>
  <c r="O320" i="3"/>
  <c r="O193" i="3"/>
  <c r="N193" i="3"/>
  <c r="N354" i="3"/>
  <c r="O354" i="3"/>
  <c r="O217" i="3"/>
  <c r="N217" i="3"/>
  <c r="N241" i="3"/>
  <c r="O241" i="3"/>
  <c r="N274" i="3"/>
  <c r="O274" i="3"/>
  <c r="O160" i="3"/>
  <c r="N160" i="3"/>
  <c r="N281" i="3"/>
  <c r="O281" i="3"/>
  <c r="N313" i="3"/>
  <c r="O313" i="3"/>
  <c r="N317" i="3"/>
  <c r="O317" i="3"/>
  <c r="N170" i="3"/>
  <c r="O170" i="3"/>
  <c r="N246" i="3"/>
  <c r="O246" i="3"/>
  <c r="N197" i="3"/>
  <c r="O197" i="3"/>
  <c r="N325" i="3"/>
  <c r="O325" i="3"/>
  <c r="N84" i="3"/>
  <c r="O84" i="3"/>
  <c r="N93" i="3"/>
  <c r="O93" i="3"/>
  <c r="N118" i="3"/>
  <c r="O118" i="3"/>
  <c r="N165" i="3"/>
  <c r="O165" i="3"/>
  <c r="N261" i="3"/>
  <c r="O261" i="3"/>
  <c r="N58" i="3"/>
  <c r="O58" i="3"/>
  <c r="N68" i="3"/>
  <c r="O68" i="3"/>
  <c r="N288" i="3"/>
  <c r="O288" i="3"/>
  <c r="N89" i="3"/>
  <c r="O89" i="3"/>
  <c r="N128" i="3"/>
  <c r="O128" i="3"/>
  <c r="O219" i="3"/>
  <c r="N219" i="3"/>
  <c r="N164" i="3"/>
  <c r="O164" i="3"/>
  <c r="N370" i="3"/>
  <c r="O370" i="3"/>
  <c r="N306" i="3"/>
  <c r="O306" i="3"/>
  <c r="N105" i="3"/>
  <c r="O105" i="3"/>
  <c r="O233" i="3"/>
  <c r="N233" i="3"/>
  <c r="N153" i="3"/>
  <c r="O153" i="3"/>
  <c r="N376" i="3"/>
  <c r="O376" i="3"/>
  <c r="N206" i="3"/>
  <c r="O206" i="3"/>
  <c r="N375" i="3"/>
  <c r="O375" i="3"/>
  <c r="N98" i="3"/>
  <c r="O98" i="3"/>
  <c r="N350" i="3"/>
  <c r="O350" i="3"/>
  <c r="N113" i="3"/>
  <c r="O113" i="3"/>
  <c r="O249" i="3"/>
  <c r="N249" i="3"/>
  <c r="O369" i="3"/>
  <c r="N369" i="3"/>
  <c r="N174" i="3"/>
  <c r="O174" i="3"/>
  <c r="N99" i="3"/>
  <c r="O99" i="3"/>
  <c r="N121" i="3"/>
  <c r="O121" i="3"/>
  <c r="N169" i="3"/>
  <c r="O169" i="3"/>
  <c r="N222" i="3"/>
  <c r="O222" i="3"/>
  <c r="N91" i="3"/>
  <c r="O91" i="3"/>
  <c r="O200" i="3"/>
  <c r="N200" i="3"/>
  <c r="N97" i="3"/>
  <c r="O97" i="3"/>
  <c r="N344" i="3"/>
  <c r="O344" i="3"/>
  <c r="N262" i="3"/>
  <c r="O262" i="3"/>
  <c r="N329" i="3"/>
  <c r="O329" i="3"/>
  <c r="N129" i="3"/>
  <c r="O129" i="3"/>
  <c r="N352" i="3"/>
  <c r="O352" i="3"/>
  <c r="N178" i="3"/>
  <c r="O178" i="3"/>
  <c r="N252" i="3"/>
  <c r="O252" i="3"/>
  <c r="N208" i="3"/>
  <c r="O208" i="3"/>
  <c r="N130" i="3"/>
  <c r="O130" i="3"/>
  <c r="N106" i="3"/>
  <c r="O106" i="3"/>
  <c r="N168" i="3"/>
  <c r="O168" i="3"/>
  <c r="F28" i="2"/>
  <c r="J28" i="2" s="1"/>
  <c r="F25" i="2"/>
  <c r="F27" i="2"/>
  <c r="F26" i="2"/>
  <c r="H25" i="2"/>
  <c r="K25" i="2" s="1"/>
  <c r="H26" i="2"/>
  <c r="K26" i="2" s="1"/>
  <c r="H27" i="2"/>
  <c r="K27" i="2" s="1"/>
  <c r="H28" i="2"/>
  <c r="K28" i="2" s="1"/>
  <c r="G27" i="2"/>
  <c r="G26" i="2"/>
  <c r="I39" i="2" l="1"/>
  <c r="L32" i="2"/>
  <c r="I36" i="2"/>
  <c r="L39" i="2"/>
  <c r="I33" i="2"/>
  <c r="J35" i="2"/>
  <c r="L38" i="2"/>
  <c r="I38" i="2"/>
  <c r="I32" i="2"/>
  <c r="L36" i="2"/>
  <c r="J34" i="2"/>
  <c r="L35" i="2"/>
  <c r="I30" i="2"/>
  <c r="J31" i="2"/>
  <c r="I37" i="2"/>
  <c r="J25" i="2"/>
  <c r="L27" i="2"/>
  <c r="I29" i="2"/>
  <c r="L26" i="2"/>
  <c r="I25" i="2"/>
  <c r="J29" i="2"/>
  <c r="I27" i="2"/>
  <c r="L28" i="2"/>
  <c r="I26" i="2"/>
  <c r="I28" i="2"/>
  <c r="J26" i="2"/>
  <c r="L25" i="2"/>
  <c r="J2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gustavo</author>
  </authors>
  <commentList>
    <comment ref="B10" authorId="0" shapeId="0" xr:uid="{00000000-0006-0000-0000-000001000000}">
      <text>
        <r>
          <rPr>
            <sz val="9"/>
            <color indexed="81"/>
            <rFont val="Tahoma"/>
            <family val="2"/>
          </rPr>
          <t>Copyright (c) 2019, Airbus Defence and Space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Airbus Defence and Space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AIRBUS DEFENCE AND SPACE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gustavo</author>
  </authors>
  <commentList>
    <comment ref="A12" authorId="0" shapeId="0" xr:uid="{00000000-0006-0000-0200-000001000000}">
      <text>
        <r>
          <rPr>
            <sz val="9"/>
            <color indexed="81"/>
            <rFont val="Tahoma"/>
            <family val="2"/>
          </rPr>
          <t xml:space="preserve">Use an allowable tension strain value corrected with data from plain tension strength tests on multiangular laminates, instead of </t>
        </r>
        <r>
          <rPr>
            <sz val="9"/>
            <color indexed="81"/>
            <rFont val="Arial"/>
            <family val="2"/>
          </rPr>
          <t>ε</t>
        </r>
        <r>
          <rPr>
            <sz val="9"/>
            <color indexed="81"/>
            <rFont val="Tahoma"/>
            <family val="2"/>
          </rPr>
          <t>1t=F1t/E1 (which might not be conservative)</t>
        </r>
      </text>
    </comment>
    <comment ref="C12" authorId="0" shapeId="0" xr:uid="{00000000-0006-0000-0200-000002000000}">
      <text>
        <r>
          <rPr>
            <sz val="9"/>
            <color indexed="81"/>
            <rFont val="Tahoma"/>
            <family val="2"/>
          </rPr>
          <t>For bi-axial fabrics (E1=E2) use directly 0.3 instead of the Poisson's ratio of the material (i.e. treat the ply as a cross-ply 0/90 sublaminate of UD tape)</t>
        </r>
      </text>
    </comment>
  </commentList>
</comments>
</file>

<file path=xl/sharedStrings.xml><?xml version="1.0" encoding="utf-8"?>
<sst xmlns="http://schemas.openxmlformats.org/spreadsheetml/2006/main" count="189" uniqueCount="179">
  <si>
    <t>TOOL-NAME</t>
  </si>
  <si>
    <t>VERSION</t>
  </si>
  <si>
    <t>PURPOSE</t>
  </si>
  <si>
    <t>METHOD</t>
  </si>
  <si>
    <t>UTILIZATION</t>
  </si>
  <si>
    <t>DEVELOPED IN</t>
  </si>
  <si>
    <t>MS Excel 2010</t>
  </si>
  <si>
    <t>DEPENDENCIES</t>
  </si>
  <si>
    <t>RECORD OF REVISIONS</t>
  </si>
  <si>
    <t>Model version control</t>
  </si>
  <si>
    <t>Version</t>
  </si>
  <si>
    <t>Date</t>
  </si>
  <si>
    <t>Author</t>
  </si>
  <si>
    <t>Description of changes</t>
  </si>
  <si>
    <t>1.0</t>
  </si>
  <si>
    <t>First version</t>
  </si>
  <si>
    <t>Data version control</t>
  </si>
  <si>
    <t>Title</t>
  </si>
  <si>
    <t>Created by</t>
  </si>
  <si>
    <t>Description</t>
  </si>
  <si>
    <t>ANCOsheet</t>
  </si>
  <si>
    <t>COPYRIGHT</t>
  </si>
  <si>
    <t>LICENSE</t>
  </si>
  <si>
    <t>Distribution and use of this software is permitted under the terms of the BSD License 2.0</t>
  </si>
  <si>
    <t>E-mail</t>
  </si>
  <si>
    <t>gustavo.banos@airbus.com</t>
  </si>
  <si>
    <t>G. Baños (TEASP-TL3)</t>
  </si>
  <si>
    <t>24/10/2017</t>
  </si>
  <si>
    <t>Airbus Defence and Space - All Rights Reserved
Written by the Stress Methods and Optimization department (TEASP-TL3)</t>
  </si>
  <si>
    <t>Analysis of conventional composite laminates in in-plane loads</t>
  </si>
  <si>
    <t>Elastic moduli of the lamina</t>
  </si>
  <si>
    <t>s=c=sin(45)
=cos(45)</t>
  </si>
  <si>
    <t>s^4=c^4
=s^2·c^2</t>
  </si>
  <si>
    <t>Q0 =</t>
  </si>
  <si>
    <t>Q90 =</t>
  </si>
  <si>
    <t xml:space="preserve">Q45 = </t>
  </si>
  <si>
    <t>Style</t>
  </si>
  <si>
    <t>W0º</t>
  </si>
  <si>
    <t>W45º</t>
  </si>
  <si>
    <t>W90º</t>
  </si>
  <si>
    <t>Q11</t>
  </si>
  <si>
    <t>Q22</t>
  </si>
  <si>
    <t>Q12</t>
  </si>
  <si>
    <t>Q66</t>
  </si>
  <si>
    <t>Soft</t>
  </si>
  <si>
    <t>QI</t>
  </si>
  <si>
    <t>Hard1</t>
  </si>
  <si>
    <t>Hard2</t>
  </si>
  <si>
    <t>Allowable strains and Poisson's ratio of the ply</t>
  </si>
  <si>
    <t>Case</t>
  </si>
  <si>
    <t>Nx</t>
  </si>
  <si>
    <t>Ny</t>
  </si>
  <si>
    <t>Nxy</t>
  </si>
  <si>
    <r>
      <t>ε</t>
    </r>
    <r>
      <rPr>
        <vertAlign val="subscript"/>
        <sz val="10"/>
        <color theme="1"/>
        <rFont val="Arial"/>
        <family val="2"/>
      </rPr>
      <t>x</t>
    </r>
  </si>
  <si>
    <r>
      <t>ε</t>
    </r>
    <r>
      <rPr>
        <vertAlign val="subscript"/>
        <sz val="10"/>
        <color theme="1"/>
        <rFont val="Arial"/>
        <family val="2"/>
      </rPr>
      <t>y</t>
    </r>
  </si>
  <si>
    <r>
      <t>γ</t>
    </r>
    <r>
      <rPr>
        <vertAlign val="subscript"/>
        <sz val="10"/>
        <color theme="1"/>
        <rFont val="Arial"/>
        <family val="2"/>
      </rPr>
      <t>xy</t>
    </r>
  </si>
  <si>
    <t>t</t>
  </si>
  <si>
    <t>Thickness and elastic moduli of the laminate</t>
  </si>
  <si>
    <r>
      <t>ε</t>
    </r>
    <r>
      <rPr>
        <vertAlign val="subscript"/>
        <sz val="10"/>
        <color theme="1"/>
        <rFont val="Arial"/>
        <family val="2"/>
      </rPr>
      <t>45</t>
    </r>
  </si>
  <si>
    <r>
      <t>ε</t>
    </r>
    <r>
      <rPr>
        <vertAlign val="subscript"/>
        <sz val="10"/>
        <color theme="1"/>
        <rFont val="Arial"/>
        <family val="2"/>
      </rPr>
      <t>-45</t>
    </r>
  </si>
  <si>
    <r>
      <t>γ</t>
    </r>
    <r>
      <rPr>
        <vertAlign val="subscript"/>
        <sz val="10"/>
        <color theme="1"/>
        <rFont val="Arial"/>
        <family val="2"/>
      </rPr>
      <t>45</t>
    </r>
  </si>
  <si>
    <t>LC1</t>
  </si>
  <si>
    <t>LC2</t>
  </si>
  <si>
    <t>LC3</t>
  </si>
  <si>
    <t>Strain in plies at 0º/90º</t>
  </si>
  <si>
    <t>Strain in plies at 45º/-45º</t>
  </si>
  <si>
    <r>
      <t>RF</t>
    </r>
    <r>
      <rPr>
        <vertAlign val="subscript"/>
        <sz val="10"/>
        <color theme="1"/>
        <rFont val="Arial"/>
        <family val="2"/>
      </rPr>
      <t>0º/90º</t>
    </r>
  </si>
  <si>
    <r>
      <t>RF</t>
    </r>
    <r>
      <rPr>
        <vertAlign val="subscript"/>
        <sz val="10"/>
        <color theme="1"/>
        <rFont val="Arial"/>
        <family val="2"/>
      </rPr>
      <t>45º/-45º</t>
    </r>
  </si>
  <si>
    <t>Maximum Truncated Strain criterion</t>
  </si>
  <si>
    <t>RF</t>
  </si>
  <si>
    <t>Off-axis angle</t>
  </si>
  <si>
    <r>
      <t>σ</t>
    </r>
    <r>
      <rPr>
        <vertAlign val="subscript"/>
        <sz val="10"/>
        <color theme="1"/>
        <rFont val="Arial"/>
        <family val="2"/>
      </rPr>
      <t>x-all</t>
    </r>
    <r>
      <rPr>
        <sz val="10"/>
        <color theme="1"/>
        <rFont val="Arial"/>
        <family val="2"/>
      </rPr>
      <t>=RF·Nx/t</t>
    </r>
  </si>
  <si>
    <r>
      <t>σ</t>
    </r>
    <r>
      <rPr>
        <vertAlign val="subscript"/>
        <sz val="10"/>
        <color theme="1"/>
        <rFont val="Arial"/>
        <family val="2"/>
      </rPr>
      <t>y-all</t>
    </r>
    <r>
      <rPr>
        <sz val="10"/>
        <color theme="1"/>
        <rFont val="Arial"/>
        <family val="2"/>
      </rPr>
      <t>=RF·Ny/t</t>
    </r>
  </si>
  <si>
    <t>LC4</t>
  </si>
  <si>
    <t>LC5</t>
  </si>
  <si>
    <t>LC6</t>
  </si>
  <si>
    <t>LC7</t>
  </si>
  <si>
    <t>LC8</t>
  </si>
  <si>
    <t>LC9</t>
  </si>
  <si>
    <t>LC10</t>
  </si>
  <si>
    <t>ELASTIC MODULI OF THE LAMINATE FROM LAMINA PROPERTIES AND PLIES WEIGHTS AT 0º, ±45º, 90º DIRECTIONS</t>
  </si>
  <si>
    <t>Elastic moduli of the laminate defined by plies relative weights at 0º, ±45º, 90º directions</t>
  </si>
  <si>
    <t>STRENGTH OF THE LAMINATE IN IN-PLANE LOADS (MAX. TRUNCATED STRAIN CRITERION)</t>
  </si>
  <si>
    <r>
      <t xml:space="preserve">Auxiliary data to plot the failure envelope in the stress plane... Notice </t>
    </r>
    <r>
      <rPr>
        <b/>
        <u/>
        <sz val="10"/>
        <color theme="1"/>
        <rFont val="Arial"/>
        <family val="2"/>
      </rPr>
      <t>σ</t>
    </r>
    <r>
      <rPr>
        <b/>
        <i/>
        <u/>
        <vertAlign val="subscript"/>
        <sz val="10"/>
        <color theme="1"/>
        <rFont val="Arial"/>
        <family val="2"/>
      </rPr>
      <t>x</t>
    </r>
    <r>
      <rPr>
        <b/>
        <i/>
        <u/>
        <sz val="10"/>
        <color theme="1"/>
        <rFont val="Arial"/>
        <family val="2"/>
      </rPr>
      <t xml:space="preserve"> and σ</t>
    </r>
    <r>
      <rPr>
        <b/>
        <i/>
        <u/>
        <vertAlign val="subscript"/>
        <sz val="10"/>
        <color theme="1"/>
        <rFont val="Arial"/>
        <family val="2"/>
      </rPr>
      <t>y</t>
    </r>
    <r>
      <rPr>
        <b/>
        <i/>
        <u/>
        <sz val="10"/>
        <color theme="1"/>
        <rFont val="Arial"/>
        <family val="2"/>
      </rPr>
      <t xml:space="preserve"> are apparent/mean stresses within the laminate (not ply stresses).</t>
    </r>
  </si>
  <si>
    <t>Stiffness matrix of the lamina at directions 0º, 90º and at 45º (last one at +45/-45 indeed)</t>
  </si>
  <si>
    <t>Classical Laminate Theory per R. M. Jones' "MECHANICS OF COMPOSITE MATERIALS"</t>
  </si>
  <si>
    <t>References</t>
  </si>
  <si>
    <t>TAE-T-MM-160016 Is. A "GUÍA PARA LA REALIZACIÓN DE HOJAS DE CÁLCULO CON MICROSOFT EXCEL"</t>
  </si>
  <si>
    <t>Developer's remarks</t>
  </si>
  <si>
    <t>This MS Excel book has been developed according to rules and recommendations of report TAE-T-MM-160016.</t>
  </si>
  <si>
    <t>Please report any issue found using this spreadsheet to any member of Stress Methods and Optimization team</t>
  </si>
  <si>
    <t>(inlcuding the author of the "Model" pointed in the "cover" sheet).</t>
  </si>
  <si>
    <t>Theoretical manual of ANCOsheet</t>
  </si>
  <si>
    <t>"MECHANICS OF COMPOSITE MATERIALS", 2nd Edition, by R. M. Jones</t>
  </si>
  <si>
    <t>Description of analysis method</t>
  </si>
  <si>
    <t>Q66 = G12</t>
  </si>
  <si>
    <t>Acronyms, symbols and definitions</t>
  </si>
  <si>
    <t>E1, E2, G12, ν12 : Elastic moduli and Poisson's ratio of the orthotropic lamina</t>
  </si>
  <si>
    <t>t : Thickness of the composite laminate</t>
  </si>
  <si>
    <t>Ex, Ey, Gxy, νxy : Elastic moduli and Poisson's ratio of the composite laminate</t>
  </si>
  <si>
    <t>[Q] : Reduced stiffness matrix for plane stress (Qij the scalar terms of that matrix)</t>
  </si>
  <si>
    <t>ν12 = Q12 / Q22</t>
  </si>
  <si>
    <t>ν12 / E1 = ν21 / E2</t>
  </si>
  <si>
    <t>Q11 = E1 / (1 - ν12·ν21)</t>
  </si>
  <si>
    <t>Q22 = E2 / (1 - ν12·ν21)</t>
  </si>
  <si>
    <t>Q12 = ν12·E2 / (1 - ν12·ν21) = ν21·E1 / (1 - ν12·ν21)</t>
  </si>
  <si>
    <t>(1 - ν12 ν21) = Q12^2 / (Q11·Q22)</t>
  </si>
  <si>
    <t>E1 = Q12^2 / Q22</t>
  </si>
  <si>
    <t>E2 = Q12^2 / Q11</t>
  </si>
  <si>
    <t>G12 = Q66</t>
  </si>
  <si>
    <t>From Jones' page 77, reduced stiffness for the plies-pairs at +45º/-45º...</t>
  </si>
  <si>
    <t>Plies at 90º have the same stiffness matrix as 0º plies but interchanging Q11 and Q22 terms</t>
  </si>
  <si>
    <t>W0, W45, W90 : relative weights (percentages) of plies at each direction in the laminate</t>
  </si>
  <si>
    <t>Q'16 = Q'26 = 0 (provided +45º and -45º plies come in pairs)</t>
  </si>
  <si>
    <t>Then the reduced stiffness matrix for the laminate can be obtained weighting previous matrices by the respective weights</t>
  </si>
  <si>
    <t>within the laminate of the plies at 0º, ±45º and 90º directions.</t>
  </si>
  <si>
    <t>Finally, the apparent elastic moduli of the laminate is derived form the resulting [Q] (equal to [A]/t) using expressions above</t>
  </si>
  <si>
    <t xml:space="preserve">From Jones' page 72, relationships between reduced stiffness of the lamina (0º material direction) and the engineering </t>
  </si>
  <si>
    <t>constants (elastic moduli) are:</t>
  </si>
  <si>
    <t>(as Ei = f(Qij) ).</t>
  </si>
  <si>
    <t>1. Elastic moduli of the laminate</t>
  </si>
  <si>
    <t>2. Strength of the laminate</t>
  </si>
  <si>
    <t>CMH-17 "COMPOSITE MATERIALS HANDBOOK", Edition 2012, by the FAA/SAE</t>
  </si>
  <si>
    <t>The selected failure criterion for the laminate is the Maximum Truncated Strain criterion proposed by Hart-Smith and suggested</t>
  </si>
  <si>
    <t xml:space="preserve">by the CMH-17 Vol. 3 Chpt. 8. Its simplicity is consistent with the design of this spreadsheet. However, it is strongly </t>
  </si>
  <si>
    <t xml:space="preserve">recommended that the allowable strain values used for the analysis do not rely exclusively on the tests results for the </t>
  </si>
  <si>
    <t>uni-directional laminate.</t>
  </si>
  <si>
    <t>The mid-plane strain is obtained using the Classical Lamination Theory from the applied loads (in-plane forces per unit width)</t>
  </si>
  <si>
    <t>modifying slightly the known expression [N] = [A] · [ε] as :</t>
  </si>
  <si>
    <t>[σx, σy, τxy] = [Q] · [εx, εy, γxy]</t>
  </si>
  <si>
    <t>of εx, εy, γxy and the appropriate transformation equations (See Jones' 2.73).</t>
  </si>
  <si>
    <t>For plies at 0º/90º and for plies at +45º/-45º it must be checked that:</t>
  </si>
  <si>
    <t>ε1c &lt; ε1 &lt; ε1t</t>
  </si>
  <si>
    <t>ε1c &lt; ε2 &lt; ε1t</t>
  </si>
  <si>
    <t>|ε1 - ε2| &lt; (1+ν12)·max(ε1t, ε1c)</t>
  </si>
  <si>
    <t>IMA/M21E hard laminates</t>
  </si>
  <si>
    <t>Hard3</t>
  </si>
  <si>
    <t>"Composite Materials Design and Testing. Unlocking mystery with invariants", by S. W. Tsai and J. D. Melo</t>
  </si>
  <si>
    <r>
      <t>Dummy example for the Hexcel IMA/M21E pre-preg material with mechanical properties as per the datasheet shown on Hexcel website. Missing data are estimated using the "Trace" approach proposed by Tsai and Melo:
Tr = E1/0.88 ; E2 = Tr·0.0522 ; ν</t>
    </r>
    <r>
      <rPr>
        <sz val="9"/>
        <color rgb="FF3F3F76"/>
        <rFont val="Arial"/>
        <family val="2"/>
      </rPr>
      <t>12 = 0.32</t>
    </r>
  </si>
  <si>
    <t>Q'11 = Q'22 = 0.25 · [Q11 + 2·(Q12 + 2·Q66) + Q22 ]</t>
  </si>
  <si>
    <t>Q'12 = 0.25 · (Q11 + Q22 - 4·Q66) + 0.5 · Q12</t>
  </si>
  <si>
    <t>Q'66 = 0.25 · (Q11 + Q22 - 2·Q12 - 2·Q66) + 0.5 · Q66</t>
  </si>
  <si>
    <t>1.1</t>
  </si>
  <si>
    <t>22/12/2019</t>
  </si>
  <si>
    <t>G. Baños</t>
  </si>
  <si>
    <t>Minor formatting corrections and clarifications about material allowables in sheet "strength"</t>
  </si>
  <si>
    <r>
      <rPr>
        <sz val="11"/>
        <color theme="1"/>
        <rFont val="Calibri"/>
        <family val="2"/>
      </rPr>
      <t>ν</t>
    </r>
    <r>
      <rPr>
        <i/>
        <vertAlign val="subscript"/>
        <sz val="11"/>
        <color theme="1"/>
        <rFont val="Calibri"/>
        <family val="2"/>
        <scheme val="minor"/>
      </rPr>
      <t>12</t>
    </r>
  </si>
  <si>
    <t>In-plane loads (forces per unit width), strains and static margins</t>
  </si>
  <si>
    <t>Material allowable values to be use in expressions above:</t>
  </si>
  <si>
    <t xml:space="preserve">- Compression allowable strain ε1c obtained from the longitudinal compression test in the UD laminate as F1c/E1 </t>
  </si>
  <si>
    <r>
      <t>E</t>
    </r>
    <r>
      <rPr>
        <i/>
        <vertAlign val="subscript"/>
        <sz val="11"/>
        <color theme="1"/>
        <rFont val="Calibri"/>
        <family val="2"/>
        <scheme val="minor"/>
      </rPr>
      <t>1</t>
    </r>
  </si>
  <si>
    <r>
      <t>E</t>
    </r>
    <r>
      <rPr>
        <i/>
        <vertAlign val="subscript"/>
        <sz val="11"/>
        <color theme="1"/>
        <rFont val="Calibri"/>
        <family val="2"/>
        <scheme val="minor"/>
      </rPr>
      <t>2</t>
    </r>
  </si>
  <si>
    <r>
      <t>G</t>
    </r>
    <r>
      <rPr>
        <i/>
        <vertAlign val="subscript"/>
        <sz val="11"/>
        <color theme="1"/>
        <rFont val="Calibri"/>
        <family val="2"/>
        <scheme val="minor"/>
      </rPr>
      <t>12</t>
    </r>
  </si>
  <si>
    <r>
      <rPr>
        <sz val="11"/>
        <color theme="1"/>
        <rFont val="Calibri"/>
        <family val="2"/>
      </rPr>
      <t>ν</t>
    </r>
    <r>
      <rPr>
        <i/>
        <vertAlign val="subscript"/>
        <sz val="11"/>
        <color theme="1"/>
        <rFont val="Calibri"/>
        <family val="2"/>
        <scheme val="minor"/>
      </rPr>
      <t>21</t>
    </r>
  </si>
  <si>
    <r>
      <t>E</t>
    </r>
    <r>
      <rPr>
        <i/>
        <vertAlign val="subscript"/>
        <sz val="11"/>
        <color theme="1"/>
        <rFont val="Calibri"/>
        <family val="2"/>
        <scheme val="minor"/>
      </rPr>
      <t>x</t>
    </r>
  </si>
  <si>
    <r>
      <t>E</t>
    </r>
    <r>
      <rPr>
        <i/>
        <vertAlign val="subscript"/>
        <sz val="11"/>
        <color theme="1"/>
        <rFont val="Calibri"/>
        <family val="2"/>
        <scheme val="minor"/>
      </rPr>
      <t>y</t>
    </r>
  </si>
  <si>
    <r>
      <t>G</t>
    </r>
    <r>
      <rPr>
        <i/>
        <vertAlign val="subscript"/>
        <sz val="11"/>
        <color theme="1"/>
        <rFont val="Calibri"/>
        <family val="2"/>
        <scheme val="minor"/>
      </rPr>
      <t>xy</t>
    </r>
  </si>
  <si>
    <r>
      <rPr>
        <sz val="11"/>
        <color theme="1"/>
        <rFont val="Calibri"/>
        <family val="2"/>
      </rPr>
      <t>ν</t>
    </r>
    <r>
      <rPr>
        <i/>
        <vertAlign val="subscript"/>
        <sz val="11"/>
        <color theme="1"/>
        <rFont val="Calibri"/>
        <family val="2"/>
        <scheme val="minor"/>
      </rPr>
      <t>xy</t>
    </r>
  </si>
  <si>
    <t>Input data and results are found in "moduli" and "strength" sheets.
Input data must be filled in cells with yellow background color:
 - Sheet "moduli" &gt; elastic moduli of the ply and relative weights of laminate plies in 0º, 45º and 90º directions
 - Sheet "strength" &gt; elastic moduli of the laminate, allowable strains of the ply and in-plane loads Nx, Ny, Nxy 
Update also "Data version control" form below, in this sheet. Results (elastic moduli of the laminate, or strains and reserve factors) are automatically shown in the those sheets in blue background cells.
· Current provision for calculating the elastic moduli of 5+10 stacking styles in "moduli" sheet, and the static margin for 10 load cases on a laminate in "strength " sheet, can be easilly extended. However, only one material can be used in the "moduli" sheet, and only one laminate in the "strength" sheet.
· Warning: Laminate is expected to be built following the typical stacking rules (symmetric, balanced) with plies at 0º, ±45º and 90º orientations. Minimum 10% of plies per each of these directions shall be present.</t>
  </si>
  <si>
    <t>No other dependencies in addition to MS Excel software</t>
  </si>
  <si>
    <r>
      <t>ε</t>
    </r>
    <r>
      <rPr>
        <i/>
        <vertAlign val="subscript"/>
        <sz val="10"/>
        <color theme="1"/>
        <rFont val="Arial"/>
        <family val="2"/>
      </rPr>
      <t>tall</t>
    </r>
  </si>
  <si>
    <r>
      <t>ε</t>
    </r>
    <r>
      <rPr>
        <i/>
        <vertAlign val="subscript"/>
        <sz val="10"/>
        <color theme="1"/>
        <rFont val="Arial"/>
        <family val="2"/>
      </rPr>
      <t>call</t>
    </r>
    <r>
      <rPr>
        <i/>
        <sz val="10"/>
        <color theme="1"/>
        <rFont val="Arial"/>
        <family val="2"/>
      </rPr>
      <t xml:space="preserve"> (=ε</t>
    </r>
    <r>
      <rPr>
        <i/>
        <vertAlign val="subscript"/>
        <sz val="10"/>
        <color theme="1"/>
        <rFont val="Arial"/>
        <family val="2"/>
      </rPr>
      <t>1c</t>
    </r>
    <r>
      <rPr>
        <i/>
        <sz val="10"/>
        <color theme="1"/>
        <rFont val="Arial"/>
        <family val="2"/>
      </rPr>
      <t>)</t>
    </r>
  </si>
  <si>
    <r>
      <rPr>
        <i/>
        <sz val="11"/>
        <color theme="1"/>
        <rFont val="Calibri"/>
        <family val="2"/>
      </rPr>
      <t>ν</t>
    </r>
    <r>
      <rPr>
        <i/>
        <vertAlign val="subscript"/>
        <sz val="11"/>
        <color theme="1"/>
        <rFont val="Calibri"/>
        <family val="2"/>
        <scheme val="minor"/>
      </rPr>
      <t>12</t>
    </r>
  </si>
  <si>
    <r>
      <t>ε</t>
    </r>
    <r>
      <rPr>
        <i/>
        <vertAlign val="subscript"/>
        <sz val="10"/>
        <color theme="1"/>
        <rFont val="Arial"/>
        <family val="2"/>
      </rPr>
      <t>x</t>
    </r>
  </si>
  <si>
    <r>
      <t>ε</t>
    </r>
    <r>
      <rPr>
        <i/>
        <vertAlign val="subscript"/>
        <sz val="10"/>
        <color theme="1"/>
        <rFont val="Arial"/>
        <family val="2"/>
      </rPr>
      <t>y</t>
    </r>
  </si>
  <si>
    <r>
      <t>γ</t>
    </r>
    <r>
      <rPr>
        <i/>
        <vertAlign val="subscript"/>
        <sz val="10"/>
        <color theme="1"/>
        <rFont val="Arial"/>
        <family val="2"/>
      </rPr>
      <t>xy</t>
    </r>
  </si>
  <si>
    <r>
      <t>ε</t>
    </r>
    <r>
      <rPr>
        <i/>
        <vertAlign val="subscript"/>
        <sz val="10"/>
        <color theme="1"/>
        <rFont val="Arial"/>
        <family val="2"/>
      </rPr>
      <t>45</t>
    </r>
  </si>
  <si>
    <r>
      <t>ε</t>
    </r>
    <r>
      <rPr>
        <i/>
        <vertAlign val="subscript"/>
        <sz val="10"/>
        <color theme="1"/>
        <rFont val="Arial"/>
        <family val="2"/>
      </rPr>
      <t>-45</t>
    </r>
  </si>
  <si>
    <r>
      <t>γ</t>
    </r>
    <r>
      <rPr>
        <i/>
        <vertAlign val="subscript"/>
        <sz val="10"/>
        <color theme="1"/>
        <rFont val="Arial"/>
        <family val="2"/>
      </rPr>
      <t>45</t>
    </r>
  </si>
  <si>
    <r>
      <t>RF</t>
    </r>
    <r>
      <rPr>
        <i/>
        <vertAlign val="subscript"/>
        <sz val="10"/>
        <color theme="1"/>
        <rFont val="Arial"/>
        <family val="2"/>
      </rPr>
      <t>0º/90º</t>
    </r>
  </si>
  <si>
    <r>
      <t>RF</t>
    </r>
    <r>
      <rPr>
        <i/>
        <vertAlign val="subscript"/>
        <sz val="10"/>
        <color theme="1"/>
        <rFont val="Arial"/>
        <family val="2"/>
      </rPr>
      <t>45º/-45º</t>
    </r>
  </si>
  <si>
    <r>
      <t>N</t>
    </r>
    <r>
      <rPr>
        <i/>
        <vertAlign val="subscript"/>
        <sz val="10"/>
        <color theme="1"/>
        <rFont val="Arial"/>
        <family val="2"/>
      </rPr>
      <t>x</t>
    </r>
  </si>
  <si>
    <r>
      <t>N</t>
    </r>
    <r>
      <rPr>
        <i/>
        <vertAlign val="subscript"/>
        <sz val="10"/>
        <color theme="1"/>
        <rFont val="Arial"/>
        <family val="2"/>
      </rPr>
      <t>y</t>
    </r>
  </si>
  <si>
    <r>
      <t>N</t>
    </r>
    <r>
      <rPr>
        <i/>
        <vertAlign val="subscript"/>
        <sz val="10"/>
        <color theme="1"/>
        <rFont val="Arial"/>
        <family val="2"/>
      </rPr>
      <t>xy</t>
    </r>
  </si>
  <si>
    <t>Strains εx, εy, γxy are obtained, representative of 0º and 90º plies. The strain levels at 45º plies can be obtained from values</t>
  </si>
  <si>
    <r>
      <t xml:space="preserve">- For bi-axial fabric materials (E1=E2), instead of the Poisson's ratio of the material </t>
    </r>
    <r>
      <rPr>
        <sz val="10"/>
        <color theme="1"/>
        <rFont val="Calibri"/>
        <family val="2"/>
      </rPr>
      <t>ν</t>
    </r>
    <r>
      <rPr>
        <sz val="9"/>
        <color theme="1"/>
        <rFont val="Arial"/>
        <family val="2"/>
      </rPr>
      <t>12, use directly a value of 0.3 (i.e. treat the</t>
    </r>
  </si>
  <si>
    <t xml:space="preserve">  fabric ply as a cross-ply 0/90 sublaminate made of a fictitious UD tape material with the same allowable strains)</t>
  </si>
  <si>
    <t>- Tension allowable strain ε1t shall be preferably corrected with tests results available from plain strength tests in multi-angular</t>
  </si>
  <si>
    <r>
      <t xml:space="preserve">  laminates, e.g. in the quasi-isotropic (45/-45/90/0)</t>
    </r>
    <r>
      <rPr>
        <vertAlign val="subscript"/>
        <sz val="10"/>
        <color theme="1"/>
        <rFont val="Arial"/>
        <family val="2"/>
      </rPr>
      <t>n</t>
    </r>
    <r>
      <rPr>
        <sz val="10"/>
        <color theme="1"/>
        <rFont val="Arial"/>
        <family val="2"/>
      </rPr>
      <t xml:space="preserv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</si>
</sst>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0"/>
    <numFmt numFmtId="166" formatCode="0.000"/>
    <numFmt numFmtId="167" formatCode="0.0"/>
    <numFmt numFmtId="168" formatCode="0.000E+00"/>
  </numFmts>
  <fonts count="35" x14ac:knownFonts="1">
    <font>
      <sz val="10"/>
      <color theme="1"/>
      <name val="Arial"/>
      <family val="2"/>
    </font>
    <font>
      <sz val="10"/>
      <color theme="1"/>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theme="0"/>
      <name val="Arial"/>
      <family val="2"/>
    </font>
    <font>
      <b/>
      <sz val="10"/>
      <color theme="1"/>
      <name val="Arial"/>
      <family val="2"/>
    </font>
    <font>
      <sz val="10"/>
      <color rgb="FF3F3F3F"/>
      <name val="Arial"/>
      <family val="2"/>
    </font>
    <font>
      <u val="double"/>
      <sz val="10"/>
      <color theme="3"/>
      <name val="Arial"/>
      <family val="2"/>
    </font>
    <font>
      <b/>
      <i/>
      <sz val="10"/>
      <color theme="1"/>
      <name val="Arial"/>
      <family val="2"/>
    </font>
    <font>
      <i/>
      <sz val="10"/>
      <color theme="1"/>
      <name val="Arial"/>
      <family val="2"/>
    </font>
    <font>
      <u/>
      <sz val="10"/>
      <color theme="10"/>
      <name val="Arial"/>
      <family val="2"/>
    </font>
    <font>
      <u/>
      <sz val="11"/>
      <color theme="1"/>
      <name val="Calibri"/>
      <family val="2"/>
      <scheme val="minor"/>
    </font>
    <font>
      <b/>
      <i/>
      <sz val="11"/>
      <color theme="1"/>
      <name val="Calibri"/>
      <family val="2"/>
      <scheme val="minor"/>
    </font>
    <font>
      <i/>
      <sz val="11"/>
      <color theme="1"/>
      <name val="Calibri"/>
      <family val="2"/>
      <scheme val="minor"/>
    </font>
    <font>
      <i/>
      <sz val="8"/>
      <color theme="1"/>
      <name val="Calibri"/>
      <family val="2"/>
      <scheme val="minor"/>
    </font>
    <font>
      <sz val="11"/>
      <color rgb="FFFF0000"/>
      <name val="Calibri"/>
      <family val="2"/>
      <scheme val="minor"/>
    </font>
    <font>
      <b/>
      <sz val="10"/>
      <color rgb="FF3F3F3F"/>
      <name val="Arial"/>
      <family val="2"/>
    </font>
    <font>
      <vertAlign val="subscript"/>
      <sz val="10"/>
      <color theme="1"/>
      <name val="Arial"/>
      <family val="2"/>
    </font>
    <font>
      <b/>
      <u/>
      <sz val="10"/>
      <color theme="1"/>
      <name val="Arial"/>
      <family val="2"/>
    </font>
    <font>
      <b/>
      <i/>
      <u/>
      <sz val="11"/>
      <color theme="1"/>
      <name val="Calibri"/>
      <family val="2"/>
      <scheme val="minor"/>
    </font>
    <font>
      <b/>
      <i/>
      <u/>
      <sz val="10"/>
      <color theme="1"/>
      <name val="Arial"/>
      <family val="2"/>
    </font>
    <font>
      <b/>
      <i/>
      <u/>
      <vertAlign val="subscript"/>
      <sz val="10"/>
      <color theme="1"/>
      <name val="Arial"/>
      <family val="2"/>
    </font>
    <font>
      <b/>
      <sz val="14"/>
      <color theme="1"/>
      <name val="Arial"/>
      <family val="2"/>
    </font>
    <font>
      <b/>
      <sz val="12"/>
      <color theme="1"/>
      <name val="Arial"/>
      <family val="2"/>
    </font>
    <font>
      <sz val="9"/>
      <color rgb="FF3F3F76"/>
      <name val="Arial"/>
      <family val="2"/>
    </font>
    <font>
      <sz val="11"/>
      <color theme="1"/>
      <name val="Calibri"/>
      <family val="2"/>
    </font>
    <font>
      <i/>
      <sz val="11"/>
      <color theme="1"/>
      <name val="Calibri"/>
      <family val="2"/>
    </font>
    <font>
      <i/>
      <vertAlign val="subscript"/>
      <sz val="11"/>
      <color theme="1"/>
      <name val="Calibri"/>
      <family val="2"/>
      <scheme val="minor"/>
    </font>
    <font>
      <sz val="9"/>
      <color indexed="81"/>
      <name val="Tahoma"/>
      <family val="2"/>
    </font>
    <font>
      <sz val="9"/>
      <color indexed="81"/>
      <name val="Arial"/>
      <family val="2"/>
    </font>
    <font>
      <i/>
      <vertAlign val="subscript"/>
      <sz val="10"/>
      <color theme="1"/>
      <name val="Arial"/>
      <family val="2"/>
    </font>
    <font>
      <sz val="10"/>
      <color theme="1"/>
      <name val="Calibri"/>
      <family val="2"/>
    </font>
    <font>
      <sz val="9"/>
      <color theme="1"/>
      <name val="Arial"/>
      <family val="2"/>
    </font>
  </fonts>
  <fills count="11">
    <fill>
      <patternFill patternType="none"/>
    </fill>
    <fill>
      <patternFill patternType="gray125"/>
    </fill>
    <fill>
      <patternFill patternType="solid">
        <fgColor rgb="FFFFEB9C"/>
      </patternFill>
    </fill>
    <fill>
      <patternFill patternType="solid">
        <fgColor rgb="FFA5A5A5"/>
      </patternFill>
    </fill>
    <fill>
      <patternFill patternType="solid">
        <fgColor rgb="FFFFFFCC"/>
      </patternFill>
    </fill>
    <fill>
      <patternFill patternType="solid">
        <fgColor rgb="FFF0F0F0"/>
        <bgColor indexed="64"/>
      </patternFill>
    </fill>
    <fill>
      <patternFill patternType="solid">
        <fgColor rgb="FF96D250"/>
        <bgColor indexed="64"/>
      </patternFill>
    </fill>
    <fill>
      <patternFill patternType="solid">
        <fgColor rgb="FFFF9696"/>
        <bgColor indexed="64"/>
      </patternFill>
    </fill>
    <fill>
      <patternFill patternType="solid">
        <fgColor rgb="FFFFFF96"/>
        <bgColor indexed="64"/>
      </patternFill>
    </fill>
    <fill>
      <patternFill patternType="solid">
        <fgColor rgb="FF96FFFF"/>
        <bgColor indexed="64"/>
      </patternFill>
    </fill>
    <fill>
      <patternFill patternType="solid">
        <fgColor theme="0" tint="-0.499984740745262"/>
        <bgColor indexed="64"/>
      </patternFill>
    </fill>
  </fills>
  <borders count="10">
    <border>
      <left/>
      <right/>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2" fillId="6" borderId="0" applyNumberFormat="0" applyBorder="0" applyAlignment="0" applyProtection="0"/>
    <xf numFmtId="0" fontId="3" fillId="7" borderId="0" applyNumberFormat="0" applyBorder="0" applyAlignment="0" applyProtection="0"/>
    <xf numFmtId="0" fontId="4" fillId="2" borderId="0" applyNumberFormat="0" applyBorder="0" applyAlignment="0" applyProtection="0"/>
    <xf numFmtId="0" fontId="5" fillId="8" borderId="0" applyNumberFormat="0" applyBorder="0" applyAlignment="0" applyProtection="0"/>
    <xf numFmtId="0" fontId="8" fillId="9" borderId="0" applyNumberFormat="0" applyBorder="0" applyAlignment="0" applyProtection="0"/>
    <xf numFmtId="0" fontId="1" fillId="5" borderId="0" applyNumberFormat="0" applyBorder="0" applyAlignment="0" applyProtection="0"/>
    <xf numFmtId="0" fontId="9" fillId="8" borderId="0" applyNumberFormat="0" applyAlignment="0" applyProtection="0"/>
    <xf numFmtId="0" fontId="6" fillId="3" borderId="1" applyNumberFormat="0" applyAlignment="0" applyProtection="0"/>
    <xf numFmtId="0" fontId="1" fillId="4" borderId="2" applyNumberFormat="0" applyFont="0" applyAlignment="0" applyProtection="0"/>
    <xf numFmtId="0" fontId="12" fillId="0" borderId="0" applyNumberFormat="0" applyFill="0" applyBorder="0" applyAlignment="0" applyProtection="0"/>
  </cellStyleXfs>
  <cellXfs count="101">
    <xf numFmtId="0" fontId="0" fillId="0" borderId="0" xfId="0"/>
    <xf numFmtId="0" fontId="13" fillId="0" borderId="0" xfId="0" applyFont="1" applyAlignment="1">
      <alignment horizontal="left" vertical="center"/>
    </xf>
    <xf numFmtId="0" fontId="0" fillId="0" borderId="0" xfId="0" applyAlignment="1">
      <alignment horizontal="center" vertical="center"/>
    </xf>
    <xf numFmtId="0" fontId="14" fillId="0" borderId="0" xfId="0" applyFont="1" applyAlignment="1">
      <alignment horizontal="left" vertical="center"/>
    </xf>
    <xf numFmtId="0" fontId="15" fillId="0" borderId="0" xfId="0" applyFont="1" applyAlignment="1">
      <alignment horizontal="center" vertical="center"/>
    </xf>
    <xf numFmtId="0" fontId="0" fillId="0" borderId="0" xfId="0" applyAlignment="1">
      <alignment horizontal="left" vertical="center"/>
    </xf>
    <xf numFmtId="0" fontId="1" fillId="5" borderId="0" xfId="6" applyAlignment="1">
      <alignment horizontal="center" vertical="center"/>
    </xf>
    <xf numFmtId="0" fontId="0" fillId="0" borderId="0" xfId="0" applyAlignment="1">
      <alignment vertical="center"/>
    </xf>
    <xf numFmtId="1" fontId="5" fillId="0" borderId="0" xfId="4" applyNumberFormat="1" applyFill="1" applyAlignment="1">
      <alignment horizontal="center" vertical="center"/>
    </xf>
    <xf numFmtId="165" fontId="5" fillId="0" borderId="0" xfId="4" applyNumberFormat="1" applyFill="1" applyAlignment="1">
      <alignment horizontal="center" vertical="center"/>
    </xf>
    <xf numFmtId="168" fontId="1" fillId="5" borderId="0" xfId="6" applyNumberFormat="1" applyAlignment="1">
      <alignment horizontal="center" vertical="center"/>
    </xf>
    <xf numFmtId="168" fontId="8" fillId="9" borderId="0" xfId="5" applyNumberFormat="1" applyAlignment="1">
      <alignment horizontal="center" vertical="center"/>
    </xf>
    <xf numFmtId="166" fontId="8" fillId="9" borderId="0" xfId="5" applyNumberFormat="1" applyAlignment="1">
      <alignment horizontal="center" vertical="center"/>
    </xf>
    <xf numFmtId="0" fontId="5" fillId="0" borderId="0" xfId="4" applyFill="1" applyAlignment="1">
      <alignment horizontal="center" vertical="center"/>
    </xf>
    <xf numFmtId="168" fontId="8" fillId="0" borderId="0" xfId="5" applyNumberFormat="1" applyFill="1" applyAlignment="1">
      <alignment horizontal="center" vertical="center"/>
    </xf>
    <xf numFmtId="166" fontId="8" fillId="0" borderId="0" xfId="5" applyNumberFormat="1" applyFill="1" applyAlignment="1">
      <alignment horizontal="center" vertical="center"/>
    </xf>
    <xf numFmtId="167" fontId="1" fillId="5" borderId="0" xfId="6" applyNumberFormat="1" applyAlignment="1">
      <alignment horizontal="center" vertical="center"/>
    </xf>
    <xf numFmtId="166" fontId="1" fillId="5" borderId="0" xfId="6" applyNumberFormat="1" applyAlignment="1">
      <alignment horizontal="center" vertical="center"/>
    </xf>
    <xf numFmtId="0" fontId="0" fillId="0" borderId="0" xfId="0" applyAlignment="1">
      <alignment horizontal="right" vertical="center"/>
    </xf>
    <xf numFmtId="0" fontId="20" fillId="0" borderId="0" xfId="0" applyFont="1" applyAlignment="1">
      <alignment horizontal="left" vertical="center"/>
    </xf>
    <xf numFmtId="0" fontId="21" fillId="0" borderId="0" xfId="0" applyFont="1" applyAlignment="1">
      <alignment horizontal="left" vertical="center"/>
    </xf>
    <xf numFmtId="0" fontId="21" fillId="0" borderId="0" xfId="0" applyFont="1" applyBorder="1" applyAlignment="1">
      <alignment horizontal="left" vertical="center"/>
    </xf>
    <xf numFmtId="0" fontId="22" fillId="0" borderId="0" xfId="4" applyFont="1" applyFill="1" applyAlignment="1">
      <alignment horizontal="left" vertical="center"/>
    </xf>
    <xf numFmtId="0" fontId="24" fillId="0" borderId="0" xfId="0" applyFont="1"/>
    <xf numFmtId="0" fontId="25" fillId="0" borderId="0" xfId="0" applyFont="1"/>
    <xf numFmtId="0" fontId="7" fillId="0" borderId="0" xfId="0" applyFont="1"/>
    <xf numFmtId="0" fontId="5" fillId="10" borderId="0" xfId="4" applyFill="1" applyAlignment="1">
      <alignment horizontal="center" vertical="center"/>
    </xf>
    <xf numFmtId="168" fontId="8" fillId="10" borderId="0" xfId="5" applyNumberFormat="1" applyFill="1" applyAlignment="1">
      <alignment horizontal="center" vertical="center"/>
    </xf>
    <xf numFmtId="166" fontId="8" fillId="10" borderId="0" xfId="5" applyNumberFormat="1" applyFill="1" applyAlignment="1">
      <alignment horizontal="center" vertical="center"/>
    </xf>
    <xf numFmtId="0" fontId="0" fillId="10" borderId="0" xfId="0" applyFill="1" applyAlignment="1">
      <alignment horizontal="center" vertical="center"/>
    </xf>
    <xf numFmtId="0" fontId="5" fillId="0" borderId="0" xfId="4" applyFill="1" applyBorder="1" applyAlignment="1">
      <alignment horizontal="center" vertical="center"/>
    </xf>
    <xf numFmtId="168" fontId="8" fillId="0" borderId="0" xfId="5" applyNumberFormat="1" applyFill="1" applyBorder="1" applyAlignment="1">
      <alignment horizontal="center" vertical="center"/>
    </xf>
    <xf numFmtId="166" fontId="8" fillId="0" borderId="0" xfId="5" applyNumberFormat="1" applyFill="1" applyBorder="1" applyAlignment="1">
      <alignment horizontal="center" vertical="center"/>
    </xf>
    <xf numFmtId="0" fontId="0" fillId="0" borderId="0" xfId="0" applyBorder="1" applyAlignment="1">
      <alignment horizontal="center" vertical="center"/>
    </xf>
    <xf numFmtId="0" fontId="5" fillId="8" borderId="0" xfId="4" applyAlignment="1" applyProtection="1">
      <alignment horizontal="center" vertical="center"/>
      <protection locked="0"/>
    </xf>
    <xf numFmtId="9" fontId="5" fillId="8" borderId="0" xfId="4" applyNumberFormat="1" applyAlignment="1" applyProtection="1">
      <alignment horizontal="center" vertical="center"/>
      <protection locked="0"/>
    </xf>
    <xf numFmtId="166" fontId="5" fillId="8" borderId="0" xfId="4" applyNumberFormat="1" applyAlignment="1" applyProtection="1">
      <alignment horizontal="center" vertical="center"/>
      <protection locked="0"/>
    </xf>
    <xf numFmtId="1" fontId="5" fillId="8" borderId="0" xfId="4" applyNumberFormat="1" applyAlignment="1" applyProtection="1">
      <alignment horizontal="center" vertical="center"/>
      <protection locked="0"/>
    </xf>
    <xf numFmtId="165" fontId="5" fillId="8" borderId="0" xfId="4" applyNumberFormat="1" applyAlignment="1" applyProtection="1">
      <alignment horizontal="center" vertical="center"/>
      <protection locked="0"/>
    </xf>
    <xf numFmtId="0" fontId="11" fillId="0" borderId="0" xfId="0" applyFont="1" applyAlignment="1">
      <alignment horizontal="center" vertical="center"/>
    </xf>
    <xf numFmtId="49" fontId="7" fillId="0" borderId="3" xfId="0" applyNumberFormat="1" applyFont="1" applyBorder="1" applyAlignment="1" applyProtection="1">
      <alignment horizontal="left" vertical="center" wrapText="1"/>
    </xf>
    <xf numFmtId="49" fontId="1" fillId="0" borderId="0" xfId="0" applyNumberFormat="1" applyFont="1" applyAlignment="1" applyProtection="1">
      <alignment vertical="center" wrapText="1"/>
    </xf>
    <xf numFmtId="49" fontId="7" fillId="0" borderId="0" xfId="0" applyNumberFormat="1" applyFont="1" applyAlignment="1" applyProtection="1">
      <alignment vertical="center" wrapText="1"/>
    </xf>
    <xf numFmtId="49" fontId="7" fillId="0" borderId="0" xfId="0" applyNumberFormat="1" applyFont="1" applyBorder="1" applyAlignment="1" applyProtection="1">
      <alignment vertical="center" wrapText="1"/>
    </xf>
    <xf numFmtId="49" fontId="7" fillId="0" borderId="5" xfId="0" applyNumberFormat="1" applyFont="1" applyBorder="1" applyAlignment="1" applyProtection="1">
      <alignment horizontal="left" vertical="center" wrapText="1"/>
    </xf>
    <xf numFmtId="49" fontId="7" fillId="0" borderId="0" xfId="0" applyNumberFormat="1" applyFont="1" applyBorder="1" applyAlignment="1" applyProtection="1">
      <alignment horizontal="left" vertical="center" wrapText="1"/>
    </xf>
    <xf numFmtId="49" fontId="0" fillId="0" borderId="0" xfId="0" applyNumberFormat="1" applyFont="1" applyBorder="1" applyAlignment="1" applyProtection="1">
      <alignment horizontal="left" vertical="center" wrapText="1"/>
    </xf>
    <xf numFmtId="49" fontId="7" fillId="0" borderId="0" xfId="0" applyNumberFormat="1" applyFont="1" applyAlignment="1" applyProtection="1">
      <alignment horizontal="left" vertical="center"/>
    </xf>
    <xf numFmtId="49" fontId="1" fillId="0" borderId="0" xfId="0" applyNumberFormat="1" applyFont="1" applyAlignment="1" applyProtection="1">
      <alignment horizontal="center" vertical="center"/>
    </xf>
    <xf numFmtId="49" fontId="1" fillId="0" borderId="0" xfId="0" applyNumberFormat="1" applyFont="1" applyAlignment="1" applyProtection="1">
      <alignment horizontal="left" vertical="center"/>
    </xf>
    <xf numFmtId="49" fontId="1" fillId="0" borderId="0" xfId="0" applyNumberFormat="1" applyFont="1" applyAlignment="1" applyProtection="1">
      <alignment vertical="center"/>
    </xf>
    <xf numFmtId="49" fontId="10" fillId="0" borderId="0" xfId="0" applyNumberFormat="1" applyFont="1" applyAlignment="1" applyProtection="1">
      <alignment horizontal="left" vertical="center"/>
    </xf>
    <xf numFmtId="49" fontId="10" fillId="0" borderId="4" xfId="0" applyNumberFormat="1" applyFont="1" applyBorder="1" applyAlignment="1" applyProtection="1">
      <alignment horizontal="center" vertical="center" wrapText="1"/>
    </xf>
    <xf numFmtId="49" fontId="10" fillId="0" borderId="4" xfId="0" applyNumberFormat="1" applyFont="1" applyBorder="1" applyAlignment="1" applyProtection="1">
      <alignment horizontal="left" vertical="center" wrapText="1"/>
    </xf>
    <xf numFmtId="49" fontId="11" fillId="0" borderId="0" xfId="0" applyNumberFormat="1" applyFont="1" applyAlignment="1" applyProtection="1">
      <alignment vertical="center"/>
    </xf>
    <xf numFmtId="49" fontId="0" fillId="0" borderId="4" xfId="0" applyNumberFormat="1" applyFont="1" applyBorder="1" applyAlignment="1" applyProtection="1">
      <alignment horizontal="center" vertical="center" wrapText="1"/>
    </xf>
    <xf numFmtId="49" fontId="12" fillId="0" borderId="4" xfId="10" applyNumberFormat="1" applyBorder="1" applyAlignment="1" applyProtection="1">
      <alignment horizontal="center" vertical="center" wrapText="1"/>
    </xf>
    <xf numFmtId="49" fontId="0" fillId="0" borderId="4" xfId="0" applyNumberFormat="1" applyFont="1" applyBorder="1" applyAlignment="1" applyProtection="1">
      <alignment horizontal="left" vertical="center" wrapText="1"/>
    </xf>
    <xf numFmtId="49" fontId="1" fillId="0" borderId="4" xfId="0" applyNumberFormat="1" applyFont="1" applyBorder="1" applyAlignment="1" applyProtection="1">
      <alignment horizontal="center" vertical="center" wrapText="1"/>
    </xf>
    <xf numFmtId="49" fontId="1" fillId="0" borderId="4" xfId="0" applyNumberFormat="1" applyFont="1" applyBorder="1" applyAlignment="1" applyProtection="1">
      <alignment horizontal="left" vertical="center" wrapText="1"/>
    </xf>
    <xf numFmtId="0" fontId="20" fillId="0" borderId="0" xfId="0" applyFont="1" applyAlignment="1" applyProtection="1">
      <alignment horizontal="left" vertical="center"/>
    </xf>
    <xf numFmtId="0" fontId="0" fillId="0" borderId="0" xfId="0" applyAlignment="1" applyProtection="1">
      <alignment horizontal="center" vertical="center"/>
    </xf>
    <xf numFmtId="0" fontId="21" fillId="0" borderId="0" xfId="0" applyFont="1" applyAlignment="1" applyProtection="1">
      <alignment horizontal="left" vertical="center"/>
    </xf>
    <xf numFmtId="0" fontId="14" fillId="0" borderId="0" xfId="0" applyFont="1" applyAlignment="1" applyProtection="1">
      <alignment horizontal="left" vertical="center"/>
    </xf>
    <xf numFmtId="0" fontId="15" fillId="0" borderId="0" xfId="0" applyFont="1" applyAlignment="1" applyProtection="1">
      <alignment horizontal="center" vertical="center"/>
    </xf>
    <xf numFmtId="0" fontId="16" fillId="0" borderId="0" xfId="0" applyFont="1" applyAlignment="1" applyProtection="1">
      <alignment horizontal="center" vertical="center" wrapText="1"/>
    </xf>
    <xf numFmtId="0" fontId="15" fillId="0" borderId="0" xfId="0" applyFont="1" applyFill="1" applyAlignment="1" applyProtection="1">
      <alignment horizontal="center" vertical="center"/>
    </xf>
    <xf numFmtId="164" fontId="1" fillId="5" borderId="0" xfId="6" applyNumberFormat="1" applyAlignment="1" applyProtection="1">
      <alignment horizontal="center" vertical="center"/>
    </xf>
    <xf numFmtId="165" fontId="1" fillId="5" borderId="0" xfId="6" applyNumberFormat="1" applyAlignment="1" applyProtection="1">
      <alignment horizontal="center" vertical="center"/>
    </xf>
    <xf numFmtId="2" fontId="1" fillId="5" borderId="0" xfId="6" applyNumberFormat="1" applyAlignment="1" applyProtection="1">
      <alignment horizontal="center" vertical="center"/>
    </xf>
    <xf numFmtId="0" fontId="0" fillId="0" borderId="0" xfId="0" applyFill="1" applyAlignment="1" applyProtection="1">
      <alignment horizontal="center" vertical="center"/>
    </xf>
    <xf numFmtId="1" fontId="17" fillId="0" borderId="0" xfId="0" applyNumberFormat="1" applyFont="1" applyFill="1" applyAlignment="1" applyProtection="1">
      <alignment horizontal="center" vertical="center"/>
    </xf>
    <xf numFmtId="164" fontId="0" fillId="0" borderId="0" xfId="0" applyNumberFormat="1" applyFill="1" applyAlignment="1" applyProtection="1">
      <alignment horizontal="center" vertical="center"/>
    </xf>
    <xf numFmtId="165" fontId="0" fillId="0" borderId="0" xfId="0" applyNumberFormat="1" applyFill="1" applyAlignment="1" applyProtection="1">
      <alignment horizontal="center" vertical="center"/>
    </xf>
    <xf numFmtId="2" fontId="0" fillId="0" borderId="0" xfId="0" applyNumberFormat="1" applyFill="1" applyAlignment="1" applyProtection="1">
      <alignment horizontal="center" vertical="center"/>
    </xf>
    <xf numFmtId="0" fontId="17" fillId="0" borderId="0" xfId="0" applyFont="1" applyFill="1" applyAlignment="1" applyProtection="1">
      <alignment horizontal="center" vertical="center"/>
    </xf>
    <xf numFmtId="1" fontId="1" fillId="5" borderId="6" xfId="6" applyNumberFormat="1" applyBorder="1" applyAlignment="1" applyProtection="1">
      <alignment horizontal="center" vertical="center"/>
    </xf>
    <xf numFmtId="1" fontId="1" fillId="5" borderId="0" xfId="6" applyNumberFormat="1" applyAlignment="1" applyProtection="1">
      <alignment horizontal="center" vertical="center"/>
    </xf>
    <xf numFmtId="0" fontId="1" fillId="5" borderId="7" xfId="6" applyBorder="1" applyAlignment="1" applyProtection="1">
      <alignment horizontal="center" vertical="center"/>
    </xf>
    <xf numFmtId="0" fontId="0" fillId="0" borderId="0" xfId="0" applyAlignment="1" applyProtection="1">
      <alignment horizontal="left" vertical="center"/>
    </xf>
    <xf numFmtId="0" fontId="1" fillId="5" borderId="6" xfId="6" applyBorder="1" applyAlignment="1" applyProtection="1">
      <alignment horizontal="center" vertical="center"/>
    </xf>
    <xf numFmtId="0" fontId="1" fillId="5" borderId="0" xfId="6" applyAlignment="1" applyProtection="1">
      <alignment horizontal="center" vertical="center"/>
    </xf>
    <xf numFmtId="1" fontId="1" fillId="5" borderId="0" xfId="6" applyNumberFormat="1" applyBorder="1" applyAlignment="1" applyProtection="1">
      <alignment horizontal="center" vertical="center"/>
    </xf>
    <xf numFmtId="0" fontId="1" fillId="5" borderId="0" xfId="6" applyBorder="1" applyAlignment="1" applyProtection="1">
      <alignment horizontal="center" vertical="center"/>
    </xf>
    <xf numFmtId="1" fontId="1" fillId="5" borderId="7" xfId="6" applyNumberFormat="1" applyBorder="1" applyAlignment="1" applyProtection="1">
      <alignment horizontal="center" vertical="center"/>
    </xf>
    <xf numFmtId="9" fontId="1" fillId="5" borderId="0" xfId="6" applyNumberFormat="1" applyAlignment="1" applyProtection="1">
      <alignment horizontal="center" vertical="center"/>
    </xf>
    <xf numFmtId="1" fontId="18" fillId="9" borderId="0" xfId="5" applyNumberFormat="1" applyFont="1" applyAlignment="1" applyProtection="1">
      <alignment horizontal="center" vertical="center"/>
    </xf>
    <xf numFmtId="1" fontId="8" fillId="9" borderId="0" xfId="5" applyNumberFormat="1" applyAlignment="1" applyProtection="1">
      <alignment horizontal="center" vertical="center"/>
    </xf>
    <xf numFmtId="165" fontId="8" fillId="9" borderId="0" xfId="5" applyNumberFormat="1" applyAlignment="1" applyProtection="1">
      <alignment horizontal="center" vertical="center"/>
    </xf>
    <xf numFmtId="0" fontId="0" fillId="0" borderId="0" xfId="0" quotePrefix="1"/>
    <xf numFmtId="49" fontId="0" fillId="0" borderId="3" xfId="0" applyNumberFormat="1" applyFont="1" applyBorder="1" applyAlignment="1" applyProtection="1">
      <alignment horizontal="left" vertical="center" wrapText="1"/>
    </xf>
    <xf numFmtId="49" fontId="1" fillId="0" borderId="3" xfId="0" applyNumberFormat="1" applyFont="1" applyBorder="1" applyAlignment="1" applyProtection="1">
      <alignment horizontal="left" vertical="center" wrapText="1"/>
    </xf>
    <xf numFmtId="49" fontId="5" fillId="8" borderId="4" xfId="4" applyNumberFormat="1" applyBorder="1" applyAlignment="1" applyProtection="1">
      <alignment vertical="center"/>
      <protection locked="0"/>
    </xf>
    <xf numFmtId="49" fontId="5" fillId="8" borderId="8" xfId="4" applyNumberFormat="1" applyBorder="1" applyAlignment="1" applyProtection="1">
      <alignment vertical="center" wrapText="1"/>
      <protection locked="0"/>
    </xf>
    <xf numFmtId="49" fontId="5" fillId="8" borderId="3" xfId="4" applyNumberFormat="1" applyBorder="1" applyAlignment="1" applyProtection="1">
      <alignment vertical="center" wrapText="1"/>
      <protection locked="0"/>
    </xf>
    <xf numFmtId="49" fontId="5" fillId="8" borderId="9" xfId="4" applyNumberFormat="1" applyBorder="1" applyAlignment="1" applyProtection="1">
      <alignment vertical="center" wrapText="1"/>
      <protection locked="0"/>
    </xf>
    <xf numFmtId="49" fontId="0" fillId="0" borderId="5" xfId="0" applyNumberFormat="1" applyFont="1" applyBorder="1" applyAlignment="1" applyProtection="1">
      <alignment horizontal="left" vertical="center" wrapText="1"/>
    </xf>
    <xf numFmtId="49" fontId="7" fillId="0" borderId="3" xfId="0" applyNumberFormat="1" applyFont="1" applyBorder="1" applyAlignment="1" applyProtection="1">
      <alignment horizontal="left" vertical="center" wrapText="1"/>
    </xf>
    <xf numFmtId="49" fontId="0" fillId="0" borderId="3" xfId="0" applyNumberFormat="1" applyFont="1" applyBorder="1" applyAlignment="1" applyProtection="1">
      <alignment vertical="center" wrapText="1"/>
    </xf>
    <xf numFmtId="49" fontId="1" fillId="0" borderId="3" xfId="0" applyNumberFormat="1" applyFont="1" applyBorder="1" applyAlignment="1" applyProtection="1">
      <alignment vertical="center" wrapText="1"/>
    </xf>
    <xf numFmtId="0" fontId="11" fillId="0" borderId="0" xfId="0" applyFont="1" applyAlignment="1">
      <alignment horizontal="center" vertical="center"/>
    </xf>
  </cellXfs>
  <cellStyles count="11">
    <cellStyle name="Bueno" xfId="1" builtinId="26" customBuiltin="1"/>
    <cellStyle name="Cálculo" xfId="6" builtinId="22" customBuiltin="1"/>
    <cellStyle name="Celda de comprobación" xfId="8" builtinId="23" hidden="1"/>
    <cellStyle name="Celda vinculada" xfId="7" builtinId="24" hidden="1" customBuiltin="1"/>
    <cellStyle name="Entrada" xfId="4" builtinId="20" customBuiltin="1"/>
    <cellStyle name="Hipervínculo" xfId="10" builtinId="8"/>
    <cellStyle name="Incorrecto" xfId="2" builtinId="27" customBuiltin="1"/>
    <cellStyle name="Neutral" xfId="3" builtinId="28" hidden="1"/>
    <cellStyle name="Normal" xfId="0" builtinId="0"/>
    <cellStyle name="Notas" xfId="9" builtinId="10" hidden="1"/>
    <cellStyle name="Salida" xfId="5" builtinId="21" customBuiltin="1"/>
  </cellStyles>
  <dxfs count="0"/>
  <tableStyles count="0" defaultTableStyle="TableStyleMedium2" defaultPivotStyle="PivotStyleLight16"/>
  <colors>
    <mruColors>
      <color rgb="FFFFFF96"/>
      <color rgb="FF96FFFF"/>
      <color rgb="FFFF9696"/>
      <color rgb="FF96D250"/>
      <color rgb="FFF0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latin typeface="Arial" panose="020B0604020202020204" pitchFamily="34" charset="0"/>
                <a:cs typeface="Arial" panose="020B0604020202020204" pitchFamily="34" charset="0"/>
              </a:defRPr>
            </a:pPr>
            <a:r>
              <a:rPr lang="en-US" sz="1200">
                <a:latin typeface="Arial" panose="020B0604020202020204" pitchFamily="34" charset="0"/>
                <a:cs typeface="Arial" panose="020B0604020202020204" pitchFamily="34" charset="0"/>
              </a:rPr>
              <a:t>Failure envelope in the stress plane</a:t>
            </a:r>
          </a:p>
        </c:rich>
      </c:tx>
      <c:overlay val="0"/>
    </c:title>
    <c:autoTitleDeleted val="0"/>
    <c:plotArea>
      <c:layout/>
      <c:scatterChart>
        <c:scatterStyle val="lineMarker"/>
        <c:varyColors val="0"/>
        <c:ser>
          <c:idx val="0"/>
          <c:order val="0"/>
          <c:marker>
            <c:symbol val="none"/>
          </c:marker>
          <c:xVal>
            <c:numRef>
              <c:f>strength!$N$33:$N$393</c:f>
              <c:numCache>
                <c:formatCode>0.0</c:formatCode>
                <c:ptCount val="361"/>
                <c:pt idx="0">
                  <c:v>1535.6290769142154</c:v>
                </c:pt>
                <c:pt idx="1">
                  <c:v>1544.0633452553661</c:v>
                </c:pt>
                <c:pt idx="2">
                  <c:v>1552.5960003599698</c:v>
                </c:pt>
                <c:pt idx="3">
                  <c:v>1561.2340668163545</c:v>
                </c:pt>
                <c:pt idx="4">
                  <c:v>1569.9848740109278</c:v>
                </c:pt>
                <c:pt idx="5">
                  <c:v>1578.8560832140943</c:v>
                </c:pt>
                <c:pt idx="6">
                  <c:v>1587.8557168593611</c:v>
                </c:pt>
                <c:pt idx="7">
                  <c:v>1596.9921902647754</c:v>
                </c:pt>
                <c:pt idx="8">
                  <c:v>1606.2743460756042</c:v>
                </c:pt>
                <c:pt idx="9">
                  <c:v>1615.7114917412334</c:v>
                </c:pt>
                <c:pt idx="10">
                  <c:v>1625.313440378307</c:v>
                </c:pt>
                <c:pt idx="11">
                  <c:v>1635.0905554169371</c:v>
                </c:pt>
                <c:pt idx="12">
                  <c:v>1645.0537994783513</c:v>
                </c:pt>
                <c:pt idx="13">
                  <c:v>1655.2147879917272</c:v>
                </c:pt>
                <c:pt idx="14">
                  <c:v>1665.5858481265038</c:v>
                </c:pt>
                <c:pt idx="15">
                  <c:v>1676.1800836957991</c:v>
                </c:pt>
                <c:pt idx="16">
                  <c:v>1687.011446778494</c:v>
                </c:pt>
                <c:pt idx="17">
                  <c:v>1698.0948169144958</c:v>
                </c:pt>
                <c:pt idx="18">
                  <c:v>1709.4460888522112</c:v>
                </c:pt>
                <c:pt idx="19">
                  <c:v>1721.0822699727973</c:v>
                </c:pt>
                <c:pt idx="20">
                  <c:v>1733.0215886861802</c:v>
                </c:pt>
                <c:pt idx="21">
                  <c:v>1745.2836152940242</c:v>
                </c:pt>
                <c:pt idx="22">
                  <c:v>1757.8893970506444</c:v>
                </c:pt>
                <c:pt idx="23">
                  <c:v>1770.8616094314684</c:v>
                </c:pt>
                <c:pt idx="24">
                  <c:v>1784.2247259488722</c:v>
                </c:pt>
                <c:pt idx="25">
                  <c:v>1798.005209247862</c:v>
                </c:pt>
                <c:pt idx="26">
                  <c:v>1812.231726682553</c:v>
                </c:pt>
                <c:pt idx="27">
                  <c:v>1826.9353941353083</c:v>
                </c:pt>
                <c:pt idx="28">
                  <c:v>1842.1500525144793</c:v>
                </c:pt>
                <c:pt idx="29">
                  <c:v>1857.9125821798482</c:v>
                </c:pt>
                <c:pt idx="30">
                  <c:v>1874.2632615297759</c:v>
                </c:pt>
                <c:pt idx="31">
                  <c:v>1891.2461771819221</c:v>
                </c:pt>
                <c:pt idx="32">
                  <c:v>1908.909694642678</c:v>
                </c:pt>
                <c:pt idx="33">
                  <c:v>1927.3070001561543</c:v>
                </c:pt>
                <c:pt idx="34">
                  <c:v>1946.4967266376416</c:v>
                </c:pt>
                <c:pt idx="35">
                  <c:v>1966.5436793402789</c:v>
                </c:pt>
                <c:pt idx="36">
                  <c:v>1899.4196284480879</c:v>
                </c:pt>
                <c:pt idx="37">
                  <c:v>1806.2721237022763</c:v>
                </c:pt>
                <c:pt idx="38">
                  <c:v>1719.6904297215092</c:v>
                </c:pt>
                <c:pt idx="39">
                  <c:v>1638.9564546739039</c:v>
                </c:pt>
                <c:pt idx="40">
                  <c:v>1563.452627486253</c:v>
                </c:pt>
                <c:pt idx="41">
                  <c:v>1492.6448801250774</c:v>
                </c:pt>
                <c:pt idx="42">
                  <c:v>1426.0689732398869</c:v>
                </c:pt>
                <c:pt idx="43">
                  <c:v>1363.3194231072248</c:v>
                </c:pt>
                <c:pt idx="44">
                  <c:v>1304.0404702574058</c:v>
                </c:pt>
                <c:pt idx="45">
                  <c:v>1247.9186636513127</c:v>
                </c:pt>
                <c:pt idx="46">
                  <c:v>1194.6767329767138</c:v>
                </c:pt>
                <c:pt idx="47">
                  <c:v>1144.0684953399491</c:v>
                </c:pt>
                <c:pt idx="48">
                  <c:v>1095.8745981802783</c:v>
                </c:pt>
                <c:pt idx="49">
                  <c:v>1049.8989424669958</c:v>
                </c:pt>
                <c:pt idx="50">
                  <c:v>1005.9656626096009</c:v>
                </c:pt>
                <c:pt idx="51">
                  <c:v>963.9165645131344</c:v>
                </c:pt>
                <c:pt idx="52">
                  <c:v>923.60894266201774</c:v>
                </c:pt>
                <c:pt idx="53">
                  <c:v>884.91371235249369</c:v>
                </c:pt>
                <c:pt idx="54">
                  <c:v>847.71380520682021</c:v>
                </c:pt>
                <c:pt idx="55">
                  <c:v>811.9027856322092</c:v>
                </c:pt>
                <c:pt idx="56">
                  <c:v>777.38365349153412</c:v>
                </c:pt>
                <c:pt idx="57">
                  <c:v>744.06780435407745</c:v>
                </c:pt>
                <c:pt idx="58">
                  <c:v>711.8741236158703</c:v>
                </c:pt>
                <c:pt idx="59">
                  <c:v>680.72819476875134</c:v>
                </c:pt>
                <c:pt idx="60">
                  <c:v>650.56160534704361</c:v>
                </c:pt>
                <c:pt idx="61">
                  <c:v>621.31133674012619</c:v>
                </c:pt>
                <c:pt idx="62">
                  <c:v>592.91922624486949</c:v>
                </c:pt>
                <c:pt idx="63">
                  <c:v>565.33149153593718</c:v>
                </c:pt>
                <c:pt idx="64">
                  <c:v>538.49830922687147</c:v>
                </c:pt>
                <c:pt idx="65">
                  <c:v>512.37344043847224</c:v>
                </c:pt>
                <c:pt idx="66">
                  <c:v>486.91389732929593</c:v>
                </c:pt>
                <c:pt idx="67">
                  <c:v>462.07964541311782</c:v>
                </c:pt>
                <c:pt idx="68">
                  <c:v>437.8333372196567</c:v>
                </c:pt>
                <c:pt idx="69">
                  <c:v>414.1400734718768</c:v>
                </c:pt>
                <c:pt idx="70">
                  <c:v>390.96718847522709</c:v>
                </c:pt>
                <c:pt idx="71">
                  <c:v>368.28405685730809</c:v>
                </c:pt>
                <c:pt idx="72">
                  <c:v>346.06191917357421</c:v>
                </c:pt>
                <c:pt idx="73">
                  <c:v>324.27372421662159</c:v>
                </c:pt>
                <c:pt idx="74">
                  <c:v>302.89398614211245</c:v>
                </c:pt>
                <c:pt idx="75">
                  <c:v>281.89865476079876</c:v>
                </c:pt>
                <c:pt idx="76">
                  <c:v>261.26499754944768</c:v>
                </c:pt>
                <c:pt idx="77">
                  <c:v>240.97149210880366</c:v>
                </c:pt>
                <c:pt idx="78">
                  <c:v>220.9977279482311</c:v>
                </c:pt>
                <c:pt idx="79">
                  <c:v>201.32431660787807</c:v>
                </c:pt>
                <c:pt idx="80">
                  <c:v>181.93280924308303</c:v>
                </c:pt>
                <c:pt idx="81">
                  <c:v>162.80562089471894</c:v>
                </c:pt>
                <c:pt idx="82">
                  <c:v>143.92596075541442</c:v>
                </c:pt>
                <c:pt idx="83">
                  <c:v>125.2777678168104</c:v>
                </c:pt>
                <c:pt idx="84">
                  <c:v>106.8456513487609</c:v>
                </c:pt>
                <c:pt idx="85">
                  <c:v>88.614835718888983</c:v>
                </c:pt>
                <c:pt idx="86">
                  <c:v>70.571109111316829</c:v>
                </c:pt>
                <c:pt idx="87">
                  <c:v>52.700775747555682</c:v>
                </c:pt>
                <c:pt idx="88">
                  <c:v>34.990611251324488</c:v>
                </c:pt>
                <c:pt idx="89">
                  <c:v>17.427820833088838</c:v>
                </c:pt>
                <c:pt idx="90">
                  <c:v>6.0945361026684783E-14</c:v>
                </c:pt>
                <c:pt idx="91">
                  <c:v>-17.304902476878151</c:v>
                </c:pt>
                <c:pt idx="92">
                  <c:v>-34.498619583166722</c:v>
                </c:pt>
                <c:pt idx="93">
                  <c:v>-51.59259929460007</c:v>
                </c:pt>
                <c:pt idx="94">
                  <c:v>-68.598036230709397</c:v>
                </c:pt>
                <c:pt idx="95">
                  <c:v>-85.525901920910442</c:v>
                </c:pt>
                <c:pt idx="96">
                  <c:v>-102.38697386190911</c:v>
                </c:pt>
                <c:pt idx="97">
                  <c:v>-119.19186353396384</c:v>
                </c:pt>
                <c:pt idx="98">
                  <c:v>-135.95104353386475</c:v>
                </c:pt>
                <c:pt idx="99">
                  <c:v>-152.67487397436673</c:v>
                </c:pt>
                <c:pt idx="100">
                  <c:v>-169.37362829311792</c:v>
                </c:pt>
                <c:pt idx="101">
                  <c:v>-186.0575186087934</c:v>
                </c:pt>
                <c:pt idx="102">
                  <c:v>-201.75950870233086</c:v>
                </c:pt>
                <c:pt idx="103">
                  <c:v>-216.70129973907856</c:v>
                </c:pt>
                <c:pt idx="104">
                  <c:v>-231.43100010177281</c:v>
                </c:pt>
                <c:pt idx="105">
                  <c:v>-245.9618831767722</c:v>
                </c:pt>
                <c:pt idx="106">
                  <c:v>-260.30662719938442</c:v>
                </c:pt>
                <c:pt idx="107">
                  <c:v>-274.47736353050726</c:v>
                </c:pt>
                <c:pt idx="108">
                  <c:v>-288.4857213281108</c:v>
                </c:pt>
                <c:pt idx="109">
                  <c:v>-302.34286898021213</c:v>
                </c:pt>
                <c:pt idx="110">
                  <c:v>-316.05955262856406</c:v>
                </c:pt>
                <c:pt idx="111">
                  <c:v>-329.64613207946854</c:v>
                </c:pt>
                <c:pt idx="112">
                  <c:v>-343.11261436932693</c:v>
                </c:pt>
                <c:pt idx="113">
                  <c:v>-356.46868522725094</c:v>
                </c:pt>
                <c:pt idx="114">
                  <c:v>-369.72373865487197</c:v>
                </c:pt>
                <c:pt idx="115">
                  <c:v>-382.88690482400528</c:v>
                </c:pt>
                <c:pt idx="116">
                  <c:v>-395.96707647576437</c:v>
                </c:pt>
                <c:pt idx="117">
                  <c:v>-408.97293398977951</c:v>
                </c:pt>
                <c:pt idx="118">
                  <c:v>-421.91296927915033</c:v>
                </c:pt>
                <c:pt idx="119">
                  <c:v>-434.79550865542183</c:v>
                </c:pt>
                <c:pt idx="120">
                  <c:v>-447.62873479808889</c:v>
                </c:pt>
                <c:pt idx="121">
                  <c:v>-460.42070795472608</c:v>
                </c:pt>
                <c:pt idx="122">
                  <c:v>-473.17938649069077</c:v>
                </c:pt>
                <c:pt idx="123">
                  <c:v>-485.9126469013957</c:v>
                </c:pt>
                <c:pt idx="124">
                  <c:v>-498.62830339522793</c:v>
                </c:pt>
                <c:pt idx="125">
                  <c:v>-511.33412715134136</c:v>
                </c:pt>
                <c:pt idx="126">
                  <c:v>-524.037865353602</c:v>
                </c:pt>
                <c:pt idx="127">
                  <c:v>-533.62207856119187</c:v>
                </c:pt>
                <c:pt idx="128">
                  <c:v>-539.2383483339795</c:v>
                </c:pt>
                <c:pt idx="129">
                  <c:v>-544.72085788046797</c:v>
                </c:pt>
                <c:pt idx="130">
                  <c:v>-550.07755428199494</c:v>
                </c:pt>
                <c:pt idx="131">
                  <c:v>-555.31587401278421</c:v>
                </c:pt>
                <c:pt idx="132">
                  <c:v>-560.44278721106275</c:v>
                </c:pt>
                <c:pt idx="133">
                  <c:v>-565.4648376151672</c:v>
                </c:pt>
                <c:pt idx="134">
                  <c:v>-570.38817866272245</c:v>
                </c:pt>
                <c:pt idx="135">
                  <c:v>-575.21860618734217</c:v>
                </c:pt>
                <c:pt idx="136">
                  <c:v>-579.96158809272185</c:v>
                </c:pt>
                <c:pt idx="137">
                  <c:v>-584.62229133707092</c:v>
                </c:pt>
                <c:pt idx="138">
                  <c:v>-589.20560652037955</c:v>
                </c:pt>
                <c:pt idx="139">
                  <c:v>-593.71617033208156</c:v>
                </c:pt>
                <c:pt idx="140">
                  <c:v>-598.1583860864265</c:v>
                </c:pt>
                <c:pt idx="141">
                  <c:v>-602.53644254663345</c:v>
                </c:pt>
                <c:pt idx="142">
                  <c:v>-606.85433121609276</c:v>
                </c:pt>
                <c:pt idx="143">
                  <c:v>-611.11586225502219</c:v>
                </c:pt>
                <c:pt idx="144">
                  <c:v>-615.32467916366181</c:v>
                </c:pt>
                <c:pt idx="145">
                  <c:v>-619.48427235796032</c:v>
                </c:pt>
                <c:pt idx="146">
                  <c:v>-623.5979917504601</c:v>
                </c:pt>
                <c:pt idx="147">
                  <c:v>-627.66905843750442</c:v>
                </c:pt>
                <c:pt idx="148">
                  <c:v>-631.700575583714</c:v>
                </c:pt>
                <c:pt idx="149">
                  <c:v>-635.69553858576739</c:v>
                </c:pt>
                <c:pt idx="150">
                  <c:v>-639.65684458968565</c:v>
                </c:pt>
                <c:pt idx="151">
                  <c:v>-643.58730142894899</c:v>
                </c:pt>
                <c:pt idx="152">
                  <c:v>-647.48963604474795</c:v>
                </c:pt>
                <c:pt idx="153">
                  <c:v>-651.3665024443668</c:v>
                </c:pt>
                <c:pt idx="154">
                  <c:v>-655.22048924908052</c:v>
                </c:pt>
                <c:pt idx="155">
                  <c:v>-659.05412687889282</c:v>
                </c:pt>
                <c:pt idx="156">
                  <c:v>-662.86989441791934</c:v>
                </c:pt>
                <c:pt idx="157">
                  <c:v>-666.6702262011737</c:v>
                </c:pt>
                <c:pt idx="158">
                  <c:v>-670.45751816087989</c:v>
                </c:pt>
                <c:pt idx="159">
                  <c:v>-674.23413396820183</c:v>
                </c:pt>
                <c:pt idx="160">
                  <c:v>-678.00241100438905</c:v>
                </c:pt>
                <c:pt idx="161">
                  <c:v>-681.76466619378641</c:v>
                </c:pt>
                <c:pt idx="162">
                  <c:v>-685.52320172989721</c:v>
                </c:pt>
                <c:pt idx="163">
                  <c:v>-689.28031072473527</c:v>
                </c:pt>
                <c:pt idx="164">
                  <c:v>-693.03828281100607</c:v>
                </c:pt>
                <c:pt idx="165">
                  <c:v>-696.79940972624263</c:v>
                </c:pt>
                <c:pt idx="166">
                  <c:v>-700.5659909078563</c:v>
                </c:pt>
                <c:pt idx="167">
                  <c:v>-704.34033912816267</c:v>
                </c:pt>
                <c:pt idx="168">
                  <c:v>-708.12478619879812</c:v>
                </c:pt>
                <c:pt idx="169">
                  <c:v>-711.92168877456527</c:v>
                </c:pt>
                <c:pt idx="170">
                  <c:v>-715.7334342876353</c:v>
                </c:pt>
                <c:pt idx="171">
                  <c:v>-719.56244704421772</c:v>
                </c:pt>
                <c:pt idx="172">
                  <c:v>-723.41119451728821</c:v>
                </c:pt>
                <c:pt idx="173">
                  <c:v>-727.28219387076365</c:v>
                </c:pt>
                <c:pt idx="174">
                  <c:v>-731.1780187526673</c:v>
                </c:pt>
                <c:pt idx="175">
                  <c:v>-735.10130639735542</c:v>
                </c:pt>
                <c:pt idx="176">
                  <c:v>-739.05476507981507</c:v>
                </c:pt>
                <c:pt idx="177">
                  <c:v>-743.04118196845377</c:v>
                </c:pt>
                <c:pt idx="178">
                  <c:v>-747.06343142670369</c:v>
                </c:pt>
                <c:pt idx="179">
                  <c:v>-751.1244838182555</c:v>
                </c:pt>
                <c:pt idx="180">
                  <c:v>-755.22741487584358</c:v>
                </c:pt>
                <c:pt idx="181">
                  <c:v>-759.37541569936025</c:v>
                </c:pt>
                <c:pt idx="182">
                  <c:v>-763.57180345572272</c:v>
                </c:pt>
                <c:pt idx="183">
                  <c:v>-767.82003286050201</c:v>
                </c:pt>
                <c:pt idx="184">
                  <c:v>-772.12370852996401</c:v>
                </c:pt>
                <c:pt idx="185">
                  <c:v>-776.48659830201336</c:v>
                </c:pt>
                <c:pt idx="186">
                  <c:v>-780.91264763575111</c:v>
                </c:pt>
                <c:pt idx="187">
                  <c:v>-785.40599521218473</c:v>
                </c:pt>
                <c:pt idx="188">
                  <c:v>-789.97098987324785</c:v>
                </c:pt>
                <c:pt idx="189">
                  <c:v>-794.61220905306538</c:v>
                </c:pt>
                <c:pt idx="190">
                  <c:v>-799.33447887457703</c:v>
                </c:pt>
                <c:pt idx="191">
                  <c:v>-804.14289610669027</c:v>
                </c:pt>
                <c:pt idx="192">
                  <c:v>-809.04285220246788</c:v>
                </c:pt>
                <c:pt idx="193">
                  <c:v>-814.04005966806233</c:v>
                </c:pt>
                <c:pt idx="194">
                  <c:v>-819.14058104582148</c:v>
                </c:pt>
                <c:pt idx="195">
                  <c:v>-824.35086083399926</c:v>
                </c:pt>
                <c:pt idx="196">
                  <c:v>-829.67776071073467</c:v>
                </c:pt>
                <c:pt idx="197">
                  <c:v>-835.12859848253868</c:v>
                </c:pt>
                <c:pt idx="198">
                  <c:v>-840.71119123879237</c:v>
                </c:pt>
                <c:pt idx="199">
                  <c:v>-846.43390326531005</c:v>
                </c:pt>
                <c:pt idx="200">
                  <c:v>-852.30569935385904</c:v>
                </c:pt>
                <c:pt idx="201">
                  <c:v>-858.33620424296271</c:v>
                </c:pt>
                <c:pt idx="202">
                  <c:v>-864.53576904130045</c:v>
                </c:pt>
                <c:pt idx="203">
                  <c:v>-870.91554562203351</c:v>
                </c:pt>
                <c:pt idx="204">
                  <c:v>-877.48757013878924</c:v>
                </c:pt>
                <c:pt idx="205">
                  <c:v>-884.26485700714488</c:v>
                </c:pt>
                <c:pt idx="206">
                  <c:v>-891.26150492584543</c:v>
                </c:pt>
                <c:pt idx="207">
                  <c:v>-898.49281678785633</c:v>
                </c:pt>
                <c:pt idx="208">
                  <c:v>-905.97543566285844</c:v>
                </c:pt>
                <c:pt idx="209">
                  <c:v>-913.72749943271197</c:v>
                </c:pt>
                <c:pt idx="210">
                  <c:v>-921.76881714579156</c:v>
                </c:pt>
                <c:pt idx="211">
                  <c:v>-930.12107074520748</c:v>
                </c:pt>
                <c:pt idx="212">
                  <c:v>-938.80804654557903</c:v>
                </c:pt>
                <c:pt idx="213">
                  <c:v>-947.85590171614126</c:v>
                </c:pt>
                <c:pt idx="214">
                  <c:v>-957.29347211687241</c:v>
                </c:pt>
                <c:pt idx="215">
                  <c:v>-967.15262918374344</c:v>
                </c:pt>
                <c:pt idx="216">
                  <c:v>-934.14080087610876</c:v>
                </c:pt>
                <c:pt idx="217">
                  <c:v>-888.33055264046391</c:v>
                </c:pt>
                <c:pt idx="218">
                  <c:v>-845.74939166631691</c:v>
                </c:pt>
                <c:pt idx="219">
                  <c:v>-806.04415803634549</c:v>
                </c:pt>
                <c:pt idx="220">
                  <c:v>-768.91112827192762</c:v>
                </c:pt>
                <c:pt idx="221">
                  <c:v>-734.08764596315223</c:v>
                </c:pt>
                <c:pt idx="222">
                  <c:v>-701.3453966753541</c:v>
                </c:pt>
                <c:pt idx="223">
                  <c:v>-670.48496218388118</c:v>
                </c:pt>
                <c:pt idx="224">
                  <c:v>-641.3313788151172</c:v>
                </c:pt>
                <c:pt idx="225">
                  <c:v>-613.73049032031781</c:v>
                </c:pt>
                <c:pt idx="226">
                  <c:v>-587.54593425084317</c:v>
                </c:pt>
                <c:pt idx="227">
                  <c:v>-562.65663705243469</c:v>
                </c:pt>
                <c:pt idx="228">
                  <c:v>-538.95472041653045</c:v>
                </c:pt>
                <c:pt idx="229">
                  <c:v>-516.34374219688357</c:v>
                </c:pt>
                <c:pt idx="230">
                  <c:v>-494.73721111947606</c:v>
                </c:pt>
                <c:pt idx="231">
                  <c:v>-474.05732680973756</c:v>
                </c:pt>
                <c:pt idx="232">
                  <c:v>-454.23390622722161</c:v>
                </c:pt>
                <c:pt idx="233">
                  <c:v>-435.20346509139017</c:v>
                </c:pt>
                <c:pt idx="234">
                  <c:v>-416.9084287902395</c:v>
                </c:pt>
                <c:pt idx="235">
                  <c:v>-399.29645195026711</c:v>
                </c:pt>
                <c:pt idx="236">
                  <c:v>-382.31982958600076</c:v>
                </c:pt>
                <c:pt idx="237">
                  <c:v>-365.93498574790658</c:v>
                </c:pt>
                <c:pt idx="238">
                  <c:v>-350.10202800780513</c:v>
                </c:pt>
                <c:pt idx="239">
                  <c:v>-334.78435808299247</c:v>
                </c:pt>
                <c:pt idx="240">
                  <c:v>-319.94833049854628</c:v>
                </c:pt>
                <c:pt idx="241">
                  <c:v>-305.56295249514363</c:v>
                </c:pt>
                <c:pt idx="242">
                  <c:v>-291.59961946468974</c:v>
                </c:pt>
                <c:pt idx="243">
                  <c:v>-278.03188108324787</c:v>
                </c:pt>
                <c:pt idx="244">
                  <c:v>-264.8352340460026</c:v>
                </c:pt>
                <c:pt idx="245">
                  <c:v>-251.98693792056045</c:v>
                </c:pt>
                <c:pt idx="246">
                  <c:v>-239.46585114555532</c:v>
                </c:pt>
                <c:pt idx="247">
                  <c:v>-227.25228462940208</c:v>
                </c:pt>
                <c:pt idx="248">
                  <c:v>-215.32787076376579</c:v>
                </c:pt>
                <c:pt idx="249">
                  <c:v>-203.67544596977567</c:v>
                </c:pt>
                <c:pt idx="250">
                  <c:v>-192.27894515175137</c:v>
                </c:pt>
                <c:pt idx="251">
                  <c:v>-181.12330665113501</c:v>
                </c:pt>
                <c:pt idx="252">
                  <c:v>-170.19438647880705</c:v>
                </c:pt>
                <c:pt idx="253">
                  <c:v>-159.47888076227309</c:v>
                </c:pt>
                <c:pt idx="254">
                  <c:v>-148.96425547972729</c:v>
                </c:pt>
                <c:pt idx="255">
                  <c:v>-138.63868266924521</c:v>
                </c:pt>
                <c:pt idx="256">
                  <c:v>-128.49098240136763</c:v>
                </c:pt>
                <c:pt idx="257">
                  <c:v>-118.51056988957576</c:v>
                </c:pt>
                <c:pt idx="258">
                  <c:v>-108.68740718765483</c:v>
                </c:pt>
                <c:pt idx="259">
                  <c:v>-99.01195898748135</c:v>
                </c:pt>
                <c:pt idx="260">
                  <c:v>-89.47515208676208</c:v>
                </c:pt>
                <c:pt idx="261">
                  <c:v>-80.068338144943809</c:v>
                </c:pt>
                <c:pt idx="262">
                  <c:v>-70.783259387908316</c:v>
                </c:pt>
                <c:pt idx="263">
                  <c:v>-61.612016959086901</c:v>
                </c:pt>
                <c:pt idx="264">
                  <c:v>-52.547041646931525</c:v>
                </c:pt>
                <c:pt idx="265">
                  <c:v>-43.58106674699463</c:v>
                </c:pt>
                <c:pt idx="266">
                  <c:v>-34.707102841631297</c:v>
                </c:pt>
                <c:pt idx="267">
                  <c:v>-25.918414302076737</c:v>
                </c:pt>
                <c:pt idx="268">
                  <c:v>-17.20849733671724</c:v>
                </c:pt>
                <c:pt idx="269">
                  <c:v>-8.571059426109322</c:v>
                </c:pt>
                <c:pt idx="270">
                  <c:v>-8.991938512133818E-14</c:v>
                </c:pt>
                <c:pt idx="271">
                  <c:v>8.5106077755136731</c:v>
                </c:pt>
                <c:pt idx="272">
                  <c:v>16.966534221229796</c:v>
                </c:pt>
                <c:pt idx="273">
                  <c:v>25.373409489147729</c:v>
                </c:pt>
                <c:pt idx="274">
                  <c:v>33.736739129857014</c:v>
                </c:pt>
                <c:pt idx="275">
                  <c:v>42.061918977496767</c:v>
                </c:pt>
                <c:pt idx="276">
                  <c:v>50.354249440282999</c:v>
                </c:pt>
                <c:pt idx="277">
                  <c:v>58.61894927899877</c:v>
                </c:pt>
                <c:pt idx="278">
                  <c:v>66.861168951081069</c:v>
                </c:pt>
                <c:pt idx="279">
                  <c:v>75.08600359395065</c:v>
                </c:pt>
                <c:pt idx="280">
                  <c:v>83.298505717926659</c:v>
                </c:pt>
                <c:pt idx="281">
                  <c:v>91.503697676455502</c:v>
                </c:pt>
                <c:pt idx="282">
                  <c:v>99.706583979372567</c:v>
                </c:pt>
                <c:pt idx="283">
                  <c:v>107.91216351351301</c:v>
                </c:pt>
                <c:pt idx="284">
                  <c:v>116.12544173415822</c:v>
                </c:pt>
                <c:pt idx="285">
                  <c:v>124.35144289055411</c:v>
                </c:pt>
                <c:pt idx="286">
                  <c:v>132.59522234902306</c:v>
                </c:pt>
                <c:pt idx="287">
                  <c:v>140.86187907808537</c:v>
                </c:pt>
                <c:pt idx="288">
                  <c:v>149.15656836143484</c:v>
                </c:pt>
                <c:pt idx="289">
                  <c:v>157.48451480667794</c:v>
                </c:pt>
                <c:pt idx="290">
                  <c:v>165.85102572041578</c:v>
                </c:pt>
                <c:pt idx="291">
                  <c:v>174.2615049235938</c:v>
                </c:pt>
                <c:pt idx="292">
                  <c:v>182.72146708509462</c:v>
                </c:pt>
                <c:pt idx="293">
                  <c:v>191.23655265637345</c:v>
                </c:pt>
                <c:pt idx="294">
                  <c:v>199.81254349560265</c:v>
                </c:pt>
                <c:pt idx="295">
                  <c:v>208.45537927635797</c:v>
                </c:pt>
                <c:pt idx="296">
                  <c:v>217.17117478350158</c:v>
                </c:pt>
                <c:pt idx="297">
                  <c:v>225.96623820762727</c:v>
                </c:pt>
                <c:pt idx="298">
                  <c:v>234.84709055944819</c:v>
                </c:pt>
                <c:pt idx="299">
                  <c:v>243.82048633692131</c:v>
                </c:pt>
                <c:pt idx="300">
                  <c:v>252.89343559093024</c:v>
                </c:pt>
                <c:pt idx="301">
                  <c:v>262.07322755018976</c:v>
                </c:pt>
                <c:pt idx="302">
                  <c:v>271.36745598295153</c:v>
                </c:pt>
                <c:pt idx="303">
                  <c:v>280.78404649233562</c:v>
                </c:pt>
                <c:pt idx="304">
                  <c:v>290.33128596408005</c:v>
                </c:pt>
                <c:pt idx="305">
                  <c:v>300.01785441052789</c:v>
                </c:pt>
                <c:pt idx="306">
                  <c:v>309.85285948325179</c:v>
                </c:pt>
                <c:pt idx="307">
                  <c:v>319.84587395939377</c:v>
                </c:pt>
                <c:pt idx="308">
                  <c:v>330.00697654417303</c:v>
                </c:pt>
                <c:pt idx="309">
                  <c:v>340.34679637488574</c:v>
                </c:pt>
                <c:pt idx="310">
                  <c:v>350.87656166093979</c:v>
                </c:pt>
                <c:pt idx="311">
                  <c:v>361.60815295106011</c:v>
                </c:pt>
                <c:pt idx="312">
                  <c:v>372.554161584067</c:v>
                </c:pt>
                <c:pt idx="313">
                  <c:v>383.72795395497513</c:v>
                </c:pt>
                <c:pt idx="314">
                  <c:v>395.14374231537749</c:v>
                </c:pt>
                <c:pt idx="315">
                  <c:v>406.81666292825372</c:v>
                </c:pt>
                <c:pt idx="316">
                  <c:v>418.7628625149768</c:v>
                </c:pt>
                <c:pt idx="317">
                  <c:v>430.99959406943981</c:v>
                </c:pt>
                <c:pt idx="318">
                  <c:v>443.54532327445446</c:v>
                </c:pt>
                <c:pt idx="319">
                  <c:v>456.41984694341141</c:v>
                </c:pt>
                <c:pt idx="320">
                  <c:v>469.64442513082815</c:v>
                </c:pt>
                <c:pt idx="321">
                  <c:v>483.24192881552227</c:v>
                </c:pt>
                <c:pt idx="322">
                  <c:v>497.23700536756326</c:v>
                </c:pt>
                <c:pt idx="323">
                  <c:v>511.65626437472753</c:v>
                </c:pt>
                <c:pt idx="324">
                  <c:v>526.52848683790273</c:v>
                </c:pt>
                <c:pt idx="325">
                  <c:v>541.88486126267674</c:v>
                </c:pt>
                <c:pt idx="326">
                  <c:v>557.75925079462536</c:v>
                </c:pt>
                <c:pt idx="327">
                  <c:v>574.18849629173815</c:v>
                </c:pt>
                <c:pt idx="328">
                  <c:v>591.21276112778185</c:v>
                </c:pt>
                <c:pt idx="329">
                  <c:v>608.87592461168231</c:v>
                </c:pt>
                <c:pt idx="330">
                  <c:v>627.22603223609735</c:v>
                </c:pt>
                <c:pt idx="331">
                  <c:v>646.31581259203995</c:v>
                </c:pt>
                <c:pt idx="332">
                  <c:v>666.20327278023535</c:v>
                </c:pt>
                <c:pt idx="333">
                  <c:v>686.9523866104912</c:v>
                </c:pt>
                <c:pt idx="334">
                  <c:v>708.63389293197747</c:v>
                </c:pt>
                <c:pt idx="335">
                  <c:v>731.32622524228873</c:v>
                </c:pt>
                <c:pt idx="336">
                  <c:v>755.11659849385126</c:v>
                </c:pt>
                <c:pt idx="337">
                  <c:v>780.10228503275607</c:v>
                </c:pt>
                <c:pt idx="338">
                  <c:v>806.39211924011613</c:v>
                </c:pt>
                <c:pt idx="339">
                  <c:v>834.10828019759299</c:v>
                </c:pt>
                <c:pt idx="340">
                  <c:v>863.38841424025361</c:v>
                </c:pt>
                <c:pt idx="341">
                  <c:v>894.38817550656779</c:v>
                </c:pt>
                <c:pt idx="342">
                  <c:v>927.2842838054828</c:v>
                </c:pt>
                <c:pt idx="343">
                  <c:v>962.27822703737979</c:v>
                </c:pt>
                <c:pt idx="344">
                  <c:v>999.60077247225786</c:v>
                </c:pt>
                <c:pt idx="345">
                  <c:v>1039.5175008618271</c:v>
                </c:pt>
                <c:pt idx="346">
                  <c:v>1082.3356445941115</c:v>
                </c:pt>
                <c:pt idx="347">
                  <c:v>1128.4126030678071</c:v>
                </c:pt>
                <c:pt idx="348">
                  <c:v>1178.166635712186</c:v>
                </c:pt>
                <c:pt idx="349">
                  <c:v>1211.0396138196393</c:v>
                </c:pt>
                <c:pt idx="350">
                  <c:v>1235.784015749201</c:v>
                </c:pt>
                <c:pt idx="351">
                  <c:v>1261.3992197775844</c:v>
                </c:pt>
                <c:pt idx="352">
                  <c:v>1287.9484797561286</c:v>
                </c:pt>
                <c:pt idx="353">
                  <c:v>1315.5009307864948</c:v>
                </c:pt>
                <c:pt idx="354">
                  <c:v>1344.132305043393</c:v>
                </c:pt>
                <c:pt idx="355">
                  <c:v>1373.9257540960896</c:v>
                </c:pt>
                <c:pt idx="356">
                  <c:v>1404.9727967202509</c:v>
                </c:pt>
                <c:pt idx="357">
                  <c:v>1437.3744151612623</c:v>
                </c:pt>
                <c:pt idx="358">
                  <c:v>1471.2423277385012</c:v>
                </c:pt>
                <c:pt idx="359">
                  <c:v>1506.7004718311043</c:v>
                </c:pt>
                <c:pt idx="360">
                  <c:v>1535.6290769142151</c:v>
                </c:pt>
              </c:numCache>
            </c:numRef>
          </c:xVal>
          <c:yVal>
            <c:numRef>
              <c:f>strength!$O$33:$O$393</c:f>
              <c:numCache>
                <c:formatCode>0.0</c:formatCode>
                <c:ptCount val="361"/>
                <c:pt idx="0">
                  <c:v>0</c:v>
                </c:pt>
                <c:pt idx="1">
                  <c:v>26.951725944713257</c:v>
                </c:pt>
                <c:pt idx="2">
                  <c:v>54.217847042379972</c:v>
                </c:pt>
                <c:pt idx="3">
                  <c:v>81.820810382876303</c:v>
                </c:pt>
                <c:pt idx="4">
                  <c:v>109.78403703911805</c:v>
                </c:pt>
                <c:pt idx="5">
                  <c:v>138.13200862017615</c:v>
                </c:pt>
                <c:pt idx="6">
                  <c:v>166.89036083273564</c:v>
                </c:pt>
                <c:pt idx="7">
                  <c:v>196.08598484702833</c:v>
                </c:pt>
                <c:pt idx="8">
                  <c:v>225.74713735850335</c:v>
                </c:pt>
                <c:pt idx="9">
                  <c:v>255.90356034535685</c:v>
                </c:pt>
                <c:pt idx="10">
                  <c:v>286.58661164679455</c:v>
                </c:pt>
                <c:pt idx="11">
                  <c:v>317.82940763010805</c:v>
                </c:pt>
                <c:pt idx="12">
                  <c:v>349.66697937932435</c:v>
                </c:pt>
                <c:pt idx="13">
                  <c:v>382.13644402793244</c:v>
                </c:pt>
                <c:pt idx="14">
                  <c:v>415.27719307724647</c:v>
                </c:pt>
                <c:pt idx="15">
                  <c:v>449.13109979542099</c:v>
                </c:pt>
                <c:pt idx="16">
                  <c:v>483.74274808602388</c:v>
                </c:pt>
                <c:pt idx="17">
                  <c:v>519.15968555668803</c:v>
                </c:pt>
                <c:pt idx="18">
                  <c:v>555.43270391639021</c:v>
                </c:pt>
                <c:pt idx="19">
                  <c:v>592.61615029489258</c:v>
                </c:pt>
                <c:pt idx="20">
                  <c:v>630.76827362249503</c:v>
                </c:pt>
                <c:pt idx="21">
                  <c:v>669.95161084796246</c:v>
                </c:pt>
                <c:pt idx="22">
                  <c:v>710.23341852601129</c:v>
                </c:pt>
                <c:pt idx="23">
                  <c:v>751.68615619606726</c:v>
                </c:pt>
                <c:pt idx="24">
                  <c:v>794.3880290291994</c:v>
                </c:pt>
                <c:pt idx="25">
                  <c:v>838.42359847485875</c:v>
                </c:pt>
                <c:pt idx="26">
                  <c:v>883.88447113606219</c:v>
                </c:pt>
                <c:pt idx="27">
                  <c:v>930.87007789407437</c:v>
                </c:pt>
                <c:pt idx="28">
                  <c:v>979.48855745763694</c:v>
                </c:pt>
                <c:pt idx="29">
                  <c:v>1029.8577611102764</c:v>
                </c:pt>
                <c:pt idx="30">
                  <c:v>1082.106398576442</c:v>
                </c:pt>
                <c:pt idx="31">
                  <c:v>1136.3753487550368</c:v>
                </c:pt>
                <c:pt idx="32">
                  <c:v>1192.8191637448024</c:v>
                </c:pt>
                <c:pt idx="33">
                  <c:v>1251.6078003241221</c:v>
                </c:pt>
                <c:pt idx="34">
                  <c:v>1312.9286201229945</c:v>
                </c:pt>
                <c:pt idx="35">
                  <c:v>1376.9887084927216</c:v>
                </c:pt>
                <c:pt idx="36">
                  <c:v>1380.0091385956771</c:v>
                </c:pt>
                <c:pt idx="37">
                  <c:v>1361.1236744036255</c:v>
                </c:pt>
                <c:pt idx="38">
                  <c:v>1343.5694147825752</c:v>
                </c:pt>
                <c:pt idx="39">
                  <c:v>1327.2007680968238</c:v>
                </c:pt>
                <c:pt idx="40">
                  <c:v>1311.892523086864</c:v>
                </c:pt>
                <c:pt idx="41">
                  <c:v>1297.5363985620206</c:v>
                </c:pt>
                <c:pt idx="42">
                  <c:v>1284.0382709528624</c:v>
                </c:pt>
                <c:pt idx="43">
                  <c:v>1271.3159292719808</c:v>
                </c:pt>
                <c:pt idx="44">
                  <c:v>1259.2972440217147</c:v>
                </c:pt>
                <c:pt idx="45">
                  <c:v>1247.9186636513125</c:v>
                </c:pt>
                <c:pt idx="46">
                  <c:v>1237.1239721776685</c:v>
                </c:pt>
                <c:pt idx="47">
                  <c:v>1226.8632565275809</c:v>
                </c:pt>
                <c:pt idx="48">
                  <c:v>1217.0920434224297</c:v>
                </c:pt>
                <c:pt idx="49">
                  <c:v>1207.7705741887805</c:v>
                </c:pt>
                <c:pt idx="50">
                  <c:v>1198.8631924414069</c:v>
                </c:pt>
                <c:pt idx="51">
                  <c:v>1190.3378246543048</c:v>
                </c:pt>
                <c:pt idx="52">
                  <c:v>1182.1655375789467</c:v>
                </c:pt>
                <c:pt idx="53">
                  <c:v>1174.3201595582698</c:v>
                </c:pt>
                <c:pt idx="54">
                  <c:v>1166.7779552204895</c:v>
                </c:pt>
                <c:pt idx="55">
                  <c:v>1159.5173449690096</c:v>
                </c:pt>
                <c:pt idx="56">
                  <c:v>1152.5186622263814</c:v>
                </c:pt>
                <c:pt idx="57">
                  <c:v>1145.7639426272874</c:v>
                </c:pt>
                <c:pt idx="58">
                  <c:v>1139.2367403533144</c:v>
                </c:pt>
                <c:pt idx="59">
                  <c:v>1132.9219676111395</c:v>
                </c:pt>
                <c:pt idx="60">
                  <c:v>1126.8057539146519</c:v>
                </c:pt>
                <c:pt idx="61">
                  <c:v>1120.8753223707122</c:v>
                </c:pt>
                <c:pt idx="62">
                  <c:v>1115.1188806113953</c:v>
                </c:pt>
                <c:pt idx="63">
                  <c:v>1109.5255243813262</c:v>
                </c:pt>
                <c:pt idx="64">
                  <c:v>1104.0851520918104</c:v>
                </c:pt>
                <c:pt idx="65">
                  <c:v>1098.7883889055959</c:v>
                </c:pt>
                <c:pt idx="66">
                  <c:v>1093.6265191266207</c:v>
                </c:pt>
                <c:pt idx="67">
                  <c:v>1088.5914258454936</c:v>
                </c:pt>
                <c:pt idx="68">
                  <c:v>1083.6755369397563</c:v>
                </c:pt>
                <c:pt idx="69">
                  <c:v>1078.8717766530733</c:v>
                </c:pt>
                <c:pt idx="70">
                  <c:v>1074.1735220833455</c:v>
                </c:pt>
                <c:pt idx="71">
                  <c:v>1069.5745639995748</c:v>
                </c:pt>
                <c:pt idx="72">
                  <c:v>1065.0690714837824</c:v>
                </c:pt>
                <c:pt idx="73">
                  <c:v>1060.6515599595407</c:v>
                </c:pt>
                <c:pt idx="74">
                  <c:v>1056.3168622245512</c:v>
                </c:pt>
                <c:pt idx="75">
                  <c:v>1052.0601021526193</c:v>
                </c:pt>
                <c:pt idx="76">
                  <c:v>1047.8766707716131</c:v>
                </c:pt>
                <c:pt idx="77">
                  <c:v>1043.7622044595382</c:v>
                </c:pt>
                <c:pt idx="78">
                  <c:v>1039.7125650315757</c:v>
                </c:pt>
                <c:pt idx="79">
                  <c:v>1035.7238215175369</c:v>
                </c:pt>
                <c:pt idx="80">
                  <c:v>1031.792233452273</c:v>
                </c:pt>
                <c:pt idx="81">
                  <c:v>1027.9142355216422</c:v>
                </c:pt>
                <c:pt idx="82">
                  <c:v>1024.0864234241319</c:v>
                </c:pt>
                <c:pt idx="83">
                  <c:v>1020.3055408234702</c:v>
                </c:pt>
                <c:pt idx="84">
                  <c:v>1016.5684672809101</c:v>
                </c:pt>
                <c:pt idx="85">
                  <c:v>1012.8722070675055</c:v>
                </c:pt>
                <c:pt idx="86">
                  <c:v>1009.2138787669419</c:v>
                </c:pt>
                <c:pt idx="87">
                  <c:v>1005.5907055884193</c:v>
                </c:pt>
                <c:pt idx="88">
                  <c:v>1002.0000063169614</c:v>
                </c:pt>
                <c:pt idx="89">
                  <c:v>998.43918683541722</c:v>
                </c:pt>
                <c:pt idx="90">
                  <c:v>994.9057321584836</c:v>
                </c:pt>
                <c:pt idx="91">
                  <c:v>991.39719892438507</c:v>
                </c:pt>
                <c:pt idx="92">
                  <c:v>987.91120829452132</c:v>
                </c:pt>
                <c:pt idx="93">
                  <c:v>984.44543921545801</c:v>
                </c:pt>
                <c:pt idx="94">
                  <c:v>980.99762200120767</c:v>
                </c:pt>
                <c:pt idx="95">
                  <c:v>977.56553219684247</c:v>
                </c:pt>
                <c:pt idx="96">
                  <c:v>974.1469846871662</c:v>
                </c:pt>
                <c:pt idx="97">
                  <c:v>970.73982801647469</c:v>
                </c:pt>
                <c:pt idx="98">
                  <c:v>967.34193888739946</c:v>
                </c:pt>
                <c:pt idx="99">
                  <c:v>963.95121680847831</c:v>
                </c:pt>
                <c:pt idx="100">
                  <c:v>960.56557886144742</c:v>
                </c:pt>
                <c:pt idx="101">
                  <c:v>957.18295456033889</c:v>
                </c:pt>
                <c:pt idx="102">
                  <c:v>949.20385951456706</c:v>
                </c:pt>
                <c:pt idx="103">
                  <c:v>938.63645174583905</c:v>
                </c:pt>
                <c:pt idx="104">
                  <c:v>928.21904263732222</c:v>
                </c:pt>
                <c:pt idx="105">
                  <c:v>917.94224474103419</c:v>
                </c:pt>
                <c:pt idx="106">
                  <c:v>907.79709152264445</c:v>
                </c:pt>
                <c:pt idx="107">
                  <c:v>897.7750032183834</c:v>
                </c:pt>
                <c:pt idx="108">
                  <c:v>887.86775524165478</c:v>
                </c:pt>
                <c:pt idx="109">
                  <c:v>878.06744888004891</c:v>
                </c:pt>
                <c:pt idx="110">
                  <c:v>868.36648404990967</c:v>
                </c:pt>
                <c:pt idx="111">
                  <c:v>858.75753389883209</c:v>
                </c:pt>
                <c:pt idx="112">
                  <c:v>849.23352106681625</c:v>
                </c:pt>
                <c:pt idx="113">
                  <c:v>839.78759543470221</c:v>
                </c:pt>
                <c:pt idx="114">
                  <c:v>830.41311320419447</c:v>
                </c:pt>
                <c:pt idx="115">
                  <c:v>821.10361716756438</c:v>
                </c:pt>
                <c:pt idx="116">
                  <c:v>811.85281803718249</c:v>
                </c:pt>
                <c:pt idx="117">
                  <c:v>802.65457671560591</c:v>
                </c:pt>
                <c:pt idx="118">
                  <c:v>793.50288739615257</c:v>
                </c:pt>
                <c:pt idx="119">
                  <c:v>784.39186139191077</c:v>
                </c:pt>
                <c:pt idx="120">
                  <c:v>775.31571159806504</c:v>
                </c:pt>
                <c:pt idx="121">
                  <c:v>766.26873749835033</c:v>
                </c:pt>
                <c:pt idx="122">
                  <c:v>757.24531063151301</c:v>
                </c:pt>
                <c:pt idx="123">
                  <c:v>748.2398604378659</c:v>
                </c:pt>
                <c:pt idx="124">
                  <c:v>739.24686040949382</c:v>
                </c:pt>
                <c:pt idx="125">
                  <c:v>730.26081447040758</c:v>
                </c:pt>
                <c:pt idx="126">
                  <c:v>721.27624351500515</c:v>
                </c:pt>
                <c:pt idx="127">
                  <c:v>708.14041605694899</c:v>
                </c:pt>
                <c:pt idx="128">
                  <c:v>690.19361170769366</c:v>
                </c:pt>
                <c:pt idx="129">
                  <c:v>672.67423850192404</c:v>
                </c:pt>
                <c:pt idx="130">
                  <c:v>655.55690152100397</c:v>
                </c:pt>
                <c:pt idx="131">
                  <c:v>638.81783749262911</c:v>
                </c:pt>
                <c:pt idx="132">
                  <c:v>622.43477332236057</c:v>
                </c:pt>
                <c:pt idx="133">
                  <c:v>606.38679847769367</c:v>
                </c:pt>
                <c:pt idx="134">
                  <c:v>590.65424963304088</c:v>
                </c:pt>
                <c:pt idx="135">
                  <c:v>575.21860618734217</c:v>
                </c:pt>
                <c:pt idx="136">
                  <c:v>560.06239544042535</c:v>
                </c:pt>
                <c:pt idx="137">
                  <c:v>545.16910636418595</c:v>
                </c:pt>
                <c:pt idx="138">
                  <c:v>530.52311103391173</c:v>
                </c:pt>
                <c:pt idx="139">
                  <c:v>516.10959289671825</c:v>
                </c:pt>
                <c:pt idx="140">
                  <c:v>501.91448115071768</c:v>
                </c:pt>
                <c:pt idx="141">
                  <c:v>487.92439059238495</c:v>
                </c:pt>
                <c:pt idx="142">
                  <c:v>474.12656636248016</c:v>
                </c:pt>
                <c:pt idx="143">
                  <c:v>460.50883308433305</c:v>
                </c:pt>
                <c:pt idx="144">
                  <c:v>447.05954794365459</c:v>
                </c:pt>
                <c:pt idx="145">
                  <c:v>433.76755730740109</c:v>
                </c:pt>
                <c:pt idx="146">
                  <c:v>420.62215652151878</c:v>
                </c:pt>
                <c:pt idx="147">
                  <c:v>407.61305256444717</c:v>
                </c:pt>
                <c:pt idx="148">
                  <c:v>394.73032926574456</c:v>
                </c:pt>
                <c:pt idx="149">
                  <c:v>381.9644148277028</c:v>
                </c:pt>
                <c:pt idx="150">
                  <c:v>369.3060514128415</c:v>
                </c:pt>
                <c:pt idx="151">
                  <c:v>356.7462665821281</c:v>
                </c:pt>
                <c:pt idx="152">
                  <c:v>344.27634638805091</c:v>
                </c:pt>
                <c:pt idx="153">
                  <c:v>331.88780994358007</c:v>
                </c:pt>
                <c:pt idx="154">
                  <c:v>319.57238530284411</c:v>
                </c:pt>
                <c:pt idx="155">
                  <c:v>307.32198650228383</c:v>
                </c:pt>
                <c:pt idx="156">
                  <c:v>295.12869162229862</c:v>
                </c:pt>
                <c:pt idx="157">
                  <c:v>282.98472173915917</c:v>
                </c:pt>
                <c:pt idx="158">
                  <c:v>270.8824206453466</c:v>
                </c:pt>
                <c:pt idx="159">
                  <c:v>258.81423522364304</c:v>
                </c:pt>
                <c:pt idx="160">
                  <c:v>246.77269636631763</c:v>
                </c:pt>
                <c:pt idx="161">
                  <c:v>234.75040033573211</c:v>
                </c:pt>
                <c:pt idx="162">
                  <c:v>222.73999046668763</c:v>
                </c:pt>
                <c:pt idx="163">
                  <c:v>210.73413911391071</c:v>
                </c:pt>
                <c:pt idx="164">
                  <c:v>198.72552975026414</c:v>
                </c:pt>
                <c:pt idx="165">
                  <c:v>186.7068391226299</c:v>
                </c:pt>
                <c:pt idx="166">
                  <c:v>174.6707193729097</c:v>
                </c:pt>
                <c:pt idx="167">
                  <c:v>162.6097800312844</c:v>
                </c:pt>
                <c:pt idx="168">
                  <c:v>150.51656978773605</c:v>
                </c:pt>
                <c:pt idx="169">
                  <c:v>138.38355794584672</c:v>
                </c:pt>
                <c:pt idx="170">
                  <c:v>126.20311546003921</c:v>
                </c:pt>
                <c:pt idx="171">
                  <c:v>113.96749545365229</c:v>
                </c:pt>
                <c:pt idx="172">
                  <c:v>101.66881311051398</c:v>
                </c:pt>
                <c:pt idx="173">
                  <c:v>89.299024826922889</c:v>
                </c:pt>
                <c:pt idx="174">
                  <c:v>76.84990650407174</c:v>
                </c:pt>
                <c:pt idx="175">
                  <c:v>64.313030852865737</c:v>
                </c:pt>
                <c:pt idx="176">
                  <c:v>51.679743573691674</c:v>
                </c:pt>
                <c:pt idx="177">
                  <c:v>38.941138262812764</c:v>
                </c:pt>
                <c:pt idx="178">
                  <c:v>26.088029884565803</c:v>
                </c:pt>
                <c:pt idx="179">
                  <c:v>13.110926634221514</c:v>
                </c:pt>
                <c:pt idx="180">
                  <c:v>9.2526570043977112E-14</c:v>
                </c:pt>
                <c:pt idx="181">
                  <c:v>-13.254947185924307</c:v>
                </c:pt>
                <c:pt idx="182">
                  <c:v>-26.664514938875339</c:v>
                </c:pt>
                <c:pt idx="183">
                  <c:v>-40.239742811250423</c:v>
                </c:pt>
                <c:pt idx="184">
                  <c:v>-53.992149363500282</c:v>
                </c:pt>
                <c:pt idx="185">
                  <c:v>-67.933774731233981</c:v>
                </c:pt>
                <c:pt idx="186">
                  <c:v>-82.077226639049968</c:v>
                </c:pt>
                <c:pt idx="187">
                  <c:v>-96.435730252637086</c:v>
                </c:pt>
                <c:pt idx="188">
                  <c:v>-111.02318230746073</c:v>
                </c:pt>
                <c:pt idx="189">
                  <c:v>-125.85421000591306</c:v>
                </c:pt>
                <c:pt idx="190">
                  <c:v>-140.94423523612855</c:v>
                </c:pt>
                <c:pt idx="191">
                  <c:v>-156.30954473611862</c:v>
                </c:pt>
                <c:pt idx="192">
                  <c:v>-171.9673669078642</c:v>
                </c:pt>
                <c:pt idx="193">
                  <c:v>-187.93595607931098</c:v>
                </c:pt>
                <c:pt idx="194">
                  <c:v>-204.23468511995708</c:v>
                </c:pt>
                <c:pt idx="195">
                  <c:v>-220.88414744037058</c:v>
                </c:pt>
                <c:pt idx="196">
                  <c:v>-237.90626955050337</c:v>
                </c:pt>
                <c:pt idx="197">
                  <c:v>-255.32443551968217</c:v>
                </c:pt>
                <c:pt idx="198">
                  <c:v>-273.1636248769135</c:v>
                </c:pt>
                <c:pt idx="199">
                  <c:v>-291.45056571879974</c:v>
                </c:pt>
                <c:pt idx="200">
                  <c:v>-310.21390506024341</c:v>
                </c:pt>
                <c:pt idx="201">
                  <c:v>-329.48439877768664</c:v>
                </c:pt>
                <c:pt idx="202">
                  <c:v>-349.29512386525141</c:v>
                </c:pt>
                <c:pt idx="203">
                  <c:v>-369.6817161620001</c:v>
                </c:pt>
                <c:pt idx="204">
                  <c:v>-390.68263722747457</c:v>
                </c:pt>
                <c:pt idx="205">
                  <c:v>-412.33947465976621</c:v>
                </c:pt>
                <c:pt idx="206">
                  <c:v>-434.69728088658741</c:v>
                </c:pt>
                <c:pt idx="207">
                  <c:v>-457.80495634134729</c:v>
                </c:pt>
                <c:pt idx="208">
                  <c:v>-481.71568399555917</c:v>
                </c:pt>
                <c:pt idx="209">
                  <c:v>-506.48742349685693</c:v>
                </c:pt>
                <c:pt idx="210">
                  <c:v>-532.18347470972583</c:v>
                </c:pt>
                <c:pt idx="211">
                  <c:v>-558.87312233854266</c:v>
                </c:pt>
                <c:pt idx="212">
                  <c:v>-586.63237561219751</c:v>
                </c:pt>
                <c:pt idx="213">
                  <c:v>-615.54481983153539</c:v>
                </c:pt>
                <c:pt idx="214">
                  <c:v>-645.70260006048829</c:v>
                </c:pt>
                <c:pt idx="215">
                  <c:v>-677.20756155379684</c:v>
                </c:pt>
                <c:pt idx="216">
                  <c:v>-678.69301898148035</c:v>
                </c:pt>
                <c:pt idx="217">
                  <c:v>-669.40508577227467</c:v>
                </c:pt>
                <c:pt idx="218">
                  <c:v>-660.77184333569289</c:v>
                </c:pt>
                <c:pt idx="219">
                  <c:v>-652.72168922794594</c:v>
                </c:pt>
                <c:pt idx="220">
                  <c:v>-645.19304414108058</c:v>
                </c:pt>
                <c:pt idx="221">
                  <c:v>-638.13265503050184</c:v>
                </c:pt>
                <c:pt idx="222">
                  <c:v>-631.49423161616176</c:v>
                </c:pt>
                <c:pt idx="223">
                  <c:v>-625.23734226490865</c:v>
                </c:pt>
                <c:pt idx="224">
                  <c:v>-619.32651345330214</c:v>
                </c:pt>
                <c:pt idx="225">
                  <c:v>-613.73049032031759</c:v>
                </c:pt>
                <c:pt idx="226">
                  <c:v>-608.42162566114848</c:v>
                </c:pt>
                <c:pt idx="227">
                  <c:v>-603.37537206274465</c:v>
                </c:pt>
                <c:pt idx="228">
                  <c:v>-598.56985742086704</c:v>
                </c:pt>
                <c:pt idx="229">
                  <c:v>-593.98552828956406</c:v>
                </c:pt>
                <c:pt idx="230">
                  <c:v>-589.6048487416756</c:v>
                </c:pt>
                <c:pt idx="231">
                  <c:v>-585.41204491195288</c:v>
                </c:pt>
                <c:pt idx="232">
                  <c:v>-581.39288733390822</c:v>
                </c:pt>
                <c:pt idx="233">
                  <c:v>-577.53450470078826</c:v>
                </c:pt>
                <c:pt idx="234">
                  <c:v>-573.82522387892914</c:v>
                </c:pt>
                <c:pt idx="235">
                  <c:v>-570.25443195197204</c:v>
                </c:pt>
                <c:pt idx="236">
                  <c:v>-566.8124568326466</c:v>
                </c:pt>
                <c:pt idx="237">
                  <c:v>-563.49046358719022</c:v>
                </c:pt>
                <c:pt idx="238">
                  <c:v>-560.28036410818731</c:v>
                </c:pt>
                <c:pt idx="239">
                  <c:v>-557.17473816941288</c:v>
                </c:pt>
                <c:pt idx="240">
                  <c:v>-554.16676422032049</c:v>
                </c:pt>
                <c:pt idx="241">
                  <c:v>-551.25015854297294</c:v>
                </c:pt>
                <c:pt idx="242">
                  <c:v>-548.41912161216146</c:v>
                </c:pt>
                <c:pt idx="243">
                  <c:v>-545.66829067934077</c:v>
                </c:pt>
                <c:pt idx="244">
                  <c:v>-542.99269775007065</c:v>
                </c:pt>
                <c:pt idx="245">
                  <c:v>-540.38773224865361</c:v>
                </c:pt>
                <c:pt idx="246">
                  <c:v>-537.84910776719039</c:v>
                </c:pt>
                <c:pt idx="247">
                  <c:v>-535.37283238302962</c:v>
                </c:pt>
                <c:pt idx="248">
                  <c:v>-532.95518210151943</c:v>
                </c:pt>
                <c:pt idx="249">
                  <c:v>-530.5926770424951</c:v>
                </c:pt>
                <c:pt idx="250">
                  <c:v>-528.28206004098956</c:v>
                </c:pt>
                <c:pt idx="251">
                  <c:v>-526.02027737684</c:v>
                </c:pt>
                <c:pt idx="252">
                  <c:v>-523.80446138546665</c:v>
                </c:pt>
                <c:pt idx="253">
                  <c:v>-521.63191473420034</c:v>
                </c:pt>
                <c:pt idx="254">
                  <c:v>-519.50009617600881</c:v>
                </c:pt>
                <c:pt idx="255">
                  <c:v>-517.40660761604227</c:v>
                </c:pt>
                <c:pt idx="256">
                  <c:v>-515.34918234669499</c:v>
                </c:pt>
                <c:pt idx="257">
                  <c:v>-513.32567432436304</c:v>
                </c:pt>
                <c:pt idx="258">
                  <c:v>-511.33404837618468</c:v>
                </c:pt>
                <c:pt idx="259">
                  <c:v>-509.37237123813293</c:v>
                </c:pt>
                <c:pt idx="260">
                  <c:v>-507.43880333718334</c:v>
                </c:pt>
                <c:pt idx="261">
                  <c:v>-505.53159124015195</c:v>
                </c:pt>
                <c:pt idx="262">
                  <c:v>-503.6490607003924</c:v>
                </c:pt>
                <c:pt idx="263">
                  <c:v>-501.78961024105081</c:v>
                </c:pt>
                <c:pt idx="264">
                  <c:v>-499.95170522011961</c:v>
                </c:pt>
                <c:pt idx="265">
                  <c:v>-498.13387232828131</c:v>
                </c:pt>
                <c:pt idx="266">
                  <c:v>-496.33469447554529</c:v>
                </c:pt>
                <c:pt idx="267">
                  <c:v>-494.55280602709149</c:v>
                </c:pt>
                <c:pt idx="268">
                  <c:v>-492.78688835260391</c:v>
                </c:pt>
                <c:pt idx="269">
                  <c:v>-491.03566565676249</c:v>
                </c:pt>
                <c:pt idx="270">
                  <c:v>-489.29790106154923</c:v>
                </c:pt>
                <c:pt idx="271">
                  <c:v>-487.57239291363186</c:v>
                </c:pt>
                <c:pt idx="272">
                  <c:v>-485.85797129238739</c:v>
                </c:pt>
                <c:pt idx="273">
                  <c:v>-484.15349469612681</c:v>
                </c:pt>
                <c:pt idx="274">
                  <c:v>-482.45784688583973</c:v>
                </c:pt>
                <c:pt idx="275">
                  <c:v>-480.76993386729953</c:v>
                </c:pt>
                <c:pt idx="276">
                  <c:v>-479.08868099368834</c:v>
                </c:pt>
                <c:pt idx="277">
                  <c:v>-477.41303017203671</c:v>
                </c:pt>
                <c:pt idx="278">
                  <c:v>-475.74193715773737</c:v>
                </c:pt>
                <c:pt idx="279">
                  <c:v>-474.07436892220232</c:v>
                </c:pt>
                <c:pt idx="280">
                  <c:v>-472.40930107940034</c:v>
                </c:pt>
                <c:pt idx="281">
                  <c:v>-470.7457153575437</c:v>
                </c:pt>
                <c:pt idx="282">
                  <c:v>-469.08259710260006</c:v>
                </c:pt>
                <c:pt idx="283">
                  <c:v>-467.41893280058872</c:v>
                </c:pt>
                <c:pt idx="284">
                  <c:v>-465.75370760578994</c:v>
                </c:pt>
                <c:pt idx="285">
                  <c:v>-464.08590286204696</c:v>
                </c:pt>
                <c:pt idx="286">
                  <c:v>-462.41449360427953</c:v>
                </c:pt>
                <c:pt idx="287">
                  <c:v>-460.73844602715195</c:v>
                </c:pt>
                <c:pt idx="288">
                  <c:v>-459.05671490754361</c:v>
                </c:pt>
                <c:pt idx="289">
                  <c:v>-457.36824096705379</c:v>
                </c:pt>
                <c:pt idx="290">
                  <c:v>-455.67194816023095</c:v>
                </c:pt>
                <c:pt idx="291">
                  <c:v>-453.96674087354035</c:v>
                </c:pt>
                <c:pt idx="292">
                  <c:v>-452.25150101925618</c:v>
                </c:pt>
                <c:pt idx="293">
                  <c:v>-450.52508500749644</c:v>
                </c:pt>
                <c:pt idx="294">
                  <c:v>-448.7863205784588</c:v>
                </c:pt>
                <c:pt idx="295">
                  <c:v>-447.03400347559432</c:v>
                </c:pt>
                <c:pt idx="296">
                  <c:v>-445.26689393890211</c:v>
                </c:pt>
                <c:pt idx="297">
                  <c:v>-443.48371299576877</c:v>
                </c:pt>
                <c:pt idx="298">
                  <c:v>-441.68313852474137</c:v>
                </c:pt>
                <c:pt idx="299">
                  <c:v>-439.86380106531038</c:v>
                </c:pt>
                <c:pt idx="300">
                  <c:v>-438.02427934413845</c:v>
                </c:pt>
                <c:pt idx="301">
                  <c:v>-436.16309548515932</c:v>
                </c:pt>
                <c:pt idx="302">
                  <c:v>-434.27870986754505</c:v>
                </c:pt>
                <c:pt idx="303">
                  <c:v>-432.36951559163305</c:v>
                </c:pt>
                <c:pt idx="304">
                  <c:v>-430.43383250845648</c:v>
                </c:pt>
                <c:pt idx="305">
                  <c:v>-428.46990076344133</c:v>
                </c:pt>
                <c:pt idx="306">
                  <c:v>-426.47587379904297</c:v>
                </c:pt>
                <c:pt idx="307">
                  <c:v>-424.44981075446822</c:v>
                </c:pt>
                <c:pt idx="308">
                  <c:v>-422.38966819305159</c:v>
                </c:pt>
                <c:pt idx="309">
                  <c:v>-420.29329107916038</c:v>
                </c:pt>
                <c:pt idx="310">
                  <c:v>-418.15840291652898</c:v>
                </c:pt>
                <c:pt idx="311">
                  <c:v>-415.98259494844257</c:v>
                </c:pt>
                <c:pt idx="312">
                  <c:v>-413.76331430696257</c:v>
                </c:pt>
                <c:pt idx="313">
                  <c:v>-411.49785098310804</c:v>
                </c:pt>
                <c:pt idx="314">
                  <c:v>-409.18332347222355</c:v>
                </c:pt>
                <c:pt idx="315">
                  <c:v>-406.81666292825389</c:v>
                </c:pt>
                <c:pt idx="316">
                  <c:v>-404.39459563679151</c:v>
                </c:pt>
                <c:pt idx="317">
                  <c:v>-401.91362358896066</c:v>
                </c:pt>
                <c:pt idx="318">
                  <c:v>-399.3700029057116</c:v>
                </c:pt>
                <c:pt idx="319">
                  <c:v>-396.75971982401967</c:v>
                </c:pt>
                <c:pt idx="320">
                  <c:v>-394.07846391174382</c:v>
                </c:pt>
                <c:pt idx="321">
                  <c:v>-391.32159812516858</c:v>
                </c:pt>
                <c:pt idx="322">
                  <c:v>-388.48412526092125</c:v>
                </c:pt>
                <c:pt idx="323">
                  <c:v>-385.5606502800419</c:v>
                </c:pt>
                <c:pt idx="324">
                  <c:v>-382.54533789404746</c:v>
                </c:pt>
                <c:pt idx="325">
                  <c:v>-379.43186469784939</c:v>
                </c:pt>
                <c:pt idx="326">
                  <c:v>-376.21336500862628</c:v>
                </c:pt>
                <c:pt idx="327">
                  <c:v>-372.88236941851528</c:v>
                </c:pt>
                <c:pt idx="328">
                  <c:v>-369.430734886442</c:v>
                </c:pt>
                <c:pt idx="329">
                  <c:v>-365.84956497315386</c:v>
                </c:pt>
                <c:pt idx="330">
                  <c:v>-362.12911855425216</c:v>
                </c:pt>
                <c:pt idx="331">
                  <c:v>-358.25870501681919</c:v>
                </c:pt>
                <c:pt idx="332">
                  <c:v>-354.2265635409961</c:v>
                </c:pt>
                <c:pt idx="333">
                  <c:v>-350.01972356898136</c:v>
                </c:pt>
                <c:pt idx="334">
                  <c:v>-345.62384294521644</c:v>
                </c:pt>
                <c:pt idx="335">
                  <c:v>-341.02301944006717</c:v>
                </c:pt>
                <c:pt idx="336">
                  <c:v>-336.19957040207106</c:v>
                </c:pt>
                <c:pt idx="337">
                  <c:v>-331.13377406397279</c:v>
                </c:pt>
                <c:pt idx="338">
                  <c:v>-325.80356447979818</c:v>
                </c:pt>
                <c:pt idx="339">
                  <c:v>-320.18417009309974</c:v>
                </c:pt>
                <c:pt idx="340">
                  <c:v>-314.24768339374992</c:v>
                </c:pt>
                <c:pt idx="341">
                  <c:v>-307.96254582667564</c:v>
                </c:pt>
                <c:pt idx="342">
                  <c:v>-301.29292781562577</c:v>
                </c:pt>
                <c:pt idx="343">
                  <c:v>-294.19797810496914</c:v>
                </c:pt>
                <c:pt idx="344">
                  <c:v>-286.63090910736065</c:v>
                </c:pt>
                <c:pt idx="345">
                  <c:v>-278.53787487394538</c:v>
                </c:pt>
                <c:pt idx="346">
                  <c:v>-269.85658467263659</c:v>
                </c:pt>
                <c:pt idx="347">
                  <c:v>-260.5145765135531</c:v>
                </c:pt>
                <c:pt idx="348">
                  <c:v>-250.42704916132041</c:v>
                </c:pt>
                <c:pt idx="349">
                  <c:v>-235.40225451228451</c:v>
                </c:pt>
                <c:pt idx="350">
                  <c:v>-217.90206430483994</c:v>
                </c:pt>
                <c:pt idx="351">
                  <c:v>-199.78600945027981</c:v>
                </c:pt>
                <c:pt idx="352">
                  <c:v>-181.00935439860302</c:v>
                </c:pt>
                <c:pt idx="353">
                  <c:v>-161.52320415398287</c:v>
                </c:pt>
                <c:pt idx="354">
                  <c:v>-141.27399801747671</c:v>
                </c:pt>
                <c:pt idx="355">
                  <c:v>-120.20292800971438</c:v>
                </c:pt>
                <c:pt idx="356">
                  <c:v>-98.245268542004112</c:v>
                </c:pt>
                <c:pt idx="357">
                  <c:v>-75.329601096862646</c:v>
                </c:pt>
                <c:pt idx="358">
                  <c:v>-51.376914193458354</c:v>
                </c:pt>
                <c:pt idx="359">
                  <c:v>-26.299554563189407</c:v>
                </c:pt>
                <c:pt idx="360">
                  <c:v>-3.7627471817884024E-13</c:v>
                </c:pt>
              </c:numCache>
            </c:numRef>
          </c:yVal>
          <c:smooth val="0"/>
          <c:extLst>
            <c:ext xmlns:c16="http://schemas.microsoft.com/office/drawing/2014/chart" uri="{C3380CC4-5D6E-409C-BE32-E72D297353CC}">
              <c16:uniqueId val="{00000000-0804-4956-9261-E69EF91CAF98}"/>
            </c:ext>
          </c:extLst>
        </c:ser>
        <c:dLbls>
          <c:showLegendKey val="0"/>
          <c:showVal val="0"/>
          <c:showCatName val="0"/>
          <c:showSerName val="0"/>
          <c:showPercent val="0"/>
          <c:showBubbleSize val="0"/>
        </c:dLbls>
        <c:axId val="169269440"/>
        <c:axId val="169270016"/>
      </c:scatterChart>
      <c:valAx>
        <c:axId val="169269440"/>
        <c:scaling>
          <c:orientation val="minMax"/>
        </c:scaling>
        <c:delete val="0"/>
        <c:axPos val="b"/>
        <c:majorGridlines/>
        <c:title>
          <c:tx>
            <c:rich>
              <a:bodyPr/>
              <a:lstStyle/>
              <a:p>
                <a:pPr>
                  <a:defRPr>
                    <a:latin typeface="Arial"/>
                    <a:cs typeface="Arial"/>
                  </a:defRPr>
                </a:pPr>
                <a:r>
                  <a:rPr lang="el-GR">
                    <a:latin typeface="Arial"/>
                    <a:cs typeface="Arial"/>
                  </a:rPr>
                  <a:t>σ</a:t>
                </a:r>
                <a:r>
                  <a:rPr lang="es-ES" baseline="-25000">
                    <a:latin typeface="Arial"/>
                    <a:cs typeface="Arial"/>
                  </a:rPr>
                  <a:t>x</a:t>
                </a:r>
                <a:r>
                  <a:rPr lang="es-ES" baseline="0">
                    <a:latin typeface="Arial"/>
                    <a:cs typeface="Arial"/>
                  </a:rPr>
                  <a:t> = N</a:t>
                </a:r>
                <a:r>
                  <a:rPr lang="es-ES" baseline="-25000">
                    <a:latin typeface="Arial"/>
                    <a:cs typeface="Arial"/>
                  </a:rPr>
                  <a:t>x</a:t>
                </a:r>
                <a:r>
                  <a:rPr lang="es-ES" baseline="0">
                    <a:latin typeface="Arial"/>
                    <a:cs typeface="Arial"/>
                  </a:rPr>
                  <a:t>/t</a:t>
                </a:r>
                <a:endParaRPr lang="es-ES" baseline="-25000"/>
              </a:p>
            </c:rich>
          </c:tx>
          <c:overlay val="0"/>
        </c:title>
        <c:numFmt formatCode="General" sourceLinked="0"/>
        <c:majorTickMark val="out"/>
        <c:minorTickMark val="none"/>
        <c:tickLblPos val="nextTo"/>
        <c:crossAx val="169270016"/>
        <c:crosses val="autoZero"/>
        <c:crossBetween val="midCat"/>
      </c:valAx>
      <c:valAx>
        <c:axId val="169270016"/>
        <c:scaling>
          <c:orientation val="minMax"/>
        </c:scaling>
        <c:delete val="0"/>
        <c:axPos val="l"/>
        <c:majorGridlines/>
        <c:title>
          <c:tx>
            <c:rich>
              <a:bodyPr rot="-5400000" vert="horz"/>
              <a:lstStyle/>
              <a:p>
                <a:pPr>
                  <a:defRPr/>
                </a:pPr>
                <a:r>
                  <a:rPr lang="el-GR" sz="1000" b="1" i="0" baseline="0">
                    <a:effectLst/>
                    <a:latin typeface="Arial" panose="020B0604020202020204" pitchFamily="34" charset="0"/>
                    <a:cs typeface="Arial" panose="020B0604020202020204" pitchFamily="34" charset="0"/>
                  </a:rPr>
                  <a:t>σ</a:t>
                </a:r>
                <a:r>
                  <a:rPr lang="es-ES" sz="1000" b="1" i="0" baseline="-25000">
                    <a:effectLst/>
                    <a:latin typeface="Arial" panose="020B0604020202020204" pitchFamily="34" charset="0"/>
                    <a:cs typeface="Arial" panose="020B0604020202020204" pitchFamily="34" charset="0"/>
                  </a:rPr>
                  <a:t>y</a:t>
                </a:r>
                <a:r>
                  <a:rPr lang="es-ES" sz="1000" b="1" i="0" baseline="0">
                    <a:effectLst/>
                    <a:latin typeface="Arial" panose="020B0604020202020204" pitchFamily="34" charset="0"/>
                    <a:cs typeface="Arial" panose="020B0604020202020204" pitchFamily="34" charset="0"/>
                  </a:rPr>
                  <a:t> = N</a:t>
                </a:r>
                <a:r>
                  <a:rPr lang="es-ES" sz="1000" b="1" i="0" baseline="-25000">
                    <a:effectLst/>
                    <a:latin typeface="Arial" panose="020B0604020202020204" pitchFamily="34" charset="0"/>
                    <a:cs typeface="Arial" panose="020B0604020202020204" pitchFamily="34" charset="0"/>
                  </a:rPr>
                  <a:t>y</a:t>
                </a:r>
                <a:r>
                  <a:rPr lang="es-ES" sz="1000" b="1" i="0" baseline="0">
                    <a:effectLst/>
                    <a:latin typeface="Arial" panose="020B0604020202020204" pitchFamily="34" charset="0"/>
                    <a:cs typeface="Arial" panose="020B0604020202020204" pitchFamily="34" charset="0"/>
                  </a:rPr>
                  <a:t>/t</a:t>
                </a:r>
                <a:endParaRPr lang="es-ES" sz="1000">
                  <a:effectLst/>
                  <a:latin typeface="Arial" panose="020B0604020202020204" pitchFamily="34" charset="0"/>
                  <a:cs typeface="Arial" panose="020B0604020202020204" pitchFamily="34" charset="0"/>
                </a:endParaRPr>
              </a:p>
            </c:rich>
          </c:tx>
          <c:overlay val="0"/>
        </c:title>
        <c:numFmt formatCode="General" sourceLinked="0"/>
        <c:majorTickMark val="out"/>
        <c:minorTickMark val="none"/>
        <c:tickLblPos val="nextTo"/>
        <c:crossAx val="169269440"/>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541020</xdr:colOff>
      <xdr:row>0</xdr:row>
      <xdr:rowOff>99060</xdr:rowOff>
    </xdr:from>
    <xdr:to>
      <xdr:col>12</xdr:col>
      <xdr:colOff>769620</xdr:colOff>
      <xdr:row>13</xdr:row>
      <xdr:rowOff>144780</xdr:rowOff>
    </xdr:to>
    <xdr:graphicFrame macro="">
      <xdr:nvGraphicFramePr>
        <xdr:cNvPr id="2" name="1 Gráfico">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gustavo.banos@airbus.com" TargetMode="External"/><Relationship Id="rId1" Type="http://schemas.openxmlformats.org/officeDocument/2006/relationships/hyperlink" Target="mailto:gustavo.banos@airbus.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E31"/>
  <sheetViews>
    <sheetView showGridLines="0" tabSelected="1" view="pageBreakPreview" zoomScale="90" zoomScaleNormal="100" zoomScaleSheetLayoutView="90" workbookViewId="0">
      <selection activeCell="D16" sqref="D16"/>
    </sheetView>
  </sheetViews>
  <sheetFormatPr baseColWidth="10" defaultColWidth="10.85546875" defaultRowHeight="12.75" x14ac:dyDescent="0.2"/>
  <cols>
    <col min="1" max="1" width="15.7109375" style="48" customWidth="1"/>
    <col min="2" max="3" width="12.7109375" style="48" customWidth="1"/>
    <col min="4" max="4" width="25.7109375" style="48" customWidth="1"/>
    <col min="5" max="5" width="40.7109375" style="49" customWidth="1"/>
    <col min="6" max="16384" width="10.85546875" style="50"/>
  </cols>
  <sheetData>
    <row r="2" spans="1:5" s="41" customFormat="1" x14ac:dyDescent="0.2">
      <c r="A2" s="40" t="s">
        <v>0</v>
      </c>
      <c r="B2" s="97" t="s">
        <v>20</v>
      </c>
      <c r="C2" s="97"/>
      <c r="D2" s="97"/>
      <c r="E2" s="97"/>
    </row>
    <row r="3" spans="1:5" s="41" customFormat="1" x14ac:dyDescent="0.2">
      <c r="A3" s="40" t="s">
        <v>1</v>
      </c>
      <c r="B3" s="98" t="s">
        <v>142</v>
      </c>
      <c r="C3" s="99"/>
      <c r="D3" s="99"/>
      <c r="E3" s="99"/>
    </row>
    <row r="4" spans="1:5" s="41" customFormat="1" ht="12.75" customHeight="1" x14ac:dyDescent="0.2">
      <c r="A4" s="40" t="s">
        <v>2</v>
      </c>
      <c r="B4" s="98" t="s">
        <v>29</v>
      </c>
      <c r="C4" s="99"/>
      <c r="D4" s="99"/>
      <c r="E4" s="99"/>
    </row>
    <row r="5" spans="1:5" s="41" customFormat="1" x14ac:dyDescent="0.2">
      <c r="A5" s="40" t="s">
        <v>3</v>
      </c>
      <c r="B5" s="98" t="s">
        <v>85</v>
      </c>
      <c r="C5" s="99"/>
      <c r="D5" s="99"/>
      <c r="E5" s="99"/>
    </row>
    <row r="6" spans="1:5" s="42" customFormat="1" ht="150" customHeight="1" x14ac:dyDescent="0.2">
      <c r="A6" s="40" t="s">
        <v>4</v>
      </c>
      <c r="B6" s="90" t="s">
        <v>158</v>
      </c>
      <c r="C6" s="91"/>
      <c r="D6" s="91"/>
      <c r="E6" s="91"/>
    </row>
    <row r="7" spans="1:5" s="42" customFormat="1" x14ac:dyDescent="0.2">
      <c r="A7" s="40" t="s">
        <v>5</v>
      </c>
      <c r="B7" s="90" t="s">
        <v>6</v>
      </c>
      <c r="C7" s="91"/>
      <c r="D7" s="91"/>
      <c r="E7" s="91"/>
    </row>
    <row r="8" spans="1:5" s="42" customFormat="1" x14ac:dyDescent="0.2">
      <c r="A8" s="40" t="s">
        <v>7</v>
      </c>
      <c r="B8" s="90" t="s">
        <v>159</v>
      </c>
      <c r="C8" s="91"/>
      <c r="D8" s="91"/>
      <c r="E8" s="91"/>
    </row>
    <row r="9" spans="1:5" s="43" customFormat="1" ht="26.45" customHeight="1" x14ac:dyDescent="0.2">
      <c r="A9" s="40" t="s">
        <v>21</v>
      </c>
      <c r="B9" s="90" t="s">
        <v>28</v>
      </c>
      <c r="C9" s="90"/>
      <c r="D9" s="90"/>
      <c r="E9" s="90"/>
    </row>
    <row r="10" spans="1:5" s="43" customFormat="1" x14ac:dyDescent="0.2">
      <c r="A10" s="44" t="s">
        <v>22</v>
      </c>
      <c r="B10" s="96" t="s">
        <v>23</v>
      </c>
      <c r="C10" s="96"/>
      <c r="D10" s="96"/>
      <c r="E10" s="96"/>
    </row>
    <row r="11" spans="1:5" s="43" customFormat="1" x14ac:dyDescent="0.2">
      <c r="A11" s="45"/>
      <c r="B11" s="46"/>
      <c r="C11" s="46"/>
      <c r="D11" s="46"/>
      <c r="E11" s="46"/>
    </row>
    <row r="13" spans="1:5" x14ac:dyDescent="0.2">
      <c r="A13" s="47" t="s">
        <v>8</v>
      </c>
    </row>
    <row r="15" spans="1:5" x14ac:dyDescent="0.2">
      <c r="A15" s="51" t="s">
        <v>9</v>
      </c>
    </row>
    <row r="17" spans="1:5" s="54" customFormat="1" x14ac:dyDescent="0.2">
      <c r="A17" s="52" t="s">
        <v>10</v>
      </c>
      <c r="B17" s="52" t="s">
        <v>11</v>
      </c>
      <c r="C17" s="52" t="s">
        <v>12</v>
      </c>
      <c r="D17" s="52" t="s">
        <v>24</v>
      </c>
      <c r="E17" s="53" t="s">
        <v>13</v>
      </c>
    </row>
    <row r="18" spans="1:5" ht="25.5" x14ac:dyDescent="0.2">
      <c r="A18" s="55" t="s">
        <v>14</v>
      </c>
      <c r="B18" s="55" t="s">
        <v>27</v>
      </c>
      <c r="C18" s="55" t="s">
        <v>26</v>
      </c>
      <c r="D18" s="56" t="s">
        <v>25</v>
      </c>
      <c r="E18" s="57" t="s">
        <v>15</v>
      </c>
    </row>
    <row r="19" spans="1:5" ht="25.5" x14ac:dyDescent="0.2">
      <c r="A19" s="55" t="s">
        <v>142</v>
      </c>
      <c r="B19" s="55" t="s">
        <v>143</v>
      </c>
      <c r="C19" s="55" t="s">
        <v>144</v>
      </c>
      <c r="D19" s="56" t="s">
        <v>25</v>
      </c>
      <c r="E19" s="57" t="s">
        <v>145</v>
      </c>
    </row>
    <row r="20" spans="1:5" x14ac:dyDescent="0.2">
      <c r="A20" s="58"/>
      <c r="B20" s="58"/>
      <c r="C20" s="58"/>
      <c r="D20" s="58"/>
      <c r="E20" s="59"/>
    </row>
    <row r="21" spans="1:5" x14ac:dyDescent="0.2">
      <c r="A21" s="58"/>
      <c r="B21" s="58"/>
      <c r="C21" s="58"/>
      <c r="D21" s="58"/>
      <c r="E21" s="59"/>
    </row>
    <row r="23" spans="1:5" x14ac:dyDescent="0.2">
      <c r="A23" s="51" t="s">
        <v>16</v>
      </c>
    </row>
    <row r="25" spans="1:5" x14ac:dyDescent="0.2">
      <c r="A25" s="53" t="s">
        <v>17</v>
      </c>
      <c r="B25" s="92" t="s">
        <v>135</v>
      </c>
      <c r="C25" s="92"/>
      <c r="D25" s="92"/>
      <c r="E25" s="92"/>
    </row>
    <row r="26" spans="1:5" x14ac:dyDescent="0.2">
      <c r="A26" s="53" t="s">
        <v>18</v>
      </c>
      <c r="B26" s="92" t="s">
        <v>26</v>
      </c>
      <c r="C26" s="92"/>
      <c r="D26" s="92"/>
      <c r="E26" s="92"/>
    </row>
    <row r="27" spans="1:5" x14ac:dyDescent="0.2">
      <c r="A27" s="53" t="s">
        <v>11</v>
      </c>
      <c r="B27" s="92" t="s">
        <v>27</v>
      </c>
      <c r="C27" s="92"/>
      <c r="D27" s="92"/>
      <c r="E27" s="92"/>
    </row>
    <row r="28" spans="1:5" ht="39.6" customHeight="1" x14ac:dyDescent="0.2">
      <c r="A28" s="53" t="s">
        <v>19</v>
      </c>
      <c r="B28" s="93" t="s">
        <v>138</v>
      </c>
      <c r="C28" s="94"/>
      <c r="D28" s="94"/>
      <c r="E28" s="95"/>
    </row>
    <row r="29" spans="1:5" x14ac:dyDescent="0.2">
      <c r="B29" s="50"/>
    </row>
    <row r="30" spans="1:5" x14ac:dyDescent="0.2">
      <c r="B30" s="50"/>
    </row>
    <row r="31" spans="1:5" x14ac:dyDescent="0.2">
      <c r="B31" s="50"/>
    </row>
  </sheetData>
  <sheetProtection sheet="1" objects="1" scenarios="1"/>
  <mergeCells count="13">
    <mergeCell ref="B7:E7"/>
    <mergeCell ref="B2:E2"/>
    <mergeCell ref="B3:E3"/>
    <mergeCell ref="B4:E4"/>
    <mergeCell ref="B5:E5"/>
    <mergeCell ref="B6:E6"/>
    <mergeCell ref="B8:E8"/>
    <mergeCell ref="B25:E25"/>
    <mergeCell ref="B26:E26"/>
    <mergeCell ref="B27:E27"/>
    <mergeCell ref="B28:E28"/>
    <mergeCell ref="B9:E9"/>
    <mergeCell ref="B10:E10"/>
  </mergeCells>
  <hyperlinks>
    <hyperlink ref="D18" r:id="rId1" xr:uid="{00000000-0004-0000-0000-000000000000}"/>
    <hyperlink ref="D19" r:id="rId2" xr:uid="{00000000-0004-0000-0000-000001000000}"/>
  </hyperlinks>
  <pageMargins left="0.70866141732283472" right="0.70866141732283472" top="0.74803149606299213" bottom="0.74803149606299213" header="0.31496062992125984" footer="0.31496062992125984"/>
  <pageSetup paperSize="9" scale="82" orientation="portrait" r:id="rId3"/>
  <headerFooter>
    <oddHeader>&amp;L&amp;KFFFFFF.</oddHeader>
    <oddFooter>&amp;L&amp;KFFFFFF.</oddFooter>
  </headerFooter>
  <ignoredErrors>
    <ignoredError sqref="A18:A19 B3" numberStoredAsText="1"/>
  </ignoredErrors>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9"/>
  <sheetViews>
    <sheetView workbookViewId="0">
      <selection activeCell="C47" sqref="C47"/>
    </sheetView>
  </sheetViews>
  <sheetFormatPr baseColWidth="10" defaultColWidth="8.7109375" defaultRowHeight="12.75" x14ac:dyDescent="0.2"/>
  <cols>
    <col min="1" max="4" width="8.7109375" style="61"/>
    <col min="5" max="5" width="9.28515625" style="61" bestFit="1" customWidth="1"/>
    <col min="6" max="6" width="8.7109375" style="61"/>
    <col min="7" max="7" width="9.28515625" style="61" bestFit="1" customWidth="1"/>
    <col min="8" max="16384" width="8.7109375" style="61"/>
  </cols>
  <sheetData>
    <row r="1" spans="1:14" x14ac:dyDescent="0.2">
      <c r="A1" s="60" t="s">
        <v>80</v>
      </c>
    </row>
    <row r="3" spans="1:14" ht="15" x14ac:dyDescent="0.2">
      <c r="A3" s="62" t="s">
        <v>30</v>
      </c>
    </row>
    <row r="4" spans="1:14" ht="15" x14ac:dyDescent="0.2">
      <c r="A4" s="63"/>
    </row>
    <row r="5" spans="1:14" s="64" customFormat="1" ht="22.5" x14ac:dyDescent="0.2">
      <c r="A5" s="64" t="s">
        <v>150</v>
      </c>
      <c r="B5" s="64" t="s">
        <v>151</v>
      </c>
      <c r="C5" s="64" t="s">
        <v>152</v>
      </c>
      <c r="D5" s="64" t="s">
        <v>146</v>
      </c>
      <c r="E5" s="64" t="s">
        <v>153</v>
      </c>
      <c r="F5" s="65" t="s">
        <v>31</v>
      </c>
      <c r="G5" s="65" t="s">
        <v>32</v>
      </c>
      <c r="I5" s="66"/>
      <c r="J5" s="66"/>
      <c r="K5" s="66"/>
      <c r="L5" s="66"/>
      <c r="M5" s="66"/>
      <c r="N5" s="66"/>
    </row>
    <row r="6" spans="1:14" ht="15" x14ac:dyDescent="0.2">
      <c r="A6" s="34">
        <f>(178000+146000)/2</f>
        <v>162000</v>
      </c>
      <c r="B6" s="34">
        <f>100*TRUNC(((A6/0.88)*0.0522)/100)</f>
        <v>9600</v>
      </c>
      <c r="C6" s="34">
        <v>5200</v>
      </c>
      <c r="D6" s="34">
        <v>0.32</v>
      </c>
      <c r="E6" s="67">
        <f>B6*D6/A6</f>
        <v>1.8962962962962963E-2</v>
      </c>
      <c r="F6" s="68">
        <f>COS(45*PI()/180)</f>
        <v>0.70710678118654757</v>
      </c>
      <c r="G6" s="69">
        <f>F6^4</f>
        <v>0.25000000000000011</v>
      </c>
      <c r="I6" s="70"/>
      <c r="J6" s="70"/>
      <c r="K6" s="71"/>
      <c r="L6" s="70"/>
      <c r="M6" s="70"/>
      <c r="N6" s="70"/>
    </row>
    <row r="7" spans="1:14" ht="15" x14ac:dyDescent="0.2">
      <c r="E7" s="72"/>
      <c r="F7" s="73"/>
      <c r="G7" s="74"/>
      <c r="I7" s="70"/>
      <c r="J7" s="70"/>
      <c r="K7" s="71"/>
      <c r="L7" s="70"/>
      <c r="M7" s="70"/>
      <c r="N7" s="70"/>
    </row>
    <row r="8" spans="1:14" ht="15" x14ac:dyDescent="0.2">
      <c r="A8" s="62" t="s">
        <v>84</v>
      </c>
      <c r="E8" s="72"/>
      <c r="F8" s="73"/>
      <c r="G8" s="74"/>
      <c r="I8" s="70"/>
      <c r="J8" s="70"/>
      <c r="K8" s="71"/>
      <c r="L8" s="70"/>
      <c r="M8" s="70"/>
      <c r="N8" s="70"/>
    </row>
    <row r="9" spans="1:14" ht="15" x14ac:dyDescent="0.2">
      <c r="I9" s="75"/>
      <c r="J9" s="70"/>
      <c r="K9" s="70"/>
      <c r="L9" s="70"/>
      <c r="M9" s="70"/>
      <c r="N9" s="70"/>
    </row>
    <row r="10" spans="1:14" x14ac:dyDescent="0.2">
      <c r="B10" s="76">
        <f>$A$6/(1-$D$6*$E$6)</f>
        <v>162989.04165126456</v>
      </c>
      <c r="C10" s="77">
        <f>$E$6*$A$6/(1-$D$6*$E$6)</f>
        <v>3090.7551602017575</v>
      </c>
      <c r="D10" s="78">
        <v>0</v>
      </c>
    </row>
    <row r="11" spans="1:14" ht="15" x14ac:dyDescent="0.2">
      <c r="A11" s="64" t="s">
        <v>33</v>
      </c>
      <c r="B11" s="76">
        <f>$E$6*$A$6/(1-$D$6*$E$6)</f>
        <v>3090.7551602017575</v>
      </c>
      <c r="C11" s="77">
        <f>$B$6/(1-$D$6*$E$6)</f>
        <v>9658.6098756304928</v>
      </c>
      <c r="D11" s="78">
        <v>0</v>
      </c>
      <c r="F11" s="79"/>
    </row>
    <row r="12" spans="1:14" ht="15" x14ac:dyDescent="0.2">
      <c r="A12" s="64"/>
      <c r="B12" s="80">
        <v>0</v>
      </c>
      <c r="C12" s="81">
        <v>0</v>
      </c>
      <c r="D12" s="78">
        <f>$C$6</f>
        <v>5200</v>
      </c>
    </row>
    <row r="13" spans="1:14" ht="15" x14ac:dyDescent="0.2">
      <c r="A13" s="64"/>
    </row>
    <row r="14" spans="1:14" ht="15" x14ac:dyDescent="0.2">
      <c r="A14" s="64"/>
      <c r="B14" s="76">
        <f>$B$6/(1-$D$6*$E$6)</f>
        <v>9658.6098756304928</v>
      </c>
      <c r="C14" s="82">
        <f>$E$6*$A$6/(1-$D$6*$E$6)</f>
        <v>3090.7551602017575</v>
      </c>
      <c r="D14" s="78">
        <v>0</v>
      </c>
    </row>
    <row r="15" spans="1:14" ht="15" x14ac:dyDescent="0.2">
      <c r="A15" s="64" t="s">
        <v>34</v>
      </c>
      <c r="B15" s="76">
        <f>$E$6*$A$6/(1-$D$6*$E$6)</f>
        <v>3090.7551602017575</v>
      </c>
      <c r="C15" s="82">
        <f>$A$6/(1-$D$6*$E$6)</f>
        <v>162989.04165126456</v>
      </c>
      <c r="D15" s="78">
        <v>0</v>
      </c>
      <c r="F15" s="79"/>
    </row>
    <row r="16" spans="1:14" ht="15" x14ac:dyDescent="0.2">
      <c r="A16" s="64"/>
      <c r="B16" s="80">
        <v>0</v>
      </c>
      <c r="C16" s="83">
        <v>0</v>
      </c>
      <c r="D16" s="78">
        <f>$C$6</f>
        <v>5200</v>
      </c>
    </row>
    <row r="17" spans="1:12" ht="15" x14ac:dyDescent="0.2">
      <c r="A17" s="64"/>
    </row>
    <row r="18" spans="1:12" ht="15" x14ac:dyDescent="0.2">
      <c r="A18" s="64"/>
      <c r="B18" s="76">
        <f>$B$10*$G$6+2*($C$10+2*$D$12)*$G$6+$C$11*$G$6</f>
        <v>49907.290461824661</v>
      </c>
      <c r="C18" s="82">
        <f>($B$10+$C$11-4*$D$12)*$G$6+$C$10*($G$6+$G$6)</f>
        <v>39507.290461824661</v>
      </c>
      <c r="D18" s="78">
        <v>0</v>
      </c>
    </row>
    <row r="19" spans="1:12" ht="15" x14ac:dyDescent="0.2">
      <c r="A19" s="64" t="s">
        <v>35</v>
      </c>
      <c r="B19" s="76">
        <f>($B$10+$C$11-4*$D$12)*$G$6+$C$10*($G$6+$G$6)</f>
        <v>39507.290461824661</v>
      </c>
      <c r="C19" s="82">
        <f>$B$10*$G$6+2*($C$10+2*$D$12)*$G$6+$C$11*$G$6</f>
        <v>49907.290461824661</v>
      </c>
      <c r="D19" s="78">
        <v>0</v>
      </c>
      <c r="F19" s="79"/>
    </row>
    <row r="20" spans="1:12" ht="15" x14ac:dyDescent="0.2">
      <c r="A20" s="64"/>
      <c r="B20" s="80">
        <v>0</v>
      </c>
      <c r="C20" s="81">
        <v>0</v>
      </c>
      <c r="D20" s="84">
        <f>($B$10+$C$11-2*$C$10-2*$D$12)*$G$6+$D$12*($G$6+$G$6)</f>
        <v>41616.535301622898</v>
      </c>
    </row>
    <row r="22" spans="1:12" ht="15" x14ac:dyDescent="0.2">
      <c r="A22" s="62" t="s">
        <v>81</v>
      </c>
    </row>
    <row r="23" spans="1:12" x14ac:dyDescent="0.2">
      <c r="A23" s="79"/>
      <c r="I23" s="79"/>
    </row>
    <row r="24" spans="1:12" s="64" customFormat="1" ht="18" x14ac:dyDescent="0.2">
      <c r="A24" s="64" t="s">
        <v>36</v>
      </c>
      <c r="B24" s="64" t="s">
        <v>37</v>
      </c>
      <c r="C24" s="64" t="s">
        <v>38</v>
      </c>
      <c r="D24" s="64" t="s">
        <v>39</v>
      </c>
      <c r="E24" s="64" t="s">
        <v>40</v>
      </c>
      <c r="F24" s="64" t="s">
        <v>41</v>
      </c>
      <c r="G24" s="64" t="s">
        <v>42</v>
      </c>
      <c r="H24" s="64" t="s">
        <v>43</v>
      </c>
      <c r="I24" s="64" t="s">
        <v>154</v>
      </c>
      <c r="J24" s="64" t="s">
        <v>155</v>
      </c>
      <c r="K24" s="64" t="s">
        <v>156</v>
      </c>
      <c r="L24" s="64" t="s">
        <v>157</v>
      </c>
    </row>
    <row r="25" spans="1:12" x14ac:dyDescent="0.2">
      <c r="A25" s="34" t="s">
        <v>44</v>
      </c>
      <c r="B25" s="35">
        <v>0.1</v>
      </c>
      <c r="C25" s="35">
        <v>0.8</v>
      </c>
      <c r="D25" s="85">
        <f t="shared" ref="D25:D32" si="0">1-B25-C25</f>
        <v>9.9999999999999978E-2</v>
      </c>
      <c r="E25" s="77">
        <f t="shared" ref="E25:E32" si="1">$B25*$B$10+$C25*$B$18+$D25*$B$14</f>
        <v>57190.597522149241</v>
      </c>
      <c r="F25" s="77">
        <f t="shared" ref="F25:F32" si="2">$B25*$C$11+$C25*$C$19+$D25*$C$15</f>
        <v>57190.597522149241</v>
      </c>
      <c r="G25" s="77">
        <f t="shared" ref="G25:G32" si="3">$B25*$C$10+$C25*$C$18+$D25*$C$14</f>
        <v>32223.983401500085</v>
      </c>
      <c r="H25" s="77">
        <f t="shared" ref="H25:H32" si="4">$B25*$D$12+$C25*$D$20+$D25*$D$16</f>
        <v>34333.228241298319</v>
      </c>
      <c r="I25" s="86">
        <f>$E25*(1-$G25*$G25/($E25*$F25))</f>
        <v>39034.027189796994</v>
      </c>
      <c r="J25" s="87">
        <f>$F25*(1-$G25*$G25/($E25*$F25))</f>
        <v>39034.027189796994</v>
      </c>
      <c r="K25" s="87">
        <f>H25</f>
        <v>34333.228241298319</v>
      </c>
      <c r="L25" s="88">
        <f>$G25/$F25</f>
        <v>0.56344897234235258</v>
      </c>
    </row>
    <row r="26" spans="1:12" x14ac:dyDescent="0.2">
      <c r="A26" s="34" t="s">
        <v>45</v>
      </c>
      <c r="B26" s="35">
        <v>0.25</v>
      </c>
      <c r="C26" s="35">
        <v>0.5</v>
      </c>
      <c r="D26" s="85">
        <f t="shared" si="0"/>
        <v>0.25</v>
      </c>
      <c r="E26" s="77">
        <f t="shared" si="1"/>
        <v>68115.558112636092</v>
      </c>
      <c r="F26" s="77">
        <f t="shared" si="2"/>
        <v>68115.558112636092</v>
      </c>
      <c r="G26" s="77">
        <f t="shared" si="3"/>
        <v>21299.022811013212</v>
      </c>
      <c r="H26" s="77">
        <f t="shared" si="4"/>
        <v>23408.267650811449</v>
      </c>
      <c r="I26" s="86">
        <f t="shared" ref="I26:I28" si="5">E26*(1-G26*G26/(E26*F26))</f>
        <v>61455.576380505132</v>
      </c>
      <c r="J26" s="87">
        <f t="shared" ref="J26:J39" si="6">$F26*(1-$G26*$G26/($E26*$F26))</f>
        <v>61455.576380505132</v>
      </c>
      <c r="K26" s="87">
        <f t="shared" ref="K26:K28" si="7">H26</f>
        <v>23408.267650811449</v>
      </c>
      <c r="L26" s="88">
        <f t="shared" ref="L26:L39" si="8">$G26/$F26</f>
        <v>0.31268954408026844</v>
      </c>
    </row>
    <row r="27" spans="1:12" x14ac:dyDescent="0.2">
      <c r="A27" s="34" t="s">
        <v>46</v>
      </c>
      <c r="B27" s="35">
        <v>0.4</v>
      </c>
      <c r="C27" s="35">
        <v>0.4</v>
      </c>
      <c r="D27" s="85">
        <f t="shared" si="0"/>
        <v>0.19999999999999996</v>
      </c>
      <c r="E27" s="77">
        <f t="shared" si="1"/>
        <v>87090.254820361792</v>
      </c>
      <c r="F27" s="77">
        <f t="shared" si="2"/>
        <v>56424.168465234965</v>
      </c>
      <c r="G27" s="77">
        <f t="shared" si="3"/>
        <v>17657.369280850919</v>
      </c>
      <c r="H27" s="77">
        <f t="shared" si="4"/>
        <v>19766.614120649159</v>
      </c>
      <c r="I27" s="86">
        <f t="shared" si="5"/>
        <v>81564.560806591107</v>
      </c>
      <c r="J27" s="87">
        <f t="shared" si="6"/>
        <v>52844.17331464732</v>
      </c>
      <c r="K27" s="87">
        <f t="shared" si="7"/>
        <v>19766.614120649159</v>
      </c>
      <c r="L27" s="88">
        <f t="shared" si="8"/>
        <v>0.31293982279473526</v>
      </c>
    </row>
    <row r="28" spans="1:12" x14ac:dyDescent="0.2">
      <c r="A28" s="34" t="s">
        <v>47</v>
      </c>
      <c r="B28" s="35">
        <v>0.5</v>
      </c>
      <c r="C28" s="35">
        <v>0.4</v>
      </c>
      <c r="D28" s="85">
        <f t="shared" si="0"/>
        <v>9.9999999999999978E-2</v>
      </c>
      <c r="E28" s="77">
        <f t="shared" si="1"/>
        <v>102423.2979979252</v>
      </c>
      <c r="F28" s="77">
        <f t="shared" si="2"/>
        <v>41091.125287671566</v>
      </c>
      <c r="G28" s="77">
        <f t="shared" si="3"/>
        <v>17657.369280850922</v>
      </c>
      <c r="H28" s="77">
        <f t="shared" si="4"/>
        <v>19766.614120649159</v>
      </c>
      <c r="I28" s="86">
        <f t="shared" si="5"/>
        <v>94835.706085131285</v>
      </c>
      <c r="J28" s="87">
        <f t="shared" si="6"/>
        <v>38047.065039517343</v>
      </c>
      <c r="K28" s="87">
        <f t="shared" si="7"/>
        <v>19766.614120649159</v>
      </c>
      <c r="L28" s="88">
        <f t="shared" si="8"/>
        <v>0.42971247823550368</v>
      </c>
    </row>
    <row r="29" spans="1:12" x14ac:dyDescent="0.2">
      <c r="A29" s="34" t="s">
        <v>136</v>
      </c>
      <c r="B29" s="35">
        <v>0.6</v>
      </c>
      <c r="C29" s="35">
        <v>0.3</v>
      </c>
      <c r="D29" s="85">
        <f t="shared" si="0"/>
        <v>0.10000000000000003</v>
      </c>
      <c r="E29" s="77">
        <f t="shared" si="1"/>
        <v>113731.47311686918</v>
      </c>
      <c r="F29" s="77">
        <f t="shared" si="2"/>
        <v>37066.257229052157</v>
      </c>
      <c r="G29" s="77">
        <f t="shared" si="3"/>
        <v>14015.715750688629</v>
      </c>
      <c r="H29" s="77">
        <f t="shared" si="4"/>
        <v>16124.960590486869</v>
      </c>
      <c r="I29" s="86">
        <f t="shared" ref="I29:I31" si="9">E29*(1-G29*G29/(E29*F29))</f>
        <v>108431.76651875779</v>
      </c>
      <c r="J29" s="87">
        <f t="shared" si="6"/>
        <v>35339.028322043792</v>
      </c>
      <c r="K29" s="87">
        <f t="shared" ref="K29:K31" si="10">H29</f>
        <v>16124.960590486869</v>
      </c>
      <c r="L29" s="88">
        <f t="shared" si="8"/>
        <v>0.37812600457818152</v>
      </c>
    </row>
    <row r="30" spans="1:12" x14ac:dyDescent="0.2">
      <c r="A30" s="34"/>
      <c r="B30" s="35"/>
      <c r="C30" s="35"/>
      <c r="D30" s="85">
        <f t="shared" si="0"/>
        <v>1</v>
      </c>
      <c r="E30" s="77">
        <f t="shared" si="1"/>
        <v>9658.6098756304928</v>
      </c>
      <c r="F30" s="77">
        <f t="shared" si="2"/>
        <v>162989.04165126456</v>
      </c>
      <c r="G30" s="77">
        <f t="shared" si="3"/>
        <v>3090.7551602017575</v>
      </c>
      <c r="H30" s="77">
        <f t="shared" si="4"/>
        <v>5200</v>
      </c>
      <c r="I30" s="86">
        <f t="shared" si="9"/>
        <v>9600</v>
      </c>
      <c r="J30" s="87">
        <f t="shared" si="6"/>
        <v>162000</v>
      </c>
      <c r="K30" s="87">
        <f t="shared" si="10"/>
        <v>5200</v>
      </c>
      <c r="L30" s="88">
        <f t="shared" si="8"/>
        <v>1.8962962962962963E-2</v>
      </c>
    </row>
    <row r="31" spans="1:12" x14ac:dyDescent="0.2">
      <c r="A31" s="34"/>
      <c r="B31" s="35"/>
      <c r="C31" s="35"/>
      <c r="D31" s="85">
        <f t="shared" si="0"/>
        <v>1</v>
      </c>
      <c r="E31" s="77">
        <f t="shared" si="1"/>
        <v>9658.6098756304928</v>
      </c>
      <c r="F31" s="77">
        <f t="shared" si="2"/>
        <v>162989.04165126456</v>
      </c>
      <c r="G31" s="77">
        <f t="shared" si="3"/>
        <v>3090.7551602017575</v>
      </c>
      <c r="H31" s="77">
        <f t="shared" si="4"/>
        <v>5200</v>
      </c>
      <c r="I31" s="86">
        <f t="shared" si="9"/>
        <v>9600</v>
      </c>
      <c r="J31" s="87">
        <f t="shared" si="6"/>
        <v>162000</v>
      </c>
      <c r="K31" s="87">
        <f t="shared" si="10"/>
        <v>5200</v>
      </c>
      <c r="L31" s="88">
        <f t="shared" si="8"/>
        <v>1.8962962962962963E-2</v>
      </c>
    </row>
    <row r="32" spans="1:12" x14ac:dyDescent="0.2">
      <c r="A32" s="34"/>
      <c r="B32" s="35"/>
      <c r="C32" s="35"/>
      <c r="D32" s="85">
        <f t="shared" si="0"/>
        <v>1</v>
      </c>
      <c r="E32" s="77">
        <f t="shared" si="1"/>
        <v>9658.6098756304928</v>
      </c>
      <c r="F32" s="77">
        <f t="shared" si="2"/>
        <v>162989.04165126456</v>
      </c>
      <c r="G32" s="77">
        <f t="shared" si="3"/>
        <v>3090.7551602017575</v>
      </c>
      <c r="H32" s="77">
        <f t="shared" si="4"/>
        <v>5200</v>
      </c>
      <c r="I32" s="86">
        <f t="shared" ref="I32:I34" si="11">E32*(1-G32*G32/(E32*F32))</f>
        <v>9600</v>
      </c>
      <c r="J32" s="87">
        <f t="shared" si="6"/>
        <v>162000</v>
      </c>
      <c r="K32" s="87">
        <f t="shared" ref="K32:K34" si="12">H32</f>
        <v>5200</v>
      </c>
      <c r="L32" s="88">
        <f t="shared" si="8"/>
        <v>1.8962962962962963E-2</v>
      </c>
    </row>
    <row r="33" spans="1:12" x14ac:dyDescent="0.2">
      <c r="A33" s="34"/>
      <c r="B33" s="35"/>
      <c r="C33" s="35"/>
      <c r="D33" s="85">
        <f t="shared" ref="D33:D37" si="13">1-B33-C33</f>
        <v>1</v>
      </c>
      <c r="E33" s="77">
        <f t="shared" ref="E33:E37" si="14">$B33*$B$10+$C33*$B$18+$D33*$B$14</f>
        <v>9658.6098756304928</v>
      </c>
      <c r="F33" s="77">
        <f t="shared" ref="F33:F37" si="15">$B33*$C$11+$C33*$C$19+$D33*$C$15</f>
        <v>162989.04165126456</v>
      </c>
      <c r="G33" s="77">
        <f t="shared" ref="G33:G37" si="16">$B33*$C$10+$C33*$C$18+$D33*$C$14</f>
        <v>3090.7551602017575</v>
      </c>
      <c r="H33" s="77">
        <f t="shared" ref="H33:H37" si="17">$B33*$D$12+$C33*$D$20+$D33*$D$16</f>
        <v>5200</v>
      </c>
      <c r="I33" s="86">
        <f t="shared" si="11"/>
        <v>9600</v>
      </c>
      <c r="J33" s="87">
        <f t="shared" si="6"/>
        <v>162000</v>
      </c>
      <c r="K33" s="87">
        <f t="shared" si="12"/>
        <v>5200</v>
      </c>
      <c r="L33" s="88">
        <f t="shared" si="8"/>
        <v>1.8962962962962963E-2</v>
      </c>
    </row>
    <row r="34" spans="1:12" x14ac:dyDescent="0.2">
      <c r="A34" s="34"/>
      <c r="B34" s="35"/>
      <c r="C34" s="35"/>
      <c r="D34" s="85">
        <f t="shared" si="13"/>
        <v>1</v>
      </c>
      <c r="E34" s="77">
        <f t="shared" si="14"/>
        <v>9658.6098756304928</v>
      </c>
      <c r="F34" s="77">
        <f t="shared" si="15"/>
        <v>162989.04165126456</v>
      </c>
      <c r="G34" s="77">
        <f t="shared" si="16"/>
        <v>3090.7551602017575</v>
      </c>
      <c r="H34" s="77">
        <f t="shared" si="17"/>
        <v>5200</v>
      </c>
      <c r="I34" s="86">
        <f t="shared" si="11"/>
        <v>9600</v>
      </c>
      <c r="J34" s="87">
        <f t="shared" si="6"/>
        <v>162000</v>
      </c>
      <c r="K34" s="87">
        <f t="shared" si="12"/>
        <v>5200</v>
      </c>
      <c r="L34" s="88">
        <f t="shared" si="8"/>
        <v>1.8962962962962963E-2</v>
      </c>
    </row>
    <row r="35" spans="1:12" x14ac:dyDescent="0.2">
      <c r="A35" s="34"/>
      <c r="B35" s="35"/>
      <c r="C35" s="35"/>
      <c r="D35" s="85">
        <f t="shared" si="13"/>
        <v>1</v>
      </c>
      <c r="E35" s="77">
        <f t="shared" si="14"/>
        <v>9658.6098756304928</v>
      </c>
      <c r="F35" s="77">
        <f t="shared" si="15"/>
        <v>162989.04165126456</v>
      </c>
      <c r="G35" s="77">
        <f t="shared" si="16"/>
        <v>3090.7551602017575</v>
      </c>
      <c r="H35" s="77">
        <f t="shared" si="17"/>
        <v>5200</v>
      </c>
      <c r="I35" s="86">
        <f t="shared" ref="I35:I39" si="18">E35*(1-G35*G35/(E35*F35))</f>
        <v>9600</v>
      </c>
      <c r="J35" s="87">
        <f t="shared" si="6"/>
        <v>162000</v>
      </c>
      <c r="K35" s="87">
        <f t="shared" ref="K35:K39" si="19">H35</f>
        <v>5200</v>
      </c>
      <c r="L35" s="88">
        <f t="shared" si="8"/>
        <v>1.8962962962962963E-2</v>
      </c>
    </row>
    <row r="36" spans="1:12" x14ac:dyDescent="0.2">
      <c r="A36" s="34"/>
      <c r="B36" s="35"/>
      <c r="C36" s="35"/>
      <c r="D36" s="85">
        <f t="shared" si="13"/>
        <v>1</v>
      </c>
      <c r="E36" s="77">
        <f t="shared" si="14"/>
        <v>9658.6098756304928</v>
      </c>
      <c r="F36" s="77">
        <f t="shared" si="15"/>
        <v>162989.04165126456</v>
      </c>
      <c r="G36" s="77">
        <f t="shared" si="16"/>
        <v>3090.7551602017575</v>
      </c>
      <c r="H36" s="77">
        <f t="shared" si="17"/>
        <v>5200</v>
      </c>
      <c r="I36" s="86">
        <f t="shared" si="18"/>
        <v>9600</v>
      </c>
      <c r="J36" s="87">
        <f t="shared" si="6"/>
        <v>162000</v>
      </c>
      <c r="K36" s="87">
        <f t="shared" si="19"/>
        <v>5200</v>
      </c>
      <c r="L36" s="88">
        <f t="shared" si="8"/>
        <v>1.8962962962962963E-2</v>
      </c>
    </row>
    <row r="37" spans="1:12" x14ac:dyDescent="0.2">
      <c r="A37" s="34"/>
      <c r="B37" s="35"/>
      <c r="C37" s="35"/>
      <c r="D37" s="85">
        <f t="shared" si="13"/>
        <v>1</v>
      </c>
      <c r="E37" s="77">
        <f t="shared" si="14"/>
        <v>9658.6098756304928</v>
      </c>
      <c r="F37" s="77">
        <f t="shared" si="15"/>
        <v>162989.04165126456</v>
      </c>
      <c r="G37" s="77">
        <f t="shared" si="16"/>
        <v>3090.7551602017575</v>
      </c>
      <c r="H37" s="77">
        <f t="shared" si="17"/>
        <v>5200</v>
      </c>
      <c r="I37" s="86">
        <f t="shared" si="18"/>
        <v>9600</v>
      </c>
      <c r="J37" s="87">
        <f t="shared" si="6"/>
        <v>162000</v>
      </c>
      <c r="K37" s="87">
        <f t="shared" si="19"/>
        <v>5200</v>
      </c>
      <c r="L37" s="88">
        <f t="shared" si="8"/>
        <v>1.8962962962962963E-2</v>
      </c>
    </row>
    <row r="38" spans="1:12" x14ac:dyDescent="0.2">
      <c r="A38" s="34"/>
      <c r="B38" s="35"/>
      <c r="C38" s="35"/>
      <c r="D38" s="85">
        <f>1-B38-C38</f>
        <v>1</v>
      </c>
      <c r="E38" s="77">
        <f>$B38*$B$10+$C38*$B$18+$D38*$B$14</f>
        <v>9658.6098756304928</v>
      </c>
      <c r="F38" s="77">
        <f>$B38*$C$11+$C38*$C$19+$D38*$C$15</f>
        <v>162989.04165126456</v>
      </c>
      <c r="G38" s="77">
        <f>$B38*$C$10+$C38*$C$18+$D38*$C$14</f>
        <v>3090.7551602017575</v>
      </c>
      <c r="H38" s="77">
        <f>$B38*$D$12+$C38*$D$20+$D38*$D$16</f>
        <v>5200</v>
      </c>
      <c r="I38" s="86">
        <f t="shared" si="18"/>
        <v>9600</v>
      </c>
      <c r="J38" s="87">
        <f t="shared" si="6"/>
        <v>162000</v>
      </c>
      <c r="K38" s="87">
        <f t="shared" si="19"/>
        <v>5200</v>
      </c>
      <c r="L38" s="88">
        <f t="shared" si="8"/>
        <v>1.8962962962962963E-2</v>
      </c>
    </row>
    <row r="39" spans="1:12" x14ac:dyDescent="0.2">
      <c r="A39" s="34"/>
      <c r="B39" s="35"/>
      <c r="C39" s="35"/>
      <c r="D39" s="85">
        <f>1-B39-C39</f>
        <v>1</v>
      </c>
      <c r="E39" s="77">
        <f>$B39*$B$10+$C39*$B$18+$D39*$B$14</f>
        <v>9658.6098756304928</v>
      </c>
      <c r="F39" s="77">
        <f>$B39*$C$11+$C39*$C$19+$D39*$C$15</f>
        <v>162989.04165126456</v>
      </c>
      <c r="G39" s="77">
        <f>$B39*$C$10+$C39*$C$18+$D39*$C$14</f>
        <v>3090.7551602017575</v>
      </c>
      <c r="H39" s="77">
        <f>$B39*$D$12+$C39*$D$20+$D39*$D$16</f>
        <v>5200</v>
      </c>
      <c r="I39" s="86">
        <f t="shared" si="18"/>
        <v>9600</v>
      </c>
      <c r="J39" s="87">
        <f t="shared" si="6"/>
        <v>162000</v>
      </c>
      <c r="K39" s="87">
        <f t="shared" si="19"/>
        <v>5200</v>
      </c>
      <c r="L39" s="88">
        <f t="shared" si="8"/>
        <v>1.8962962962962963E-2</v>
      </c>
    </row>
  </sheetData>
  <sheetProtection sheet="1" objects="1" scenarios="1"/>
  <pageMargins left="0.7" right="0.7" top="0.75" bottom="0.75" header="0.3" footer="0.3"/>
  <pageSetup orientation="portrait" r:id="rId1"/>
  <headerFooter>
    <oddHeader>&amp;L&amp;KFFFFFF.</oddHeader>
    <oddFooter>&amp;L&amp;KFFFFFF.</oddFooter>
  </headerFooter>
  <ignoredErrors>
    <ignoredError sqref="A6:B6" unlocked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93"/>
  <sheetViews>
    <sheetView workbookViewId="0">
      <selection activeCell="G4" sqref="G4"/>
    </sheetView>
  </sheetViews>
  <sheetFormatPr baseColWidth="10" defaultColWidth="11.5703125" defaultRowHeight="12.75" x14ac:dyDescent="0.2"/>
  <cols>
    <col min="1" max="4" width="11.5703125" style="7" customWidth="1"/>
    <col min="5" max="13" width="11.5703125" style="7"/>
    <col min="14" max="15" width="11.5703125" style="2"/>
    <col min="16" max="16384" width="11.5703125" style="7"/>
  </cols>
  <sheetData>
    <row r="1" spans="1:13" x14ac:dyDescent="0.2">
      <c r="A1" s="19" t="s">
        <v>82</v>
      </c>
    </row>
    <row r="3" spans="1:13" ht="15" x14ac:dyDescent="0.2">
      <c r="A3" s="20" t="s">
        <v>57</v>
      </c>
      <c r="B3" s="2"/>
      <c r="C3" s="2"/>
      <c r="D3" s="2"/>
    </row>
    <row r="4" spans="1:13" ht="15" x14ac:dyDescent="0.2">
      <c r="A4" s="3"/>
      <c r="B4" s="2"/>
      <c r="C4" s="2"/>
      <c r="D4" s="2"/>
    </row>
    <row r="5" spans="1:13" ht="18" x14ac:dyDescent="0.2">
      <c r="A5" s="39" t="s">
        <v>56</v>
      </c>
      <c r="B5" s="4" t="s">
        <v>154</v>
      </c>
      <c r="C5" s="4" t="s">
        <v>155</v>
      </c>
      <c r="D5" s="4" t="s">
        <v>156</v>
      </c>
      <c r="E5" s="4" t="s">
        <v>157</v>
      </c>
    </row>
    <row r="6" spans="1:13" x14ac:dyDescent="0.2">
      <c r="A6" s="36">
        <v>4</v>
      </c>
      <c r="B6" s="37">
        <v>81564.560806591107</v>
      </c>
      <c r="C6" s="37">
        <v>52844.17331464732</v>
      </c>
      <c r="D6" s="37">
        <v>19766.614120649159</v>
      </c>
      <c r="E6" s="38">
        <v>0.31293982279473526</v>
      </c>
    </row>
    <row r="7" spans="1:13" x14ac:dyDescent="0.2">
      <c r="A7" s="8"/>
      <c r="B7" s="8"/>
      <c r="C7" s="8"/>
      <c r="D7" s="9"/>
    </row>
    <row r="9" spans="1:13" ht="15" x14ac:dyDescent="0.2">
      <c r="A9" s="20" t="s">
        <v>48</v>
      </c>
    </row>
    <row r="11" spans="1:13" ht="18" x14ac:dyDescent="0.2">
      <c r="A11" s="39" t="s">
        <v>160</v>
      </c>
      <c r="B11" s="39" t="s">
        <v>161</v>
      </c>
      <c r="C11" s="4" t="s">
        <v>162</v>
      </c>
    </row>
    <row r="12" spans="1:13" x14ac:dyDescent="0.2">
      <c r="A12" s="38">
        <f>3050/162000</f>
        <v>1.8827160493827162E-2</v>
      </c>
      <c r="B12" s="38">
        <f>1500/162000</f>
        <v>9.2592592592592587E-3</v>
      </c>
      <c r="C12" s="34">
        <v>0.32</v>
      </c>
    </row>
    <row r="15" spans="1:13" ht="15" x14ac:dyDescent="0.2">
      <c r="A15" s="21" t="s">
        <v>147</v>
      </c>
    </row>
    <row r="16" spans="1:13" x14ac:dyDescent="0.2">
      <c r="E16" s="100" t="s">
        <v>64</v>
      </c>
      <c r="F16" s="100"/>
      <c r="G16" s="100"/>
      <c r="H16" s="100" t="s">
        <v>65</v>
      </c>
      <c r="I16" s="100"/>
      <c r="J16" s="100"/>
      <c r="K16" s="100" t="s">
        <v>68</v>
      </c>
      <c r="L16" s="100"/>
      <c r="M16" s="100"/>
    </row>
    <row r="17" spans="1:15" ht="15.75" x14ac:dyDescent="0.2">
      <c r="A17" s="39" t="s">
        <v>49</v>
      </c>
      <c r="B17" s="39" t="s">
        <v>171</v>
      </c>
      <c r="C17" s="39" t="s">
        <v>172</v>
      </c>
      <c r="D17" s="39" t="s">
        <v>173</v>
      </c>
      <c r="E17" s="39" t="s">
        <v>163</v>
      </c>
      <c r="F17" s="39" t="s">
        <v>164</v>
      </c>
      <c r="G17" s="39" t="s">
        <v>165</v>
      </c>
      <c r="H17" s="39" t="s">
        <v>166</v>
      </c>
      <c r="I17" s="39" t="s">
        <v>167</v>
      </c>
      <c r="J17" s="39" t="s">
        <v>168</v>
      </c>
      <c r="K17" s="39" t="s">
        <v>169</v>
      </c>
      <c r="L17" s="39" t="s">
        <v>170</v>
      </c>
      <c r="M17" s="39" t="s">
        <v>69</v>
      </c>
    </row>
    <row r="18" spans="1:15" x14ac:dyDescent="0.2">
      <c r="A18" s="34" t="s">
        <v>61</v>
      </c>
      <c r="B18" s="34">
        <v>5000</v>
      </c>
      <c r="C18" s="34">
        <v>0</v>
      </c>
      <c r="D18" s="34">
        <v>0</v>
      </c>
      <c r="E18" s="11">
        <f>($B18/$B$6-$C18*$E$6/$B$6)/$A$6</f>
        <v>1.5325283280370331E-2</v>
      </c>
      <c r="F18" s="11">
        <f>(-$B18*$E$6/$B$6+$C18/$C$6)/$A$6</f>
        <v>-4.7958914340382108E-3</v>
      </c>
      <c r="G18" s="11">
        <f>$D18/($D$6*$A$6)</f>
        <v>0</v>
      </c>
      <c r="H18" s="11">
        <f>(E18+F18+G18)/2</f>
        <v>5.2646959231660607E-3</v>
      </c>
      <c r="I18" s="11">
        <f>(E18+F18-G18)/2</f>
        <v>5.2646959231660607E-3</v>
      </c>
      <c r="J18" s="11">
        <f>-E18+F18</f>
        <v>-2.0121174714408541E-2</v>
      </c>
      <c r="K18" s="12">
        <f>MIN(
IF(E18&gt;0,$A$12/E18,IF(E18&lt;0,-$B$12/E18,1000)),
IF(F18&gt;0,$A$12/F18,IF(F18&lt;0,-$B$12/F18,1000)),
IF(ABS(E18-F18)&gt;0,(1+$C$12)*MAX($A$12,$B$12)/ABS(E18-F18),1000)
)</f>
        <v>1.2285032615313725</v>
      </c>
      <c r="L18" s="12">
        <f>MIN(
IF(H18&gt;0,$A$12/H18,IF(H18&lt;0,-$B$12/H18,1000)),
IF(I18&gt;0,$A$12/I18,IF(I18&lt;0,-$B$12/I18,1000)),
IF(ABS(H18-I18)&gt;0,(1+$C$12)*MAX($A$12,$B$12)/ABS(H18-I18),1000)
)</f>
        <v>3.5761154620502684</v>
      </c>
      <c r="M18" s="12">
        <f>IF(MIN(K18:L18)&gt;100,"&gt;100",MIN(K18:L18))</f>
        <v>1.2285032615313725</v>
      </c>
    </row>
    <row r="19" spans="1:15" x14ac:dyDescent="0.2">
      <c r="A19" s="34" t="s">
        <v>62</v>
      </c>
      <c r="B19" s="34">
        <v>0</v>
      </c>
      <c r="C19" s="34">
        <v>3000</v>
      </c>
      <c r="D19" s="34">
        <v>0</v>
      </c>
      <c r="E19" s="11">
        <f t="shared" ref="E19:E94" si="0">($B19/$B$6-$C19*$E$6/$B$6)/$A$6</f>
        <v>-2.8775348604229262E-3</v>
      </c>
      <c r="F19" s="11">
        <f t="shared" ref="F19:F94" si="1">(-$B19*$E$6/$B$6+$C19/$C$6)/$A$6</f>
        <v>1.4192671641096813E-2</v>
      </c>
      <c r="G19" s="11">
        <f t="shared" ref="G19:G94" si="2">$D19/($D$6*$A$6)</f>
        <v>0</v>
      </c>
      <c r="H19" s="11">
        <f t="shared" ref="H19:H20" si="3">(E19+F19+G19)/2</f>
        <v>5.6575683903369433E-3</v>
      </c>
      <c r="I19" s="11">
        <f t="shared" ref="I19:I20" si="4">(E19+F19-G19)/2</f>
        <v>5.6575683903369433E-3</v>
      </c>
      <c r="J19" s="11">
        <f t="shared" ref="J19:J20" si="5">-E19+F19</f>
        <v>1.707020650151974E-2</v>
      </c>
      <c r="K19" s="12">
        <f t="shared" ref="K19:K20" si="6">MIN(
IF(E19&gt;0,$A$12/E19,IF(E19&lt;0,-$B$12/E19,1000)),
IF(F19&gt;0,$A$12/F19,IF(F19&lt;0,-$B$12/F19,1000)),
IF(ABS(E19-F19)&gt;0,(1+$C$12)*MAX($A$12,$B$12)/ABS(E19-F19),1000)
)</f>
        <v>1.3265409762113114</v>
      </c>
      <c r="L19" s="12">
        <f t="shared" ref="L19:L20" si="7">MIN(
IF(H19&gt;0,$A$12/H19,IF(H19&lt;0,-$B$12/H19,1000)),
IF(I19&gt;0,$A$12/I19,IF(I19&lt;0,-$B$12/I19,1000)),
IF(ABS(H19-I19)&gt;0,(1+$C$12)*MAX($A$12,$B$12)/ABS(H19-I19),1000)
)</f>
        <v>3.3277831030701668</v>
      </c>
      <c r="M19" s="12">
        <f t="shared" ref="M19:M20" si="8">IF(MIN(K19:L19)&gt;100,"&gt;100",MIN(K19:L19))</f>
        <v>1.3265409762113114</v>
      </c>
    </row>
    <row r="20" spans="1:15" x14ac:dyDescent="0.2">
      <c r="A20" s="34" t="s">
        <v>63</v>
      </c>
      <c r="B20" s="34">
        <v>0</v>
      </c>
      <c r="C20" s="34">
        <v>0</v>
      </c>
      <c r="D20" s="34">
        <v>1500</v>
      </c>
      <c r="E20" s="11">
        <f t="shared" si="0"/>
        <v>0</v>
      </c>
      <c r="F20" s="11">
        <f t="shared" si="1"/>
        <v>0</v>
      </c>
      <c r="G20" s="11">
        <f t="shared" si="2"/>
        <v>1.8971382641008654E-2</v>
      </c>
      <c r="H20" s="11">
        <f t="shared" si="3"/>
        <v>9.4856913205043272E-3</v>
      </c>
      <c r="I20" s="11">
        <f t="shared" si="4"/>
        <v>-9.4856913205043272E-3</v>
      </c>
      <c r="J20" s="11">
        <f t="shared" si="5"/>
        <v>0</v>
      </c>
      <c r="K20" s="12">
        <f t="shared" si="6"/>
        <v>1000</v>
      </c>
      <c r="L20" s="12">
        <f t="shared" si="7"/>
        <v>0.97612909237773615</v>
      </c>
      <c r="M20" s="12">
        <f t="shared" si="8"/>
        <v>0.97612909237773615</v>
      </c>
    </row>
    <row r="21" spans="1:15" x14ac:dyDescent="0.2">
      <c r="A21" s="34" t="s">
        <v>73</v>
      </c>
      <c r="B21" s="34">
        <v>5000</v>
      </c>
      <c r="C21" s="34">
        <v>3000</v>
      </c>
      <c r="D21" s="34">
        <v>1500</v>
      </c>
      <c r="E21" s="11">
        <f t="shared" si="0"/>
        <v>1.2447748419947405E-2</v>
      </c>
      <c r="F21" s="11">
        <f t="shared" si="1"/>
        <v>9.3967802070586033E-3</v>
      </c>
      <c r="G21" s="11">
        <f t="shared" si="2"/>
        <v>1.8971382641008654E-2</v>
      </c>
      <c r="H21" s="11">
        <f t="shared" ref="H21:H27" si="9">(E21+F21+G21)/2</f>
        <v>2.0407955634007331E-2</v>
      </c>
      <c r="I21" s="11">
        <f t="shared" ref="I21:I27" si="10">(E21+F21-G21)/2</f>
        <v>1.4365729929986769E-3</v>
      </c>
      <c r="J21" s="11">
        <f t="shared" ref="J21:J27" si="11">-E21+F21</f>
        <v>-3.0509682128888015E-3</v>
      </c>
      <c r="K21" s="12">
        <f t="shared" ref="K21:K27" si="12">MIN(
IF(E21&gt;0,$A$12/E21,IF(E21&lt;0,-$B$12/E21,1000)),
IF(F21&gt;0,$A$12/F21,IF(F21&lt;0,-$B$12/F21,1000)),
IF(ABS(E21-F21)&gt;0,(1+$C$12)*MAX($A$12,$B$12)/ABS(E21-F21),1000)
)</f>
        <v>1.5124952608824265</v>
      </c>
      <c r="L21" s="12">
        <f t="shared" ref="L21:L27" si="13">MIN(
IF(H21&gt;0,$A$12/H21,IF(H21&lt;0,-$B$12/H21,1000)),
IF(I21&gt;0,$A$12/I21,IF(I21&lt;0,-$B$12/I21,1000)),
IF(ABS(H21-I21)&gt;0,(1+$C$12)*MAX($A$12,$B$12)/ABS(H21-I21),1000)
)</f>
        <v>0.92254025006081597</v>
      </c>
      <c r="M21" s="12">
        <f t="shared" ref="M21:M27" si="14">IF(MIN(K21:L21)&gt;100,"&gt;100",MIN(K21:L21))</f>
        <v>0.92254025006081597</v>
      </c>
    </row>
    <row r="22" spans="1:15" x14ac:dyDescent="0.2">
      <c r="A22" s="34" t="s">
        <v>74</v>
      </c>
      <c r="B22" s="34">
        <v>0</v>
      </c>
      <c r="C22" s="34">
        <v>0</v>
      </c>
      <c r="D22" s="34">
        <v>0</v>
      </c>
      <c r="E22" s="11">
        <f t="shared" si="0"/>
        <v>0</v>
      </c>
      <c r="F22" s="11">
        <f t="shared" si="1"/>
        <v>0</v>
      </c>
      <c r="G22" s="11">
        <f t="shared" si="2"/>
        <v>0</v>
      </c>
      <c r="H22" s="11">
        <f t="shared" si="9"/>
        <v>0</v>
      </c>
      <c r="I22" s="11">
        <f t="shared" si="10"/>
        <v>0</v>
      </c>
      <c r="J22" s="11">
        <f t="shared" si="11"/>
        <v>0</v>
      </c>
      <c r="K22" s="12">
        <f t="shared" si="12"/>
        <v>1000</v>
      </c>
      <c r="L22" s="12">
        <f t="shared" si="13"/>
        <v>1000</v>
      </c>
      <c r="M22" s="12" t="str">
        <f t="shared" si="14"/>
        <v>&gt;100</v>
      </c>
    </row>
    <row r="23" spans="1:15" x14ac:dyDescent="0.2">
      <c r="A23" s="34" t="s">
        <v>75</v>
      </c>
      <c r="B23" s="34">
        <v>0</v>
      </c>
      <c r="C23" s="34">
        <v>0</v>
      </c>
      <c r="D23" s="34">
        <v>0</v>
      </c>
      <c r="E23" s="11">
        <f t="shared" si="0"/>
        <v>0</v>
      </c>
      <c r="F23" s="11">
        <f t="shared" si="1"/>
        <v>0</v>
      </c>
      <c r="G23" s="11">
        <f t="shared" si="2"/>
        <v>0</v>
      </c>
      <c r="H23" s="11">
        <f t="shared" si="9"/>
        <v>0</v>
      </c>
      <c r="I23" s="11">
        <f t="shared" si="10"/>
        <v>0</v>
      </c>
      <c r="J23" s="11">
        <f t="shared" si="11"/>
        <v>0</v>
      </c>
      <c r="K23" s="12">
        <f t="shared" si="12"/>
        <v>1000</v>
      </c>
      <c r="L23" s="12">
        <f t="shared" si="13"/>
        <v>1000</v>
      </c>
      <c r="M23" s="12" t="str">
        <f t="shared" si="14"/>
        <v>&gt;100</v>
      </c>
    </row>
    <row r="24" spans="1:15" x14ac:dyDescent="0.2">
      <c r="A24" s="34" t="s">
        <v>76</v>
      </c>
      <c r="B24" s="34">
        <v>0</v>
      </c>
      <c r="C24" s="34">
        <v>0</v>
      </c>
      <c r="D24" s="34">
        <v>0</v>
      </c>
      <c r="E24" s="11">
        <f t="shared" si="0"/>
        <v>0</v>
      </c>
      <c r="F24" s="11">
        <f t="shared" si="1"/>
        <v>0</v>
      </c>
      <c r="G24" s="11">
        <f t="shared" si="2"/>
        <v>0</v>
      </c>
      <c r="H24" s="11">
        <f t="shared" si="9"/>
        <v>0</v>
      </c>
      <c r="I24" s="11">
        <f t="shared" si="10"/>
        <v>0</v>
      </c>
      <c r="J24" s="11">
        <f t="shared" si="11"/>
        <v>0</v>
      </c>
      <c r="K24" s="12">
        <f t="shared" si="12"/>
        <v>1000</v>
      </c>
      <c r="L24" s="12">
        <f t="shared" si="13"/>
        <v>1000</v>
      </c>
      <c r="M24" s="12" t="str">
        <f t="shared" si="14"/>
        <v>&gt;100</v>
      </c>
    </row>
    <row r="25" spans="1:15" x14ac:dyDescent="0.2">
      <c r="A25" s="34" t="s">
        <v>77</v>
      </c>
      <c r="B25" s="34">
        <v>0</v>
      </c>
      <c r="C25" s="34">
        <v>0</v>
      </c>
      <c r="D25" s="34">
        <v>0</v>
      </c>
      <c r="E25" s="11">
        <f t="shared" si="0"/>
        <v>0</v>
      </c>
      <c r="F25" s="11">
        <f t="shared" si="1"/>
        <v>0</v>
      </c>
      <c r="G25" s="11">
        <f t="shared" si="2"/>
        <v>0</v>
      </c>
      <c r="H25" s="11">
        <f t="shared" si="9"/>
        <v>0</v>
      </c>
      <c r="I25" s="11">
        <f t="shared" si="10"/>
        <v>0</v>
      </c>
      <c r="J25" s="11">
        <f t="shared" si="11"/>
        <v>0</v>
      </c>
      <c r="K25" s="12">
        <f t="shared" si="12"/>
        <v>1000</v>
      </c>
      <c r="L25" s="12">
        <f t="shared" si="13"/>
        <v>1000</v>
      </c>
      <c r="M25" s="12" t="str">
        <f t="shared" si="14"/>
        <v>&gt;100</v>
      </c>
    </row>
    <row r="26" spans="1:15" x14ac:dyDescent="0.2">
      <c r="A26" s="34" t="s">
        <v>78</v>
      </c>
      <c r="B26" s="34">
        <v>0</v>
      </c>
      <c r="C26" s="34">
        <v>0</v>
      </c>
      <c r="D26" s="34">
        <v>0</v>
      </c>
      <c r="E26" s="11">
        <f t="shared" si="0"/>
        <v>0</v>
      </c>
      <c r="F26" s="11">
        <f t="shared" si="1"/>
        <v>0</v>
      </c>
      <c r="G26" s="11">
        <f t="shared" si="2"/>
        <v>0</v>
      </c>
      <c r="H26" s="11">
        <f t="shared" si="9"/>
        <v>0</v>
      </c>
      <c r="I26" s="11">
        <f t="shared" si="10"/>
        <v>0</v>
      </c>
      <c r="J26" s="11">
        <f t="shared" si="11"/>
        <v>0</v>
      </c>
      <c r="K26" s="12">
        <f t="shared" si="12"/>
        <v>1000</v>
      </c>
      <c r="L26" s="12">
        <f t="shared" si="13"/>
        <v>1000</v>
      </c>
      <c r="M26" s="12" t="str">
        <f t="shared" si="14"/>
        <v>&gt;100</v>
      </c>
    </row>
    <row r="27" spans="1:15" x14ac:dyDescent="0.2">
      <c r="A27" s="34" t="s">
        <v>79</v>
      </c>
      <c r="B27" s="34">
        <v>0</v>
      </c>
      <c r="C27" s="34">
        <v>0</v>
      </c>
      <c r="D27" s="34">
        <v>0</v>
      </c>
      <c r="E27" s="11">
        <f t="shared" si="0"/>
        <v>0</v>
      </c>
      <c r="F27" s="11">
        <f t="shared" si="1"/>
        <v>0</v>
      </c>
      <c r="G27" s="11">
        <f t="shared" si="2"/>
        <v>0</v>
      </c>
      <c r="H27" s="11">
        <f t="shared" si="9"/>
        <v>0</v>
      </c>
      <c r="I27" s="11">
        <f t="shared" si="10"/>
        <v>0</v>
      </c>
      <c r="J27" s="11">
        <f t="shared" si="11"/>
        <v>0</v>
      </c>
      <c r="K27" s="12">
        <f t="shared" si="12"/>
        <v>1000</v>
      </c>
      <c r="L27" s="12">
        <f t="shared" si="13"/>
        <v>1000</v>
      </c>
      <c r="M27" s="12" t="str">
        <f t="shared" si="14"/>
        <v>&gt;100</v>
      </c>
    </row>
    <row r="28" spans="1:15" x14ac:dyDescent="0.2">
      <c r="A28" s="13"/>
      <c r="B28" s="13"/>
      <c r="C28" s="13"/>
      <c r="D28" s="13"/>
      <c r="E28" s="14"/>
      <c r="F28" s="14"/>
      <c r="G28" s="14"/>
      <c r="H28" s="14"/>
      <c r="I28" s="14"/>
      <c r="J28" s="14"/>
      <c r="K28" s="15"/>
      <c r="L28" s="15"/>
      <c r="M28" s="15"/>
    </row>
    <row r="29" spans="1:15" x14ac:dyDescent="0.2">
      <c r="A29" s="30"/>
      <c r="B29" s="30"/>
      <c r="C29" s="30"/>
      <c r="D29" s="30"/>
      <c r="E29" s="31"/>
      <c r="F29" s="31"/>
      <c r="G29" s="31"/>
      <c r="H29" s="31"/>
      <c r="I29" s="31"/>
      <c r="J29" s="31"/>
      <c r="K29" s="32"/>
      <c r="L29" s="32"/>
      <c r="M29" s="32"/>
      <c r="N29" s="33"/>
      <c r="O29" s="33"/>
    </row>
    <row r="30" spans="1:15" x14ac:dyDescent="0.2">
      <c r="A30" s="26"/>
      <c r="B30" s="26"/>
      <c r="C30" s="26"/>
      <c r="D30" s="26"/>
      <c r="E30" s="27"/>
      <c r="F30" s="27"/>
      <c r="G30" s="27"/>
      <c r="H30" s="27"/>
      <c r="I30" s="27"/>
      <c r="J30" s="27"/>
      <c r="K30" s="28"/>
      <c r="L30" s="28"/>
      <c r="M30" s="28"/>
      <c r="N30" s="29"/>
      <c r="O30" s="29"/>
    </row>
    <row r="31" spans="1:15" ht="14.25" x14ac:dyDescent="0.2">
      <c r="A31" s="22" t="s">
        <v>83</v>
      </c>
      <c r="B31" s="13"/>
      <c r="C31" s="13"/>
      <c r="D31" s="13"/>
      <c r="E31" s="14"/>
      <c r="F31" s="14"/>
      <c r="G31" s="14"/>
      <c r="H31" s="14"/>
      <c r="I31" s="14"/>
      <c r="J31" s="14"/>
      <c r="K31" s="15"/>
      <c r="L31" s="15"/>
      <c r="M31" s="15"/>
    </row>
    <row r="32" spans="1:15" ht="15.75" x14ac:dyDescent="0.2">
      <c r="A32" s="2" t="s">
        <v>70</v>
      </c>
      <c r="B32" s="2" t="s">
        <v>50</v>
      </c>
      <c r="C32" s="2" t="s">
        <v>51</v>
      </c>
      <c r="D32" s="2" t="s">
        <v>52</v>
      </c>
      <c r="E32" s="2" t="s">
        <v>53</v>
      </c>
      <c r="F32" s="2" t="s">
        <v>54</v>
      </c>
      <c r="G32" s="2" t="s">
        <v>55</v>
      </c>
      <c r="H32" s="2" t="s">
        <v>58</v>
      </c>
      <c r="I32" s="2" t="s">
        <v>59</v>
      </c>
      <c r="J32" s="2" t="s">
        <v>60</v>
      </c>
      <c r="K32" s="2" t="s">
        <v>66</v>
      </c>
      <c r="L32" s="2" t="s">
        <v>67</v>
      </c>
      <c r="M32" s="2" t="s">
        <v>69</v>
      </c>
      <c r="N32" s="18" t="s">
        <v>71</v>
      </c>
      <c r="O32" s="5" t="s">
        <v>72</v>
      </c>
    </row>
    <row r="33" spans="1:15" x14ac:dyDescent="0.2">
      <c r="A33" s="6">
        <v>0</v>
      </c>
      <c r="B33" s="16">
        <f>1000*COS(A33*PI()/180)</f>
        <v>1000</v>
      </c>
      <c r="C33" s="16">
        <f>1000*SIN(A33*PI()/180)</f>
        <v>0</v>
      </c>
      <c r="D33" s="16">
        <v>0</v>
      </c>
      <c r="E33" s="10">
        <f t="shared" si="0"/>
        <v>3.0650566560740666E-3</v>
      </c>
      <c r="F33" s="10">
        <f t="shared" si="1"/>
        <v>-9.5917828680764218E-4</v>
      </c>
      <c r="G33" s="10">
        <f>$D33/($D$6*$A$6)</f>
        <v>0</v>
      </c>
      <c r="H33" s="10">
        <f t="shared" ref="H33:H96" si="15">(E33+F33+G33)/2</f>
        <v>1.0529391846332123E-3</v>
      </c>
      <c r="I33" s="10">
        <f t="shared" ref="I33:I96" si="16">(E33+F33-G33)/2</f>
        <v>1.0529391846332123E-3</v>
      </c>
      <c r="J33" s="10">
        <f t="shared" ref="J33:J96" si="17">-E33+F33</f>
        <v>-4.0242349428817091E-3</v>
      </c>
      <c r="K33" s="17">
        <f t="shared" ref="K33:K96" si="18">MIN(
IF(E33&gt;0,$A$12/E33,IF(E33&lt;0,-$B$12/E33,1000)),
IF(F33&gt;0,$A$12/F33,IF(F33&lt;0,-$B$12/F33,1000)),
IF(ABS(E33-F33)&gt;0,(1+$C$12)*MAX($A$12,$B$12)/ABS(E33-F33),1000)
)</f>
        <v>6.1425163076568614</v>
      </c>
      <c r="L33" s="17">
        <f t="shared" ref="L33:L96" si="19">MIN(
IF(H33&gt;0,$A$12/H33,IF(H33&lt;0,-$B$12/H33,1000)),
IF(I33&gt;0,$A$12/I33,IF(I33&lt;0,-$B$12/I33,1000)),
IF(ABS(H33-I33)&gt;0,(1+$C$12)*MAX($A$12,$B$12)/ABS(H33-I33),1000)
)</f>
        <v>17.88057731025134</v>
      </c>
      <c r="M33" s="17">
        <f t="shared" ref="M33:M96" si="20">IF(MIN(K33:L33)&gt;100,"&gt;100",MIN(K33:L33))</f>
        <v>6.1425163076568614</v>
      </c>
      <c r="N33" s="16">
        <f>$M33*B33/$A$6</f>
        <v>1535.6290769142154</v>
      </c>
      <c r="O33" s="16">
        <f>$M33*C33/$A$6</f>
        <v>0</v>
      </c>
    </row>
    <row r="34" spans="1:15" x14ac:dyDescent="0.2">
      <c r="A34" s="6">
        <v>1</v>
      </c>
      <c r="B34" s="16">
        <f>1000*COS(A34*PI()/180)</f>
        <v>999.8476951563913</v>
      </c>
      <c r="C34" s="16">
        <f>1000*SIN(A34*PI()/180)</f>
        <v>17.452406437283511</v>
      </c>
      <c r="D34" s="16">
        <v>0</v>
      </c>
      <c r="E34" s="10">
        <f t="shared" si="0"/>
        <v>3.047849863792227E-3</v>
      </c>
      <c r="F34" s="10">
        <f t="shared" si="1"/>
        <v>-8.7646677467156746E-4</v>
      </c>
      <c r="G34" s="10">
        <f t="shared" si="2"/>
        <v>0</v>
      </c>
      <c r="H34" s="10">
        <f t="shared" si="15"/>
        <v>1.0856915445603297E-3</v>
      </c>
      <c r="I34" s="10">
        <f t="shared" si="16"/>
        <v>1.0856915445603297E-3</v>
      </c>
      <c r="J34" s="10">
        <f t="shared" si="17"/>
        <v>-3.9243166384637946E-3</v>
      </c>
      <c r="K34" s="17">
        <f t="shared" si="18"/>
        <v>6.1771941976176734</v>
      </c>
      <c r="L34" s="17">
        <f t="shared" si="19"/>
        <v>17.341168942649876</v>
      </c>
      <c r="M34" s="17">
        <f t="shared" si="20"/>
        <v>6.1771941976176734</v>
      </c>
      <c r="N34" s="16">
        <f t="shared" ref="N34:N97" si="21">$M34*B34/$A$6</f>
        <v>1544.0633452553661</v>
      </c>
      <c r="O34" s="16">
        <f t="shared" ref="O34:O97" si="22">$M34*C34/$A$6</f>
        <v>26.951725944713257</v>
      </c>
    </row>
    <row r="35" spans="1:15" x14ac:dyDescent="0.2">
      <c r="A35" s="6">
        <v>2</v>
      </c>
      <c r="B35" s="16">
        <f t="shared" ref="B35:B98" si="23">1000*COS(A35*PI()/180)</f>
        <v>999.39082701909581</v>
      </c>
      <c r="C35" s="16">
        <f t="shared" ref="C35:C98" si="24">1000*SIN(A35*PI()/180)</f>
        <v>34.899496702500969</v>
      </c>
      <c r="D35" s="16">
        <v>0</v>
      </c>
      <c r="E35" s="10">
        <f t="shared" si="0"/>
        <v>3.0297146669166918E-3</v>
      </c>
      <c r="F35" s="10">
        <f t="shared" si="1"/>
        <v>-7.9348828226540329E-4</v>
      </c>
      <c r="G35" s="10">
        <f t="shared" si="2"/>
        <v>0</v>
      </c>
      <c r="H35" s="10">
        <f t="shared" si="15"/>
        <v>1.1181131923256441E-3</v>
      </c>
      <c r="I35" s="10">
        <f t="shared" si="16"/>
        <v>1.1181131923256441E-3</v>
      </c>
      <c r="J35" s="10">
        <f t="shared" si="17"/>
        <v>-3.8232029491820953E-3</v>
      </c>
      <c r="K35" s="17">
        <f t="shared" si="18"/>
        <v>6.2141695056014505</v>
      </c>
      <c r="L35" s="17">
        <f t="shared" si="19"/>
        <v>16.838331416756827</v>
      </c>
      <c r="M35" s="17">
        <f t="shared" si="20"/>
        <v>6.2141695056014505</v>
      </c>
      <c r="N35" s="16">
        <f t="shared" si="21"/>
        <v>1552.5960003599698</v>
      </c>
      <c r="O35" s="16">
        <f t="shared" si="22"/>
        <v>54.217847042379972</v>
      </c>
    </row>
    <row r="36" spans="1:15" x14ac:dyDescent="0.2">
      <c r="A36" s="6">
        <v>3</v>
      </c>
      <c r="B36" s="16">
        <f t="shared" si="23"/>
        <v>998.6295347545738</v>
      </c>
      <c r="C36" s="16">
        <f t="shared" si="24"/>
        <v>52.33595624294383</v>
      </c>
      <c r="D36" s="16">
        <v>0</v>
      </c>
      <c r="E36" s="10">
        <f t="shared" si="0"/>
        <v>3.0106565896041082E-3</v>
      </c>
      <c r="F36" s="10">
        <f t="shared" si="1"/>
        <v>-7.1026808564176734E-4</v>
      </c>
      <c r="G36" s="10">
        <f t="shared" si="2"/>
        <v>0</v>
      </c>
      <c r="H36" s="10">
        <f t="shared" si="15"/>
        <v>1.1501942519811705E-3</v>
      </c>
      <c r="I36" s="10">
        <f t="shared" si="16"/>
        <v>1.1501942519811705E-3</v>
      </c>
      <c r="J36" s="10">
        <f t="shared" si="17"/>
        <v>-3.7209246752458753E-3</v>
      </c>
      <c r="K36" s="17">
        <f t="shared" si="18"/>
        <v>6.2535064805590714</v>
      </c>
      <c r="L36" s="17">
        <f t="shared" si="19"/>
        <v>16.368678996089589</v>
      </c>
      <c r="M36" s="17">
        <f t="shared" si="20"/>
        <v>6.2535064805590714</v>
      </c>
      <c r="N36" s="16">
        <f t="shared" si="21"/>
        <v>1561.2340668163545</v>
      </c>
      <c r="O36" s="16">
        <f t="shared" si="22"/>
        <v>81.820810382876303</v>
      </c>
    </row>
    <row r="37" spans="1:15" x14ac:dyDescent="0.2">
      <c r="A37" s="6">
        <v>4</v>
      </c>
      <c r="B37" s="16">
        <f t="shared" si="23"/>
        <v>997.56405025982417</v>
      </c>
      <c r="C37" s="16">
        <f t="shared" si="24"/>
        <v>69.756473744125302</v>
      </c>
      <c r="D37" s="16">
        <v>0</v>
      </c>
      <c r="E37" s="10">
        <f t="shared" si="0"/>
        <v>2.9906814371294462E-3</v>
      </c>
      <c r="F37" s="10">
        <f t="shared" si="1"/>
        <v>-6.2683153447872365E-4</v>
      </c>
      <c r="G37" s="10">
        <f t="shared" si="2"/>
        <v>0</v>
      </c>
      <c r="H37" s="10">
        <f t="shared" si="15"/>
        <v>1.1819249513253614E-3</v>
      </c>
      <c r="I37" s="10">
        <f t="shared" si="16"/>
        <v>1.1819249513253614E-3</v>
      </c>
      <c r="J37" s="10">
        <f t="shared" si="17"/>
        <v>-3.6175129716081696E-3</v>
      </c>
      <c r="K37" s="17">
        <f t="shared" si="18"/>
        <v>6.2952744682489774</v>
      </c>
      <c r="L37" s="17">
        <f t="shared" si="19"/>
        <v>15.929235162279271</v>
      </c>
      <c r="M37" s="17">
        <f t="shared" si="20"/>
        <v>6.2952744682489774</v>
      </c>
      <c r="N37" s="16">
        <f t="shared" si="21"/>
        <v>1569.9848740109278</v>
      </c>
      <c r="O37" s="16">
        <f t="shared" si="22"/>
        <v>109.78403703911805</v>
      </c>
    </row>
    <row r="38" spans="1:15" x14ac:dyDescent="0.2">
      <c r="A38" s="6">
        <v>5</v>
      </c>
      <c r="B38" s="16">
        <f t="shared" si="23"/>
        <v>996.19469809174552</v>
      </c>
      <c r="C38" s="16">
        <f t="shared" si="24"/>
        <v>87.155742747658167</v>
      </c>
      <c r="D38" s="16">
        <v>0</v>
      </c>
      <c r="E38" s="10">
        <f t="shared" si="0"/>
        <v>2.9697952941176533E-3</v>
      </c>
      <c r="F38" s="10">
        <f t="shared" si="1"/>
        <v>-5.4320404435802424E-4</v>
      </c>
      <c r="G38" s="10">
        <f t="shared" si="2"/>
        <v>0</v>
      </c>
      <c r="H38" s="10">
        <f t="shared" si="15"/>
        <v>1.2132956248798146E-3</v>
      </c>
      <c r="I38" s="10">
        <f t="shared" si="16"/>
        <v>1.2132956248798146E-3</v>
      </c>
      <c r="J38" s="10">
        <f t="shared" si="17"/>
        <v>-3.5129993384756773E-3</v>
      </c>
      <c r="K38" s="17">
        <f t="shared" si="18"/>
        <v>6.3395482278251913</v>
      </c>
      <c r="L38" s="17">
        <f t="shared" si="19"/>
        <v>15.517372771942636</v>
      </c>
      <c r="M38" s="17">
        <f t="shared" si="20"/>
        <v>6.3395482278251913</v>
      </c>
      <c r="N38" s="16">
        <f t="shared" si="21"/>
        <v>1578.8560832140943</v>
      </c>
      <c r="O38" s="16">
        <f t="shared" si="22"/>
        <v>138.13200862017615</v>
      </c>
    </row>
    <row r="39" spans="1:15" x14ac:dyDescent="0.2">
      <c r="A39" s="6">
        <v>6</v>
      </c>
      <c r="B39" s="16">
        <f t="shared" si="23"/>
        <v>994.52189536827325</v>
      </c>
      <c r="C39" s="16">
        <f t="shared" si="24"/>
        <v>104.52846326765345</v>
      </c>
      <c r="D39" s="16">
        <v>0</v>
      </c>
      <c r="E39" s="10">
        <f t="shared" si="0"/>
        <v>2.948004522690219E-3</v>
      </c>
      <c r="F39" s="10">
        <f t="shared" si="1"/>
        <v>-4.5941108902327785E-4</v>
      </c>
      <c r="G39" s="10">
        <f t="shared" si="2"/>
        <v>0</v>
      </c>
      <c r="H39" s="10">
        <f t="shared" si="15"/>
        <v>1.2442967168334706E-3</v>
      </c>
      <c r="I39" s="10">
        <f t="shared" si="16"/>
        <v>1.2442967168334706E-3</v>
      </c>
      <c r="J39" s="10">
        <f t="shared" si="17"/>
        <v>-3.4074156117134967E-3</v>
      </c>
      <c r="K39" s="17">
        <f t="shared" si="18"/>
        <v>6.3864082802174016</v>
      </c>
      <c r="L39" s="17">
        <f t="shared" si="19"/>
        <v>15.130764422282791</v>
      </c>
      <c r="M39" s="17">
        <f t="shared" si="20"/>
        <v>6.3864082802174016</v>
      </c>
      <c r="N39" s="16">
        <f t="shared" si="21"/>
        <v>1587.8557168593611</v>
      </c>
      <c r="O39" s="16">
        <f t="shared" si="22"/>
        <v>166.89036083273564</v>
      </c>
    </row>
    <row r="40" spans="1:15" x14ac:dyDescent="0.2">
      <c r="A40" s="6">
        <v>7</v>
      </c>
      <c r="B40" s="16">
        <f t="shared" si="23"/>
        <v>992.54615164132201</v>
      </c>
      <c r="C40" s="16">
        <f t="shared" si="24"/>
        <v>121.86934340514748</v>
      </c>
      <c r="D40" s="16">
        <v>0</v>
      </c>
      <c r="E40" s="10">
        <f t="shared" si="0"/>
        <v>2.9253157605272123E-3</v>
      </c>
      <c r="F40" s="10">
        <f t="shared" si="1"/>
        <v>-3.7547819262039972E-4</v>
      </c>
      <c r="G40" s="10">
        <f t="shared" si="2"/>
        <v>0</v>
      </c>
      <c r="H40" s="10">
        <f t="shared" si="15"/>
        <v>1.2749187839534064E-3</v>
      </c>
      <c r="I40" s="10">
        <f t="shared" si="16"/>
        <v>1.2749187839534064E-3</v>
      </c>
      <c r="J40" s="10">
        <f t="shared" si="17"/>
        <v>-3.3007939531476118E-3</v>
      </c>
      <c r="K40" s="17">
        <f t="shared" si="18"/>
        <v>6.4359412914912317</v>
      </c>
      <c r="L40" s="17">
        <f t="shared" si="19"/>
        <v>14.767341050106628</v>
      </c>
      <c r="M40" s="17">
        <f t="shared" si="20"/>
        <v>6.4359412914912317</v>
      </c>
      <c r="N40" s="16">
        <f t="shared" si="21"/>
        <v>1596.9921902647754</v>
      </c>
      <c r="O40" s="16">
        <f t="shared" si="22"/>
        <v>196.08598484702833</v>
      </c>
    </row>
    <row r="41" spans="1:15" x14ac:dyDescent="0.2">
      <c r="A41" s="6">
        <v>8</v>
      </c>
      <c r="B41" s="16">
        <f t="shared" si="23"/>
        <v>990.26806874157035</v>
      </c>
      <c r="C41" s="16">
        <f t="shared" si="24"/>
        <v>139.17310096006543</v>
      </c>
      <c r="D41" s="16">
        <v>0</v>
      </c>
      <c r="E41" s="10">
        <f t="shared" si="0"/>
        <v>2.901735918845379E-3</v>
      </c>
      <c r="F41" s="10">
        <f t="shared" si="1"/>
        <v>-2.9143092192271034E-4</v>
      </c>
      <c r="G41" s="10">
        <f t="shared" si="2"/>
        <v>0</v>
      </c>
      <c r="H41" s="10">
        <f t="shared" si="15"/>
        <v>1.3051524984613342E-3</v>
      </c>
      <c r="I41" s="10">
        <f t="shared" si="16"/>
        <v>1.3051524984613342E-3</v>
      </c>
      <c r="J41" s="10">
        <f t="shared" si="17"/>
        <v>-3.1931668407680896E-3</v>
      </c>
      <c r="K41" s="17">
        <f t="shared" si="18"/>
        <v>6.4882404947858321</v>
      </c>
      <c r="L41" s="17">
        <f t="shared" si="19"/>
        <v>14.425257214021206</v>
      </c>
      <c r="M41" s="17">
        <f t="shared" si="20"/>
        <v>6.4882404947858321</v>
      </c>
      <c r="N41" s="16">
        <f t="shared" si="21"/>
        <v>1606.2743460756042</v>
      </c>
      <c r="O41" s="16">
        <f t="shared" si="22"/>
        <v>225.74713735850335</v>
      </c>
    </row>
    <row r="42" spans="1:15" x14ac:dyDescent="0.2">
      <c r="A42" s="6">
        <v>9</v>
      </c>
      <c r="B42" s="16">
        <f t="shared" si="23"/>
        <v>987.68834059513779</v>
      </c>
      <c r="C42" s="16">
        <f t="shared" si="24"/>
        <v>156.43446504023086</v>
      </c>
      <c r="D42" s="16">
        <v>0</v>
      </c>
      <c r="E42" s="10">
        <f t="shared" si="0"/>
        <v>2.8772721802929179E-3</v>
      </c>
      <c r="F42" s="10">
        <f t="shared" si="1"/>
        <v>-2.0729487854304876E-4</v>
      </c>
      <c r="G42" s="10">
        <f t="shared" si="2"/>
        <v>0</v>
      </c>
      <c r="H42" s="10">
        <f t="shared" si="15"/>
        <v>1.3349886508749345E-3</v>
      </c>
      <c r="I42" s="10">
        <f t="shared" si="16"/>
        <v>1.3349886508749345E-3</v>
      </c>
      <c r="J42" s="10">
        <f t="shared" si="17"/>
        <v>-3.0845670588359668E-3</v>
      </c>
      <c r="K42" s="17">
        <f t="shared" si="18"/>
        <v>6.5434061548916382</v>
      </c>
      <c r="L42" s="17">
        <f t="shared" si="19"/>
        <v>14.102861834434384</v>
      </c>
      <c r="M42" s="17">
        <f t="shared" si="20"/>
        <v>6.5434061548916382</v>
      </c>
      <c r="N42" s="16">
        <f t="shared" si="21"/>
        <v>1615.7114917412334</v>
      </c>
      <c r="O42" s="16">
        <f t="shared" si="22"/>
        <v>255.90356034535685</v>
      </c>
    </row>
    <row r="43" spans="1:15" x14ac:dyDescent="0.2">
      <c r="A43" s="6">
        <v>10</v>
      </c>
      <c r="B43" s="16">
        <f t="shared" si="23"/>
        <v>984.80775301220797</v>
      </c>
      <c r="C43" s="16">
        <f t="shared" si="24"/>
        <v>173.64817766693034</v>
      </c>
      <c r="D43" s="16">
        <v>0</v>
      </c>
      <c r="E43" s="10">
        <f t="shared" si="0"/>
        <v>2.851931996761578E-3</v>
      </c>
      <c r="F43" s="10">
        <f t="shared" si="1"/>
        <v>-1.2309569113527221E-4</v>
      </c>
      <c r="G43" s="10">
        <f t="shared" si="2"/>
        <v>0</v>
      </c>
      <c r="H43" s="10">
        <f t="shared" si="15"/>
        <v>1.3644181528131528E-3</v>
      </c>
      <c r="I43" s="10">
        <f t="shared" si="16"/>
        <v>1.3644181528131528E-3</v>
      </c>
      <c r="J43" s="10">
        <f t="shared" si="17"/>
        <v>-2.9750276878968505E-3</v>
      </c>
      <c r="K43" s="17">
        <f t="shared" si="18"/>
        <v>6.6015460800628327</v>
      </c>
      <c r="L43" s="17">
        <f t="shared" si="19"/>
        <v>13.798673416217298</v>
      </c>
      <c r="M43" s="17">
        <f t="shared" si="20"/>
        <v>6.6015460800628327</v>
      </c>
      <c r="N43" s="16">
        <f t="shared" si="21"/>
        <v>1625.313440378307</v>
      </c>
      <c r="O43" s="16">
        <f t="shared" si="22"/>
        <v>286.58661164679455</v>
      </c>
    </row>
    <row r="44" spans="1:15" x14ac:dyDescent="0.2">
      <c r="A44" s="6">
        <v>11</v>
      </c>
      <c r="B44" s="16">
        <f t="shared" si="23"/>
        <v>981.62718344766392</v>
      </c>
      <c r="C44" s="16">
        <f t="shared" si="24"/>
        <v>190.8089953765448</v>
      </c>
      <c r="D44" s="16">
        <v>0</v>
      </c>
      <c r="E44" s="10">
        <f t="shared" si="0"/>
        <v>2.8257230871167396E-3</v>
      </c>
      <c r="F44" s="10">
        <f t="shared" si="1"/>
        <v>-3.8859007587521244E-5</v>
      </c>
      <c r="G44" s="10">
        <f t="shared" si="2"/>
        <v>0</v>
      </c>
      <c r="H44" s="10">
        <f t="shared" si="15"/>
        <v>1.3934320397646091E-3</v>
      </c>
      <c r="I44" s="10">
        <f t="shared" si="16"/>
        <v>1.3934320397646091E-3</v>
      </c>
      <c r="J44" s="10">
        <f t="shared" si="17"/>
        <v>-2.864582094704261E-3</v>
      </c>
      <c r="K44" s="17">
        <f t="shared" si="18"/>
        <v>6.6627761862673109</v>
      </c>
      <c r="L44" s="17">
        <f t="shared" si="19"/>
        <v>13.511358973063095</v>
      </c>
      <c r="M44" s="17">
        <f t="shared" si="20"/>
        <v>6.6627761862673109</v>
      </c>
      <c r="N44" s="16">
        <f t="shared" si="21"/>
        <v>1635.0905554169371</v>
      </c>
      <c r="O44" s="16">
        <f t="shared" si="22"/>
        <v>317.82940763010805</v>
      </c>
    </row>
    <row r="45" spans="1:15" x14ac:dyDescent="0.2">
      <c r="A45" s="6">
        <v>12</v>
      </c>
      <c r="B45" s="16">
        <f t="shared" si="23"/>
        <v>978.14760073380569</v>
      </c>
      <c r="C45" s="16">
        <f t="shared" si="24"/>
        <v>207.91169081775931</v>
      </c>
      <c r="D45" s="16">
        <v>0</v>
      </c>
      <c r="E45" s="10">
        <f t="shared" si="0"/>
        <v>2.7986534348461711E-3</v>
      </c>
      <c r="F45" s="10">
        <f t="shared" si="1"/>
        <v>4.5389512790376522E-5</v>
      </c>
      <c r="G45" s="10">
        <f t="shared" si="2"/>
        <v>0</v>
      </c>
      <c r="H45" s="10">
        <f t="shared" si="15"/>
        <v>1.4220214738182738E-3</v>
      </c>
      <c r="I45" s="10">
        <f t="shared" si="16"/>
        <v>1.4220214738182738E-3</v>
      </c>
      <c r="J45" s="10">
        <f t="shared" si="17"/>
        <v>-2.7532639220557947E-3</v>
      </c>
      <c r="K45" s="17">
        <f t="shared" si="18"/>
        <v>6.7272211197746969</v>
      </c>
      <c r="L45" s="17">
        <f t="shared" si="19"/>
        <v>13.239716024311715</v>
      </c>
      <c r="M45" s="17">
        <f t="shared" si="20"/>
        <v>6.7272211197746969</v>
      </c>
      <c r="N45" s="16">
        <f t="shared" si="21"/>
        <v>1645.0537994783513</v>
      </c>
      <c r="O45" s="16">
        <f t="shared" si="22"/>
        <v>349.66697937932435</v>
      </c>
    </row>
    <row r="46" spans="1:15" x14ac:dyDescent="0.2">
      <c r="A46" s="6">
        <v>13</v>
      </c>
      <c r="B46" s="16">
        <f t="shared" si="23"/>
        <v>974.37006478523529</v>
      </c>
      <c r="C46" s="16">
        <f t="shared" si="24"/>
        <v>224.951054343865</v>
      </c>
      <c r="D46" s="16">
        <v>0</v>
      </c>
      <c r="E46" s="10">
        <f t="shared" si="0"/>
        <v>2.7707312856281832E-3</v>
      </c>
      <c r="F46" s="10">
        <f t="shared" si="1"/>
        <v>1.2962420708298038E-4</v>
      </c>
      <c r="G46" s="10">
        <f t="shared" si="2"/>
        <v>0</v>
      </c>
      <c r="H46" s="10">
        <f t="shared" si="15"/>
        <v>1.4501777463555819E-3</v>
      </c>
      <c r="I46" s="10">
        <f t="shared" si="16"/>
        <v>1.4501777463555819E-3</v>
      </c>
      <c r="J46" s="10">
        <f t="shared" si="17"/>
        <v>-2.6411070785452026E-3</v>
      </c>
      <c r="K46" s="17">
        <f t="shared" si="18"/>
        <v>6.7950149447851089</v>
      </c>
      <c r="L46" s="17">
        <f t="shared" si="19"/>
        <v>12.982657154367038</v>
      </c>
      <c r="M46" s="17">
        <f t="shared" si="20"/>
        <v>6.7950149447851089</v>
      </c>
      <c r="N46" s="16">
        <f t="shared" si="21"/>
        <v>1655.2147879917272</v>
      </c>
      <c r="O46" s="16">
        <f t="shared" si="22"/>
        <v>382.13644402793244</v>
      </c>
    </row>
    <row r="47" spans="1:15" x14ac:dyDescent="0.2">
      <c r="A47" s="6">
        <v>14</v>
      </c>
      <c r="B47" s="16">
        <f t="shared" si="23"/>
        <v>970.29572627599646</v>
      </c>
      <c r="C47" s="16">
        <f t="shared" si="24"/>
        <v>241.92189559966772</v>
      </c>
      <c r="D47" s="16">
        <v>0</v>
      </c>
      <c r="E47" s="10">
        <f t="shared" si="0"/>
        <v>2.7419651448199172E-3</v>
      </c>
      <c r="F47" s="10">
        <f t="shared" si="1"/>
        <v>2.1381941658640889E-4</v>
      </c>
      <c r="G47" s="10">
        <f t="shared" si="2"/>
        <v>0</v>
      </c>
      <c r="H47" s="10">
        <f t="shared" si="15"/>
        <v>1.4778922807031632E-3</v>
      </c>
      <c r="I47" s="10">
        <f t="shared" si="16"/>
        <v>1.4778922807031632E-3</v>
      </c>
      <c r="J47" s="10">
        <f t="shared" si="17"/>
        <v>-2.5281457282335081E-3</v>
      </c>
      <c r="K47" s="17">
        <f t="shared" si="18"/>
        <v>6.8663019037259367</v>
      </c>
      <c r="L47" s="17">
        <f t="shared" si="19"/>
        <v>12.7391967193099</v>
      </c>
      <c r="M47" s="17">
        <f t="shared" si="20"/>
        <v>6.8663019037259367</v>
      </c>
      <c r="N47" s="16">
        <f t="shared" si="21"/>
        <v>1665.5858481265038</v>
      </c>
      <c r="O47" s="16">
        <f t="shared" si="22"/>
        <v>415.27719307724647</v>
      </c>
    </row>
    <row r="48" spans="1:15" x14ac:dyDescent="0.2">
      <c r="A48" s="6">
        <v>15</v>
      </c>
      <c r="B48" s="16">
        <f t="shared" si="23"/>
        <v>965.92582628906837</v>
      </c>
      <c r="C48" s="16">
        <f t="shared" si="24"/>
        <v>258.81904510252076</v>
      </c>
      <c r="D48" s="16">
        <v>0</v>
      </c>
      <c r="E48" s="10">
        <f t="shared" si="0"/>
        <v>2.7123637748665257E-3</v>
      </c>
      <c r="F48" s="10">
        <f t="shared" si="1"/>
        <v>2.9794949462422975E-4</v>
      </c>
      <c r="G48" s="10">
        <f t="shared" si="2"/>
        <v>0</v>
      </c>
      <c r="H48" s="10">
        <f t="shared" si="15"/>
        <v>1.5051566347453777E-3</v>
      </c>
      <c r="I48" s="10">
        <f t="shared" si="16"/>
        <v>1.5051566347453777E-3</v>
      </c>
      <c r="J48" s="10">
        <f t="shared" si="17"/>
        <v>-2.4144142802422961E-3</v>
      </c>
      <c r="K48" s="17">
        <f t="shared" si="18"/>
        <v>6.9412372589121603</v>
      </c>
      <c r="L48" s="17">
        <f t="shared" si="19"/>
        <v>12.5084393605401</v>
      </c>
      <c r="M48" s="17">
        <f t="shared" si="20"/>
        <v>6.9412372589121603</v>
      </c>
      <c r="N48" s="16">
        <f t="shared" si="21"/>
        <v>1676.1800836957991</v>
      </c>
      <c r="O48" s="16">
        <f t="shared" si="22"/>
        <v>449.13109979542099</v>
      </c>
    </row>
    <row r="49" spans="1:15" x14ac:dyDescent="0.2">
      <c r="A49" s="6">
        <v>16</v>
      </c>
      <c r="B49" s="16">
        <f t="shared" si="23"/>
        <v>961.26169593831889</v>
      </c>
      <c r="C49" s="16">
        <f t="shared" si="24"/>
        <v>275.63735581699916</v>
      </c>
      <c r="D49" s="16">
        <v>0</v>
      </c>
      <c r="E49" s="10">
        <f t="shared" si="0"/>
        <v>2.681936192632052E-3</v>
      </c>
      <c r="F49" s="10">
        <f t="shared" si="1"/>
        <v>3.8198881435968655E-4</v>
      </c>
      <c r="G49" s="10">
        <f t="shared" si="2"/>
        <v>0</v>
      </c>
      <c r="H49" s="10">
        <f t="shared" si="15"/>
        <v>1.5319625034958693E-3</v>
      </c>
      <c r="I49" s="10">
        <f t="shared" si="16"/>
        <v>1.5319625034958693E-3</v>
      </c>
      <c r="J49" s="10">
        <f t="shared" si="17"/>
        <v>-2.2999473782723654E-3</v>
      </c>
      <c r="K49" s="17">
        <f t="shared" si="18"/>
        <v>7.0199882255029298</v>
      </c>
      <c r="L49" s="17">
        <f t="shared" si="19"/>
        <v>12.289570045522936</v>
      </c>
      <c r="M49" s="17">
        <f t="shared" si="20"/>
        <v>7.0199882255029298</v>
      </c>
      <c r="N49" s="16">
        <f t="shared" si="21"/>
        <v>1687.011446778494</v>
      </c>
      <c r="O49" s="16">
        <f t="shared" si="22"/>
        <v>483.74274808602388</v>
      </c>
    </row>
    <row r="50" spans="1:15" x14ac:dyDescent="0.2">
      <c r="A50" s="6">
        <v>17</v>
      </c>
      <c r="B50" s="16">
        <f t="shared" si="23"/>
        <v>956.3047559630354</v>
      </c>
      <c r="C50" s="16">
        <f t="shared" si="24"/>
        <v>292.37170472273675</v>
      </c>
      <c r="D50" s="16">
        <v>0</v>
      </c>
      <c r="E50" s="10">
        <f t="shared" si="0"/>
        <v>2.650691666652803E-3</v>
      </c>
      <c r="F50" s="10">
        <f t="shared" si="1"/>
        <v>4.6591177660188117E-4</v>
      </c>
      <c r="G50" s="10">
        <f t="shared" si="2"/>
        <v>0</v>
      </c>
      <c r="H50" s="10">
        <f t="shared" si="15"/>
        <v>1.5583017216273421E-3</v>
      </c>
      <c r="I50" s="10">
        <f t="shared" si="16"/>
        <v>1.5583017216273421E-3</v>
      </c>
      <c r="J50" s="10">
        <f t="shared" si="17"/>
        <v>-2.1847798900509218E-3</v>
      </c>
      <c r="K50" s="17">
        <f t="shared" si="18"/>
        <v>7.1027350071241653</v>
      </c>
      <c r="L50" s="17">
        <f t="shared" si="19"/>
        <v>12.081845404217269</v>
      </c>
      <c r="M50" s="17">
        <f t="shared" si="20"/>
        <v>7.1027350071241653</v>
      </c>
      <c r="N50" s="16">
        <f t="shared" si="21"/>
        <v>1698.0948169144958</v>
      </c>
      <c r="O50" s="16">
        <f t="shared" si="22"/>
        <v>519.15968555668803</v>
      </c>
    </row>
    <row r="51" spans="1:15" x14ac:dyDescent="0.2">
      <c r="A51" s="6">
        <v>18</v>
      </c>
      <c r="B51" s="16">
        <f t="shared" si="23"/>
        <v>951.05651629515353</v>
      </c>
      <c r="C51" s="16">
        <f t="shared" si="24"/>
        <v>309.01699437494739</v>
      </c>
      <c r="D51" s="16">
        <v>0</v>
      </c>
      <c r="E51" s="10">
        <f t="shared" si="0"/>
        <v>2.6186397143140652E-3</v>
      </c>
      <c r="F51" s="10">
        <f t="shared" si="1"/>
        <v>5.4969281760353333E-4</v>
      </c>
      <c r="G51" s="10">
        <f t="shared" si="2"/>
        <v>0</v>
      </c>
      <c r="H51" s="10">
        <f t="shared" si="15"/>
        <v>1.5841662659587994E-3</v>
      </c>
      <c r="I51" s="10">
        <f t="shared" si="16"/>
        <v>1.5841662659587994E-3</v>
      </c>
      <c r="J51" s="10">
        <f t="shared" si="17"/>
        <v>-2.0689468967105317E-3</v>
      </c>
      <c r="K51" s="17">
        <f t="shared" si="18"/>
        <v>7.1896719471998107</v>
      </c>
      <c r="L51" s="17">
        <f t="shared" si="19"/>
        <v>11.88458616901063</v>
      </c>
      <c r="M51" s="17">
        <f t="shared" si="20"/>
        <v>7.1896719471998107</v>
      </c>
      <c r="N51" s="16">
        <f t="shared" si="21"/>
        <v>1709.4460888522112</v>
      </c>
      <c r="O51" s="16">
        <f t="shared" si="22"/>
        <v>555.43270391639021</v>
      </c>
    </row>
    <row r="52" spans="1:15" x14ac:dyDescent="0.2">
      <c r="A52" s="6">
        <v>19</v>
      </c>
      <c r="B52" s="16">
        <f t="shared" si="23"/>
        <v>945.51857559931682</v>
      </c>
      <c r="C52" s="16">
        <f t="shared" si="24"/>
        <v>325.56815445715665</v>
      </c>
      <c r="D52" s="16">
        <v>0</v>
      </c>
      <c r="E52" s="10">
        <f t="shared" si="0"/>
        <v>2.5857900989510151E-3</v>
      </c>
      <c r="F52" s="10">
        <f t="shared" si="1"/>
        <v>6.3330641684795008E-4</v>
      </c>
      <c r="G52" s="10">
        <f t="shared" si="2"/>
        <v>0</v>
      </c>
      <c r="H52" s="10">
        <f t="shared" si="15"/>
        <v>1.6095482578994825E-3</v>
      </c>
      <c r="I52" s="10">
        <f t="shared" si="16"/>
        <v>1.6095482578994825E-3</v>
      </c>
      <c r="J52" s="10">
        <f t="shared" si="17"/>
        <v>-1.9524836821030651E-3</v>
      </c>
      <c r="K52" s="17">
        <f t="shared" si="18"/>
        <v>7.2810088109877249</v>
      </c>
      <c r="L52" s="17">
        <f t="shared" si="19"/>
        <v>11.697170557903789</v>
      </c>
      <c r="M52" s="17">
        <f t="shared" si="20"/>
        <v>7.2810088109877249</v>
      </c>
      <c r="N52" s="16">
        <f t="shared" si="21"/>
        <v>1721.0822699727973</v>
      </c>
      <c r="O52" s="16">
        <f t="shared" si="22"/>
        <v>592.61615029489258</v>
      </c>
    </row>
    <row r="53" spans="1:15" x14ac:dyDescent="0.2">
      <c r="A53" s="6">
        <v>20</v>
      </c>
      <c r="B53" s="16">
        <f t="shared" si="23"/>
        <v>939.69262078590839</v>
      </c>
      <c r="C53" s="16">
        <f t="shared" si="24"/>
        <v>342.0201433256687</v>
      </c>
      <c r="D53" s="16">
        <v>0</v>
      </c>
      <c r="E53" s="10">
        <f t="shared" si="0"/>
        <v>2.552152826874713E-3</v>
      </c>
      <c r="F53" s="10">
        <f t="shared" si="1"/>
        <v>7.1672710482281765E-4</v>
      </c>
      <c r="G53" s="10">
        <f t="shared" si="2"/>
        <v>0</v>
      </c>
      <c r="H53" s="10">
        <f t="shared" si="15"/>
        <v>1.6344399658487652E-3</v>
      </c>
      <c r="I53" s="10">
        <f t="shared" si="16"/>
        <v>1.6344399658487652E-3</v>
      </c>
      <c r="J53" s="10">
        <f t="shared" si="17"/>
        <v>-1.8354257220518954E-3</v>
      </c>
      <c r="K53" s="17">
        <f t="shared" si="18"/>
        <v>7.3769722156029021</v>
      </c>
      <c r="L53" s="17">
        <f t="shared" si="19"/>
        <v>11.519028466763055</v>
      </c>
      <c r="M53" s="17">
        <f t="shared" si="20"/>
        <v>7.3769722156029021</v>
      </c>
      <c r="N53" s="16">
        <f t="shared" si="21"/>
        <v>1733.0215886861802</v>
      </c>
      <c r="O53" s="16">
        <f t="shared" si="22"/>
        <v>630.76827362249503</v>
      </c>
    </row>
    <row r="54" spans="1:15" x14ac:dyDescent="0.2">
      <c r="A54" s="6">
        <v>21</v>
      </c>
      <c r="B54" s="16">
        <f t="shared" si="23"/>
        <v>933.58042649720176</v>
      </c>
      <c r="C54" s="16">
        <f t="shared" si="24"/>
        <v>358.36794954530029</v>
      </c>
      <c r="D54" s="16">
        <v>0</v>
      </c>
      <c r="E54" s="10">
        <f t="shared" si="0"/>
        <v>2.5177381443240855E-3</v>
      </c>
      <c r="F54" s="10">
        <f t="shared" si="1"/>
        <v>7.9992947077846515E-4</v>
      </c>
      <c r="G54" s="10">
        <f t="shared" si="2"/>
        <v>0</v>
      </c>
      <c r="H54" s="10">
        <f t="shared" si="15"/>
        <v>1.6588338075512754E-3</v>
      </c>
      <c r="I54" s="10">
        <f t="shared" si="16"/>
        <v>1.6588338075512754E-3</v>
      </c>
      <c r="J54" s="10">
        <f t="shared" si="17"/>
        <v>-1.7178086735456202E-3</v>
      </c>
      <c r="K54" s="17">
        <f t="shared" si="18"/>
        <v>7.4778072279957142</v>
      </c>
      <c r="L54" s="17">
        <f t="shared" si="19"/>
        <v>11.349636357857509</v>
      </c>
      <c r="M54" s="17">
        <f t="shared" si="20"/>
        <v>7.4778072279957142</v>
      </c>
      <c r="N54" s="16">
        <f t="shared" si="21"/>
        <v>1745.2836152940242</v>
      </c>
      <c r="O54" s="16">
        <f t="shared" si="22"/>
        <v>669.95161084796246</v>
      </c>
    </row>
    <row r="55" spans="1:15" x14ac:dyDescent="0.2">
      <c r="A55" s="6">
        <v>22</v>
      </c>
      <c r="B55" s="16">
        <f t="shared" si="23"/>
        <v>927.18385456678743</v>
      </c>
      <c r="C55" s="16">
        <f t="shared" si="24"/>
        <v>374.60659341591202</v>
      </c>
      <c r="D55" s="16">
        <v>0</v>
      </c>
      <c r="E55" s="10">
        <f t="shared" si="0"/>
        <v>2.4825565343448196E-3</v>
      </c>
      <c r="F55" s="10">
        <f t="shared" si="1"/>
        <v>8.828881704682224E-4</v>
      </c>
      <c r="G55" s="10">
        <f t="shared" si="2"/>
        <v>0</v>
      </c>
      <c r="H55" s="10">
        <f t="shared" si="15"/>
        <v>1.6827223524065211E-3</v>
      </c>
      <c r="I55" s="10">
        <f t="shared" si="16"/>
        <v>1.6827223524065211E-3</v>
      </c>
      <c r="J55" s="10">
        <f t="shared" si="17"/>
        <v>-1.5996683638765971E-3</v>
      </c>
      <c r="K55" s="17">
        <f t="shared" si="18"/>
        <v>7.5837791540146764</v>
      </c>
      <c r="L55" s="17">
        <f t="shared" si="19"/>
        <v>11.188512749534569</v>
      </c>
      <c r="M55" s="17">
        <f t="shared" si="20"/>
        <v>7.5837791540146764</v>
      </c>
      <c r="N55" s="16">
        <f t="shared" si="21"/>
        <v>1757.8893970506444</v>
      </c>
      <c r="O55" s="16">
        <f t="shared" si="22"/>
        <v>710.23341852601129</v>
      </c>
    </row>
    <row r="56" spans="1:15" x14ac:dyDescent="0.2">
      <c r="A56" s="6">
        <v>23</v>
      </c>
      <c r="B56" s="16">
        <f t="shared" si="23"/>
        <v>920.50485345244033</v>
      </c>
      <c r="C56" s="16">
        <f t="shared" si="24"/>
        <v>390.73112848927371</v>
      </c>
      <c r="D56" s="16">
        <v>0</v>
      </c>
      <c r="E56" s="10">
        <f t="shared" si="0"/>
        <v>2.4466187135961273E-3</v>
      </c>
      <c r="F56" s="10">
        <f t="shared" si="1"/>
        <v>9.6557793386852528E-4</v>
      </c>
      <c r="G56" s="10">
        <f t="shared" si="2"/>
        <v>0</v>
      </c>
      <c r="H56" s="10">
        <f t="shared" si="15"/>
        <v>1.7060983237323262E-3</v>
      </c>
      <c r="I56" s="10">
        <f t="shared" si="16"/>
        <v>1.7060983237323262E-3</v>
      </c>
      <c r="J56" s="10">
        <f t="shared" si="17"/>
        <v>-1.481040779727602E-3</v>
      </c>
      <c r="K56" s="17">
        <f t="shared" si="18"/>
        <v>7.6951755454180812</v>
      </c>
      <c r="L56" s="17">
        <f t="shared" si="19"/>
        <v>11.035214226481475</v>
      </c>
      <c r="M56" s="17">
        <f t="shared" si="20"/>
        <v>7.6951755454180812</v>
      </c>
      <c r="N56" s="16">
        <f t="shared" si="21"/>
        <v>1770.8616094314684</v>
      </c>
      <c r="O56" s="16">
        <f t="shared" si="22"/>
        <v>751.68615619606726</v>
      </c>
    </row>
    <row r="57" spans="1:15" x14ac:dyDescent="0.2">
      <c r="A57" s="6">
        <v>24</v>
      </c>
      <c r="B57" s="16">
        <f t="shared" si="23"/>
        <v>913.54545764260092</v>
      </c>
      <c r="C57" s="16">
        <f t="shared" si="24"/>
        <v>406.73664307580015</v>
      </c>
      <c r="D57" s="16">
        <v>0</v>
      </c>
      <c r="E57" s="10">
        <f t="shared" si="0"/>
        <v>2.4099356290863457E-3</v>
      </c>
      <c r="F57" s="10">
        <f t="shared" si="1"/>
        <v>1.0479735728764084E-3</v>
      </c>
      <c r="G57" s="10">
        <f t="shared" si="2"/>
        <v>0</v>
      </c>
      <c r="H57" s="10">
        <f t="shared" si="15"/>
        <v>1.7289546009813771E-3</v>
      </c>
      <c r="I57" s="10">
        <f t="shared" si="16"/>
        <v>1.7289546009813771E-3</v>
      </c>
      <c r="J57" s="10">
        <f t="shared" si="17"/>
        <v>-1.3619620562099373E-3</v>
      </c>
      <c r="K57" s="17">
        <f t="shared" si="18"/>
        <v>7.8123084561245779</v>
      </c>
      <c r="L57" s="17">
        <f t="shared" si="19"/>
        <v>10.889331902145159</v>
      </c>
      <c r="M57" s="17">
        <f t="shared" si="20"/>
        <v>7.8123084561245779</v>
      </c>
      <c r="N57" s="16">
        <f t="shared" si="21"/>
        <v>1784.2247259488722</v>
      </c>
      <c r="O57" s="16">
        <f t="shared" si="22"/>
        <v>794.3880290291994</v>
      </c>
    </row>
    <row r="58" spans="1:15" x14ac:dyDescent="0.2">
      <c r="A58" s="6">
        <v>25</v>
      </c>
      <c r="B58" s="16">
        <f t="shared" si="23"/>
        <v>906.30778703664998</v>
      </c>
      <c r="C58" s="16">
        <f t="shared" si="24"/>
        <v>422.61826174069944</v>
      </c>
      <c r="D58" s="16">
        <v>0</v>
      </c>
      <c r="E58" s="10">
        <f t="shared" si="0"/>
        <v>2.3725184548383737E-3</v>
      </c>
      <c r="F58" s="10">
        <f t="shared" si="1"/>
        <v>1.1300499889820457E-3</v>
      </c>
      <c r="G58" s="10">
        <f t="shared" si="2"/>
        <v>0</v>
      </c>
      <c r="H58" s="10">
        <f t="shared" si="15"/>
        <v>1.7512842219102097E-3</v>
      </c>
      <c r="I58" s="10">
        <f t="shared" si="16"/>
        <v>1.7512842219102097E-3</v>
      </c>
      <c r="J58" s="10">
        <f t="shared" si="17"/>
        <v>-1.242468465856328E-3</v>
      </c>
      <c r="K58" s="17">
        <f t="shared" si="18"/>
        <v>7.9355169842545017</v>
      </c>
      <c r="L58" s="17">
        <f t="shared" si="19"/>
        <v>10.750488274993693</v>
      </c>
      <c r="M58" s="17">
        <f t="shared" si="20"/>
        <v>7.9355169842545017</v>
      </c>
      <c r="N58" s="16">
        <f t="shared" si="21"/>
        <v>1798.005209247862</v>
      </c>
      <c r="O58" s="16">
        <f t="shared" si="22"/>
        <v>838.42359847485875</v>
      </c>
    </row>
    <row r="59" spans="1:15" x14ac:dyDescent="0.2">
      <c r="A59" s="6">
        <v>26</v>
      </c>
      <c r="B59" s="16">
        <f t="shared" si="23"/>
        <v>898.79404629916701</v>
      </c>
      <c r="C59" s="16">
        <f t="shared" si="24"/>
        <v>438.37114678907739</v>
      </c>
      <c r="D59" s="16">
        <v>0</v>
      </c>
      <c r="E59" s="10">
        <f t="shared" si="0"/>
        <v>2.3343785884859559E-3</v>
      </c>
      <c r="F59" s="10">
        <f t="shared" si="1"/>
        <v>1.2117821809139988E-3</v>
      </c>
      <c r="G59" s="10">
        <f t="shared" si="2"/>
        <v>0</v>
      </c>
      <c r="H59" s="10">
        <f t="shared" si="15"/>
        <v>1.7730803846999774E-3</v>
      </c>
      <c r="I59" s="10">
        <f t="shared" si="16"/>
        <v>1.7730803846999774E-3</v>
      </c>
      <c r="J59" s="10">
        <f t="shared" si="17"/>
        <v>-1.1225964075719571E-3</v>
      </c>
      <c r="K59" s="17">
        <f t="shared" si="18"/>
        <v>8.0651701427908424</v>
      </c>
      <c r="L59" s="17">
        <f t="shared" si="19"/>
        <v>10.618334428764719</v>
      </c>
      <c r="M59" s="17">
        <f t="shared" si="20"/>
        <v>8.0651701427908424</v>
      </c>
      <c r="N59" s="16">
        <f t="shared" si="21"/>
        <v>1812.231726682553</v>
      </c>
      <c r="O59" s="16">
        <f t="shared" si="22"/>
        <v>883.88447113606219</v>
      </c>
    </row>
    <row r="60" spans="1:15" x14ac:dyDescent="0.2">
      <c r="A60" s="6">
        <v>27</v>
      </c>
      <c r="B60" s="16">
        <f t="shared" si="23"/>
        <v>891.00652418836785</v>
      </c>
      <c r="C60" s="16">
        <f t="shared" si="24"/>
        <v>453.99049973954675</v>
      </c>
      <c r="D60" s="16">
        <v>0</v>
      </c>
      <c r="E60" s="10">
        <f t="shared" si="0"/>
        <v>2.295527647801852E-3</v>
      </c>
      <c r="F60" s="10">
        <f t="shared" si="1"/>
        <v>1.2931452522548478E-3</v>
      </c>
      <c r="G60" s="10">
        <f t="shared" si="2"/>
        <v>0</v>
      </c>
      <c r="H60" s="10">
        <f t="shared" si="15"/>
        <v>1.7943364500283498E-3</v>
      </c>
      <c r="I60" s="10">
        <f t="shared" si="16"/>
        <v>1.7943364500283498E-3</v>
      </c>
      <c r="J60" s="10">
        <f t="shared" si="17"/>
        <v>-1.0023823955470042E-3</v>
      </c>
      <c r="K60" s="17">
        <f t="shared" si="18"/>
        <v>8.2016701092037145</v>
      </c>
      <c r="L60" s="17">
        <f t="shared" si="19"/>
        <v>10.492547533953124</v>
      </c>
      <c r="M60" s="17">
        <f t="shared" si="20"/>
        <v>8.2016701092037145</v>
      </c>
      <c r="N60" s="16">
        <f t="shared" si="21"/>
        <v>1826.9353941353083</v>
      </c>
      <c r="O60" s="16">
        <f t="shared" si="22"/>
        <v>930.87007789407437</v>
      </c>
    </row>
    <row r="61" spans="1:15" x14ac:dyDescent="0.2">
      <c r="A61" s="6">
        <v>28</v>
      </c>
      <c r="B61" s="16">
        <f t="shared" si="23"/>
        <v>882.94759285892701</v>
      </c>
      <c r="C61" s="16">
        <f t="shared" si="24"/>
        <v>469.4715627858908</v>
      </c>
      <c r="D61" s="16">
        <v>0</v>
      </c>
      <c r="E61" s="10">
        <f t="shared" si="0"/>
        <v>2.2559774671589519E-3</v>
      </c>
      <c r="F61" s="10">
        <f t="shared" si="1"/>
        <v>1.3741144190248808E-3</v>
      </c>
      <c r="G61" s="10">
        <f t="shared" si="2"/>
        <v>0</v>
      </c>
      <c r="H61" s="10">
        <f t="shared" si="15"/>
        <v>1.8150459430919163E-3</v>
      </c>
      <c r="I61" s="10">
        <f t="shared" si="16"/>
        <v>1.8150459430919163E-3</v>
      </c>
      <c r="J61" s="10">
        <f t="shared" si="17"/>
        <v>-8.8186304813407104E-4</v>
      </c>
      <c r="K61" s="17">
        <f t="shared" si="18"/>
        <v>8.3454559134125592</v>
      </c>
      <c r="L61" s="17">
        <f t="shared" si="19"/>
        <v>10.372828613778912</v>
      </c>
      <c r="M61" s="17">
        <f t="shared" si="20"/>
        <v>8.3454559134125592</v>
      </c>
      <c r="N61" s="16">
        <f t="shared" si="21"/>
        <v>1842.1500525144793</v>
      </c>
      <c r="O61" s="16">
        <f t="shared" si="22"/>
        <v>979.48855745763694</v>
      </c>
    </row>
    <row r="62" spans="1:15" x14ac:dyDescent="0.2">
      <c r="A62" s="6">
        <v>29</v>
      </c>
      <c r="B62" s="16">
        <f t="shared" si="23"/>
        <v>874.6197071393957</v>
      </c>
      <c r="C62" s="16">
        <f t="shared" si="24"/>
        <v>484.80962024633703</v>
      </c>
      <c r="D62" s="16">
        <v>0</v>
      </c>
      <c r="E62" s="10">
        <f t="shared" si="0"/>
        <v>2.2157400939254103E-3</v>
      </c>
      <c r="F62" s="10">
        <f t="shared" si="1"/>
        <v>1.4546650172315334E-3</v>
      </c>
      <c r="G62" s="10">
        <f t="shared" si="2"/>
        <v>0</v>
      </c>
      <c r="H62" s="10">
        <f t="shared" si="15"/>
        <v>1.8352025555784719E-3</v>
      </c>
      <c r="I62" s="10">
        <f t="shared" si="16"/>
        <v>1.8352025555784719E-3</v>
      </c>
      <c r="J62" s="10">
        <f t="shared" si="17"/>
        <v>-7.6107507669387689E-4</v>
      </c>
      <c r="K62" s="17">
        <f t="shared" si="18"/>
        <v>8.4970076343534142</v>
      </c>
      <c r="L62" s="17">
        <f t="shared" si="19"/>
        <v>10.258900542939074</v>
      </c>
      <c r="M62" s="17">
        <f t="shared" si="20"/>
        <v>8.4970076343534142</v>
      </c>
      <c r="N62" s="16">
        <f t="shared" si="21"/>
        <v>1857.9125821798482</v>
      </c>
      <c r="O62" s="16">
        <f t="shared" si="22"/>
        <v>1029.8577611102764</v>
      </c>
    </row>
    <row r="63" spans="1:15" x14ac:dyDescent="0.2">
      <c r="A63" s="6">
        <v>30</v>
      </c>
      <c r="B63" s="16">
        <f t="shared" si="23"/>
        <v>866.02540378443871</v>
      </c>
      <c r="C63" s="16">
        <f t="shared" si="24"/>
        <v>499.99999999999994</v>
      </c>
      <c r="D63" s="16">
        <v>0</v>
      </c>
      <c r="E63" s="10">
        <f t="shared" si="0"/>
        <v>2.1748277847949042E-3</v>
      </c>
      <c r="F63" s="10">
        <f t="shared" si="1"/>
        <v>1.5347725103822809E-3</v>
      </c>
      <c r="G63" s="10">
        <f t="shared" si="2"/>
        <v>0</v>
      </c>
      <c r="H63" s="10">
        <f t="shared" si="15"/>
        <v>1.8548001475885926E-3</v>
      </c>
      <c r="I63" s="10">
        <f t="shared" si="16"/>
        <v>1.8548001475885926E-3</v>
      </c>
      <c r="J63" s="10">
        <f t="shared" si="17"/>
        <v>-6.4005527441262332E-4</v>
      </c>
      <c r="K63" s="17">
        <f t="shared" si="18"/>
        <v>8.6568511886115367</v>
      </c>
      <c r="L63" s="17">
        <f t="shared" si="19"/>
        <v>10.150506251740474</v>
      </c>
      <c r="M63" s="17">
        <f t="shared" si="20"/>
        <v>8.6568511886115367</v>
      </c>
      <c r="N63" s="16">
        <f t="shared" si="21"/>
        <v>1874.2632615297759</v>
      </c>
      <c r="O63" s="16">
        <f t="shared" si="22"/>
        <v>1082.106398576442</v>
      </c>
    </row>
    <row r="64" spans="1:15" x14ac:dyDescent="0.2">
      <c r="A64" s="6">
        <v>31</v>
      </c>
      <c r="B64" s="16">
        <f t="shared" si="23"/>
        <v>857.16730070211236</v>
      </c>
      <c r="C64" s="16">
        <f t="shared" si="24"/>
        <v>515.03807491005421</v>
      </c>
      <c r="D64" s="16">
        <v>0</v>
      </c>
      <c r="E64" s="10">
        <f t="shared" si="0"/>
        <v>2.1332530020531184E-3</v>
      </c>
      <c r="F64" s="10">
        <f t="shared" si="1"/>
        <v>1.614412496958691E-3</v>
      </c>
      <c r="G64" s="10">
        <f t="shared" si="2"/>
        <v>0</v>
      </c>
      <c r="H64" s="10">
        <f t="shared" si="15"/>
        <v>1.8738327495059046E-3</v>
      </c>
      <c r="I64" s="10">
        <f t="shared" si="16"/>
        <v>1.8738327495059046E-3</v>
      </c>
      <c r="J64" s="10">
        <f t="shared" si="17"/>
        <v>-5.1884050509442745E-4</v>
      </c>
      <c r="K64" s="17">
        <f t="shared" si="18"/>
        <v>8.8255638106250096</v>
      </c>
      <c r="L64" s="17">
        <f t="shared" si="19"/>
        <v>10.04740711186286</v>
      </c>
      <c r="M64" s="17">
        <f t="shared" si="20"/>
        <v>8.8255638106250096</v>
      </c>
      <c r="N64" s="16">
        <f t="shared" si="21"/>
        <v>1891.2461771819221</v>
      </c>
      <c r="O64" s="16">
        <f t="shared" si="22"/>
        <v>1136.3753487550368</v>
      </c>
    </row>
    <row r="65" spans="1:15" x14ac:dyDescent="0.2">
      <c r="A65" s="6">
        <v>32</v>
      </c>
      <c r="B65" s="16">
        <f t="shared" si="23"/>
        <v>848.04809615642591</v>
      </c>
      <c r="C65" s="16">
        <f t="shared" si="24"/>
        <v>529.9192642332049</v>
      </c>
      <c r="D65" s="16">
        <v>0</v>
      </c>
      <c r="E65" s="10">
        <f t="shared" si="0"/>
        <v>2.0910284097816218E-3</v>
      </c>
      <c r="F65" s="10">
        <f t="shared" si="1"/>
        <v>1.6935607178493622E-3</v>
      </c>
      <c r="G65" s="10">
        <f t="shared" si="2"/>
        <v>0</v>
      </c>
      <c r="H65" s="10">
        <f t="shared" si="15"/>
        <v>1.892294563815492E-3</v>
      </c>
      <c r="I65" s="10">
        <f t="shared" si="16"/>
        <v>1.892294563815492E-3</v>
      </c>
      <c r="J65" s="10">
        <f t="shared" si="17"/>
        <v>-3.9746769193225963E-4</v>
      </c>
      <c r="K65" s="17">
        <f t="shared" si="18"/>
        <v>9.0037803435647206</v>
      </c>
      <c r="L65" s="17">
        <f t="shared" si="19"/>
        <v>9.9493814831161256</v>
      </c>
      <c r="M65" s="17">
        <f t="shared" si="20"/>
        <v>9.0037803435647206</v>
      </c>
      <c r="N65" s="16">
        <f t="shared" si="21"/>
        <v>1908.909694642678</v>
      </c>
      <c r="O65" s="16">
        <f t="shared" si="22"/>
        <v>1192.8191637448024</v>
      </c>
    </row>
    <row r="66" spans="1:15" x14ac:dyDescent="0.2">
      <c r="A66" s="6">
        <v>33</v>
      </c>
      <c r="B66" s="16">
        <f t="shared" si="23"/>
        <v>838.67056794542407</v>
      </c>
      <c r="C66" s="16">
        <f t="shared" si="24"/>
        <v>544.63903501502705</v>
      </c>
      <c r="D66" s="16">
        <v>0</v>
      </c>
      <c r="E66" s="10">
        <f t="shared" si="0"/>
        <v>2.048166870000259E-3</v>
      </c>
      <c r="F66" s="10">
        <f t="shared" si="1"/>
        <v>1.7721930637394853E-3</v>
      </c>
      <c r="G66" s="10">
        <f t="shared" si="2"/>
        <v>0</v>
      </c>
      <c r="H66" s="10">
        <f t="shared" si="15"/>
        <v>1.9101799668698721E-3</v>
      </c>
      <c r="I66" s="10">
        <f t="shared" si="16"/>
        <v>1.9101799668698721E-3</v>
      </c>
      <c r="J66" s="10">
        <f t="shared" si="17"/>
        <v>-2.7597380626077374E-4</v>
      </c>
      <c r="K66" s="17">
        <f t="shared" si="18"/>
        <v>9.1922004840478557</v>
      </c>
      <c r="L66" s="17">
        <f t="shared" si="19"/>
        <v>9.8562234032212164</v>
      </c>
      <c r="M66" s="17">
        <f t="shared" si="20"/>
        <v>9.1922004840478557</v>
      </c>
      <c r="N66" s="16">
        <f t="shared" si="21"/>
        <v>1927.3070001561543</v>
      </c>
      <c r="O66" s="16">
        <f t="shared" si="22"/>
        <v>1251.6078003241221</v>
      </c>
    </row>
    <row r="67" spans="1:15" x14ac:dyDescent="0.2">
      <c r="A67" s="6">
        <v>34</v>
      </c>
      <c r="B67" s="16">
        <f t="shared" si="23"/>
        <v>829.03757255504161</v>
      </c>
      <c r="C67" s="16">
        <f t="shared" si="24"/>
        <v>559.19290347074696</v>
      </c>
      <c r="D67" s="16">
        <v>0</v>
      </c>
      <c r="E67" s="10">
        <f t="shared" si="0"/>
        <v>2.0046814387492547E-3</v>
      </c>
      <c r="F67" s="10">
        <f t="shared" si="1"/>
        <v>1.8502855824547749E-3</v>
      </c>
      <c r="G67" s="10">
        <f t="shared" si="2"/>
        <v>0</v>
      </c>
      <c r="H67" s="10">
        <f t="shared" si="15"/>
        <v>1.9274835106020149E-3</v>
      </c>
      <c r="I67" s="10">
        <f t="shared" si="16"/>
        <v>1.9274835106020149E-3</v>
      </c>
      <c r="J67" s="10">
        <f t="shared" si="17"/>
        <v>-1.5439585629447986E-4</v>
      </c>
      <c r="K67" s="17">
        <f t="shared" si="18"/>
        <v>9.3915971534976936</v>
      </c>
      <c r="L67" s="17">
        <f t="shared" si="19"/>
        <v>9.7677414049300157</v>
      </c>
      <c r="M67" s="17">
        <f t="shared" si="20"/>
        <v>9.3915971534976936</v>
      </c>
      <c r="N67" s="16">
        <f t="shared" si="21"/>
        <v>1946.4967266376416</v>
      </c>
      <c r="O67" s="16">
        <f t="shared" si="22"/>
        <v>1312.9286201229945</v>
      </c>
    </row>
    <row r="68" spans="1:15" x14ac:dyDescent="0.2">
      <c r="A68" s="6">
        <v>35</v>
      </c>
      <c r="B68" s="16">
        <f t="shared" si="23"/>
        <v>819.15204428899176</v>
      </c>
      <c r="C68" s="16">
        <f t="shared" si="24"/>
        <v>573.57643635104603</v>
      </c>
      <c r="D68" s="16">
        <v>0</v>
      </c>
      <c r="E68" s="10">
        <f t="shared" si="0"/>
        <v>1.9605853621122238E-3</v>
      </c>
      <c r="F68" s="10">
        <f t="shared" si="1"/>
        <v>1.9278144862575279E-3</v>
      </c>
      <c r="G68" s="10">
        <f t="shared" si="2"/>
        <v>0</v>
      </c>
      <c r="H68" s="10">
        <f t="shared" si="15"/>
        <v>1.944199924184876E-3</v>
      </c>
      <c r="I68" s="10">
        <f t="shared" si="16"/>
        <v>1.944199924184876E-3</v>
      </c>
      <c r="J68" s="10">
        <f t="shared" si="17"/>
        <v>-3.2770875854695953E-5</v>
      </c>
      <c r="K68" s="17">
        <f t="shared" si="18"/>
        <v>9.6028262057122795</v>
      </c>
      <c r="L68" s="17">
        <f t="shared" si="19"/>
        <v>9.6837574467659877</v>
      </c>
      <c r="M68" s="17">
        <f t="shared" si="20"/>
        <v>9.6028262057122795</v>
      </c>
      <c r="N68" s="16">
        <f t="shared" si="21"/>
        <v>1966.5436793402789</v>
      </c>
      <c r="O68" s="16">
        <f t="shared" si="22"/>
        <v>1376.9887084927216</v>
      </c>
    </row>
    <row r="69" spans="1:15" x14ac:dyDescent="0.2">
      <c r="A69" s="6">
        <v>36</v>
      </c>
      <c r="B69" s="16">
        <f t="shared" si="23"/>
        <v>809.01699437494744</v>
      </c>
      <c r="C69" s="16">
        <f t="shared" si="24"/>
        <v>587.78525229247316</v>
      </c>
      <c r="D69" s="16">
        <v>0</v>
      </c>
      <c r="E69" s="10">
        <f t="shared" si="0"/>
        <v>1.9158920721812761E-3</v>
      </c>
      <c r="F69" s="10">
        <f t="shared" si="1"/>
        <v>2.0047561590926096E-3</v>
      </c>
      <c r="G69" s="10">
        <f t="shared" si="2"/>
        <v>0</v>
      </c>
      <c r="H69" s="10">
        <f t="shared" si="15"/>
        <v>1.960324115636943E-3</v>
      </c>
      <c r="I69" s="10">
        <f t="shared" si="16"/>
        <v>1.960324115636943E-3</v>
      </c>
      <c r="J69" s="10">
        <f t="shared" si="17"/>
        <v>8.8864086911333512E-5</v>
      </c>
      <c r="K69" s="17">
        <f t="shared" si="18"/>
        <v>9.3912471142369203</v>
      </c>
      <c r="L69" s="17">
        <f t="shared" si="19"/>
        <v>9.6041059453629654</v>
      </c>
      <c r="M69" s="17">
        <f t="shared" si="20"/>
        <v>9.3912471142369203</v>
      </c>
      <c r="N69" s="16">
        <f t="shared" si="21"/>
        <v>1899.4196284480879</v>
      </c>
      <c r="O69" s="16">
        <f t="shared" si="22"/>
        <v>1380.0091385956771</v>
      </c>
    </row>
    <row r="70" spans="1:15" x14ac:dyDescent="0.2">
      <c r="A70" s="6">
        <v>37</v>
      </c>
      <c r="B70" s="16">
        <f t="shared" si="23"/>
        <v>798.63551004729288</v>
      </c>
      <c r="C70" s="16">
        <f t="shared" si="24"/>
        <v>601.8150231520483</v>
      </c>
      <c r="D70" s="16">
        <v>0</v>
      </c>
      <c r="E70" s="10">
        <f t="shared" si="0"/>
        <v>1.8706151829654787E-3</v>
      </c>
      <c r="F70" s="10">
        <f t="shared" si="1"/>
        <v>2.0810871637811225E-3</v>
      </c>
      <c r="G70" s="10">
        <f t="shared" si="2"/>
        <v>0</v>
      </c>
      <c r="H70" s="10">
        <f t="shared" si="15"/>
        <v>1.9758511733733008E-3</v>
      </c>
      <c r="I70" s="10">
        <f t="shared" si="16"/>
        <v>1.9758511733733008E-3</v>
      </c>
      <c r="J70" s="10">
        <f t="shared" si="17"/>
        <v>2.1047198081564382E-4</v>
      </c>
      <c r="K70" s="17">
        <f t="shared" si="18"/>
        <v>9.0467909376847722</v>
      </c>
      <c r="L70" s="17">
        <f t="shared" si="19"/>
        <v>9.5286328988454212</v>
      </c>
      <c r="M70" s="17">
        <f t="shared" si="20"/>
        <v>9.0467909376847722</v>
      </c>
      <c r="N70" s="16">
        <f t="shared" si="21"/>
        <v>1806.2721237022763</v>
      </c>
      <c r="O70" s="16">
        <f t="shared" si="22"/>
        <v>1361.1236744036255</v>
      </c>
    </row>
    <row r="71" spans="1:15" x14ac:dyDescent="0.2">
      <c r="A71" s="6">
        <v>38</v>
      </c>
      <c r="B71" s="16">
        <f t="shared" si="23"/>
        <v>788.01075360672201</v>
      </c>
      <c r="C71" s="16">
        <f t="shared" si="24"/>
        <v>615.66147532565822</v>
      </c>
      <c r="D71" s="16">
        <v>0</v>
      </c>
      <c r="E71" s="10">
        <f t="shared" si="0"/>
        <v>1.8247684862438942E-3</v>
      </c>
      <c r="F71" s="10">
        <f t="shared" si="1"/>
        <v>2.1567842491596037E-3</v>
      </c>
      <c r="G71" s="10">
        <f t="shared" si="2"/>
        <v>0</v>
      </c>
      <c r="H71" s="10">
        <f t="shared" si="15"/>
        <v>1.9907763677017489E-3</v>
      </c>
      <c r="I71" s="10">
        <f t="shared" si="16"/>
        <v>1.9907763677017489E-3</v>
      </c>
      <c r="J71" s="10">
        <f t="shared" si="17"/>
        <v>3.3201576291570951E-4</v>
      </c>
      <c r="K71" s="17">
        <f t="shared" si="18"/>
        <v>8.7292739184103425</v>
      </c>
      <c r="L71" s="17">
        <f t="shared" si="19"/>
        <v>9.4571950919641328</v>
      </c>
      <c r="M71" s="17">
        <f t="shared" si="20"/>
        <v>8.7292739184103425</v>
      </c>
      <c r="N71" s="16">
        <f t="shared" si="21"/>
        <v>1719.6904297215092</v>
      </c>
      <c r="O71" s="16">
        <f t="shared" si="22"/>
        <v>1343.5694147825752</v>
      </c>
    </row>
    <row r="72" spans="1:15" x14ac:dyDescent="0.2">
      <c r="A72" s="6">
        <v>39</v>
      </c>
      <c r="B72" s="16">
        <f t="shared" si="23"/>
        <v>777.14596145697089</v>
      </c>
      <c r="C72" s="16">
        <f t="shared" si="24"/>
        <v>629.32039104983744</v>
      </c>
      <c r="D72" s="16">
        <v>0</v>
      </c>
      <c r="E72" s="10">
        <f t="shared" si="0"/>
        <v>1.7783659473644699E-3</v>
      </c>
      <c r="F72" s="10">
        <f t="shared" si="1"/>
        <v>2.2318243571625529E-3</v>
      </c>
      <c r="G72" s="10">
        <f t="shared" si="2"/>
        <v>0</v>
      </c>
      <c r="H72" s="10">
        <f t="shared" si="15"/>
        <v>2.0050951522635114E-3</v>
      </c>
      <c r="I72" s="10">
        <f t="shared" si="16"/>
        <v>2.0050951522635114E-3</v>
      </c>
      <c r="J72" s="10">
        <f t="shared" si="17"/>
        <v>4.5345840979808295E-4</v>
      </c>
      <c r="K72" s="17">
        <f t="shared" si="18"/>
        <v>8.4357715845359884</v>
      </c>
      <c r="L72" s="17">
        <f t="shared" si="19"/>
        <v>9.3896593748050119</v>
      </c>
      <c r="M72" s="17">
        <f t="shared" si="20"/>
        <v>8.4357715845359884</v>
      </c>
      <c r="N72" s="16">
        <f t="shared" si="21"/>
        <v>1638.9564546739039</v>
      </c>
      <c r="O72" s="16">
        <f t="shared" si="22"/>
        <v>1327.2007680968238</v>
      </c>
    </row>
    <row r="73" spans="1:15" x14ac:dyDescent="0.2">
      <c r="A73" s="6">
        <v>40</v>
      </c>
      <c r="B73" s="16">
        <f t="shared" si="23"/>
        <v>766.04444311897805</v>
      </c>
      <c r="C73" s="16">
        <f t="shared" si="24"/>
        <v>642.78760968653921</v>
      </c>
      <c r="D73" s="16">
        <v>0</v>
      </c>
      <c r="E73" s="10">
        <f t="shared" si="0"/>
        <v>1.7314217009900615E-3</v>
      </c>
      <c r="F73" s="10">
        <f t="shared" si="1"/>
        <v>2.306184629846142E-3</v>
      </c>
      <c r="G73" s="10">
        <f t="shared" si="2"/>
        <v>0</v>
      </c>
      <c r="H73" s="10">
        <f t="shared" si="15"/>
        <v>2.0188031654181015E-3</v>
      </c>
      <c r="I73" s="10">
        <f t="shared" si="16"/>
        <v>2.0188031654181015E-3</v>
      </c>
      <c r="J73" s="10">
        <f t="shared" si="17"/>
        <v>5.7476292885608052E-4</v>
      </c>
      <c r="K73" s="17">
        <f t="shared" si="18"/>
        <v>8.1637698257850335</v>
      </c>
      <c r="L73" s="17">
        <f t="shared" si="19"/>
        <v>9.3259020078502743</v>
      </c>
      <c r="M73" s="17">
        <f t="shared" si="20"/>
        <v>8.1637698257850335</v>
      </c>
      <c r="N73" s="16">
        <f t="shared" si="21"/>
        <v>1563.452627486253</v>
      </c>
      <c r="O73" s="16">
        <f t="shared" si="22"/>
        <v>1311.892523086864</v>
      </c>
    </row>
    <row r="74" spans="1:15" x14ac:dyDescent="0.2">
      <c r="A74" s="6">
        <v>41</v>
      </c>
      <c r="B74" s="16">
        <f t="shared" si="23"/>
        <v>754.70958022277216</v>
      </c>
      <c r="C74" s="16">
        <f t="shared" si="24"/>
        <v>656.05902899050716</v>
      </c>
      <c r="D74" s="16">
        <v>0</v>
      </c>
      <c r="E74" s="10">
        <f t="shared" si="0"/>
        <v>1.6839500467928723E-3</v>
      </c>
      <c r="F74" s="10">
        <f t="shared" si="1"/>
        <v>2.3798424163509677E-3</v>
      </c>
      <c r="G74" s="10">
        <f t="shared" si="2"/>
        <v>0</v>
      </c>
      <c r="H74" s="10">
        <f t="shared" si="15"/>
        <v>2.0318962315719201E-3</v>
      </c>
      <c r="I74" s="10">
        <f t="shared" si="16"/>
        <v>2.0318962315719201E-3</v>
      </c>
      <c r="J74" s="10">
        <f t="shared" si="17"/>
        <v>6.9589236955809532E-4</v>
      </c>
      <c r="K74" s="17">
        <f t="shared" si="18"/>
        <v>7.911095442485224</v>
      </c>
      <c r="L74" s="17">
        <f t="shared" si="19"/>
        <v>9.2658080670104166</v>
      </c>
      <c r="M74" s="17">
        <f t="shared" si="20"/>
        <v>7.911095442485224</v>
      </c>
      <c r="N74" s="16">
        <f t="shared" si="21"/>
        <v>1492.6448801250774</v>
      </c>
      <c r="O74" s="16">
        <f t="shared" si="22"/>
        <v>1297.5363985620206</v>
      </c>
    </row>
    <row r="75" spans="1:15" x14ac:dyDescent="0.2">
      <c r="A75" s="6">
        <v>42</v>
      </c>
      <c r="B75" s="16">
        <f t="shared" si="23"/>
        <v>743.14482547739419</v>
      </c>
      <c r="C75" s="16">
        <f t="shared" si="24"/>
        <v>669.13060635885824</v>
      </c>
      <c r="D75" s="16">
        <v>0</v>
      </c>
      <c r="E75" s="10">
        <f t="shared" si="0"/>
        <v>1.635965445098639E-3</v>
      </c>
      <c r="F75" s="10">
        <f t="shared" si="1"/>
        <v>2.4527752798017229E-3</v>
      </c>
      <c r="G75" s="10">
        <f t="shared" si="2"/>
        <v>0</v>
      </c>
      <c r="H75" s="10">
        <f t="shared" si="15"/>
        <v>2.0443703624501812E-3</v>
      </c>
      <c r="I75" s="10">
        <f t="shared" si="16"/>
        <v>2.0443703624501812E-3</v>
      </c>
      <c r="J75" s="10">
        <f t="shared" si="17"/>
        <v>8.1680983470308393E-4</v>
      </c>
      <c r="K75" s="17">
        <f t="shared" si="18"/>
        <v>7.6758603402710053</v>
      </c>
      <c r="L75" s="17">
        <f t="shared" si="19"/>
        <v>9.2092709029800162</v>
      </c>
      <c r="M75" s="17">
        <f t="shared" si="20"/>
        <v>7.6758603402710053</v>
      </c>
      <c r="N75" s="16">
        <f t="shared" si="21"/>
        <v>1426.0689732398869</v>
      </c>
      <c r="O75" s="16">
        <f t="shared" si="22"/>
        <v>1284.0382709528624</v>
      </c>
    </row>
    <row r="76" spans="1:15" x14ac:dyDescent="0.2">
      <c r="A76" s="6">
        <v>43</v>
      </c>
      <c r="B76" s="16">
        <f t="shared" si="23"/>
        <v>731.35370161917058</v>
      </c>
      <c r="C76" s="16">
        <f t="shared" si="24"/>
        <v>681.99836006249848</v>
      </c>
      <c r="D76" s="16">
        <v>0</v>
      </c>
      <c r="E76" s="10">
        <f t="shared" si="0"/>
        <v>1.5874825124818769E-3</v>
      </c>
      <c r="F76" s="10">
        <f t="shared" si="1"/>
        <v>2.5249610041416818E-3</v>
      </c>
      <c r="G76" s="10">
        <f t="shared" si="2"/>
        <v>0</v>
      </c>
      <c r="H76" s="10">
        <f t="shared" si="15"/>
        <v>2.0562217583117793E-3</v>
      </c>
      <c r="I76" s="10">
        <f t="shared" si="16"/>
        <v>2.0562217583117793E-3</v>
      </c>
      <c r="J76" s="10">
        <f t="shared" si="17"/>
        <v>9.3747849165980494E-4</v>
      </c>
      <c r="K76" s="17">
        <f t="shared" si="18"/>
        <v>7.4564163418544123</v>
      </c>
      <c r="L76" s="17">
        <f t="shared" si="19"/>
        <v>9.1561916499146641</v>
      </c>
      <c r="M76" s="17">
        <f t="shared" si="20"/>
        <v>7.4564163418544123</v>
      </c>
      <c r="N76" s="16">
        <f t="shared" si="21"/>
        <v>1363.3194231072248</v>
      </c>
      <c r="O76" s="16">
        <f t="shared" si="22"/>
        <v>1271.3159292719808</v>
      </c>
    </row>
    <row r="77" spans="1:15" x14ac:dyDescent="0.2">
      <c r="A77" s="6">
        <v>44</v>
      </c>
      <c r="B77" s="16">
        <f t="shared" si="23"/>
        <v>719.33980033865123</v>
      </c>
      <c r="C77" s="16">
        <f t="shared" si="24"/>
        <v>694.6583704589973</v>
      </c>
      <c r="D77" s="16">
        <v>0</v>
      </c>
      <c r="E77" s="10">
        <f t="shared" si="0"/>
        <v>1.5385160173135236E-3</v>
      </c>
      <c r="F77" s="10">
        <f t="shared" si="1"/>
        <v>2.5963776008999327E-3</v>
      </c>
      <c r="G77" s="10">
        <f t="shared" si="2"/>
        <v>0</v>
      </c>
      <c r="H77" s="10">
        <f t="shared" si="15"/>
        <v>2.0674468091067284E-3</v>
      </c>
      <c r="I77" s="10">
        <f t="shared" si="16"/>
        <v>2.0674468091067284E-3</v>
      </c>
      <c r="J77" s="10">
        <f t="shared" si="17"/>
        <v>1.057861583586409E-3</v>
      </c>
      <c r="K77" s="17">
        <f t="shared" si="18"/>
        <v>7.2513183318564538</v>
      </c>
      <c r="L77" s="17">
        <f t="shared" si="19"/>
        <v>9.106478778992976</v>
      </c>
      <c r="M77" s="17">
        <f t="shared" si="20"/>
        <v>7.2513183318564538</v>
      </c>
      <c r="N77" s="16">
        <f t="shared" si="21"/>
        <v>1304.0404702574058</v>
      </c>
      <c r="O77" s="16">
        <f t="shared" si="22"/>
        <v>1259.2972440217147</v>
      </c>
    </row>
    <row r="78" spans="1:15" x14ac:dyDescent="0.2">
      <c r="A78" s="6">
        <v>45</v>
      </c>
      <c r="B78" s="16">
        <f t="shared" si="23"/>
        <v>707.10678118654755</v>
      </c>
      <c r="C78" s="16">
        <f t="shared" si="24"/>
        <v>707.10678118654744</v>
      </c>
      <c r="D78" s="16">
        <v>0</v>
      </c>
      <c r="E78" s="10">
        <f t="shared" si="0"/>
        <v>1.4890808752623572E-3</v>
      </c>
      <c r="F78" s="10">
        <f t="shared" si="1"/>
        <v>2.6670033158892751E-3</v>
      </c>
      <c r="G78" s="10">
        <f t="shared" si="2"/>
        <v>0</v>
      </c>
      <c r="H78" s="10">
        <f t="shared" si="15"/>
        <v>2.0780420955758159E-3</v>
      </c>
      <c r="I78" s="10">
        <f t="shared" si="16"/>
        <v>2.0780420955758159E-3</v>
      </c>
      <c r="J78" s="10">
        <f t="shared" si="17"/>
        <v>1.1779224406269178E-3</v>
      </c>
      <c r="K78" s="17">
        <f t="shared" si="18"/>
        <v>7.0592939954967804</v>
      </c>
      <c r="L78" s="17">
        <f t="shared" si="19"/>
        <v>9.0600476929271458</v>
      </c>
      <c r="M78" s="17">
        <f t="shared" si="20"/>
        <v>7.0592939954967804</v>
      </c>
      <c r="N78" s="16">
        <f t="shared" si="21"/>
        <v>1247.9186636513127</v>
      </c>
      <c r="O78" s="16">
        <f t="shared" si="22"/>
        <v>1247.9186636513125</v>
      </c>
    </row>
    <row r="79" spans="1:15" x14ac:dyDescent="0.2">
      <c r="A79" s="6">
        <v>46</v>
      </c>
      <c r="B79" s="16">
        <f t="shared" si="23"/>
        <v>694.65837045899741</v>
      </c>
      <c r="C79" s="16">
        <f t="shared" si="24"/>
        <v>719.33980033865112</v>
      </c>
      <c r="D79" s="16">
        <v>0</v>
      </c>
      <c r="E79" s="10">
        <f t="shared" si="0"/>
        <v>1.4391921447515358E-3</v>
      </c>
      <c r="F79" s="10">
        <f t="shared" si="1"/>
        <v>2.7368166358327562E-3</v>
      </c>
      <c r="G79" s="10">
        <f t="shared" si="2"/>
        <v>0</v>
      </c>
      <c r="H79" s="10">
        <f t="shared" si="15"/>
        <v>2.0880043902921459E-3</v>
      </c>
      <c r="I79" s="10">
        <f t="shared" si="16"/>
        <v>2.0880043902921459E-3</v>
      </c>
      <c r="J79" s="10">
        <f t="shared" si="17"/>
        <v>1.2976244910812204E-3</v>
      </c>
      <c r="K79" s="17">
        <f t="shared" si="18"/>
        <v>6.8792188147813018</v>
      </c>
      <c r="L79" s="17">
        <f t="shared" si="19"/>
        <v>9.0168203579269939</v>
      </c>
      <c r="M79" s="17">
        <f t="shared" si="20"/>
        <v>6.8792188147813018</v>
      </c>
      <c r="N79" s="16">
        <f t="shared" si="21"/>
        <v>1194.6767329767138</v>
      </c>
      <c r="O79" s="16">
        <f t="shared" si="22"/>
        <v>1237.1239721776685</v>
      </c>
    </row>
    <row r="80" spans="1:15" x14ac:dyDescent="0.2">
      <c r="A80" s="6">
        <v>47</v>
      </c>
      <c r="B80" s="16">
        <f t="shared" si="23"/>
        <v>681.99836006249848</v>
      </c>
      <c r="C80" s="16">
        <f t="shared" si="24"/>
        <v>731.35370161917047</v>
      </c>
      <c r="D80" s="16">
        <v>0</v>
      </c>
      <c r="E80" s="10">
        <f t="shared" si="0"/>
        <v>1.3888650223716553E-3</v>
      </c>
      <c r="F80" s="10">
        <f t="shared" si="1"/>
        <v>2.8057962949168246E-3</v>
      </c>
      <c r="G80" s="10">
        <f t="shared" si="2"/>
        <v>0</v>
      </c>
      <c r="H80" s="10">
        <f t="shared" si="15"/>
        <v>2.09733065864424E-3</v>
      </c>
      <c r="I80" s="10">
        <f t="shared" si="16"/>
        <v>2.09733065864424E-3</v>
      </c>
      <c r="J80" s="10">
        <f t="shared" si="17"/>
        <v>1.4169312725451693E-3</v>
      </c>
      <c r="K80" s="17">
        <f t="shared" si="18"/>
        <v>6.7100952866520469</v>
      </c>
      <c r="L80" s="17">
        <f t="shared" si="19"/>
        <v>8.9767249700137643</v>
      </c>
      <c r="M80" s="17">
        <f t="shared" si="20"/>
        <v>6.7100952866520469</v>
      </c>
      <c r="N80" s="16">
        <f t="shared" si="21"/>
        <v>1144.0684953399491</v>
      </c>
      <c r="O80" s="16">
        <f t="shared" si="22"/>
        <v>1226.8632565275809</v>
      </c>
    </row>
    <row r="81" spans="1:15" x14ac:dyDescent="0.2">
      <c r="A81" s="6">
        <v>48</v>
      </c>
      <c r="B81" s="16">
        <f t="shared" si="23"/>
        <v>669.13060635885824</v>
      </c>
      <c r="C81" s="16">
        <f t="shared" si="24"/>
        <v>743.14482547739408</v>
      </c>
      <c r="D81" s="16">
        <v>0</v>
      </c>
      <c r="E81" s="10">
        <f t="shared" si="0"/>
        <v>1.3381148382517235E-3</v>
      </c>
      <c r="F81" s="10">
        <f t="shared" si="1"/>
        <v>2.873921281269102E-3</v>
      </c>
      <c r="G81" s="10">
        <f t="shared" si="2"/>
        <v>0</v>
      </c>
      <c r="H81" s="10">
        <f t="shared" si="15"/>
        <v>2.1060180597604126E-3</v>
      </c>
      <c r="I81" s="10">
        <f t="shared" si="16"/>
        <v>2.1060180597604126E-3</v>
      </c>
      <c r="J81" s="10">
        <f t="shared" si="17"/>
        <v>1.5358064430173784E-3</v>
      </c>
      <c r="K81" s="17">
        <f t="shared" si="18"/>
        <v>6.5510355542909062</v>
      </c>
      <c r="L81" s="17">
        <f t="shared" si="19"/>
        <v>8.9396956529275915</v>
      </c>
      <c r="M81" s="17">
        <f t="shared" si="20"/>
        <v>6.5510355542909062</v>
      </c>
      <c r="N81" s="16">
        <f t="shared" si="21"/>
        <v>1095.8745981802783</v>
      </c>
      <c r="O81" s="16">
        <f t="shared" si="22"/>
        <v>1217.0920434224297</v>
      </c>
    </row>
    <row r="82" spans="1:15" x14ac:dyDescent="0.2">
      <c r="A82" s="6">
        <v>49</v>
      </c>
      <c r="B82" s="16">
        <f t="shared" si="23"/>
        <v>656.05902899050727</v>
      </c>
      <c r="C82" s="16">
        <f t="shared" si="24"/>
        <v>754.70958022277205</v>
      </c>
      <c r="D82" s="16">
        <v>0</v>
      </c>
      <c r="E82" s="10">
        <f t="shared" si="0"/>
        <v>1.28695705138945E-3</v>
      </c>
      <c r="F82" s="10">
        <f t="shared" si="1"/>
        <v>2.9411708433588054E-3</v>
      </c>
      <c r="G82" s="10">
        <f t="shared" si="2"/>
        <v>0</v>
      </c>
      <c r="H82" s="10">
        <f t="shared" si="15"/>
        <v>2.1140639473741277E-3</v>
      </c>
      <c r="I82" s="10">
        <f t="shared" si="16"/>
        <v>2.1140639473741277E-3</v>
      </c>
      <c r="J82" s="10">
        <f t="shared" si="17"/>
        <v>1.6542137919693554E-3</v>
      </c>
      <c r="K82" s="17">
        <f t="shared" si="18"/>
        <v>6.401246815137954</v>
      </c>
      <c r="L82" s="17">
        <f t="shared" si="19"/>
        <v>8.9056721851826293</v>
      </c>
      <c r="M82" s="17">
        <f t="shared" si="20"/>
        <v>6.401246815137954</v>
      </c>
      <c r="N82" s="16">
        <f t="shared" si="21"/>
        <v>1049.8989424669958</v>
      </c>
      <c r="O82" s="16">
        <f t="shared" si="22"/>
        <v>1207.7705741887805</v>
      </c>
    </row>
    <row r="83" spans="1:15" x14ac:dyDescent="0.2">
      <c r="A83" s="6">
        <v>50</v>
      </c>
      <c r="B83" s="16">
        <f t="shared" si="23"/>
        <v>642.78760968653933</v>
      </c>
      <c r="C83" s="16">
        <f t="shared" si="24"/>
        <v>766.04444311897805</v>
      </c>
      <c r="D83" s="16">
        <v>0</v>
      </c>
      <c r="E83" s="10">
        <f t="shared" si="0"/>
        <v>1.2354072449422908E-3</v>
      </c>
      <c r="F83" s="10">
        <f t="shared" si="1"/>
        <v>3.0075244963178593E-3</v>
      </c>
      <c r="G83" s="10">
        <f t="shared" si="2"/>
        <v>0</v>
      </c>
      <c r="H83" s="10">
        <f t="shared" si="15"/>
        <v>2.1214658706300753E-3</v>
      </c>
      <c r="I83" s="10">
        <f t="shared" si="16"/>
        <v>2.1214658706300753E-3</v>
      </c>
      <c r="J83" s="10">
        <f t="shared" si="17"/>
        <v>1.7721172513755685E-3</v>
      </c>
      <c r="K83" s="17">
        <f t="shared" si="18"/>
        <v>6.2600190013007149</v>
      </c>
      <c r="L83" s="17">
        <f t="shared" si="19"/>
        <v>8.8745997541009203</v>
      </c>
      <c r="M83" s="17">
        <f t="shared" si="20"/>
        <v>6.2600190013007149</v>
      </c>
      <c r="N83" s="16">
        <f t="shared" si="21"/>
        <v>1005.9656626096009</v>
      </c>
      <c r="O83" s="16">
        <f t="shared" si="22"/>
        <v>1198.8631924414069</v>
      </c>
    </row>
    <row r="84" spans="1:15" x14ac:dyDescent="0.2">
      <c r="A84" s="6">
        <v>51</v>
      </c>
      <c r="B84" s="16">
        <f t="shared" si="23"/>
        <v>629.32039104983755</v>
      </c>
      <c r="C84" s="16">
        <f t="shared" si="24"/>
        <v>777.14596145697078</v>
      </c>
      <c r="D84" s="16">
        <v>0</v>
      </c>
      <c r="E84" s="10">
        <f t="shared" si="0"/>
        <v>1.1834811214806638E-3</v>
      </c>
      <c r="F84" s="10">
        <f t="shared" si="1"/>
        <v>3.07296202818079E-3</v>
      </c>
      <c r="G84" s="10">
        <f t="shared" si="2"/>
        <v>0</v>
      </c>
      <c r="H84" s="10">
        <f t="shared" si="15"/>
        <v>2.1282215748307269E-3</v>
      </c>
      <c r="I84" s="10">
        <f t="shared" si="16"/>
        <v>2.1282215748307269E-3</v>
      </c>
      <c r="J84" s="10">
        <f t="shared" si="17"/>
        <v>1.8894809067001262E-3</v>
      </c>
      <c r="K84" s="17">
        <f t="shared" si="18"/>
        <v>6.126714330073562</v>
      </c>
      <c r="L84" s="17">
        <f t="shared" si="19"/>
        <v>8.8464287349049293</v>
      </c>
      <c r="M84" s="17">
        <f t="shared" si="20"/>
        <v>6.126714330073562</v>
      </c>
      <c r="N84" s="16">
        <f t="shared" si="21"/>
        <v>963.9165645131344</v>
      </c>
      <c r="O84" s="16">
        <f t="shared" si="22"/>
        <v>1190.3378246543048</v>
      </c>
    </row>
    <row r="85" spans="1:15" x14ac:dyDescent="0.2">
      <c r="A85" s="6">
        <v>52</v>
      </c>
      <c r="B85" s="16">
        <f t="shared" si="23"/>
        <v>615.66147532565833</v>
      </c>
      <c r="C85" s="16">
        <f t="shared" si="24"/>
        <v>788.01075360672201</v>
      </c>
      <c r="D85" s="16">
        <v>0</v>
      </c>
      <c r="E85" s="10">
        <f t="shared" si="0"/>
        <v>1.1311944982047941E-3</v>
      </c>
      <c r="F85" s="10">
        <f t="shared" si="1"/>
        <v>3.137463506041487E-3</v>
      </c>
      <c r="G85" s="10">
        <f t="shared" si="2"/>
        <v>0</v>
      </c>
      <c r="H85" s="10">
        <f t="shared" si="15"/>
        <v>2.1343290021231406E-3</v>
      </c>
      <c r="I85" s="10">
        <f t="shared" si="16"/>
        <v>2.1343290021231406E-3</v>
      </c>
      <c r="J85" s="10">
        <f t="shared" si="17"/>
        <v>2.0062690078366929E-3</v>
      </c>
      <c r="K85" s="17">
        <f t="shared" si="18"/>
        <v>6.000758401675002</v>
      </c>
      <c r="L85" s="17">
        <f t="shared" si="19"/>
        <v>8.8211144931726526</v>
      </c>
      <c r="M85" s="17">
        <f t="shared" si="20"/>
        <v>6.000758401675002</v>
      </c>
      <c r="N85" s="16">
        <f t="shared" si="21"/>
        <v>923.60894266201774</v>
      </c>
      <c r="O85" s="16">
        <f t="shared" si="22"/>
        <v>1182.1655375789467</v>
      </c>
    </row>
    <row r="86" spans="1:15" x14ac:dyDescent="0.2">
      <c r="A86" s="6">
        <v>53</v>
      </c>
      <c r="B86" s="16">
        <f t="shared" si="23"/>
        <v>601.81502315204841</v>
      </c>
      <c r="C86" s="16">
        <f t="shared" si="24"/>
        <v>798.63551004729288</v>
      </c>
      <c r="D86" s="16">
        <v>0</v>
      </c>
      <c r="E86" s="10">
        <f t="shared" si="0"/>
        <v>1.0785633021266447E-3</v>
      </c>
      <c r="F86" s="10">
        <f t="shared" si="1"/>
        <v>3.2010092821249509E-3</v>
      </c>
      <c r="G86" s="10">
        <f t="shared" si="2"/>
        <v>0</v>
      </c>
      <c r="H86" s="10">
        <f t="shared" si="15"/>
        <v>2.1397862921257978E-3</v>
      </c>
      <c r="I86" s="10">
        <f t="shared" si="16"/>
        <v>2.1397862921257978E-3</v>
      </c>
      <c r="J86" s="10">
        <f t="shared" si="17"/>
        <v>2.1224459799983062E-3</v>
      </c>
      <c r="K86" s="17">
        <f t="shared" si="18"/>
        <v>5.8816325834984715</v>
      </c>
      <c r="L86" s="17">
        <f t="shared" si="19"/>
        <v>8.7986172091620798</v>
      </c>
      <c r="M86" s="17">
        <f t="shared" si="20"/>
        <v>5.8816325834984715</v>
      </c>
      <c r="N86" s="16">
        <f t="shared" si="21"/>
        <v>884.91371235249369</v>
      </c>
      <c r="O86" s="16">
        <f t="shared" si="22"/>
        <v>1174.3201595582698</v>
      </c>
    </row>
    <row r="87" spans="1:15" x14ac:dyDescent="0.2">
      <c r="A87" s="6">
        <v>54</v>
      </c>
      <c r="B87" s="16">
        <f t="shared" si="23"/>
        <v>587.78525229247316</v>
      </c>
      <c r="C87" s="16">
        <f t="shared" si="24"/>
        <v>809.01699437494744</v>
      </c>
      <c r="D87" s="16">
        <v>0</v>
      </c>
      <c r="E87" s="10">
        <f t="shared" si="0"/>
        <v>1.0256035652183892E-3</v>
      </c>
      <c r="F87" s="10">
        <f t="shared" si="1"/>
        <v>3.2635799997722068E-3</v>
      </c>
      <c r="G87" s="10">
        <f t="shared" si="2"/>
        <v>0</v>
      </c>
      <c r="H87" s="10">
        <f t="shared" si="15"/>
        <v>2.1445917824952981E-3</v>
      </c>
      <c r="I87" s="10">
        <f t="shared" si="16"/>
        <v>2.1445917824952981E-3</v>
      </c>
      <c r="J87" s="10">
        <f t="shared" si="17"/>
        <v>2.2379764345538174E-3</v>
      </c>
      <c r="K87" s="17">
        <f t="shared" si="18"/>
        <v>5.768867469202922</v>
      </c>
      <c r="L87" s="17">
        <f t="shared" si="19"/>
        <v>8.7789017226957693</v>
      </c>
      <c r="M87" s="17">
        <f t="shared" si="20"/>
        <v>5.768867469202922</v>
      </c>
      <c r="N87" s="16">
        <f t="shared" si="21"/>
        <v>847.71380520682021</v>
      </c>
      <c r="O87" s="16">
        <f t="shared" si="22"/>
        <v>1166.7779552204895</v>
      </c>
    </row>
    <row r="88" spans="1:15" x14ac:dyDescent="0.2">
      <c r="A88" s="6">
        <v>55</v>
      </c>
      <c r="B88" s="16">
        <f t="shared" si="23"/>
        <v>573.57643635104614</v>
      </c>
      <c r="C88" s="16">
        <f t="shared" si="24"/>
        <v>819.15204428899176</v>
      </c>
      <c r="D88" s="16">
        <v>0</v>
      </c>
      <c r="E88" s="10">
        <f t="shared" si="0"/>
        <v>9.7233141952892408E-4</v>
      </c>
      <c r="F88" s="10">
        <f t="shared" si="1"/>
        <v>3.3251565993365224E-3</v>
      </c>
      <c r="G88" s="10">
        <f t="shared" si="2"/>
        <v>0</v>
      </c>
      <c r="H88" s="10">
        <f t="shared" si="15"/>
        <v>2.148744009432723E-3</v>
      </c>
      <c r="I88" s="10">
        <f t="shared" si="16"/>
        <v>2.148744009432723E-3</v>
      </c>
      <c r="J88" s="10">
        <f t="shared" si="17"/>
        <v>2.3528251798075983E-3</v>
      </c>
      <c r="K88" s="17">
        <f t="shared" si="18"/>
        <v>5.6620372398652732</v>
      </c>
      <c r="L88" s="17">
        <f t="shared" si="19"/>
        <v>8.7619373974648607</v>
      </c>
      <c r="M88" s="17">
        <f t="shared" si="20"/>
        <v>5.6620372398652732</v>
      </c>
      <c r="N88" s="16">
        <f t="shared" si="21"/>
        <v>811.9027856322092</v>
      </c>
      <c r="O88" s="16">
        <f t="shared" si="22"/>
        <v>1159.5173449690096</v>
      </c>
    </row>
    <row r="89" spans="1:15" x14ac:dyDescent="0.2">
      <c r="A89" s="6">
        <v>56</v>
      </c>
      <c r="B89" s="16">
        <f t="shared" si="23"/>
        <v>559.19290347074684</v>
      </c>
      <c r="C89" s="16">
        <f t="shared" si="24"/>
        <v>829.03757255504172</v>
      </c>
      <c r="D89" s="16">
        <v>0</v>
      </c>
      <c r="E89" s="10">
        <f t="shared" si="0"/>
        <v>9.187630922698844E-4</v>
      </c>
      <c r="F89" s="10">
        <f t="shared" si="1"/>
        <v>3.385720323989165E-3</v>
      </c>
      <c r="G89" s="10">
        <f t="shared" si="2"/>
        <v>0</v>
      </c>
      <c r="H89" s="10">
        <f t="shared" si="15"/>
        <v>2.1522417081295247E-3</v>
      </c>
      <c r="I89" s="10">
        <f t="shared" si="16"/>
        <v>2.1522417081295247E-3</v>
      </c>
      <c r="J89" s="10">
        <f t="shared" si="17"/>
        <v>2.4669572317192806E-3</v>
      </c>
      <c r="K89" s="17">
        <f t="shared" si="18"/>
        <v>5.5607547854526844</v>
      </c>
      <c r="L89" s="17">
        <f t="shared" si="19"/>
        <v>8.7476980037662759</v>
      </c>
      <c r="M89" s="17">
        <f t="shared" si="20"/>
        <v>5.5607547854526844</v>
      </c>
      <c r="N89" s="16">
        <f t="shared" si="21"/>
        <v>777.38365349153412</v>
      </c>
      <c r="O89" s="16">
        <f t="shared" si="22"/>
        <v>1152.5186622263814</v>
      </c>
    </row>
    <row r="90" spans="1:15" x14ac:dyDescent="0.2">
      <c r="A90" s="6">
        <v>57</v>
      </c>
      <c r="B90" s="16">
        <f t="shared" si="23"/>
        <v>544.63903501502716</v>
      </c>
      <c r="C90" s="16">
        <f t="shared" si="24"/>
        <v>838.67056794542395</v>
      </c>
      <c r="D90" s="16">
        <v>0</v>
      </c>
      <c r="E90" s="10">
        <f t="shared" si="0"/>
        <v>8.6491490087268162E-4</v>
      </c>
      <c r="F90" s="10">
        <f t="shared" si="1"/>
        <v>3.4452527254329106E-3</v>
      </c>
      <c r="G90" s="10">
        <f t="shared" si="2"/>
        <v>0</v>
      </c>
      <c r="H90" s="10">
        <f t="shared" si="15"/>
        <v>2.1550838131527963E-3</v>
      </c>
      <c r="I90" s="10">
        <f t="shared" si="16"/>
        <v>2.1550838131527963E-3</v>
      </c>
      <c r="J90" s="10">
        <f t="shared" si="17"/>
        <v>2.5803378245602289E-3</v>
      </c>
      <c r="K90" s="17">
        <f t="shared" si="18"/>
        <v>5.4646674697750806</v>
      </c>
      <c r="L90" s="17">
        <f t="shared" si="19"/>
        <v>8.7361616188299536</v>
      </c>
      <c r="M90" s="17">
        <f t="shared" si="20"/>
        <v>5.4646674697750806</v>
      </c>
      <c r="N90" s="16">
        <f t="shared" si="21"/>
        <v>744.06780435407745</v>
      </c>
      <c r="O90" s="16">
        <f t="shared" si="22"/>
        <v>1145.7639426272874</v>
      </c>
    </row>
    <row r="91" spans="1:15" x14ac:dyDescent="0.2">
      <c r="A91" s="6">
        <v>58</v>
      </c>
      <c r="B91" s="16">
        <f t="shared" si="23"/>
        <v>529.9192642332049</v>
      </c>
      <c r="C91" s="16">
        <f t="shared" si="24"/>
        <v>848.04809615642591</v>
      </c>
      <c r="D91" s="16">
        <v>0</v>
      </c>
      <c r="E91" s="10">
        <f t="shared" si="0"/>
        <v>8.1080324801805338E-4</v>
      </c>
      <c r="F91" s="10">
        <f t="shared" si="1"/>
        <v>3.5037356695215779E-3</v>
      </c>
      <c r="G91" s="10">
        <f t="shared" si="2"/>
        <v>0</v>
      </c>
      <c r="H91" s="10">
        <f t="shared" si="15"/>
        <v>2.1572694587698158E-3</v>
      </c>
      <c r="I91" s="10">
        <f t="shared" si="16"/>
        <v>2.1572694587698158E-3</v>
      </c>
      <c r="J91" s="10">
        <f t="shared" si="17"/>
        <v>2.6929324215035247E-3</v>
      </c>
      <c r="K91" s="17">
        <f t="shared" si="18"/>
        <v>5.3734534421650419</v>
      </c>
      <c r="L91" s="17">
        <f t="shared" si="19"/>
        <v>8.7273105440260395</v>
      </c>
      <c r="M91" s="17">
        <f t="shared" si="20"/>
        <v>5.3734534421650419</v>
      </c>
      <c r="N91" s="16">
        <f t="shared" si="21"/>
        <v>711.8741236158703</v>
      </c>
      <c r="O91" s="16">
        <f t="shared" si="22"/>
        <v>1139.2367403533144</v>
      </c>
    </row>
    <row r="92" spans="1:15" x14ac:dyDescent="0.2">
      <c r="A92" s="6">
        <v>59</v>
      </c>
      <c r="B92" s="16">
        <f t="shared" si="23"/>
        <v>515.03807491005443</v>
      </c>
      <c r="C92" s="16">
        <f t="shared" si="24"/>
        <v>857.16730070211224</v>
      </c>
      <c r="D92" s="16">
        <v>0</v>
      </c>
      <c r="E92" s="10">
        <f t="shared" si="0"/>
        <v>7.5644461663965296E-4</v>
      </c>
      <c r="F92" s="10">
        <f t="shared" si="1"/>
        <v>3.5611513417838588E-3</v>
      </c>
      <c r="G92" s="10">
        <f t="shared" si="2"/>
        <v>0</v>
      </c>
      <c r="H92" s="10">
        <f t="shared" si="15"/>
        <v>2.158797979211756E-3</v>
      </c>
      <c r="I92" s="10">
        <f t="shared" si="16"/>
        <v>2.158797979211756E-3</v>
      </c>
      <c r="J92" s="10">
        <f t="shared" si="17"/>
        <v>2.8047067251442057E-3</v>
      </c>
      <c r="K92" s="17">
        <f t="shared" si="18"/>
        <v>5.2868184154162412</v>
      </c>
      <c r="L92" s="17">
        <f t="shared" si="19"/>
        <v>8.7211312383669828</v>
      </c>
      <c r="M92" s="17">
        <f t="shared" si="20"/>
        <v>5.2868184154162412</v>
      </c>
      <c r="N92" s="16">
        <f t="shared" si="21"/>
        <v>680.72819476875134</v>
      </c>
      <c r="O92" s="16">
        <f t="shared" si="22"/>
        <v>1132.9219676111395</v>
      </c>
    </row>
    <row r="93" spans="1:15" x14ac:dyDescent="0.2">
      <c r="A93" s="6">
        <v>60</v>
      </c>
      <c r="B93" s="16">
        <f t="shared" si="23"/>
        <v>500.00000000000011</v>
      </c>
      <c r="C93" s="16">
        <f t="shared" si="24"/>
        <v>866.02540378443859</v>
      </c>
      <c r="D93" s="16">
        <v>0</v>
      </c>
      <c r="E93" s="10">
        <f t="shared" si="0"/>
        <v>7.0185556490317917E-4</v>
      </c>
      <c r="F93" s="10">
        <f t="shared" si="1"/>
        <v>3.6174822528497849E-3</v>
      </c>
      <c r="G93" s="10">
        <f t="shared" si="2"/>
        <v>0</v>
      </c>
      <c r="H93" s="10">
        <f t="shared" si="15"/>
        <v>2.1596689088764819E-3</v>
      </c>
      <c r="I93" s="10">
        <f t="shared" si="16"/>
        <v>2.1596689088764819E-3</v>
      </c>
      <c r="J93" s="10">
        <f t="shared" si="17"/>
        <v>2.9156266879466057E-3</v>
      </c>
      <c r="K93" s="17">
        <f t="shared" si="18"/>
        <v>5.2044928427763475</v>
      </c>
      <c r="L93" s="17">
        <f t="shared" si="19"/>
        <v>8.71761426783773</v>
      </c>
      <c r="M93" s="17">
        <f t="shared" si="20"/>
        <v>5.2044928427763475</v>
      </c>
      <c r="N93" s="16">
        <f t="shared" si="21"/>
        <v>650.56160534704361</v>
      </c>
      <c r="O93" s="16">
        <f t="shared" si="22"/>
        <v>1126.8057539146519</v>
      </c>
    </row>
    <row r="94" spans="1:15" x14ac:dyDescent="0.2">
      <c r="A94" s="6">
        <v>61</v>
      </c>
      <c r="B94" s="16">
        <f t="shared" si="23"/>
        <v>484.80962024633709</v>
      </c>
      <c r="C94" s="16">
        <f t="shared" si="24"/>
        <v>874.6197071393957</v>
      </c>
      <c r="D94" s="16">
        <v>0</v>
      </c>
      <c r="E94" s="10">
        <f t="shared" si="0"/>
        <v>6.4705272116260865E-4</v>
      </c>
      <c r="F94" s="10">
        <f t="shared" si="1"/>
        <v>3.6727112437781547E-3</v>
      </c>
      <c r="G94" s="10">
        <f t="shared" si="2"/>
        <v>0</v>
      </c>
      <c r="H94" s="10">
        <f t="shared" si="15"/>
        <v>2.1598819824703817E-3</v>
      </c>
      <c r="I94" s="10">
        <f t="shared" si="16"/>
        <v>2.1598819824703817E-3</v>
      </c>
      <c r="J94" s="10">
        <f t="shared" si="17"/>
        <v>3.025658522615546E-3</v>
      </c>
      <c r="K94" s="17">
        <f t="shared" si="18"/>
        <v>5.1262294376454909</v>
      </c>
      <c r="L94" s="17">
        <f t="shared" si="19"/>
        <v>8.7167542702001946</v>
      </c>
      <c r="M94" s="17">
        <f t="shared" si="20"/>
        <v>5.1262294376454909</v>
      </c>
      <c r="N94" s="16">
        <f t="shared" si="21"/>
        <v>621.31133674012619</v>
      </c>
      <c r="O94" s="16">
        <f t="shared" si="22"/>
        <v>1120.8753223707122</v>
      </c>
    </row>
    <row r="95" spans="1:15" x14ac:dyDescent="0.2">
      <c r="A95" s="6">
        <v>62</v>
      </c>
      <c r="B95" s="16">
        <f t="shared" si="23"/>
        <v>469.47156278589085</v>
      </c>
      <c r="C95" s="16">
        <f t="shared" si="24"/>
        <v>882.9475928589269</v>
      </c>
      <c r="D95" s="16">
        <v>0</v>
      </c>
      <c r="E95" s="10">
        <f t="shared" ref="E95:E158" si="25">($B95/$B$6-$C95*$E$6/$B$6)/$A$6</f>
        <v>5.9205277889503162E-4</v>
      </c>
      <c r="F95" s="10">
        <f t="shared" ref="F95:F158" si="26">(-$B95*$E$6/$B$6+$C95/$C$6)/$A$6</f>
        <v>3.7268214912833182E-3</v>
      </c>
      <c r="G95" s="10">
        <f t="shared" ref="G95:G158" si="27">$D95/($D$6*$A$6)</f>
        <v>0</v>
      </c>
      <c r="H95" s="10">
        <f t="shared" si="15"/>
        <v>2.1594371350891748E-3</v>
      </c>
      <c r="I95" s="10">
        <f t="shared" si="16"/>
        <v>2.1594371350891748E-3</v>
      </c>
      <c r="J95" s="10">
        <f t="shared" si="17"/>
        <v>3.1347687123882868E-3</v>
      </c>
      <c r="K95" s="17">
        <f t="shared" si="18"/>
        <v>5.0518009885534108</v>
      </c>
      <c r="L95" s="17">
        <f t="shared" si="19"/>
        <v>8.7185499350272533</v>
      </c>
      <c r="M95" s="17">
        <f t="shared" si="20"/>
        <v>5.0518009885534108</v>
      </c>
      <c r="N95" s="16">
        <f t="shared" si="21"/>
        <v>592.91922624486949</v>
      </c>
      <c r="O95" s="16">
        <f t="shared" si="22"/>
        <v>1115.1188806113953</v>
      </c>
    </row>
    <row r="96" spans="1:15" x14ac:dyDescent="0.2">
      <c r="A96" s="6">
        <v>63</v>
      </c>
      <c r="B96" s="16">
        <f t="shared" si="23"/>
        <v>453.99049973954681</v>
      </c>
      <c r="C96" s="16">
        <f t="shared" si="24"/>
        <v>891.00652418836773</v>
      </c>
      <c r="D96" s="16">
        <v>0</v>
      </c>
      <c r="E96" s="10">
        <f t="shared" si="25"/>
        <v>5.3687249161565918E-4</v>
      </c>
      <c r="F96" s="10">
        <f t="shared" si="26"/>
        <v>3.7797965128597059E-3</v>
      </c>
      <c r="G96" s="10">
        <f t="shared" si="27"/>
        <v>0</v>
      </c>
      <c r="H96" s="10">
        <f t="shared" si="15"/>
        <v>2.1583345022376825E-3</v>
      </c>
      <c r="I96" s="10">
        <f t="shared" si="16"/>
        <v>2.1583345022376825E-3</v>
      </c>
      <c r="J96" s="10">
        <f t="shared" si="17"/>
        <v>3.2429240212440468E-3</v>
      </c>
      <c r="K96" s="17">
        <f t="shared" si="18"/>
        <v>4.9809984293527414</v>
      </c>
      <c r="L96" s="17">
        <f t="shared" si="19"/>
        <v>8.7230039988277301</v>
      </c>
      <c r="M96" s="17">
        <f t="shared" si="20"/>
        <v>4.9809984293527414</v>
      </c>
      <c r="N96" s="16">
        <f t="shared" si="21"/>
        <v>565.33149153593718</v>
      </c>
      <c r="O96" s="16">
        <f t="shared" si="22"/>
        <v>1109.5255243813262</v>
      </c>
    </row>
    <row r="97" spans="1:15" x14ac:dyDescent="0.2">
      <c r="A97" s="6">
        <v>64</v>
      </c>
      <c r="B97" s="16">
        <f t="shared" si="23"/>
        <v>438.37114678907744</v>
      </c>
      <c r="C97" s="16">
        <f t="shared" si="24"/>
        <v>898.79404629916701</v>
      </c>
      <c r="D97" s="16">
        <v>0</v>
      </c>
      <c r="E97" s="10">
        <f t="shared" si="25"/>
        <v>4.8152866777453971E-4</v>
      </c>
      <c r="F97" s="10">
        <f t="shared" si="26"/>
        <v>3.8316201718025657E-3</v>
      </c>
      <c r="G97" s="10">
        <f t="shared" si="27"/>
        <v>0</v>
      </c>
      <c r="H97" s="10">
        <f t="shared" ref="H97:H160" si="28">(E97+F97+G97)/2</f>
        <v>2.1565744197885525E-3</v>
      </c>
      <c r="I97" s="10">
        <f t="shared" ref="I97:I160" si="29">(E97+F97-G97)/2</f>
        <v>2.1565744197885525E-3</v>
      </c>
      <c r="J97" s="10">
        <f t="shared" ref="J97:J160" si="30">-E97+F97</f>
        <v>3.3500915040280258E-3</v>
      </c>
      <c r="K97" s="17">
        <f t="shared" ref="K97:K160" si="31">MIN(
IF(E97&gt;0,$A$12/E97,IF(E97&lt;0,-$B$12/E97,1000)),
IF(F97&gt;0,$A$12/F97,IF(F97&lt;0,-$B$12/F97,1000)),
IF(ABS(E97-F97)&gt;0,(1+$C$12)*MAX($A$12,$B$12)/ABS(E97-F97),1000)
)</f>
        <v>4.9136291306687694</v>
      </c>
      <c r="L97" s="17">
        <f t="shared" ref="L97:L160" si="32">MIN(
IF(H97&gt;0,$A$12/H97,IF(H97&lt;0,-$B$12/H97,1000)),
IF(I97&gt;0,$A$12/I97,IF(I97&lt;0,-$B$12/I97,1000)),
IF(ABS(H97-I97)&gt;0,(1+$C$12)*MAX($A$12,$B$12)/ABS(H97-I97),1000)
)</f>
        <v>8.7301232552285981</v>
      </c>
      <c r="M97" s="17">
        <f t="shared" ref="M97:M160" si="33">IF(MIN(K97:L97)&gt;100,"&gt;100",MIN(K97:L97))</f>
        <v>4.9136291306687694</v>
      </c>
      <c r="N97" s="16">
        <f t="shared" si="21"/>
        <v>538.49830922687147</v>
      </c>
      <c r="O97" s="16">
        <f t="shared" si="22"/>
        <v>1104.0851520918104</v>
      </c>
    </row>
    <row r="98" spans="1:15" x14ac:dyDescent="0.2">
      <c r="A98" s="6">
        <v>65</v>
      </c>
      <c r="B98" s="16">
        <f t="shared" si="23"/>
        <v>422.61826174069944</v>
      </c>
      <c r="C98" s="16">
        <f t="shared" si="24"/>
        <v>906.30778703664998</v>
      </c>
      <c r="D98" s="16">
        <v>0</v>
      </c>
      <c r="E98" s="10">
        <f t="shared" si="25"/>
        <v>4.2603816563654333E-4</v>
      </c>
      <c r="F98" s="10">
        <f t="shared" si="26"/>
        <v>3.8822766821233561E-3</v>
      </c>
      <c r="G98" s="10">
        <f t="shared" si="27"/>
        <v>0</v>
      </c>
      <c r="H98" s="10">
        <f t="shared" si="28"/>
        <v>2.1541574238799497E-3</v>
      </c>
      <c r="I98" s="10">
        <f t="shared" si="29"/>
        <v>2.1541574238799497E-3</v>
      </c>
      <c r="J98" s="10">
        <f t="shared" si="30"/>
        <v>3.4562385164868129E-3</v>
      </c>
      <c r="K98" s="17">
        <f t="shared" si="31"/>
        <v>4.8495153837232214</v>
      </c>
      <c r="L98" s="17">
        <f t="shared" si="32"/>
        <v>8.7399185802849626</v>
      </c>
      <c r="M98" s="17">
        <f t="shared" si="33"/>
        <v>4.8495153837232214</v>
      </c>
      <c r="N98" s="16">
        <f t="shared" ref="N98:N161" si="34">$M98*B98/$A$6</f>
        <v>512.37344043847224</v>
      </c>
      <c r="O98" s="16">
        <f t="shared" ref="O98:O161" si="35">$M98*C98/$A$6</f>
        <v>1098.7883889055959</v>
      </c>
    </row>
    <row r="99" spans="1:15" x14ac:dyDescent="0.2">
      <c r="A99" s="6">
        <v>66</v>
      </c>
      <c r="B99" s="16">
        <f t="shared" ref="B99:B162" si="36">1000*COS(A99*PI()/180)</f>
        <v>406.7366430758002</v>
      </c>
      <c r="C99" s="16">
        <f t="shared" ref="C99:C162" si="37">1000*SIN(A99*PI()/180)</f>
        <v>913.54545764260092</v>
      </c>
      <c r="D99" s="16">
        <v>0</v>
      </c>
      <c r="E99" s="10">
        <f t="shared" si="25"/>
        <v>3.7041788814616984E-4</v>
      </c>
      <c r="F99" s="10">
        <f t="shared" si="26"/>
        <v>3.9317506133583133E-3</v>
      </c>
      <c r="G99" s="10">
        <f t="shared" si="27"/>
        <v>0</v>
      </c>
      <c r="H99" s="10">
        <f t="shared" si="28"/>
        <v>2.1510842507522416E-3</v>
      </c>
      <c r="I99" s="10">
        <f t="shared" si="29"/>
        <v>2.1510842507522416E-3</v>
      </c>
      <c r="J99" s="10">
        <f t="shared" si="30"/>
        <v>3.5613327252121433E-3</v>
      </c>
      <c r="K99" s="17">
        <f t="shared" si="31"/>
        <v>4.7884930518891435</v>
      </c>
      <c r="L99" s="17">
        <f t="shared" si="32"/>
        <v>8.7524049730935634</v>
      </c>
      <c r="M99" s="17">
        <f t="shared" si="33"/>
        <v>4.7884930518891435</v>
      </c>
      <c r="N99" s="16">
        <f t="shared" si="34"/>
        <v>486.91389732929593</v>
      </c>
      <c r="O99" s="16">
        <f t="shared" si="35"/>
        <v>1093.6265191266207</v>
      </c>
    </row>
    <row r="100" spans="1:15" x14ac:dyDescent="0.2">
      <c r="A100" s="6">
        <v>67</v>
      </c>
      <c r="B100" s="16">
        <f t="shared" si="36"/>
        <v>390.73112848927394</v>
      </c>
      <c r="C100" s="16">
        <f t="shared" si="37"/>
        <v>920.50485345244022</v>
      </c>
      <c r="D100" s="16">
        <v>0</v>
      </c>
      <c r="E100" s="10">
        <f t="shared" si="25"/>
        <v>3.1468477777874915E-4</v>
      </c>
      <c r="F100" s="10">
        <f t="shared" si="26"/>
        <v>3.980026895268717E-3</v>
      </c>
      <c r="G100" s="10">
        <f t="shared" si="27"/>
        <v>0</v>
      </c>
      <c r="H100" s="10">
        <f t="shared" si="28"/>
        <v>2.1473558365237332E-3</v>
      </c>
      <c r="I100" s="10">
        <f t="shared" si="29"/>
        <v>2.1473558365237332E-3</v>
      </c>
      <c r="J100" s="10">
        <f t="shared" si="30"/>
        <v>3.6653421174899677E-3</v>
      </c>
      <c r="K100" s="17">
        <f t="shared" si="31"/>
        <v>4.7304103688867212</v>
      </c>
      <c r="L100" s="17">
        <f t="shared" si="32"/>
        <v>8.7676016119925819</v>
      </c>
      <c r="M100" s="17">
        <f t="shared" si="33"/>
        <v>4.7304103688867212</v>
      </c>
      <c r="N100" s="16">
        <f t="shared" si="34"/>
        <v>462.07964541311782</v>
      </c>
      <c r="O100" s="16">
        <f t="shared" si="35"/>
        <v>1088.5914258454936</v>
      </c>
    </row>
    <row r="101" spans="1:15" x14ac:dyDescent="0.2">
      <c r="A101" s="6">
        <v>68</v>
      </c>
      <c r="B101" s="16">
        <f t="shared" si="36"/>
        <v>374.60659341591196</v>
      </c>
      <c r="C101" s="16">
        <f t="shared" si="37"/>
        <v>927.18385456678743</v>
      </c>
      <c r="D101" s="16">
        <v>0</v>
      </c>
      <c r="E101" s="10">
        <f t="shared" si="25"/>
        <v>2.5885581137959546E-4</v>
      </c>
      <c r="F101" s="10">
        <f t="shared" si="26"/>
        <v>4.0270908224314369E-3</v>
      </c>
      <c r="G101" s="10">
        <f t="shared" si="27"/>
        <v>0</v>
      </c>
      <c r="H101" s="10">
        <f t="shared" si="28"/>
        <v>2.142973316905516E-3</v>
      </c>
      <c r="I101" s="10">
        <f t="shared" si="29"/>
        <v>2.142973316905516E-3</v>
      </c>
      <c r="J101" s="10">
        <f t="shared" si="30"/>
        <v>3.7682350110518413E-3</v>
      </c>
      <c r="K101" s="17">
        <f t="shared" si="31"/>
        <v>4.6751268655172487</v>
      </c>
      <c r="L101" s="17">
        <f t="shared" si="32"/>
        <v>8.7855319267408571</v>
      </c>
      <c r="M101" s="17">
        <f t="shared" si="33"/>
        <v>4.6751268655172487</v>
      </c>
      <c r="N101" s="16">
        <f t="shared" si="34"/>
        <v>437.8333372196567</v>
      </c>
      <c r="O101" s="16">
        <f t="shared" si="35"/>
        <v>1083.6755369397563</v>
      </c>
    </row>
    <row r="102" spans="1:15" x14ac:dyDescent="0.2">
      <c r="A102" s="6">
        <v>69</v>
      </c>
      <c r="B102" s="16">
        <f t="shared" si="36"/>
        <v>358.36794954530041</v>
      </c>
      <c r="C102" s="16">
        <f t="shared" si="37"/>
        <v>933.58042649720176</v>
      </c>
      <c r="D102" s="16">
        <v>0</v>
      </c>
      <c r="E102" s="10">
        <f t="shared" si="25"/>
        <v>2.0294799499270442E-4</v>
      </c>
      <c r="F102" s="10">
        <f t="shared" si="26"/>
        <v>4.0729280587183392E-3</v>
      </c>
      <c r="G102" s="10">
        <f t="shared" si="27"/>
        <v>0</v>
      </c>
      <c r="H102" s="10">
        <f t="shared" si="28"/>
        <v>2.137938026855522E-3</v>
      </c>
      <c r="I102" s="10">
        <f t="shared" si="29"/>
        <v>2.137938026855522E-3</v>
      </c>
      <c r="J102" s="10">
        <f t="shared" si="30"/>
        <v>3.8699800637256349E-3</v>
      </c>
      <c r="K102" s="17">
        <f t="shared" si="31"/>
        <v>4.6225124093529057</v>
      </c>
      <c r="L102" s="17">
        <f t="shared" si="32"/>
        <v>8.8062236871842998</v>
      </c>
      <c r="M102" s="17">
        <f t="shared" si="33"/>
        <v>4.6225124093529057</v>
      </c>
      <c r="N102" s="16">
        <f t="shared" si="34"/>
        <v>414.1400734718768</v>
      </c>
      <c r="O102" s="16">
        <f t="shared" si="35"/>
        <v>1078.8717766530733</v>
      </c>
    </row>
    <row r="103" spans="1:15" x14ac:dyDescent="0.2">
      <c r="A103" s="6">
        <v>70</v>
      </c>
      <c r="B103" s="16">
        <f t="shared" si="36"/>
        <v>342.02014332566881</v>
      </c>
      <c r="C103" s="16">
        <f t="shared" si="37"/>
        <v>939.69262078590828</v>
      </c>
      <c r="D103" s="16">
        <v>0</v>
      </c>
      <c r="E103" s="10">
        <f t="shared" si="25"/>
        <v>1.4697835868053663E-4</v>
      </c>
      <c r="F103" s="10">
        <f t="shared" si="26"/>
        <v>4.1175246416632148E-3</v>
      </c>
      <c r="G103" s="10">
        <f t="shared" si="27"/>
        <v>0</v>
      </c>
      <c r="H103" s="10">
        <f t="shared" si="28"/>
        <v>2.1322515001718756E-3</v>
      </c>
      <c r="I103" s="10">
        <f t="shared" si="29"/>
        <v>2.1322515001718756E-3</v>
      </c>
      <c r="J103" s="10">
        <f t="shared" si="30"/>
        <v>3.9705462829826782E-3</v>
      </c>
      <c r="K103" s="17">
        <f t="shared" si="31"/>
        <v>4.5724463439330387</v>
      </c>
      <c r="L103" s="17">
        <f t="shared" si="32"/>
        <v>8.8297091090378181</v>
      </c>
      <c r="M103" s="17">
        <f t="shared" si="33"/>
        <v>4.5724463439330387</v>
      </c>
      <c r="N103" s="16">
        <f t="shared" si="34"/>
        <v>390.96718847522709</v>
      </c>
      <c r="O103" s="16">
        <f t="shared" si="35"/>
        <v>1074.1735220833455</v>
      </c>
    </row>
    <row r="104" spans="1:15" x14ac:dyDescent="0.2">
      <c r="A104" s="6">
        <v>71</v>
      </c>
      <c r="B104" s="16">
        <f t="shared" si="36"/>
        <v>325.56815445715677</v>
      </c>
      <c r="C104" s="16">
        <f t="shared" si="37"/>
        <v>945.5185755993167</v>
      </c>
      <c r="D104" s="16">
        <v>0</v>
      </c>
      <c r="E104" s="10">
        <f t="shared" si="25"/>
        <v>9.0963951336503392E-5</v>
      </c>
      <c r="F104" s="10">
        <f t="shared" si="26"/>
        <v>4.1608669867148835E-3</v>
      </c>
      <c r="G104" s="10">
        <f t="shared" si="27"/>
        <v>0</v>
      </c>
      <c r="H104" s="10">
        <f t="shared" si="28"/>
        <v>2.1259154690256932E-3</v>
      </c>
      <c r="I104" s="10">
        <f t="shared" si="29"/>
        <v>2.1259154690256932E-3</v>
      </c>
      <c r="J104" s="10">
        <f t="shared" si="30"/>
        <v>4.0699030353783805E-3</v>
      </c>
      <c r="K104" s="17">
        <f t="shared" si="31"/>
        <v>4.524816715828667</v>
      </c>
      <c r="L104" s="17">
        <f t="shared" si="32"/>
        <v>8.8560249775385689</v>
      </c>
      <c r="M104" s="17">
        <f t="shared" si="33"/>
        <v>4.524816715828667</v>
      </c>
      <c r="N104" s="16">
        <f t="shared" si="34"/>
        <v>368.28405685730809</v>
      </c>
      <c r="O104" s="16">
        <f t="shared" si="35"/>
        <v>1069.5745639995748</v>
      </c>
    </row>
    <row r="105" spans="1:15" x14ac:dyDescent="0.2">
      <c r="A105" s="6">
        <v>72</v>
      </c>
      <c r="B105" s="16">
        <f t="shared" si="36"/>
        <v>309.01699437494744</v>
      </c>
      <c r="C105" s="16">
        <f t="shared" si="37"/>
        <v>951.05651629515353</v>
      </c>
      <c r="D105" s="16">
        <v>0</v>
      </c>
      <c r="E105" s="10">
        <f t="shared" si="25"/>
        <v>3.4921835491705266E-5</v>
      </c>
      <c r="F105" s="10">
        <f t="shared" si="26"/>
        <v>4.2029418913751759E-3</v>
      </c>
      <c r="G105" s="10">
        <f t="shared" si="27"/>
        <v>0</v>
      </c>
      <c r="H105" s="10">
        <f t="shared" si="28"/>
        <v>2.1189318634334407E-3</v>
      </c>
      <c r="I105" s="10">
        <f t="shared" si="29"/>
        <v>2.1189318634334407E-3</v>
      </c>
      <c r="J105" s="10">
        <f t="shared" si="30"/>
        <v>4.1680200558834703E-3</v>
      </c>
      <c r="K105" s="17">
        <f t="shared" si="31"/>
        <v>4.4795195794788958</v>
      </c>
      <c r="L105" s="17">
        <f t="shared" si="32"/>
        <v>8.8852127898630542</v>
      </c>
      <c r="M105" s="17">
        <f t="shared" si="33"/>
        <v>4.4795195794788958</v>
      </c>
      <c r="N105" s="16">
        <f t="shared" si="34"/>
        <v>346.06191917357421</v>
      </c>
      <c r="O105" s="16">
        <f t="shared" si="35"/>
        <v>1065.0690714837824</v>
      </c>
    </row>
    <row r="106" spans="1:15" x14ac:dyDescent="0.2">
      <c r="A106" s="6">
        <v>73</v>
      </c>
      <c r="B106" s="16">
        <f t="shared" si="36"/>
        <v>292.37170472273675</v>
      </c>
      <c r="C106" s="16">
        <f t="shared" si="37"/>
        <v>956.3047559630354</v>
      </c>
      <c r="D106" s="16">
        <v>0</v>
      </c>
      <c r="E106" s="10">
        <f t="shared" si="25"/>
        <v>-2.1130917882478746E-5</v>
      </c>
      <c r="F106" s="10">
        <f t="shared" si="26"/>
        <v>4.2437365392205429E-3</v>
      </c>
      <c r="G106" s="10">
        <f t="shared" si="27"/>
        <v>0</v>
      </c>
      <c r="H106" s="10">
        <f t="shared" si="28"/>
        <v>2.1113028106690321E-3</v>
      </c>
      <c r="I106" s="10">
        <f t="shared" si="29"/>
        <v>2.1113028106690321E-3</v>
      </c>
      <c r="J106" s="10">
        <f t="shared" si="30"/>
        <v>4.2648674571030215E-3</v>
      </c>
      <c r="K106" s="17">
        <f t="shared" si="31"/>
        <v>4.436458371019703</v>
      </c>
      <c r="L106" s="17">
        <f t="shared" si="32"/>
        <v>8.9173189173471474</v>
      </c>
      <c r="M106" s="17">
        <f t="shared" si="33"/>
        <v>4.436458371019703</v>
      </c>
      <c r="N106" s="16">
        <f t="shared" si="34"/>
        <v>324.27372421662159</v>
      </c>
      <c r="O106" s="16">
        <f t="shared" si="35"/>
        <v>1060.6515599595407</v>
      </c>
    </row>
    <row r="107" spans="1:15" x14ac:dyDescent="0.2">
      <c r="A107" s="6">
        <v>74</v>
      </c>
      <c r="B107" s="16">
        <f t="shared" si="36"/>
        <v>275.63735581699916</v>
      </c>
      <c r="C107" s="16">
        <f t="shared" si="37"/>
        <v>961.26169593831889</v>
      </c>
      <c r="D107" s="16">
        <v>0</v>
      </c>
      <c r="E107" s="10">
        <f t="shared" si="25"/>
        <v>-7.7177234574376196E-5</v>
      </c>
      <c r="F107" s="10">
        <f t="shared" si="26"/>
        <v>4.2832385038060646E-3</v>
      </c>
      <c r="G107" s="10">
        <f t="shared" si="27"/>
        <v>0</v>
      </c>
      <c r="H107" s="10">
        <f t="shared" si="28"/>
        <v>2.1030306346158443E-3</v>
      </c>
      <c r="I107" s="10">
        <f t="shared" si="29"/>
        <v>2.1030306346158443E-3</v>
      </c>
      <c r="J107" s="10">
        <f t="shared" si="30"/>
        <v>4.3604157383804404E-3</v>
      </c>
      <c r="K107" s="17">
        <f t="shared" si="31"/>
        <v>4.395543343453193</v>
      </c>
      <c r="L107" s="17">
        <f t="shared" si="32"/>
        <v>8.9523947887075241</v>
      </c>
      <c r="M107" s="17">
        <f t="shared" si="33"/>
        <v>4.395543343453193</v>
      </c>
      <c r="N107" s="16">
        <f t="shared" si="34"/>
        <v>302.89398614211245</v>
      </c>
      <c r="O107" s="16">
        <f t="shared" si="35"/>
        <v>1056.3168622245512</v>
      </c>
    </row>
    <row r="108" spans="1:15" x14ac:dyDescent="0.2">
      <c r="A108" s="6">
        <v>75</v>
      </c>
      <c r="B108" s="16">
        <f t="shared" si="36"/>
        <v>258.81904510252076</v>
      </c>
      <c r="C108" s="16">
        <f t="shared" si="37"/>
        <v>965.92582628906837</v>
      </c>
      <c r="D108" s="16">
        <v>0</v>
      </c>
      <c r="E108" s="10">
        <f t="shared" si="25"/>
        <v>-1.3320004233298953E-4</v>
      </c>
      <c r="F108" s="10">
        <f t="shared" si="26"/>
        <v>4.3214357524506636E-3</v>
      </c>
      <c r="G108" s="10">
        <f t="shared" si="27"/>
        <v>0</v>
      </c>
      <c r="H108" s="10">
        <f t="shared" si="28"/>
        <v>2.094117855058837E-3</v>
      </c>
      <c r="I108" s="10">
        <f t="shared" si="29"/>
        <v>2.094117855058837E-3</v>
      </c>
      <c r="J108" s="10">
        <f t="shared" si="30"/>
        <v>4.4546357947836531E-3</v>
      </c>
      <c r="K108" s="17">
        <f t="shared" si="31"/>
        <v>4.3566910564736219</v>
      </c>
      <c r="L108" s="17">
        <f t="shared" si="32"/>
        <v>8.990497095636572</v>
      </c>
      <c r="M108" s="17">
        <f t="shared" si="33"/>
        <v>4.3566910564736219</v>
      </c>
      <c r="N108" s="16">
        <f t="shared" si="34"/>
        <v>281.89865476079876</v>
      </c>
      <c r="O108" s="16">
        <f t="shared" si="35"/>
        <v>1052.0601021526193</v>
      </c>
    </row>
    <row r="109" spans="1:15" x14ac:dyDescent="0.2">
      <c r="A109" s="6">
        <v>76</v>
      </c>
      <c r="B109" s="16">
        <f t="shared" si="36"/>
        <v>241.92189559966789</v>
      </c>
      <c r="C109" s="16">
        <f t="shared" si="37"/>
        <v>970.29572627599646</v>
      </c>
      <c r="D109" s="16">
        <v>0</v>
      </c>
      <c r="E109" s="10">
        <f t="shared" si="25"/>
        <v>-1.8918227606836964E-4</v>
      </c>
      <c r="F109" s="10">
        <f t="shared" si="26"/>
        <v>4.3583166499023768E-3</v>
      </c>
      <c r="G109" s="10">
        <f t="shared" si="27"/>
        <v>0</v>
      </c>
      <c r="H109" s="10">
        <f t="shared" si="28"/>
        <v>2.0845671869170034E-3</v>
      </c>
      <c r="I109" s="10">
        <f t="shared" si="29"/>
        <v>2.0845671869170034E-3</v>
      </c>
      <c r="J109" s="10">
        <f t="shared" si="30"/>
        <v>4.5474989259707468E-3</v>
      </c>
      <c r="K109" s="17">
        <f t="shared" si="31"/>
        <v>4.3198239151000823</v>
      </c>
      <c r="L109" s="17">
        <f t="shared" si="32"/>
        <v>9.0316880223332241</v>
      </c>
      <c r="M109" s="17">
        <f t="shared" si="33"/>
        <v>4.3198239151000823</v>
      </c>
      <c r="N109" s="16">
        <f t="shared" si="34"/>
        <v>261.26499754944768</v>
      </c>
      <c r="O109" s="16">
        <f t="shared" si="35"/>
        <v>1047.8766707716131</v>
      </c>
    </row>
    <row r="110" spans="1:15" x14ac:dyDescent="0.2">
      <c r="A110" s="6">
        <v>77</v>
      </c>
      <c r="B110" s="16">
        <f t="shared" si="36"/>
        <v>224.95105434386491</v>
      </c>
      <c r="C110" s="16">
        <f t="shared" si="37"/>
        <v>974.37006478523529</v>
      </c>
      <c r="D110" s="16">
        <v>0</v>
      </c>
      <c r="E110" s="10">
        <f t="shared" si="25"/>
        <v>-2.4510688304981104E-4</v>
      </c>
      <c r="F110" s="10">
        <f t="shared" si="26"/>
        <v>4.39386996188257E-3</v>
      </c>
      <c r="G110" s="10">
        <f t="shared" si="27"/>
        <v>0</v>
      </c>
      <c r="H110" s="10">
        <f t="shared" si="28"/>
        <v>2.0743815394163793E-3</v>
      </c>
      <c r="I110" s="10">
        <f t="shared" si="29"/>
        <v>2.0743815394163793E-3</v>
      </c>
      <c r="J110" s="10">
        <f t="shared" si="30"/>
        <v>4.6389768449323814E-3</v>
      </c>
      <c r="K110" s="17">
        <f t="shared" si="31"/>
        <v>4.2848697519852399</v>
      </c>
      <c r="L110" s="17">
        <f t="shared" si="32"/>
        <v>9.0760355007421261</v>
      </c>
      <c r="M110" s="17">
        <f t="shared" si="33"/>
        <v>4.2848697519852399</v>
      </c>
      <c r="N110" s="16">
        <f t="shared" si="34"/>
        <v>240.97149210880366</v>
      </c>
      <c r="O110" s="16">
        <f t="shared" si="35"/>
        <v>1043.7622044595382</v>
      </c>
    </row>
    <row r="111" spans="1:15" x14ac:dyDescent="0.2">
      <c r="A111" s="6">
        <v>78</v>
      </c>
      <c r="B111" s="16">
        <f t="shared" si="36"/>
        <v>207.91169081775945</v>
      </c>
      <c r="C111" s="16">
        <f t="shared" si="37"/>
        <v>978.14760073380558</v>
      </c>
      <c r="D111" s="16">
        <v>0</v>
      </c>
      <c r="E111" s="10">
        <f t="shared" si="25"/>
        <v>-3.0095682810027022E-4</v>
      </c>
      <c r="F111" s="10">
        <f t="shared" si="26"/>
        <v>4.4280848585079987E-3</v>
      </c>
      <c r="G111" s="10">
        <f t="shared" si="27"/>
        <v>0</v>
      </c>
      <c r="H111" s="10">
        <f t="shared" si="28"/>
        <v>2.0635640152038641E-3</v>
      </c>
      <c r="I111" s="10">
        <f t="shared" si="29"/>
        <v>2.0635640152038641E-3</v>
      </c>
      <c r="J111" s="10">
        <f t="shared" si="30"/>
        <v>4.7290416866082692E-3</v>
      </c>
      <c r="K111" s="17">
        <f t="shared" si="31"/>
        <v>4.2517614488921058</v>
      </c>
      <c r="L111" s="17">
        <f t="shared" si="32"/>
        <v>9.1236134935058875</v>
      </c>
      <c r="M111" s="17">
        <f t="shared" si="33"/>
        <v>4.2517614488921058</v>
      </c>
      <c r="N111" s="16">
        <f t="shared" si="34"/>
        <v>220.9977279482311</v>
      </c>
      <c r="O111" s="16">
        <f t="shared" si="35"/>
        <v>1039.7125650315757</v>
      </c>
    </row>
    <row r="112" spans="1:15" x14ac:dyDescent="0.2">
      <c r="A112" s="6">
        <v>79</v>
      </c>
      <c r="B112" s="16">
        <f t="shared" si="36"/>
        <v>190.80899537654491</v>
      </c>
      <c r="C112" s="16">
        <f t="shared" si="37"/>
        <v>981.62718344766392</v>
      </c>
      <c r="D112" s="16">
        <v>0</v>
      </c>
      <c r="E112" s="10">
        <f t="shared" si="25"/>
        <v>-3.5671509878545656E-4</v>
      </c>
      <c r="F112" s="10">
        <f t="shared" si="26"/>
        <v>4.4609509175897047E-3</v>
      </c>
      <c r="G112" s="10">
        <f t="shared" si="27"/>
        <v>0</v>
      </c>
      <c r="H112" s="10">
        <f t="shared" si="28"/>
        <v>2.0521179094021239E-3</v>
      </c>
      <c r="I112" s="10">
        <f t="shared" si="29"/>
        <v>2.0521179094021239E-3</v>
      </c>
      <c r="J112" s="10">
        <f t="shared" si="30"/>
        <v>4.8176660163751616E-3</v>
      </c>
      <c r="K112" s="17">
        <f t="shared" si="31"/>
        <v>4.2204365933709171</v>
      </c>
      <c r="L112" s="17">
        <f t="shared" si="32"/>
        <v>9.1745023068934568</v>
      </c>
      <c r="M112" s="17">
        <f t="shared" si="33"/>
        <v>4.2204365933709171</v>
      </c>
      <c r="N112" s="16">
        <f t="shared" si="34"/>
        <v>201.32431660787807</v>
      </c>
      <c r="O112" s="16">
        <f t="shared" si="35"/>
        <v>1035.7238215175369</v>
      </c>
    </row>
    <row r="113" spans="1:15" x14ac:dyDescent="0.2">
      <c r="A113" s="6">
        <v>80</v>
      </c>
      <c r="B113" s="16">
        <f t="shared" si="36"/>
        <v>173.64817766693042</v>
      </c>
      <c r="C113" s="16">
        <f t="shared" si="37"/>
        <v>984.80775301220797</v>
      </c>
      <c r="D113" s="16">
        <v>0</v>
      </c>
      <c r="E113" s="10">
        <f t="shared" si="25"/>
        <v>-4.1236471059597618E-4</v>
      </c>
      <c r="F113" s="10">
        <f t="shared" si="26"/>
        <v>4.492458127807711E-3</v>
      </c>
      <c r="G113" s="10">
        <f t="shared" si="27"/>
        <v>0</v>
      </c>
      <c r="H113" s="10">
        <f t="shared" si="28"/>
        <v>2.0400467086058673E-3</v>
      </c>
      <c r="I113" s="10">
        <f t="shared" si="29"/>
        <v>2.0400467086058673E-3</v>
      </c>
      <c r="J113" s="10">
        <f t="shared" si="30"/>
        <v>4.9048228384036873E-3</v>
      </c>
      <c r="K113" s="17">
        <f t="shared" si="31"/>
        <v>4.190837167137869</v>
      </c>
      <c r="L113" s="17">
        <f t="shared" si="32"/>
        <v>9.2287889362559348</v>
      </c>
      <c r="M113" s="17">
        <f t="shared" si="33"/>
        <v>4.190837167137869</v>
      </c>
      <c r="N113" s="16">
        <f t="shared" si="34"/>
        <v>181.93280924308303</v>
      </c>
      <c r="O113" s="16">
        <f t="shared" si="35"/>
        <v>1031.792233452273</v>
      </c>
    </row>
    <row r="114" spans="1:15" x14ac:dyDescent="0.2">
      <c r="A114" s="6">
        <v>81</v>
      </c>
      <c r="B114" s="16">
        <f t="shared" si="36"/>
        <v>156.43446504023092</v>
      </c>
      <c r="C114" s="16">
        <f t="shared" si="37"/>
        <v>987.68834059513779</v>
      </c>
      <c r="D114" s="16">
        <v>0</v>
      </c>
      <c r="E114" s="10">
        <f t="shared" si="25"/>
        <v>-4.6788871212098156E-4</v>
      </c>
      <c r="F114" s="10">
        <f t="shared" si="26"/>
        <v>4.5225968917605693E-3</v>
      </c>
      <c r="G114" s="10">
        <f t="shared" si="27"/>
        <v>0</v>
      </c>
      <c r="H114" s="10">
        <f t="shared" si="28"/>
        <v>2.0273540898197938E-3</v>
      </c>
      <c r="I114" s="10">
        <f t="shared" si="29"/>
        <v>2.0273540898197938E-3</v>
      </c>
      <c r="J114" s="10">
        <f t="shared" si="30"/>
        <v>4.9904856038815509E-3</v>
      </c>
      <c r="K114" s="17">
        <f t="shared" si="31"/>
        <v>4.1629092630667932</v>
      </c>
      <c r="L114" s="17">
        <f t="shared" si="32"/>
        <v>9.2865674468837653</v>
      </c>
      <c r="M114" s="17">
        <f t="shared" si="33"/>
        <v>4.1629092630667932</v>
      </c>
      <c r="N114" s="16">
        <f t="shared" si="34"/>
        <v>162.80562089471894</v>
      </c>
      <c r="O114" s="16">
        <f t="shared" si="35"/>
        <v>1027.9142355216422</v>
      </c>
    </row>
    <row r="115" spans="1:15" x14ac:dyDescent="0.2">
      <c r="A115" s="6">
        <v>82</v>
      </c>
      <c r="B115" s="16">
        <f t="shared" si="36"/>
        <v>139.17310096006568</v>
      </c>
      <c r="C115" s="16">
        <f t="shared" si="37"/>
        <v>990.26806874157023</v>
      </c>
      <c r="D115" s="16">
        <v>0</v>
      </c>
      <c r="E115" s="10">
        <f t="shared" si="25"/>
        <v>-5.2327019021173443E-4</v>
      </c>
      <c r="F115" s="10">
        <f t="shared" si="26"/>
        <v>4.5513580288888151E-3</v>
      </c>
      <c r="G115" s="10">
        <f t="shared" si="27"/>
        <v>0</v>
      </c>
      <c r="H115" s="10">
        <f t="shared" si="28"/>
        <v>2.0140439193385403E-3</v>
      </c>
      <c r="I115" s="10">
        <f t="shared" si="29"/>
        <v>2.0140439193385403E-3</v>
      </c>
      <c r="J115" s="10">
        <f t="shared" si="30"/>
        <v>5.0746282191005496E-3</v>
      </c>
      <c r="K115" s="17">
        <f t="shared" si="31"/>
        <v>4.1366028280626592</v>
      </c>
      <c r="L115" s="17">
        <f t="shared" si="32"/>
        <v>9.3479393935016315</v>
      </c>
      <c r="M115" s="17">
        <f t="shared" si="33"/>
        <v>4.1366028280626592</v>
      </c>
      <c r="N115" s="16">
        <f t="shared" si="34"/>
        <v>143.92596075541442</v>
      </c>
      <c r="O115" s="16">
        <f t="shared" si="35"/>
        <v>1024.0864234241319</v>
      </c>
    </row>
    <row r="116" spans="1:15" x14ac:dyDescent="0.2">
      <c r="A116" s="6">
        <v>83</v>
      </c>
      <c r="B116" s="16">
        <f t="shared" si="36"/>
        <v>121.86934340514749</v>
      </c>
      <c r="C116" s="16">
        <f t="shared" si="37"/>
        <v>992.54615164132201</v>
      </c>
      <c r="D116" s="16">
        <v>0</v>
      </c>
      <c r="E116" s="10">
        <f t="shared" si="25"/>
        <v>-5.7849227513351808E-4</v>
      </c>
      <c r="F116" s="10">
        <f t="shared" si="26"/>
        <v>4.5787327782714675E-3</v>
      </c>
      <c r="G116" s="10">
        <f t="shared" si="27"/>
        <v>0</v>
      </c>
      <c r="H116" s="10">
        <f t="shared" si="28"/>
        <v>2.0001202515689746E-3</v>
      </c>
      <c r="I116" s="10">
        <f t="shared" si="29"/>
        <v>2.0001202515689746E-3</v>
      </c>
      <c r="J116" s="10">
        <f t="shared" si="30"/>
        <v>5.1572250534049858E-3</v>
      </c>
      <c r="K116" s="17">
        <f t="shared" si="31"/>
        <v>4.1118714293990015</v>
      </c>
      <c r="L116" s="17">
        <f t="shared" si="32"/>
        <v>9.4130142820454825</v>
      </c>
      <c r="M116" s="17">
        <f t="shared" si="33"/>
        <v>4.1118714293990015</v>
      </c>
      <c r="N116" s="16">
        <f t="shared" si="34"/>
        <v>125.2777678168104</v>
      </c>
      <c r="O116" s="16">
        <f t="shared" si="35"/>
        <v>1020.3055408234702</v>
      </c>
    </row>
    <row r="117" spans="1:15" x14ac:dyDescent="0.2">
      <c r="A117" s="6">
        <v>84</v>
      </c>
      <c r="B117" s="16">
        <f t="shared" si="36"/>
        <v>104.52846326765345</v>
      </c>
      <c r="C117" s="16">
        <f t="shared" si="37"/>
        <v>994.52189536827325</v>
      </c>
      <c r="D117" s="16">
        <v>0</v>
      </c>
      <c r="E117" s="10">
        <f t="shared" si="25"/>
        <v>-6.3353814570431483E-4</v>
      </c>
      <c r="F117" s="10">
        <f t="shared" si="26"/>
        <v>4.6047128012946777E-3</v>
      </c>
      <c r="G117" s="10">
        <f t="shared" si="27"/>
        <v>0</v>
      </c>
      <c r="H117" s="10">
        <f t="shared" si="28"/>
        <v>1.9855873277951812E-3</v>
      </c>
      <c r="I117" s="10">
        <f t="shared" si="29"/>
        <v>1.9855873277951812E-3</v>
      </c>
      <c r="J117" s="10">
        <f t="shared" si="30"/>
        <v>5.238250946998993E-3</v>
      </c>
      <c r="K117" s="17">
        <f t="shared" si="31"/>
        <v>4.0886720423765954</v>
      </c>
      <c r="L117" s="17">
        <f t="shared" si="32"/>
        <v>9.4819100778272265</v>
      </c>
      <c r="M117" s="17">
        <f t="shared" si="33"/>
        <v>4.0886720423765954</v>
      </c>
      <c r="N117" s="16">
        <f t="shared" si="34"/>
        <v>106.8456513487609</v>
      </c>
      <c r="O117" s="16">
        <f t="shared" si="35"/>
        <v>1016.5684672809101</v>
      </c>
    </row>
    <row r="118" spans="1:15" x14ac:dyDescent="0.2">
      <c r="A118" s="6">
        <v>85</v>
      </c>
      <c r="B118" s="16">
        <f t="shared" si="36"/>
        <v>87.155742747658138</v>
      </c>
      <c r="C118" s="16">
        <f t="shared" si="37"/>
        <v>996.19469809174552</v>
      </c>
      <c r="D118" s="16">
        <v>0</v>
      </c>
      <c r="E118" s="10">
        <f t="shared" si="25"/>
        <v>-6.8839103441870812E-4</v>
      </c>
      <c r="F118" s="10">
        <f t="shared" si="26"/>
        <v>4.6292901841917602E-3</v>
      </c>
      <c r="G118" s="10">
        <f t="shared" si="27"/>
        <v>0</v>
      </c>
      <c r="H118" s="10">
        <f t="shared" si="28"/>
        <v>1.970449574886526E-3</v>
      </c>
      <c r="I118" s="10">
        <f t="shared" si="29"/>
        <v>1.970449574886526E-3</v>
      </c>
      <c r="J118" s="10">
        <f t="shared" si="30"/>
        <v>5.3176812186104686E-3</v>
      </c>
      <c r="K118" s="17">
        <f t="shared" si="31"/>
        <v>4.0669648574027004</v>
      </c>
      <c r="L118" s="17">
        <f t="shared" si="32"/>
        <v>9.5547537647145209</v>
      </c>
      <c r="M118" s="17">
        <f t="shared" si="33"/>
        <v>4.0669648574027004</v>
      </c>
      <c r="N118" s="16">
        <f t="shared" si="34"/>
        <v>88.614835718888983</v>
      </c>
      <c r="O118" s="16">
        <f t="shared" si="35"/>
        <v>1012.8722070675055</v>
      </c>
    </row>
    <row r="119" spans="1:15" x14ac:dyDescent="0.2">
      <c r="A119" s="6">
        <v>86</v>
      </c>
      <c r="B119" s="16">
        <f t="shared" si="36"/>
        <v>69.756473744125458</v>
      </c>
      <c r="C119" s="16">
        <f t="shared" si="37"/>
        <v>997.56405025982417</v>
      </c>
      <c r="D119" s="16">
        <v>0</v>
      </c>
      <c r="E119" s="10">
        <f t="shared" si="25"/>
        <v>-7.4303423255542322E-4</v>
      </c>
      <c r="F119" s="10">
        <f t="shared" si="26"/>
        <v>4.6524574404537954E-3</v>
      </c>
      <c r="G119" s="10">
        <f t="shared" si="27"/>
        <v>0</v>
      </c>
      <c r="H119" s="10">
        <f t="shared" si="28"/>
        <v>1.9547116039491863E-3</v>
      </c>
      <c r="I119" s="10">
        <f t="shared" si="29"/>
        <v>1.9547116039491863E-3</v>
      </c>
      <c r="J119" s="10">
        <f t="shared" si="30"/>
        <v>5.3954916730092183E-3</v>
      </c>
      <c r="K119" s="17">
        <f t="shared" si="31"/>
        <v>4.0467131048039811</v>
      </c>
      <c r="L119" s="17">
        <f t="shared" si="32"/>
        <v>9.6316819605459223</v>
      </c>
      <c r="M119" s="17">
        <f t="shared" si="33"/>
        <v>4.0467131048039811</v>
      </c>
      <c r="N119" s="16">
        <f t="shared" si="34"/>
        <v>70.571109111316829</v>
      </c>
      <c r="O119" s="16">
        <f t="shared" si="35"/>
        <v>1009.2138787669419</v>
      </c>
    </row>
    <row r="120" spans="1:15" x14ac:dyDescent="0.2">
      <c r="A120" s="6">
        <v>87</v>
      </c>
      <c r="B120" s="16">
        <f t="shared" si="36"/>
        <v>52.335956242943965</v>
      </c>
      <c r="C120" s="16">
        <f t="shared" si="37"/>
        <v>998.6295347545738</v>
      </c>
      <c r="D120" s="16">
        <v>0</v>
      </c>
      <c r="E120" s="10">
        <f t="shared" si="25"/>
        <v>-7.9745109526696838E-4</v>
      </c>
      <c r="F120" s="10">
        <f t="shared" si="26"/>
        <v>4.6742075131101018E-3</v>
      </c>
      <c r="G120" s="10">
        <f t="shared" si="27"/>
        <v>0</v>
      </c>
      <c r="H120" s="10">
        <f t="shared" si="28"/>
        <v>1.9383782089215668E-3</v>
      </c>
      <c r="I120" s="10">
        <f t="shared" si="29"/>
        <v>1.9383782089215668E-3</v>
      </c>
      <c r="J120" s="10">
        <f t="shared" si="30"/>
        <v>5.47165860837707E-3</v>
      </c>
      <c r="K120" s="17">
        <f t="shared" si="31"/>
        <v>4.0278828958751207</v>
      </c>
      <c r="L120" s="17">
        <f t="shared" si="32"/>
        <v>9.7128415946761049</v>
      </c>
      <c r="M120" s="17">
        <f t="shared" si="33"/>
        <v>4.0278828958751207</v>
      </c>
      <c r="N120" s="16">
        <f t="shared" si="34"/>
        <v>52.700775747555682</v>
      </c>
      <c r="O120" s="16">
        <f t="shared" si="35"/>
        <v>1005.5907055884193</v>
      </c>
    </row>
    <row r="121" spans="1:15" x14ac:dyDescent="0.2">
      <c r="A121" s="6">
        <v>88</v>
      </c>
      <c r="B121" s="16">
        <f t="shared" si="36"/>
        <v>34.899496702501082</v>
      </c>
      <c r="C121" s="16">
        <f t="shared" si="37"/>
        <v>999.39082701909581</v>
      </c>
      <c r="D121" s="16">
        <v>0</v>
      </c>
      <c r="E121" s="10">
        <f t="shared" si="25"/>
        <v>-8.5162504664981309E-4</v>
      </c>
      <c r="F121" s="10">
        <f t="shared" si="26"/>
        <v>4.6945337768778501E-3</v>
      </c>
      <c r="G121" s="10">
        <f t="shared" si="27"/>
        <v>0</v>
      </c>
      <c r="H121" s="10">
        <f t="shared" si="28"/>
        <v>1.9214543651140184E-3</v>
      </c>
      <c r="I121" s="10">
        <f t="shared" si="29"/>
        <v>1.9214543651140184E-3</v>
      </c>
      <c r="J121" s="10">
        <f t="shared" si="30"/>
        <v>5.5461588235276634E-3</v>
      </c>
      <c r="K121" s="17">
        <f t="shared" si="31"/>
        <v>4.0104430788329246</v>
      </c>
      <c r="L121" s="17">
        <f t="shared" si="32"/>
        <v>9.7983906543156252</v>
      </c>
      <c r="M121" s="17">
        <f t="shared" si="33"/>
        <v>4.0104430788329246</v>
      </c>
      <c r="N121" s="16">
        <f t="shared" si="34"/>
        <v>34.990611251324488</v>
      </c>
      <c r="O121" s="16">
        <f t="shared" si="35"/>
        <v>1002.0000063169614</v>
      </c>
    </row>
    <row r="122" spans="1:15" x14ac:dyDescent="0.2">
      <c r="A122" s="6">
        <v>89</v>
      </c>
      <c r="B122" s="16">
        <f t="shared" si="36"/>
        <v>17.452406437283376</v>
      </c>
      <c r="C122" s="16">
        <f t="shared" si="37"/>
        <v>999.8476951563913</v>
      </c>
      <c r="D122" s="16">
        <v>0</v>
      </c>
      <c r="E122" s="10">
        <f t="shared" si="25"/>
        <v>-9.0553958479357188E-4</v>
      </c>
      <c r="F122" s="10">
        <f t="shared" si="26"/>
        <v>4.7134300401801919E-3</v>
      </c>
      <c r="G122" s="10">
        <f t="shared" si="27"/>
        <v>0</v>
      </c>
      <c r="H122" s="10">
        <f t="shared" si="28"/>
        <v>1.9039452276933099E-3</v>
      </c>
      <c r="I122" s="10">
        <f t="shared" si="29"/>
        <v>1.9039452276933099E-3</v>
      </c>
      <c r="J122" s="10">
        <f t="shared" si="30"/>
        <v>5.6189696249737634E-3</v>
      </c>
      <c r="K122" s="17">
        <f t="shared" si="31"/>
        <v>3.9943651084948342</v>
      </c>
      <c r="L122" s="17">
        <f t="shared" si="32"/>
        <v>9.8884990072098162</v>
      </c>
      <c r="M122" s="17">
        <f t="shared" si="33"/>
        <v>3.9943651084948342</v>
      </c>
      <c r="N122" s="16">
        <f t="shared" si="34"/>
        <v>17.427820833088838</v>
      </c>
      <c r="O122" s="16">
        <f t="shared" si="35"/>
        <v>998.43918683541722</v>
      </c>
    </row>
    <row r="123" spans="1:15" x14ac:dyDescent="0.2">
      <c r="A123" s="6">
        <v>90</v>
      </c>
      <c r="B123" s="16">
        <f t="shared" si="36"/>
        <v>6.1257422745431001E-14</v>
      </c>
      <c r="C123" s="16">
        <f t="shared" si="37"/>
        <v>1000</v>
      </c>
      <c r="D123" s="16">
        <v>0</v>
      </c>
      <c r="E123" s="10">
        <f t="shared" si="25"/>
        <v>-9.5917828680764196E-4</v>
      </c>
      <c r="F123" s="10">
        <f t="shared" si="26"/>
        <v>4.7308905470322708E-3</v>
      </c>
      <c r="G123" s="10">
        <f t="shared" si="27"/>
        <v>0</v>
      </c>
      <c r="H123" s="10">
        <f t="shared" si="28"/>
        <v>1.8858561301123144E-3</v>
      </c>
      <c r="I123" s="10">
        <f t="shared" si="29"/>
        <v>1.8858561301123144E-3</v>
      </c>
      <c r="J123" s="10">
        <f t="shared" si="30"/>
        <v>5.6900688338399124E-3</v>
      </c>
      <c r="K123" s="17">
        <f t="shared" si="31"/>
        <v>3.9796229286339346</v>
      </c>
      <c r="L123" s="17">
        <f t="shared" si="32"/>
        <v>9.9833493092105012</v>
      </c>
      <c r="M123" s="17">
        <f t="shared" si="33"/>
        <v>3.9796229286339346</v>
      </c>
      <c r="N123" s="16">
        <f t="shared" si="34"/>
        <v>6.0945361026684783E-14</v>
      </c>
      <c r="O123" s="16">
        <f t="shared" si="35"/>
        <v>994.9057321584836</v>
      </c>
    </row>
    <row r="124" spans="1:15" x14ac:dyDescent="0.2">
      <c r="A124" s="6">
        <v>91</v>
      </c>
      <c r="B124" s="16">
        <f t="shared" si="36"/>
        <v>-17.452406437283479</v>
      </c>
      <c r="C124" s="16">
        <f t="shared" si="37"/>
        <v>999.8476951563913</v>
      </c>
      <c r="D124" s="16">
        <v>0</v>
      </c>
      <c r="E124" s="10">
        <f t="shared" si="25"/>
        <v>-1.0125248138237828E-3</v>
      </c>
      <c r="F124" s="10">
        <f t="shared" si="26"/>
        <v>4.7469099787945598E-3</v>
      </c>
      <c r="G124" s="10">
        <f t="shared" si="27"/>
        <v>0</v>
      </c>
      <c r="H124" s="10">
        <f t="shared" si="28"/>
        <v>1.8671925824853886E-3</v>
      </c>
      <c r="I124" s="10">
        <f t="shared" si="29"/>
        <v>1.8671925824853886E-3</v>
      </c>
      <c r="J124" s="10">
        <f t="shared" si="30"/>
        <v>5.7594347926183424E-3</v>
      </c>
      <c r="K124" s="17">
        <f t="shared" si="31"/>
        <v>3.9661928660817307</v>
      </c>
      <c r="L124" s="17">
        <f t="shared" si="32"/>
        <v>10.083138006453863</v>
      </c>
      <c r="M124" s="17">
        <f t="shared" si="33"/>
        <v>3.9661928660817307</v>
      </c>
      <c r="N124" s="16">
        <f t="shared" si="34"/>
        <v>-17.304902476878151</v>
      </c>
      <c r="O124" s="16">
        <f t="shared" si="35"/>
        <v>991.39719892438507</v>
      </c>
    </row>
    <row r="125" spans="1:15" x14ac:dyDescent="0.2">
      <c r="A125" s="6">
        <v>92</v>
      </c>
      <c r="B125" s="16">
        <f t="shared" si="36"/>
        <v>-34.899496702500734</v>
      </c>
      <c r="C125" s="16">
        <f t="shared" si="37"/>
        <v>999.39082701909581</v>
      </c>
      <c r="D125" s="16">
        <v>0</v>
      </c>
      <c r="E125" s="10">
        <f t="shared" si="25"/>
        <v>-1.0655629159730838E-3</v>
      </c>
      <c r="F125" s="10">
        <f t="shared" si="26"/>
        <v>4.7614834557929576E-3</v>
      </c>
      <c r="G125" s="10">
        <f t="shared" si="27"/>
        <v>0</v>
      </c>
      <c r="H125" s="10">
        <f t="shared" si="28"/>
        <v>1.8479602699099369E-3</v>
      </c>
      <c r="I125" s="10">
        <f t="shared" si="29"/>
        <v>1.8479602699099369E-3</v>
      </c>
      <c r="J125" s="10">
        <f t="shared" si="30"/>
        <v>5.8270463717660414E-3</v>
      </c>
      <c r="K125" s="17">
        <f t="shared" si="31"/>
        <v>3.9540535357571174</v>
      </c>
      <c r="L125" s="17">
        <f t="shared" si="32"/>
        <v>10.188076443193626</v>
      </c>
      <c r="M125" s="17">
        <f t="shared" si="33"/>
        <v>3.9540535357571174</v>
      </c>
      <c r="N125" s="16">
        <f t="shared" si="34"/>
        <v>-34.498619583166722</v>
      </c>
      <c r="O125" s="16">
        <f t="shared" si="35"/>
        <v>987.91120829452132</v>
      </c>
    </row>
    <row r="126" spans="1:15" x14ac:dyDescent="0.2">
      <c r="A126" s="6">
        <v>93</v>
      </c>
      <c r="B126" s="16">
        <f t="shared" si="36"/>
        <v>-52.335956242943617</v>
      </c>
      <c r="C126" s="16">
        <f t="shared" si="37"/>
        <v>998.6295347545738</v>
      </c>
      <c r="D126" s="16">
        <v>0</v>
      </c>
      <c r="E126" s="10">
        <f t="shared" si="25"/>
        <v>-1.1182764373358404E-3</v>
      </c>
      <c r="F126" s="10">
        <f t="shared" si="26"/>
        <v>4.7746065388051947E-3</v>
      </c>
      <c r="G126" s="10">
        <f t="shared" si="27"/>
        <v>0</v>
      </c>
      <c r="H126" s="10">
        <f t="shared" si="28"/>
        <v>1.8281650507346772E-3</v>
      </c>
      <c r="I126" s="10">
        <f t="shared" si="29"/>
        <v>1.8281650507346772E-3</v>
      </c>
      <c r="J126" s="10">
        <f t="shared" si="30"/>
        <v>5.8928829761410347E-3</v>
      </c>
      <c r="K126" s="17">
        <f t="shared" si="31"/>
        <v>3.9431857558965477</v>
      </c>
      <c r="L126" s="17">
        <f t="shared" si="32"/>
        <v>10.298392087881325</v>
      </c>
      <c r="M126" s="17">
        <f t="shared" si="33"/>
        <v>3.9431857558965477</v>
      </c>
      <c r="N126" s="16">
        <f t="shared" si="34"/>
        <v>-51.59259929460007</v>
      </c>
      <c r="O126" s="16">
        <f t="shared" si="35"/>
        <v>984.44543921545801</v>
      </c>
    </row>
    <row r="127" spans="1:15" x14ac:dyDescent="0.2">
      <c r="A127" s="6">
        <v>94</v>
      </c>
      <c r="B127" s="16">
        <f t="shared" si="36"/>
        <v>-69.75647374412533</v>
      </c>
      <c r="C127" s="16">
        <f t="shared" si="37"/>
        <v>997.56405025982417</v>
      </c>
      <c r="D127" s="16">
        <v>0</v>
      </c>
      <c r="E127" s="10">
        <f t="shared" si="25"/>
        <v>-1.1706493208627981E-3</v>
      </c>
      <c r="F127" s="10">
        <f t="shared" si="26"/>
        <v>4.7862752304130597E-3</v>
      </c>
      <c r="G127" s="10">
        <f t="shared" si="27"/>
        <v>0</v>
      </c>
      <c r="H127" s="10">
        <f t="shared" si="28"/>
        <v>1.8078129547751307E-3</v>
      </c>
      <c r="I127" s="10">
        <f t="shared" si="29"/>
        <v>1.8078129547751307E-3</v>
      </c>
      <c r="J127" s="10">
        <f t="shared" si="30"/>
        <v>5.956924551275858E-3</v>
      </c>
      <c r="K127" s="17">
        <f t="shared" si="31"/>
        <v>3.9335724728480277</v>
      </c>
      <c r="L127" s="17">
        <f t="shared" si="32"/>
        <v>10.414329891871487</v>
      </c>
      <c r="M127" s="17">
        <f t="shared" si="33"/>
        <v>3.9335724728480277</v>
      </c>
      <c r="N127" s="16">
        <f t="shared" si="34"/>
        <v>-68.598036230709397</v>
      </c>
      <c r="O127" s="16">
        <f t="shared" si="35"/>
        <v>980.99762200120767</v>
      </c>
    </row>
    <row r="128" spans="1:15" x14ac:dyDescent="0.2">
      <c r="A128" s="6">
        <v>95</v>
      </c>
      <c r="B128" s="16">
        <f t="shared" si="36"/>
        <v>-87.155742747658238</v>
      </c>
      <c r="C128" s="16">
        <f t="shared" si="37"/>
        <v>996.19469809174552</v>
      </c>
      <c r="D128" s="16">
        <v>0</v>
      </c>
      <c r="E128" s="10">
        <f t="shared" si="25"/>
        <v>-1.2226656132662858E-3</v>
      </c>
      <c r="F128" s="10">
        <f t="shared" si="26"/>
        <v>4.7964859762200523E-3</v>
      </c>
      <c r="G128" s="10">
        <f t="shared" si="27"/>
        <v>0</v>
      </c>
      <c r="H128" s="10">
        <f t="shared" si="28"/>
        <v>1.7869101814768833E-3</v>
      </c>
      <c r="I128" s="10">
        <f t="shared" si="29"/>
        <v>1.7869101814768833E-3</v>
      </c>
      <c r="J128" s="10">
        <f t="shared" si="30"/>
        <v>6.0191515894863386E-3</v>
      </c>
      <c r="K128" s="17">
        <f t="shared" si="31"/>
        <v>3.9251986948712414</v>
      </c>
      <c r="L128" s="17">
        <f t="shared" si="32"/>
        <v>10.536153797202326</v>
      </c>
      <c r="M128" s="17">
        <f t="shared" si="33"/>
        <v>3.9251986948712414</v>
      </c>
      <c r="N128" s="16">
        <f t="shared" si="34"/>
        <v>-85.525901920910442</v>
      </c>
      <c r="O128" s="16">
        <f t="shared" si="35"/>
        <v>977.56553219684247</v>
      </c>
    </row>
    <row r="129" spans="1:15" x14ac:dyDescent="0.2">
      <c r="A129" s="6">
        <v>96</v>
      </c>
      <c r="B129" s="16">
        <f t="shared" si="36"/>
        <v>-104.52846326765334</v>
      </c>
      <c r="C129" s="16">
        <f t="shared" si="37"/>
        <v>994.52189536827336</v>
      </c>
      <c r="D129" s="16">
        <v>0</v>
      </c>
      <c r="E129" s="10">
        <f t="shared" si="25"/>
        <v>-1.274309469879744E-3</v>
      </c>
      <c r="F129" s="10">
        <f t="shared" si="26"/>
        <v>4.8052356659340854E-3</v>
      </c>
      <c r="G129" s="10">
        <f t="shared" si="27"/>
        <v>0</v>
      </c>
      <c r="H129" s="10">
        <f t="shared" si="28"/>
        <v>1.7654630980271707E-3</v>
      </c>
      <c r="I129" s="10">
        <f t="shared" si="29"/>
        <v>1.7654630980271707E-3</v>
      </c>
      <c r="J129" s="10">
        <f t="shared" si="30"/>
        <v>6.0795451358138294E-3</v>
      </c>
      <c r="K129" s="17">
        <f t="shared" si="31"/>
        <v>3.9180514344591186</v>
      </c>
      <c r="L129" s="17">
        <f t="shared" si="32"/>
        <v>10.664148412314994</v>
      </c>
      <c r="M129" s="17">
        <f t="shared" si="33"/>
        <v>3.9180514344591186</v>
      </c>
      <c r="N129" s="16">
        <f t="shared" si="34"/>
        <v>-102.38697386190911</v>
      </c>
      <c r="O129" s="16">
        <f t="shared" si="35"/>
        <v>974.1469846871662</v>
      </c>
    </row>
    <row r="130" spans="1:15" x14ac:dyDescent="0.2">
      <c r="A130" s="6">
        <v>97</v>
      </c>
      <c r="B130" s="16">
        <f t="shared" si="36"/>
        <v>-121.86934340514736</v>
      </c>
      <c r="C130" s="16">
        <f t="shared" si="37"/>
        <v>992.54615164132213</v>
      </c>
      <c r="D130" s="16">
        <v>0</v>
      </c>
      <c r="E130" s="10">
        <f t="shared" si="25"/>
        <v>-1.3255651594841645E-3</v>
      </c>
      <c r="F130" s="10">
        <f t="shared" si="26"/>
        <v>4.8125216343149115E-3</v>
      </c>
      <c r="G130" s="10">
        <f t="shared" si="27"/>
        <v>0</v>
      </c>
      <c r="H130" s="10">
        <f t="shared" si="28"/>
        <v>1.7434782374153735E-3</v>
      </c>
      <c r="I130" s="10">
        <f t="shared" si="29"/>
        <v>1.7434782374153735E-3</v>
      </c>
      <c r="J130" s="10">
        <f t="shared" si="30"/>
        <v>6.138086793799076E-3</v>
      </c>
      <c r="K130" s="17">
        <f t="shared" si="31"/>
        <v>3.9121196587633231</v>
      </c>
      <c r="L130" s="17">
        <f t="shared" si="32"/>
        <v>10.798620877389077</v>
      </c>
      <c r="M130" s="17">
        <f t="shared" si="33"/>
        <v>3.9121196587633231</v>
      </c>
      <c r="N130" s="16">
        <f t="shared" si="34"/>
        <v>-119.19186353396384</v>
      </c>
      <c r="O130" s="16">
        <f t="shared" si="35"/>
        <v>970.73982801647469</v>
      </c>
    </row>
    <row r="131" spans="1:15" x14ac:dyDescent="0.2">
      <c r="A131" s="6">
        <v>98</v>
      </c>
      <c r="B131" s="16">
        <f t="shared" si="36"/>
        <v>-139.17310096006534</v>
      </c>
      <c r="C131" s="16">
        <f t="shared" si="37"/>
        <v>990.26806874157035</v>
      </c>
      <c r="D131" s="16">
        <v>0</v>
      </c>
      <c r="E131" s="10">
        <f t="shared" si="25"/>
        <v>-1.3764170690999682E-3</v>
      </c>
      <c r="F131" s="10">
        <f t="shared" si="26"/>
        <v>4.8183416619859811E-3</v>
      </c>
      <c r="G131" s="10">
        <f t="shared" si="27"/>
        <v>0</v>
      </c>
      <c r="H131" s="10">
        <f t="shared" si="28"/>
        <v>1.7209622964430064E-3</v>
      </c>
      <c r="I131" s="10">
        <f t="shared" si="29"/>
        <v>1.7209622964430064E-3</v>
      </c>
      <c r="J131" s="10">
        <f t="shared" si="30"/>
        <v>6.1947587310859495E-3</v>
      </c>
      <c r="K131" s="17">
        <f t="shared" si="31"/>
        <v>3.907394247768464</v>
      </c>
      <c r="L131" s="17">
        <f t="shared" si="32"/>
        <v>10.939902944265732</v>
      </c>
      <c r="M131" s="17">
        <f t="shared" si="33"/>
        <v>3.907394247768464</v>
      </c>
      <c r="N131" s="16">
        <f t="shared" si="34"/>
        <v>-135.95104353386475</v>
      </c>
      <c r="O131" s="16">
        <f t="shared" si="35"/>
        <v>967.34193888739946</v>
      </c>
    </row>
    <row r="132" spans="1:15" x14ac:dyDescent="0.2">
      <c r="A132" s="6">
        <v>99</v>
      </c>
      <c r="B132" s="16">
        <f t="shared" si="36"/>
        <v>-156.43446504023103</v>
      </c>
      <c r="C132" s="16">
        <f t="shared" si="37"/>
        <v>987.68834059513767</v>
      </c>
      <c r="D132" s="16">
        <v>0</v>
      </c>
      <c r="E132" s="10">
        <f t="shared" si="25"/>
        <v>-1.4268497087428732E-3</v>
      </c>
      <c r="F132" s="10">
        <f t="shared" si="26"/>
        <v>4.8226939761104853E-3</v>
      </c>
      <c r="G132" s="10">
        <f t="shared" si="27"/>
        <v>0</v>
      </c>
      <c r="H132" s="10">
        <f t="shared" si="28"/>
        <v>1.6979221336838059E-3</v>
      </c>
      <c r="I132" s="10">
        <f t="shared" si="29"/>
        <v>1.6979221336838059E-3</v>
      </c>
      <c r="J132" s="10">
        <f t="shared" si="30"/>
        <v>6.2495436848533587E-3</v>
      </c>
      <c r="K132" s="17">
        <f t="shared" si="31"/>
        <v>3.903867959917978</v>
      </c>
      <c r="L132" s="17">
        <f t="shared" si="32"/>
        <v>11.088353299794626</v>
      </c>
      <c r="M132" s="17">
        <f t="shared" si="33"/>
        <v>3.903867959917978</v>
      </c>
      <c r="N132" s="16">
        <f t="shared" si="34"/>
        <v>-152.67487397436673</v>
      </c>
      <c r="O132" s="16">
        <f t="shared" si="35"/>
        <v>963.95121680847831</v>
      </c>
    </row>
    <row r="133" spans="1:15" x14ac:dyDescent="0.2">
      <c r="A133" s="6">
        <v>100</v>
      </c>
      <c r="B133" s="16">
        <f t="shared" si="36"/>
        <v>-173.64817766693031</v>
      </c>
      <c r="C133" s="16">
        <f t="shared" si="37"/>
        <v>984.80775301220797</v>
      </c>
      <c r="D133" s="16">
        <v>0</v>
      </c>
      <c r="E133" s="10">
        <f t="shared" si="25"/>
        <v>-1.4768477161422901E-3</v>
      </c>
      <c r="F133" s="10">
        <f t="shared" si="26"/>
        <v>4.8255772509313817E-3</v>
      </c>
      <c r="G133" s="10">
        <f t="shared" si="27"/>
        <v>0</v>
      </c>
      <c r="H133" s="10">
        <f t="shared" si="28"/>
        <v>1.6743647673945457E-3</v>
      </c>
      <c r="I133" s="10">
        <f t="shared" si="29"/>
        <v>1.6743647673945457E-3</v>
      </c>
      <c r="J133" s="10">
        <f t="shared" si="30"/>
        <v>6.3024249670736721E-3</v>
      </c>
      <c r="K133" s="17">
        <f t="shared" si="31"/>
        <v>3.9015354049493962</v>
      </c>
      <c r="L133" s="17">
        <f t="shared" si="32"/>
        <v>11.244360165989296</v>
      </c>
      <c r="M133" s="17">
        <f t="shared" si="33"/>
        <v>3.9015354049493962</v>
      </c>
      <c r="N133" s="16">
        <f t="shared" si="34"/>
        <v>-169.37362829311792</v>
      </c>
      <c r="O133" s="16">
        <f t="shared" si="35"/>
        <v>960.56557886144742</v>
      </c>
    </row>
    <row r="134" spans="1:15" x14ac:dyDescent="0.2">
      <c r="A134" s="6">
        <v>101</v>
      </c>
      <c r="B134" s="16">
        <f t="shared" si="36"/>
        <v>-190.8089953765448</v>
      </c>
      <c r="C134" s="16">
        <f t="shared" si="37"/>
        <v>981.62718344766392</v>
      </c>
      <c r="D134" s="16">
        <v>0</v>
      </c>
      <c r="E134" s="10">
        <f t="shared" si="25"/>
        <v>-1.5263958614208258E-3</v>
      </c>
      <c r="F134" s="10">
        <f t="shared" si="26"/>
        <v>4.8269906081752278E-3</v>
      </c>
      <c r="G134" s="10">
        <f t="shared" si="27"/>
        <v>0</v>
      </c>
      <c r="H134" s="10">
        <f t="shared" si="28"/>
        <v>1.6502973733772009E-3</v>
      </c>
      <c r="I134" s="10">
        <f t="shared" si="29"/>
        <v>1.6502973733772009E-3</v>
      </c>
      <c r="J134" s="10">
        <f t="shared" si="30"/>
        <v>6.3533864695960538E-3</v>
      </c>
      <c r="K134" s="17">
        <f t="shared" si="31"/>
        <v>3.9003930237487019</v>
      </c>
      <c r="L134" s="17">
        <f t="shared" si="32"/>
        <v>11.408344215745124</v>
      </c>
      <c r="M134" s="17">
        <f t="shared" si="33"/>
        <v>3.9003930237487019</v>
      </c>
      <c r="N134" s="16">
        <f t="shared" si="34"/>
        <v>-186.0575186087934</v>
      </c>
      <c r="O134" s="16">
        <f t="shared" si="35"/>
        <v>957.18295456033889</v>
      </c>
    </row>
    <row r="135" spans="1:15" x14ac:dyDescent="0.2">
      <c r="A135" s="6">
        <v>102</v>
      </c>
      <c r="B135" s="16">
        <f t="shared" si="36"/>
        <v>-207.91169081775911</v>
      </c>
      <c r="C135" s="16">
        <f t="shared" si="37"/>
        <v>978.14760073380569</v>
      </c>
      <c r="D135" s="16">
        <v>0</v>
      </c>
      <c r="E135" s="10">
        <f t="shared" si="25"/>
        <v>-1.5754790517334431E-3</v>
      </c>
      <c r="F135" s="10">
        <f t="shared" si="26"/>
        <v>4.8269336173197156E-3</v>
      </c>
      <c r="G135" s="10">
        <f t="shared" si="27"/>
        <v>0</v>
      </c>
      <c r="H135" s="10">
        <f t="shared" si="28"/>
        <v>1.6257272827931361E-3</v>
      </c>
      <c r="I135" s="10">
        <f t="shared" si="29"/>
        <v>1.6257272827931361E-3</v>
      </c>
      <c r="J135" s="10">
        <f t="shared" si="30"/>
        <v>6.4024126690531589E-3</v>
      </c>
      <c r="K135" s="17">
        <f t="shared" si="31"/>
        <v>3.8816385535372167</v>
      </c>
      <c r="L135" s="17">
        <f t="shared" si="32"/>
        <v>11.580761849232497</v>
      </c>
      <c r="M135" s="17">
        <f t="shared" si="33"/>
        <v>3.8816385535372167</v>
      </c>
      <c r="N135" s="16">
        <f t="shared" si="34"/>
        <v>-201.75950870233086</v>
      </c>
      <c r="O135" s="16">
        <f t="shared" si="35"/>
        <v>949.20385951456706</v>
      </c>
    </row>
    <row r="136" spans="1:15" x14ac:dyDescent="0.2">
      <c r="A136" s="6">
        <v>103</v>
      </c>
      <c r="B136" s="16">
        <f t="shared" si="36"/>
        <v>-224.9510543438648</v>
      </c>
      <c r="C136" s="16">
        <f t="shared" si="37"/>
        <v>974.37006478523529</v>
      </c>
      <c r="D136" s="16">
        <v>0</v>
      </c>
      <c r="E136" s="10">
        <f t="shared" si="25"/>
        <v>-1.6240823358648951E-3</v>
      </c>
      <c r="F136" s="10">
        <f t="shared" si="26"/>
        <v>4.8254062957248118E-3</v>
      </c>
      <c r="G136" s="10">
        <f t="shared" si="27"/>
        <v>0</v>
      </c>
      <c r="H136" s="10">
        <f t="shared" si="28"/>
        <v>1.6006619799299583E-3</v>
      </c>
      <c r="I136" s="10">
        <f t="shared" si="29"/>
        <v>1.6006619799299583E-3</v>
      </c>
      <c r="J136" s="10">
        <f t="shared" si="30"/>
        <v>6.4494886315897074E-3</v>
      </c>
      <c r="K136" s="17">
        <f t="shared" si="31"/>
        <v>3.8533057846054728</v>
      </c>
      <c r="L136" s="17">
        <f t="shared" si="32"/>
        <v>11.762108883632633</v>
      </c>
      <c r="M136" s="17">
        <f t="shared" si="33"/>
        <v>3.8533057846054728</v>
      </c>
      <c r="N136" s="16">
        <f t="shared" si="34"/>
        <v>-216.70129973907856</v>
      </c>
      <c r="O136" s="16">
        <f t="shared" si="35"/>
        <v>938.63645174583905</v>
      </c>
    </row>
    <row r="137" spans="1:15" x14ac:dyDescent="0.2">
      <c r="A137" s="6">
        <v>104</v>
      </c>
      <c r="B137" s="16">
        <f t="shared" si="36"/>
        <v>-241.92189559966778</v>
      </c>
      <c r="C137" s="16">
        <f t="shared" si="37"/>
        <v>970.29572627599646</v>
      </c>
      <c r="D137" s="16">
        <v>0</v>
      </c>
      <c r="E137" s="10">
        <f t="shared" si="25"/>
        <v>-1.6721909087840043E-3</v>
      </c>
      <c r="F137" s="10">
        <f t="shared" si="26"/>
        <v>4.8224091086274705E-3</v>
      </c>
      <c r="G137" s="10">
        <f t="shared" si="27"/>
        <v>0</v>
      </c>
      <c r="H137" s="10">
        <f t="shared" si="28"/>
        <v>1.5751090999217331E-3</v>
      </c>
      <c r="I137" s="10">
        <f t="shared" si="29"/>
        <v>1.5751090999217331E-3</v>
      </c>
      <c r="J137" s="10">
        <f t="shared" si="30"/>
        <v>6.4946000174114747E-3</v>
      </c>
      <c r="K137" s="17">
        <f t="shared" si="31"/>
        <v>3.8265407854565541</v>
      </c>
      <c r="L137" s="17">
        <f t="shared" si="32"/>
        <v>11.952924717889498</v>
      </c>
      <c r="M137" s="17">
        <f t="shared" si="33"/>
        <v>3.8265407854565541</v>
      </c>
      <c r="N137" s="16">
        <f t="shared" si="34"/>
        <v>-231.43100010177281</v>
      </c>
      <c r="O137" s="16">
        <f t="shared" si="35"/>
        <v>928.21904263732222</v>
      </c>
    </row>
    <row r="138" spans="1:15" x14ac:dyDescent="0.2">
      <c r="A138" s="6">
        <v>105</v>
      </c>
      <c r="B138" s="16">
        <f t="shared" si="36"/>
        <v>-258.81904510252087</v>
      </c>
      <c r="C138" s="16">
        <f t="shared" si="37"/>
        <v>965.92582628906837</v>
      </c>
      <c r="D138" s="16">
        <v>0</v>
      </c>
      <c r="E138" s="10">
        <f t="shared" si="25"/>
        <v>-1.7197901161534203E-3</v>
      </c>
      <c r="F138" s="10">
        <f t="shared" si="26"/>
        <v>4.8179429689999146E-3</v>
      </c>
      <c r="G138" s="10">
        <f t="shared" si="27"/>
        <v>0</v>
      </c>
      <c r="H138" s="10">
        <f t="shared" si="28"/>
        <v>1.5490764264232471E-3</v>
      </c>
      <c r="I138" s="10">
        <f t="shared" si="29"/>
        <v>1.5490764264232471E-3</v>
      </c>
      <c r="J138" s="10">
        <f t="shared" si="30"/>
        <v>6.5377330851533345E-3</v>
      </c>
      <c r="K138" s="17">
        <f t="shared" si="31"/>
        <v>3.8012949638902218</v>
      </c>
      <c r="L138" s="17">
        <f t="shared" si="32"/>
        <v>12.153797044925854</v>
      </c>
      <c r="M138" s="17">
        <f t="shared" si="33"/>
        <v>3.8012949638902218</v>
      </c>
      <c r="N138" s="16">
        <f t="shared" si="34"/>
        <v>-245.9618831767722</v>
      </c>
      <c r="O138" s="16">
        <f t="shared" si="35"/>
        <v>917.94224474103419</v>
      </c>
    </row>
    <row r="139" spans="1:15" x14ac:dyDescent="0.2">
      <c r="A139" s="6">
        <v>106</v>
      </c>
      <c r="B139" s="16">
        <f t="shared" si="36"/>
        <v>-275.63735581699905</v>
      </c>
      <c r="C139" s="16">
        <f t="shared" si="37"/>
        <v>961.26169593831889</v>
      </c>
      <c r="D139" s="16">
        <v>0</v>
      </c>
      <c r="E139" s="10">
        <f t="shared" si="25"/>
        <v>-1.766865458793474E-3</v>
      </c>
      <c r="F139" s="10">
        <f t="shared" si="26"/>
        <v>4.81200923727154E-3</v>
      </c>
      <c r="G139" s="10">
        <f t="shared" si="27"/>
        <v>0</v>
      </c>
      <c r="H139" s="10">
        <f t="shared" si="28"/>
        <v>1.522571889239033E-3</v>
      </c>
      <c r="I139" s="10">
        <f t="shared" si="29"/>
        <v>1.522571889239033E-3</v>
      </c>
      <c r="J139" s="10">
        <f t="shared" si="30"/>
        <v>6.578874696065014E-3</v>
      </c>
      <c r="K139" s="17">
        <f t="shared" si="31"/>
        <v>3.7775232087512407</v>
      </c>
      <c r="L139" s="17">
        <f t="shared" si="32"/>
        <v>12.365367196708721</v>
      </c>
      <c r="M139" s="17">
        <f t="shared" si="33"/>
        <v>3.7775232087512407</v>
      </c>
      <c r="N139" s="16">
        <f t="shared" si="34"/>
        <v>-260.30662719938442</v>
      </c>
      <c r="O139" s="16">
        <f t="shared" si="35"/>
        <v>907.79709152264445</v>
      </c>
    </row>
    <row r="140" spans="1:15" x14ac:dyDescent="0.2">
      <c r="A140" s="6">
        <v>107</v>
      </c>
      <c r="B140" s="16">
        <f t="shared" si="36"/>
        <v>-292.37170472273664</v>
      </c>
      <c r="C140" s="16">
        <f t="shared" si="37"/>
        <v>956.30475596303552</v>
      </c>
      <c r="D140" s="16">
        <v>0</v>
      </c>
      <c r="E140" s="10">
        <f t="shared" si="25"/>
        <v>-1.8134025970987701E-3</v>
      </c>
      <c r="F140" s="10">
        <f t="shared" si="26"/>
        <v>4.8046097209145117E-3</v>
      </c>
      <c r="G140" s="10">
        <f t="shared" si="27"/>
        <v>0</v>
      </c>
      <c r="H140" s="10">
        <f t="shared" si="28"/>
        <v>1.4956035619078708E-3</v>
      </c>
      <c r="I140" s="10">
        <f t="shared" si="29"/>
        <v>1.4956035619078708E-3</v>
      </c>
      <c r="J140" s="10">
        <f t="shared" si="30"/>
        <v>6.6180123180132819E-3</v>
      </c>
      <c r="K140" s="17">
        <f t="shared" si="31"/>
        <v>3.755183680182745</v>
      </c>
      <c r="L140" s="17">
        <f t="shared" si="32"/>
        <v>12.588336223143413</v>
      </c>
      <c r="M140" s="17">
        <f t="shared" si="33"/>
        <v>3.755183680182745</v>
      </c>
      <c r="N140" s="16">
        <f t="shared" si="34"/>
        <v>-274.47736353050726</v>
      </c>
      <c r="O140" s="16">
        <f t="shared" si="35"/>
        <v>897.7750032183834</v>
      </c>
    </row>
    <row r="141" spans="1:15" x14ac:dyDescent="0.2">
      <c r="A141" s="6">
        <v>108</v>
      </c>
      <c r="B141" s="16">
        <f t="shared" si="36"/>
        <v>-309.01699437494733</v>
      </c>
      <c r="C141" s="16">
        <f t="shared" si="37"/>
        <v>951.05651629515364</v>
      </c>
      <c r="D141" s="16">
        <v>0</v>
      </c>
      <c r="E141" s="10">
        <f t="shared" si="25"/>
        <v>-1.8593873554061647E-3</v>
      </c>
      <c r="F141" s="10">
        <f t="shared" si="26"/>
        <v>4.7957466738931948E-3</v>
      </c>
      <c r="G141" s="10">
        <f t="shared" si="27"/>
        <v>0</v>
      </c>
      <c r="H141" s="10">
        <f t="shared" si="28"/>
        <v>1.468179659243515E-3</v>
      </c>
      <c r="I141" s="10">
        <f t="shared" si="29"/>
        <v>1.468179659243515E-3</v>
      </c>
      <c r="J141" s="10">
        <f t="shared" si="30"/>
        <v>6.6551340292993599E-3</v>
      </c>
      <c r="K141" s="17">
        <f t="shared" si="31"/>
        <v>3.7342376190233106</v>
      </c>
      <c r="L141" s="17">
        <f t="shared" si="32"/>
        <v>12.823471824645715</v>
      </c>
      <c r="M141" s="17">
        <f t="shared" si="33"/>
        <v>3.7342376190233106</v>
      </c>
      <c r="N141" s="16">
        <f t="shared" si="34"/>
        <v>-288.4857213281108</v>
      </c>
      <c r="O141" s="16">
        <f t="shared" si="35"/>
        <v>887.86775524165478</v>
      </c>
    </row>
    <row r="142" spans="1:15" x14ac:dyDescent="0.2">
      <c r="A142" s="6">
        <v>109</v>
      </c>
      <c r="B142" s="16">
        <f t="shared" si="36"/>
        <v>-325.56815445715642</v>
      </c>
      <c r="C142" s="16">
        <f t="shared" si="37"/>
        <v>945.51857559931682</v>
      </c>
      <c r="D142" s="16">
        <v>0</v>
      </c>
      <c r="E142" s="10">
        <f t="shared" si="25"/>
        <v>-1.9048057263128118E-3</v>
      </c>
      <c r="F142" s="10">
        <f t="shared" si="26"/>
        <v>4.785422795977567E-3</v>
      </c>
      <c r="G142" s="10">
        <f t="shared" si="27"/>
        <v>0</v>
      </c>
      <c r="H142" s="10">
        <f t="shared" si="28"/>
        <v>1.4403085348323776E-3</v>
      </c>
      <c r="I142" s="10">
        <f t="shared" si="29"/>
        <v>1.4403085348323776E-3</v>
      </c>
      <c r="J142" s="10">
        <f t="shared" si="30"/>
        <v>6.6902285222903788E-3</v>
      </c>
      <c r="K142" s="17">
        <f t="shared" si="31"/>
        <v>3.7146491736494376</v>
      </c>
      <c r="L142" s="17">
        <f t="shared" si="32"/>
        <v>13.071616281172879</v>
      </c>
      <c r="M142" s="17">
        <f t="shared" si="33"/>
        <v>3.7146491736494376</v>
      </c>
      <c r="N142" s="16">
        <f t="shared" si="34"/>
        <v>-302.34286898021213</v>
      </c>
      <c r="O142" s="16">
        <f t="shared" si="35"/>
        <v>878.06744888004891</v>
      </c>
    </row>
    <row r="143" spans="1:15" x14ac:dyDescent="0.2">
      <c r="A143" s="6">
        <v>110</v>
      </c>
      <c r="B143" s="16">
        <f t="shared" si="36"/>
        <v>-342.0201433256687</v>
      </c>
      <c r="C143" s="16">
        <f t="shared" si="37"/>
        <v>939.69262078590839</v>
      </c>
      <c r="D143" s="16">
        <v>0</v>
      </c>
      <c r="E143" s="10">
        <f t="shared" si="25"/>
        <v>-1.949643874942958E-3</v>
      </c>
      <c r="F143" s="10">
        <f t="shared" si="26"/>
        <v>4.7736412319208535E-3</v>
      </c>
      <c r="G143" s="10">
        <f t="shared" si="27"/>
        <v>0</v>
      </c>
      <c r="H143" s="10">
        <f t="shared" si="28"/>
        <v>1.4119986784889478E-3</v>
      </c>
      <c r="I143" s="10">
        <f t="shared" si="29"/>
        <v>1.4119986784889478E-3</v>
      </c>
      <c r="J143" s="10">
        <f t="shared" si="30"/>
        <v>6.7232851068638119E-3</v>
      </c>
      <c r="K143" s="17">
        <f t="shared" si="31"/>
        <v>3.6963852427558903</v>
      </c>
      <c r="L143" s="17">
        <f t="shared" si="32"/>
        <v>13.3336955484796</v>
      </c>
      <c r="M143" s="17">
        <f t="shared" si="33"/>
        <v>3.6963852427558903</v>
      </c>
      <c r="N143" s="16">
        <f t="shared" si="34"/>
        <v>-316.05955262856406</v>
      </c>
      <c r="O143" s="16">
        <f t="shared" si="35"/>
        <v>868.36648404990967</v>
      </c>
    </row>
    <row r="144" spans="1:15" x14ac:dyDescent="0.2">
      <c r="A144" s="6">
        <v>111</v>
      </c>
      <c r="B144" s="16">
        <f t="shared" si="36"/>
        <v>-358.36794954530029</v>
      </c>
      <c r="C144" s="16">
        <f t="shared" si="37"/>
        <v>933.58042649720176</v>
      </c>
      <c r="D144" s="16">
        <v>0</v>
      </c>
      <c r="E144" s="10">
        <f t="shared" si="25"/>
        <v>-1.9938881431621719E-3</v>
      </c>
      <c r="F144" s="10">
        <f t="shared" si="26"/>
        <v>4.7604055705015962E-3</v>
      </c>
      <c r="G144" s="10">
        <f t="shared" si="27"/>
        <v>0</v>
      </c>
      <c r="H144" s="10">
        <f t="shared" si="28"/>
        <v>1.3832587136697121E-3</v>
      </c>
      <c r="I144" s="10">
        <f t="shared" si="29"/>
        <v>1.3832587136697121E-3</v>
      </c>
      <c r="J144" s="10">
        <f t="shared" si="30"/>
        <v>6.7542937136637685E-3</v>
      </c>
      <c r="K144" s="17">
        <f t="shared" si="31"/>
        <v>3.6794153327352608</v>
      </c>
      <c r="L144" s="17">
        <f t="shared" si="32"/>
        <v>13.610729726675427</v>
      </c>
      <c r="M144" s="17">
        <f t="shared" si="33"/>
        <v>3.6794153327352608</v>
      </c>
      <c r="N144" s="16">
        <f t="shared" si="34"/>
        <v>-329.64613207946854</v>
      </c>
      <c r="O144" s="16">
        <f t="shared" si="35"/>
        <v>858.75753389883209</v>
      </c>
    </row>
    <row r="145" spans="1:15" x14ac:dyDescent="0.2">
      <c r="A145" s="6">
        <v>112</v>
      </c>
      <c r="B145" s="16">
        <f t="shared" si="36"/>
        <v>-374.60659341591207</v>
      </c>
      <c r="C145" s="16">
        <f t="shared" si="37"/>
        <v>927.18385456678743</v>
      </c>
      <c r="D145" s="16">
        <v>0</v>
      </c>
      <c r="E145" s="10">
        <f t="shared" si="25"/>
        <v>-2.03752505373775E-3</v>
      </c>
      <c r="F145" s="10">
        <f t="shared" si="26"/>
        <v>4.7457198434304798E-3</v>
      </c>
      <c r="G145" s="10">
        <f t="shared" si="27"/>
        <v>0</v>
      </c>
      <c r="H145" s="10">
        <f t="shared" si="28"/>
        <v>1.3540973948463649E-3</v>
      </c>
      <c r="I145" s="10">
        <f t="shared" si="29"/>
        <v>1.3540973948463649E-3</v>
      </c>
      <c r="J145" s="10">
        <f t="shared" si="30"/>
        <v>6.7832448971682294E-3</v>
      </c>
      <c r="K145" s="17">
        <f t="shared" si="31"/>
        <v>3.6637114284679071</v>
      </c>
      <c r="L145" s="17">
        <f t="shared" si="32"/>
        <v>13.903845148423228</v>
      </c>
      <c r="M145" s="17">
        <f t="shared" si="33"/>
        <v>3.6637114284679071</v>
      </c>
      <c r="N145" s="16">
        <f t="shared" si="34"/>
        <v>-343.11261436932693</v>
      </c>
      <c r="O145" s="16">
        <f t="shared" si="35"/>
        <v>849.23352106681625</v>
      </c>
    </row>
    <row r="146" spans="1:15" x14ac:dyDescent="0.2">
      <c r="A146" s="6">
        <v>113</v>
      </c>
      <c r="B146" s="16">
        <f t="shared" si="36"/>
        <v>-390.7311284892736</v>
      </c>
      <c r="C146" s="16">
        <f t="shared" si="37"/>
        <v>920.50485345244033</v>
      </c>
      <c r="D146" s="16">
        <v>0</v>
      </c>
      <c r="E146" s="10">
        <f t="shared" si="25"/>
        <v>-2.0805413144440107E-3</v>
      </c>
      <c r="F146" s="10">
        <f t="shared" si="26"/>
        <v>4.7295885241222333E-3</v>
      </c>
      <c r="G146" s="10">
        <f t="shared" si="27"/>
        <v>0</v>
      </c>
      <c r="H146" s="10">
        <f t="shared" si="28"/>
        <v>1.3245236048391113E-3</v>
      </c>
      <c r="I146" s="10">
        <f t="shared" si="29"/>
        <v>1.3245236048391113E-3</v>
      </c>
      <c r="J146" s="10">
        <f t="shared" si="30"/>
        <v>6.8101298385662441E-3</v>
      </c>
      <c r="K146" s="17">
        <f t="shared" si="31"/>
        <v>3.6492478764669172</v>
      </c>
      <c r="L146" s="17">
        <f t="shared" si="32"/>
        <v>14.214288386437689</v>
      </c>
      <c r="M146" s="17">
        <f t="shared" si="33"/>
        <v>3.6492478764669172</v>
      </c>
      <c r="N146" s="16">
        <f t="shared" si="34"/>
        <v>-356.46868522725094</v>
      </c>
      <c r="O146" s="16">
        <f t="shared" si="35"/>
        <v>839.78759543470221</v>
      </c>
    </row>
    <row r="147" spans="1:15" x14ac:dyDescent="0.2">
      <c r="A147" s="6">
        <v>114</v>
      </c>
      <c r="B147" s="16">
        <f t="shared" si="36"/>
        <v>-406.73664307580003</v>
      </c>
      <c r="C147" s="16">
        <f t="shared" si="37"/>
        <v>913.54545764260092</v>
      </c>
      <c r="D147" s="16">
        <v>0</v>
      </c>
      <c r="E147" s="10">
        <f t="shared" si="25"/>
        <v>-2.1229238221112359E-3</v>
      </c>
      <c r="F147" s="10">
        <f t="shared" si="26"/>
        <v>4.7120165263329879E-3</v>
      </c>
      <c r="G147" s="10">
        <f t="shared" si="27"/>
        <v>0</v>
      </c>
      <c r="H147" s="10">
        <f t="shared" si="28"/>
        <v>1.294546352110876E-3</v>
      </c>
      <c r="I147" s="10">
        <f t="shared" si="29"/>
        <v>1.294546352110876E-3</v>
      </c>
      <c r="J147" s="10">
        <f t="shared" si="30"/>
        <v>6.8349403484442243E-3</v>
      </c>
      <c r="K147" s="17">
        <f t="shared" si="31"/>
        <v>3.6360012794418397</v>
      </c>
      <c r="L147" s="17">
        <f t="shared" si="32"/>
        <v>14.543442545048896</v>
      </c>
      <c r="M147" s="17">
        <f t="shared" si="33"/>
        <v>3.6360012794418397</v>
      </c>
      <c r="N147" s="16">
        <f t="shared" si="34"/>
        <v>-369.72373865487197</v>
      </c>
      <c r="O147" s="16">
        <f t="shared" si="35"/>
        <v>830.41311320419447</v>
      </c>
    </row>
    <row r="148" spans="1:15" x14ac:dyDescent="0.2">
      <c r="A148" s="6">
        <v>115</v>
      </c>
      <c r="B148" s="16">
        <f t="shared" si="36"/>
        <v>-422.61826174069932</v>
      </c>
      <c r="C148" s="16">
        <f t="shared" si="37"/>
        <v>906.3077870366501</v>
      </c>
      <c r="D148" s="16">
        <v>0</v>
      </c>
      <c r="E148" s="10">
        <f t="shared" si="25"/>
        <v>-2.1646596666170222E-3</v>
      </c>
      <c r="F148" s="10">
        <f t="shared" si="26"/>
        <v>4.6930092026634925E-3</v>
      </c>
      <c r="G148" s="10">
        <f t="shared" si="27"/>
        <v>0</v>
      </c>
      <c r="H148" s="10">
        <f t="shared" si="28"/>
        <v>1.2641747680232351E-3</v>
      </c>
      <c r="I148" s="10">
        <f t="shared" si="29"/>
        <v>1.2641747680232351E-3</v>
      </c>
      <c r="J148" s="10">
        <f t="shared" si="30"/>
        <v>6.8576688692805147E-3</v>
      </c>
      <c r="K148" s="17">
        <f t="shared" si="31"/>
        <v>3.6239504014516863</v>
      </c>
      <c r="L148" s="17">
        <f t="shared" si="32"/>
        <v>14.892846282058626</v>
      </c>
      <c r="M148" s="17">
        <f t="shared" si="33"/>
        <v>3.6239504014516863</v>
      </c>
      <c r="N148" s="16">
        <f t="shared" si="34"/>
        <v>-382.88690482400528</v>
      </c>
      <c r="O148" s="16">
        <f t="shared" si="35"/>
        <v>821.10361716756438</v>
      </c>
    </row>
    <row r="149" spans="1:15" x14ac:dyDescent="0.2">
      <c r="A149" s="6">
        <v>116</v>
      </c>
      <c r="B149" s="16">
        <f t="shared" si="36"/>
        <v>-438.3711467890775</v>
      </c>
      <c r="C149" s="16">
        <f t="shared" si="37"/>
        <v>898.79404629916689</v>
      </c>
      <c r="D149" s="16">
        <v>0</v>
      </c>
      <c r="E149" s="10">
        <f t="shared" si="25"/>
        <v>-2.2057361348188269E-3</v>
      </c>
      <c r="F149" s="10">
        <f t="shared" si="26"/>
        <v>4.6725723429286636E-3</v>
      </c>
      <c r="G149" s="10">
        <f t="shared" si="27"/>
        <v>0</v>
      </c>
      <c r="H149" s="10">
        <f t="shared" si="28"/>
        <v>1.2334181040549183E-3</v>
      </c>
      <c r="I149" s="10">
        <f t="shared" si="29"/>
        <v>1.2334181040549183E-3</v>
      </c>
      <c r="J149" s="10">
        <f t="shared" si="30"/>
        <v>6.8783084777474905E-3</v>
      </c>
      <c r="K149" s="17">
        <f t="shared" si="31"/>
        <v>3.613076082913679</v>
      </c>
      <c r="L149" s="17">
        <f t="shared" si="32"/>
        <v>15.264216109632258</v>
      </c>
      <c r="M149" s="17">
        <f t="shared" si="33"/>
        <v>3.613076082913679</v>
      </c>
      <c r="N149" s="16">
        <f t="shared" si="34"/>
        <v>-395.96707647576437</v>
      </c>
      <c r="O149" s="16">
        <f t="shared" si="35"/>
        <v>811.85281803718249</v>
      </c>
    </row>
    <row r="150" spans="1:15" x14ac:dyDescent="0.2">
      <c r="A150" s="6">
        <v>117</v>
      </c>
      <c r="B150" s="16">
        <f t="shared" si="36"/>
        <v>-453.99049973954669</v>
      </c>
      <c r="C150" s="16">
        <f t="shared" si="37"/>
        <v>891.00652418836785</v>
      </c>
      <c r="D150" s="16">
        <v>0</v>
      </c>
      <c r="E150" s="10">
        <f t="shared" si="25"/>
        <v>-2.2461407144265199E-3</v>
      </c>
      <c r="F150" s="10">
        <f t="shared" si="26"/>
        <v>4.6507121723939546E-3</v>
      </c>
      <c r="G150" s="10">
        <f t="shared" si="27"/>
        <v>0</v>
      </c>
      <c r="H150" s="10">
        <f t="shared" si="28"/>
        <v>1.2022857289837173E-3</v>
      </c>
      <c r="I150" s="10">
        <f t="shared" si="29"/>
        <v>1.2022857289837173E-3</v>
      </c>
      <c r="J150" s="10">
        <f t="shared" si="30"/>
        <v>6.8968528868204749E-3</v>
      </c>
      <c r="K150" s="17">
        <f t="shared" si="31"/>
        <v>3.6033611648209058</v>
      </c>
      <c r="L150" s="17">
        <f t="shared" si="32"/>
        <v>15.659472652762512</v>
      </c>
      <c r="M150" s="17">
        <f t="shared" si="33"/>
        <v>3.6033611648209058</v>
      </c>
      <c r="N150" s="16">
        <f t="shared" si="34"/>
        <v>-408.97293398977951</v>
      </c>
      <c r="O150" s="16">
        <f t="shared" si="35"/>
        <v>802.65457671560591</v>
      </c>
    </row>
    <row r="151" spans="1:15" x14ac:dyDescent="0.2">
      <c r="A151" s="6">
        <v>118</v>
      </c>
      <c r="B151" s="16">
        <f t="shared" si="36"/>
        <v>-469.47156278589051</v>
      </c>
      <c r="C151" s="16">
        <f t="shared" si="37"/>
        <v>882.94759285892712</v>
      </c>
      <c r="D151" s="16">
        <v>0</v>
      </c>
      <c r="E151" s="10">
        <f t="shared" si="25"/>
        <v>-2.2858610978137451E-3</v>
      </c>
      <c r="F151" s="10">
        <f t="shared" si="26"/>
        <v>4.6274353498790737E-3</v>
      </c>
      <c r="G151" s="10">
        <f t="shared" si="27"/>
        <v>0</v>
      </c>
      <c r="H151" s="10">
        <f t="shared" si="28"/>
        <v>1.1707871260326643E-3</v>
      </c>
      <c r="I151" s="10">
        <f t="shared" si="29"/>
        <v>1.1707871260326643E-3</v>
      </c>
      <c r="J151" s="10">
        <f t="shared" si="30"/>
        <v>6.9132964476928188E-3</v>
      </c>
      <c r="K151" s="17">
        <f t="shared" si="31"/>
        <v>3.5947904216006372</v>
      </c>
      <c r="L151" s="17">
        <f t="shared" si="32"/>
        <v>16.080771709221796</v>
      </c>
      <c r="M151" s="17">
        <f t="shared" si="33"/>
        <v>3.5947904216006372</v>
      </c>
      <c r="N151" s="16">
        <f t="shared" si="34"/>
        <v>-421.91296927915033</v>
      </c>
      <c r="O151" s="16">
        <f t="shared" si="35"/>
        <v>793.50288739615257</v>
      </c>
    </row>
    <row r="152" spans="1:15" x14ac:dyDescent="0.2">
      <c r="A152" s="6">
        <v>119</v>
      </c>
      <c r="B152" s="16">
        <f t="shared" si="36"/>
        <v>-484.80962024633698</v>
      </c>
      <c r="C152" s="16">
        <f t="shared" si="37"/>
        <v>874.61970713939581</v>
      </c>
      <c r="D152" s="16">
        <v>0</v>
      </c>
      <c r="E152" s="10">
        <f t="shared" si="25"/>
        <v>-2.3248851857669431E-3</v>
      </c>
      <c r="F152" s="10">
        <f t="shared" si="26"/>
        <v>4.6027489657296458E-3</v>
      </c>
      <c r="G152" s="10">
        <f t="shared" si="27"/>
        <v>0</v>
      </c>
      <c r="H152" s="10">
        <f t="shared" si="28"/>
        <v>1.1389318899813513E-3</v>
      </c>
      <c r="I152" s="10">
        <f t="shared" si="29"/>
        <v>1.1389318899813513E-3</v>
      </c>
      <c r="J152" s="10">
        <f t="shared" si="30"/>
        <v>6.9276341514965889E-3</v>
      </c>
      <c r="K152" s="17">
        <f t="shared" si="31"/>
        <v>3.5873505021166663</v>
      </c>
      <c r="L152" s="17">
        <f t="shared" si="32"/>
        <v>16.530541167071398</v>
      </c>
      <c r="M152" s="17">
        <f t="shared" si="33"/>
        <v>3.5873505021166663</v>
      </c>
      <c r="N152" s="16">
        <f t="shared" si="34"/>
        <v>-434.79550865542183</v>
      </c>
      <c r="O152" s="16">
        <f t="shared" si="35"/>
        <v>784.39186139191077</v>
      </c>
    </row>
    <row r="153" spans="1:15" x14ac:dyDescent="0.2">
      <c r="A153" s="6">
        <v>120</v>
      </c>
      <c r="B153" s="16">
        <f t="shared" si="36"/>
        <v>-499.99999999999977</v>
      </c>
      <c r="C153" s="16">
        <f t="shared" si="37"/>
        <v>866.02540378443871</v>
      </c>
      <c r="D153" s="16">
        <v>0</v>
      </c>
      <c r="E153" s="10">
        <f t="shared" si="25"/>
        <v>-2.3632010911708869E-3</v>
      </c>
      <c r="F153" s="10">
        <f t="shared" si="26"/>
        <v>4.5766605396574279E-3</v>
      </c>
      <c r="G153" s="10">
        <f t="shared" si="27"/>
        <v>0</v>
      </c>
      <c r="H153" s="10">
        <f t="shared" si="28"/>
        <v>1.1067297242432705E-3</v>
      </c>
      <c r="I153" s="10">
        <f t="shared" si="29"/>
        <v>1.1067297242432705E-3</v>
      </c>
      <c r="J153" s="10">
        <f t="shared" si="30"/>
        <v>6.9398616308283152E-3</v>
      </c>
      <c r="K153" s="17">
        <f t="shared" si="31"/>
        <v>3.5810298783847125</v>
      </c>
      <c r="L153" s="17">
        <f t="shared" si="32"/>
        <v>17.011525109891021</v>
      </c>
      <c r="M153" s="17">
        <f t="shared" si="33"/>
        <v>3.5810298783847125</v>
      </c>
      <c r="N153" s="16">
        <f t="shared" si="34"/>
        <v>-447.62873479808889</v>
      </c>
      <c r="O153" s="16">
        <f t="shared" si="35"/>
        <v>775.31571159806504</v>
      </c>
    </row>
    <row r="154" spans="1:15" x14ac:dyDescent="0.2">
      <c r="A154" s="6">
        <v>121</v>
      </c>
      <c r="B154" s="16">
        <f t="shared" si="36"/>
        <v>-515.03807491005432</v>
      </c>
      <c r="C154" s="16">
        <f t="shared" si="37"/>
        <v>857.16730070211236</v>
      </c>
      <c r="D154" s="16">
        <v>0</v>
      </c>
      <c r="E154" s="10">
        <f t="shared" si="25"/>
        <v>-2.4007971426296187E-3</v>
      </c>
      <c r="F154" s="10">
        <f t="shared" si="26"/>
        <v>4.5491780184497236E-3</v>
      </c>
      <c r="G154" s="10">
        <f t="shared" si="27"/>
        <v>0</v>
      </c>
      <c r="H154" s="10">
        <f t="shared" si="28"/>
        <v>1.0741904379100524E-3</v>
      </c>
      <c r="I154" s="10">
        <f t="shared" si="29"/>
        <v>1.0741904379100524E-3</v>
      </c>
      <c r="J154" s="10">
        <f t="shared" si="30"/>
        <v>6.9499751610793423E-3</v>
      </c>
      <c r="K154" s="17">
        <f t="shared" si="31"/>
        <v>3.5758188016304109</v>
      </c>
      <c r="L154" s="17">
        <f t="shared" si="32"/>
        <v>17.526836796701833</v>
      </c>
      <c r="M154" s="17">
        <f t="shared" si="33"/>
        <v>3.5758188016304109</v>
      </c>
      <c r="N154" s="16">
        <f t="shared" si="34"/>
        <v>-460.42070795472608</v>
      </c>
      <c r="O154" s="16">
        <f t="shared" si="35"/>
        <v>766.26873749835033</v>
      </c>
    </row>
    <row r="155" spans="1:15" x14ac:dyDescent="0.2">
      <c r="A155" s="6">
        <v>122</v>
      </c>
      <c r="B155" s="16">
        <f t="shared" si="36"/>
        <v>-529.91926423320479</v>
      </c>
      <c r="C155" s="16">
        <f t="shared" si="37"/>
        <v>848.04809615642603</v>
      </c>
      <c r="D155" s="16">
        <v>0</v>
      </c>
      <c r="E155" s="10">
        <f t="shared" si="25"/>
        <v>-2.4376618880216595E-3</v>
      </c>
      <c r="F155" s="10">
        <f t="shared" si="26"/>
        <v>4.5203097735487226E-3</v>
      </c>
      <c r="G155" s="10">
        <f t="shared" si="27"/>
        <v>0</v>
      </c>
      <c r="H155" s="10">
        <f t="shared" si="28"/>
        <v>1.0413239427635316E-3</v>
      </c>
      <c r="I155" s="10">
        <f t="shared" si="29"/>
        <v>1.0413239427635316E-3</v>
      </c>
      <c r="J155" s="10">
        <f t="shared" si="30"/>
        <v>6.9579716615703821E-3</v>
      </c>
      <c r="K155" s="17">
        <f t="shared" si="31"/>
        <v>3.5717092653756088</v>
      </c>
      <c r="L155" s="17">
        <f t="shared" si="32"/>
        <v>18.080022671775364</v>
      </c>
      <c r="M155" s="17">
        <f t="shared" si="33"/>
        <v>3.5717092653756088</v>
      </c>
      <c r="N155" s="16">
        <f t="shared" si="34"/>
        <v>-473.17938649069077</v>
      </c>
      <c r="O155" s="16">
        <f t="shared" si="35"/>
        <v>757.24531063151301</v>
      </c>
    </row>
    <row r="156" spans="1:15" x14ac:dyDescent="0.2">
      <c r="A156" s="6">
        <v>123</v>
      </c>
      <c r="B156" s="16">
        <f t="shared" si="36"/>
        <v>-544.63903501502705</v>
      </c>
      <c r="C156" s="16">
        <f t="shared" si="37"/>
        <v>838.67056794542395</v>
      </c>
      <c r="D156" s="16">
        <v>0</v>
      </c>
      <c r="E156" s="10">
        <f t="shared" si="25"/>
        <v>-2.4737840979884491E-3</v>
      </c>
      <c r="F156" s="10">
        <f t="shared" si="26"/>
        <v>4.4900645985014725E-3</v>
      </c>
      <c r="G156" s="10">
        <f t="shared" si="27"/>
        <v>0</v>
      </c>
      <c r="H156" s="10">
        <f t="shared" si="28"/>
        <v>1.0081402502565117E-3</v>
      </c>
      <c r="I156" s="10">
        <f t="shared" si="29"/>
        <v>1.0081402502565117E-3</v>
      </c>
      <c r="J156" s="10">
        <f t="shared" si="30"/>
        <v>6.9638486964899212E-3</v>
      </c>
      <c r="K156" s="17">
        <f t="shared" si="31"/>
        <v>3.5686949752912143</v>
      </c>
      <c r="L156" s="17">
        <f t="shared" si="32"/>
        <v>18.675140179193093</v>
      </c>
      <c r="M156" s="17">
        <f t="shared" si="33"/>
        <v>3.5686949752912143</v>
      </c>
      <c r="N156" s="16">
        <f t="shared" si="34"/>
        <v>-485.9126469013957</v>
      </c>
      <c r="O156" s="16">
        <f t="shared" si="35"/>
        <v>748.2398604378659</v>
      </c>
    </row>
    <row r="157" spans="1:15" x14ac:dyDescent="0.2">
      <c r="A157" s="6">
        <v>124</v>
      </c>
      <c r="B157" s="16">
        <f t="shared" si="36"/>
        <v>-559.19290347074673</v>
      </c>
      <c r="C157" s="16">
        <f t="shared" si="37"/>
        <v>829.03757255504172</v>
      </c>
      <c r="D157" s="16">
        <v>0</v>
      </c>
      <c r="E157" s="10">
        <f t="shared" si="25"/>
        <v>-2.5091527693549063E-3</v>
      </c>
      <c r="F157" s="10">
        <f t="shared" si="26"/>
        <v>4.4584517062812891E-3</v>
      </c>
      <c r="G157" s="10">
        <f t="shared" si="27"/>
        <v>0</v>
      </c>
      <c r="H157" s="10">
        <f t="shared" si="28"/>
        <v>9.7464946846319137E-4</v>
      </c>
      <c r="I157" s="10">
        <f t="shared" si="29"/>
        <v>9.7464946846319137E-4</v>
      </c>
      <c r="J157" s="10">
        <f t="shared" si="30"/>
        <v>6.9676044756361959E-3</v>
      </c>
      <c r="K157" s="17">
        <f t="shared" si="31"/>
        <v>3.5667713256043698</v>
      </c>
      <c r="L157" s="17">
        <f t="shared" si="32"/>
        <v>19.316852984605294</v>
      </c>
      <c r="M157" s="17">
        <f t="shared" si="33"/>
        <v>3.5667713256043698</v>
      </c>
      <c r="N157" s="16">
        <f t="shared" si="34"/>
        <v>-498.62830339522793</v>
      </c>
      <c r="O157" s="16">
        <f t="shared" si="35"/>
        <v>739.24686040949382</v>
      </c>
    </row>
    <row r="158" spans="1:15" x14ac:dyDescent="0.2">
      <c r="A158" s="6">
        <v>125</v>
      </c>
      <c r="B158" s="16">
        <f t="shared" si="36"/>
        <v>-573.5764363510458</v>
      </c>
      <c r="C158" s="16">
        <f t="shared" si="37"/>
        <v>819.15204428899199</v>
      </c>
      <c r="D158" s="16">
        <v>0</v>
      </c>
      <c r="E158" s="10">
        <f t="shared" si="25"/>
        <v>-2.5437571284811092E-3</v>
      </c>
      <c r="F158" s="10">
        <f t="shared" si="26"/>
        <v>4.425480726481381E-3</v>
      </c>
      <c r="G158" s="10">
        <f t="shared" si="27"/>
        <v>0</v>
      </c>
      <c r="H158" s="10">
        <f t="shared" si="28"/>
        <v>9.4086179900013589E-4</v>
      </c>
      <c r="I158" s="10">
        <f t="shared" si="29"/>
        <v>9.4086179900013589E-4</v>
      </c>
      <c r="J158" s="10">
        <f t="shared" si="30"/>
        <v>6.9692378549624902E-3</v>
      </c>
      <c r="K158" s="17">
        <f t="shared" si="31"/>
        <v>3.5659353818948705</v>
      </c>
      <c r="L158" s="17">
        <f t="shared" si="32"/>
        <v>20.010548322649502</v>
      </c>
      <c r="M158" s="17">
        <f t="shared" si="33"/>
        <v>3.5659353818948705</v>
      </c>
      <c r="N158" s="16">
        <f t="shared" si="34"/>
        <v>-511.33412715134136</v>
      </c>
      <c r="O158" s="16">
        <f t="shared" si="35"/>
        <v>730.26081447040758</v>
      </c>
    </row>
    <row r="159" spans="1:15" x14ac:dyDescent="0.2">
      <c r="A159" s="6">
        <v>126</v>
      </c>
      <c r="B159" s="16">
        <f t="shared" si="36"/>
        <v>-587.78525229247305</v>
      </c>
      <c r="C159" s="16">
        <f t="shared" si="37"/>
        <v>809.01699437494744</v>
      </c>
      <c r="D159" s="16">
        <v>0</v>
      </c>
      <c r="E159" s="10">
        <f t="shared" ref="E159:E222" si="38">($B159/$B$6-$C159*$E$6/$B$6)/$A$6</f>
        <v>-2.577586634544049E-3</v>
      </c>
      <c r="F159" s="10">
        <f t="shared" ref="F159:F222" si="39">(-$B159*$E$6/$B$6+$C159/$C$6)/$A$6</f>
        <v>4.3911617023815906E-3</v>
      </c>
      <c r="G159" s="10">
        <f t="shared" ref="G159:G222" si="40">$D159/($D$6*$A$6)</f>
        <v>0</v>
      </c>
      <c r="H159" s="10">
        <f t="shared" si="28"/>
        <v>9.0678753391877078E-4</v>
      </c>
      <c r="I159" s="10">
        <f t="shared" si="29"/>
        <v>9.0678753391877078E-4</v>
      </c>
      <c r="J159" s="10">
        <f t="shared" si="30"/>
        <v>6.9687483369256396E-3</v>
      </c>
      <c r="K159" s="17">
        <f t="shared" si="31"/>
        <v>3.5661858701609526</v>
      </c>
      <c r="L159" s="17">
        <f t="shared" si="32"/>
        <v>20.762482709112412</v>
      </c>
      <c r="M159" s="17">
        <f t="shared" si="33"/>
        <v>3.5661858701609526</v>
      </c>
      <c r="N159" s="16">
        <f t="shared" si="34"/>
        <v>-524.037865353602</v>
      </c>
      <c r="O159" s="16">
        <f t="shared" si="35"/>
        <v>721.27624351500515</v>
      </c>
    </row>
    <row r="160" spans="1:15" x14ac:dyDescent="0.2">
      <c r="A160" s="6">
        <v>127</v>
      </c>
      <c r="B160" s="16">
        <f t="shared" si="36"/>
        <v>-601.81502315204841</v>
      </c>
      <c r="C160" s="16">
        <f t="shared" si="37"/>
        <v>798.63551004729277</v>
      </c>
      <c r="D160" s="16">
        <v>0</v>
      </c>
      <c r="E160" s="10">
        <f t="shared" si="38"/>
        <v>-2.6106309827484643E-3</v>
      </c>
      <c r="F160" s="10">
        <f t="shared" si="39"/>
        <v>4.355505087889117E-3</v>
      </c>
      <c r="G160" s="10">
        <f t="shared" si="40"/>
        <v>0</v>
      </c>
      <c r="H160" s="10">
        <f t="shared" si="28"/>
        <v>8.7243705257032634E-4</v>
      </c>
      <c r="I160" s="10">
        <f t="shared" si="29"/>
        <v>8.7243705257032634E-4</v>
      </c>
      <c r="J160" s="10">
        <f t="shared" si="30"/>
        <v>6.9661360706375812E-3</v>
      </c>
      <c r="K160" s="17">
        <f t="shared" si="31"/>
        <v>3.5467514637059656</v>
      </c>
      <c r="L160" s="17">
        <f t="shared" si="32"/>
        <v>21.579964351994921</v>
      </c>
      <c r="M160" s="17">
        <f t="shared" si="33"/>
        <v>3.5467514637059656</v>
      </c>
      <c r="N160" s="16">
        <f t="shared" si="34"/>
        <v>-533.62207856119187</v>
      </c>
      <c r="O160" s="16">
        <f t="shared" si="35"/>
        <v>708.14041605694899</v>
      </c>
    </row>
    <row r="161" spans="1:15" x14ac:dyDescent="0.2">
      <c r="A161" s="6">
        <v>128</v>
      </c>
      <c r="B161" s="16">
        <f t="shared" si="36"/>
        <v>-615.66147532565833</v>
      </c>
      <c r="C161" s="16">
        <f t="shared" si="37"/>
        <v>788.01075360672201</v>
      </c>
      <c r="D161" s="16">
        <v>0</v>
      </c>
      <c r="E161" s="10">
        <f t="shared" si="38"/>
        <v>-2.6428801074657835E-3</v>
      </c>
      <c r="F161" s="10">
        <f t="shared" si="39"/>
        <v>4.3185217443541483E-3</v>
      </c>
      <c r="G161" s="10">
        <f t="shared" si="40"/>
        <v>0</v>
      </c>
      <c r="H161" s="10">
        <f t="shared" ref="H161:H224" si="41">(E161+F161+G161)/2</f>
        <v>8.3782081844418241E-4</v>
      </c>
      <c r="I161" s="10">
        <f t="shared" ref="I161:I224" si="42">(E161+F161-G161)/2</f>
        <v>8.3782081844418241E-4</v>
      </c>
      <c r="J161" s="10">
        <f t="shared" ref="J161:J224" si="43">-E161+F161</f>
        <v>6.9614018518199313E-3</v>
      </c>
      <c r="K161" s="17">
        <f t="shared" ref="K161:K224" si="44">MIN(
IF(E161&gt;0,$A$12/E161,IF(E161&lt;0,-$B$12/E161,1000)),
IF(F161&gt;0,$A$12/F161,IF(F161&lt;0,-$B$12/F161,1000)),
IF(ABS(E161-F161)&gt;0,(1+$C$12)*MAX($A$12,$B$12)/ABS(E161-F161),1000)
)</f>
        <v>3.5034730607351756</v>
      </c>
      <c r="L161" s="17">
        <f t="shared" ref="L161:L224" si="45">MIN(
IF(H161&gt;0,$A$12/H161,IF(H161&lt;0,-$B$12/H161,1000)),
IF(I161&gt;0,$A$12/I161,IF(I161&lt;0,-$B$12/I161,1000)),
IF(ABS(H161-I161)&gt;0,(1+$C$12)*MAX($A$12,$B$12)/ABS(H161-I161),1000)
)</f>
        <v>22.471583516853695</v>
      </c>
      <c r="M161" s="17">
        <f t="shared" ref="M161:M224" si="46">IF(MIN(K161:L161)&gt;100,"&gt;100",MIN(K161:L161))</f>
        <v>3.5034730607351756</v>
      </c>
      <c r="N161" s="16">
        <f t="shared" si="34"/>
        <v>-539.2383483339795</v>
      </c>
      <c r="O161" s="16">
        <f t="shared" si="35"/>
        <v>690.19361170769366</v>
      </c>
    </row>
    <row r="162" spans="1:15" x14ac:dyDescent="0.2">
      <c r="A162" s="6">
        <v>129</v>
      </c>
      <c r="B162" s="16">
        <f t="shared" si="36"/>
        <v>-629.32039104983733</v>
      </c>
      <c r="C162" s="16">
        <f t="shared" si="37"/>
        <v>777.14596145697101</v>
      </c>
      <c r="D162" s="16">
        <v>0</v>
      </c>
      <c r="E162" s="10">
        <f t="shared" si="38"/>
        <v>-2.6743241853002136E-3</v>
      </c>
      <c r="F162" s="10">
        <f t="shared" si="39"/>
        <v>4.2802229372613885E-3</v>
      </c>
      <c r="G162" s="10">
        <f t="shared" si="40"/>
        <v>0</v>
      </c>
      <c r="H162" s="10">
        <f t="shared" si="41"/>
        <v>8.0294937598058744E-4</v>
      </c>
      <c r="I162" s="10">
        <f t="shared" si="42"/>
        <v>8.0294937598058744E-4</v>
      </c>
      <c r="J162" s="10">
        <f t="shared" si="43"/>
        <v>6.9545471225616017E-3</v>
      </c>
      <c r="K162" s="17">
        <f t="shared" si="44"/>
        <v>3.4622800444890101</v>
      </c>
      <c r="L162" s="17">
        <f t="shared" si="45"/>
        <v>23.447506227693161</v>
      </c>
      <c r="M162" s="17">
        <f t="shared" si="46"/>
        <v>3.4622800444890101</v>
      </c>
      <c r="N162" s="16">
        <f t="shared" ref="N162:N225" si="47">$M162*B162/$A$6</f>
        <v>-544.72085788046797</v>
      </c>
      <c r="O162" s="16">
        <f t="shared" ref="O162:O225" si="48">$M162*C162/$A$6</f>
        <v>672.67423850192404</v>
      </c>
    </row>
    <row r="163" spans="1:15" x14ac:dyDescent="0.2">
      <c r="A163" s="6">
        <v>130</v>
      </c>
      <c r="B163" s="16">
        <f t="shared" ref="B163:B226" si="49">1000*COS(A163*PI()/180)</f>
        <v>-642.78760968653933</v>
      </c>
      <c r="C163" s="16">
        <f t="shared" ref="C163:C226" si="50">1000*SIN(A163*PI()/180)</f>
        <v>766.04444311897805</v>
      </c>
      <c r="D163" s="16">
        <v>0</v>
      </c>
      <c r="E163" s="10">
        <f t="shared" si="38"/>
        <v>-2.704953638081042E-3</v>
      </c>
      <c r="F163" s="10">
        <f t="shared" si="39"/>
        <v>4.2406203327984881E-3</v>
      </c>
      <c r="G163" s="10">
        <f t="shared" si="40"/>
        <v>0</v>
      </c>
      <c r="H163" s="10">
        <f t="shared" si="41"/>
        <v>7.6783334735872305E-4</v>
      </c>
      <c r="I163" s="10">
        <f t="shared" si="42"/>
        <v>7.6783334735872305E-4</v>
      </c>
      <c r="J163" s="10">
        <f t="shared" si="43"/>
        <v>6.9455739708795296E-3</v>
      </c>
      <c r="K163" s="17">
        <f t="shared" si="44"/>
        <v>3.4230750312704052</v>
      </c>
      <c r="L163" s="17">
        <f t="shared" si="45"/>
        <v>24.519852593783384</v>
      </c>
      <c r="M163" s="17">
        <f t="shared" si="46"/>
        <v>3.4230750312704052</v>
      </c>
      <c r="N163" s="16">
        <f t="shared" si="47"/>
        <v>-550.07755428199494</v>
      </c>
      <c r="O163" s="16">
        <f t="shared" si="48"/>
        <v>655.55690152100397</v>
      </c>
    </row>
    <row r="164" spans="1:15" x14ac:dyDescent="0.2">
      <c r="A164" s="6">
        <v>131</v>
      </c>
      <c r="B164" s="16">
        <f t="shared" si="49"/>
        <v>-656.0590289905075</v>
      </c>
      <c r="C164" s="16">
        <f t="shared" si="50"/>
        <v>754.70958022277182</v>
      </c>
      <c r="D164" s="16">
        <v>0</v>
      </c>
      <c r="E164" s="10">
        <f t="shared" si="38"/>
        <v>-2.7347591357802367E-3</v>
      </c>
      <c r="F164" s="10">
        <f t="shared" si="39"/>
        <v>4.1997259943024048E-3</v>
      </c>
      <c r="G164" s="10">
        <f t="shared" si="40"/>
        <v>0</v>
      </c>
      <c r="H164" s="10">
        <f t="shared" si="41"/>
        <v>7.3248342926108406E-4</v>
      </c>
      <c r="I164" s="10">
        <f t="shared" si="42"/>
        <v>7.3248342926108406E-4</v>
      </c>
      <c r="J164" s="10">
        <f t="shared" si="43"/>
        <v>6.9344851300826415E-3</v>
      </c>
      <c r="K164" s="17">
        <f t="shared" si="44"/>
        <v>3.3857677402428927</v>
      </c>
      <c r="L164" s="17">
        <f t="shared" si="45"/>
        <v>25.703189644603508</v>
      </c>
      <c r="M164" s="17">
        <f t="shared" si="46"/>
        <v>3.3857677402428927</v>
      </c>
      <c r="N164" s="16">
        <f t="shared" si="47"/>
        <v>-555.31587401278421</v>
      </c>
      <c r="O164" s="16">
        <f t="shared" si="48"/>
        <v>638.81783749262911</v>
      </c>
    </row>
    <row r="165" spans="1:15" x14ac:dyDescent="0.2">
      <c r="A165" s="6">
        <v>132</v>
      </c>
      <c r="B165" s="16">
        <f t="shared" si="49"/>
        <v>-669.13060635885824</v>
      </c>
      <c r="C165" s="16">
        <f t="shared" si="50"/>
        <v>743.14482547739419</v>
      </c>
      <c r="D165" s="16">
        <v>0</v>
      </c>
      <c r="E165" s="10">
        <f t="shared" si="38"/>
        <v>-2.763731599354466E-3</v>
      </c>
      <c r="F165" s="10">
        <f t="shared" si="39"/>
        <v>4.1575523785847999E-3</v>
      </c>
      <c r="G165" s="10">
        <f t="shared" si="40"/>
        <v>0</v>
      </c>
      <c r="H165" s="10">
        <f t="shared" si="41"/>
        <v>6.9691038961516697E-4</v>
      </c>
      <c r="I165" s="10">
        <f t="shared" si="42"/>
        <v>6.9691038961516697E-4</v>
      </c>
      <c r="J165" s="10">
        <f t="shared" si="43"/>
        <v>6.9212839779392663E-3</v>
      </c>
      <c r="K165" s="17">
        <f t="shared" si="44"/>
        <v>3.3502744121107764</v>
      </c>
      <c r="L165" s="17">
        <f t="shared" si="45"/>
        <v>27.015181254828896</v>
      </c>
      <c r="M165" s="17">
        <f t="shared" si="46"/>
        <v>3.3502744121107764</v>
      </c>
      <c r="N165" s="16">
        <f t="shared" si="47"/>
        <v>-560.44278721106275</v>
      </c>
      <c r="O165" s="16">
        <f t="shared" si="48"/>
        <v>622.43477332236057</v>
      </c>
    </row>
    <row r="166" spans="1:15" x14ac:dyDescent="0.2">
      <c r="A166" s="6">
        <v>133</v>
      </c>
      <c r="B166" s="16">
        <f t="shared" si="49"/>
        <v>-681.99836006249836</v>
      </c>
      <c r="C166" s="16">
        <f t="shared" si="50"/>
        <v>731.35370161917058</v>
      </c>
      <c r="D166" s="16">
        <v>0</v>
      </c>
      <c r="E166" s="10">
        <f t="shared" si="38"/>
        <v>-2.7918622035106619E-3</v>
      </c>
      <c r="F166" s="10">
        <f t="shared" si="39"/>
        <v>4.1141123321375627E-3</v>
      </c>
      <c r="G166" s="10">
        <f t="shared" si="40"/>
        <v>0</v>
      </c>
      <c r="H166" s="10">
        <f t="shared" si="41"/>
        <v>6.6112506431345044E-4</v>
      </c>
      <c r="I166" s="10">
        <f t="shared" si="42"/>
        <v>6.6112506431345044E-4</v>
      </c>
      <c r="J166" s="10">
        <f t="shared" si="43"/>
        <v>6.9059745356482242E-3</v>
      </c>
      <c r="K166" s="17">
        <f t="shared" si="44"/>
        <v>3.3165172864248413</v>
      </c>
      <c r="L166" s="17">
        <f t="shared" si="45"/>
        <v>28.47745685361112</v>
      </c>
      <c r="M166" s="17">
        <f t="shared" si="46"/>
        <v>3.3165172864248413</v>
      </c>
      <c r="N166" s="16">
        <f t="shared" si="47"/>
        <v>-565.4648376151672</v>
      </c>
      <c r="O166" s="16">
        <f t="shared" si="48"/>
        <v>606.38679847769367</v>
      </c>
    </row>
    <row r="167" spans="1:15" x14ac:dyDescent="0.2">
      <c r="A167" s="6">
        <v>134</v>
      </c>
      <c r="B167" s="16">
        <f t="shared" si="49"/>
        <v>-694.65837045899707</v>
      </c>
      <c r="C167" s="16">
        <f t="shared" si="50"/>
        <v>719.33980033865146</v>
      </c>
      <c r="D167" s="16">
        <v>0</v>
      </c>
      <c r="E167" s="10">
        <f t="shared" si="38"/>
        <v>-2.8191423793942926E-3</v>
      </c>
      <c r="F167" s="10">
        <f t="shared" si="39"/>
        <v>4.0694190872196563E-3</v>
      </c>
      <c r="G167" s="10">
        <f t="shared" si="40"/>
        <v>0</v>
      </c>
      <c r="H167" s="10">
        <f t="shared" si="41"/>
        <v>6.2513835391268184E-4</v>
      </c>
      <c r="I167" s="10">
        <f t="shared" si="42"/>
        <v>6.2513835391268184E-4</v>
      </c>
      <c r="J167" s="10">
        <f t="shared" si="43"/>
        <v>6.8885614666139485E-3</v>
      </c>
      <c r="K167" s="17">
        <f t="shared" si="44"/>
        <v>3.2844241308765181</v>
      </c>
      <c r="L167" s="17">
        <f t="shared" si="45"/>
        <v>30.116789948960491</v>
      </c>
      <c r="M167" s="17">
        <f t="shared" si="46"/>
        <v>3.2844241308765181</v>
      </c>
      <c r="N167" s="16">
        <f t="shared" si="47"/>
        <v>-570.38817866272245</v>
      </c>
      <c r="O167" s="16">
        <f t="shared" si="48"/>
        <v>590.65424963304088</v>
      </c>
    </row>
    <row r="168" spans="1:15" x14ac:dyDescent="0.2">
      <c r="A168" s="6">
        <v>135</v>
      </c>
      <c r="B168" s="16">
        <f t="shared" si="49"/>
        <v>-707.10678118654744</v>
      </c>
      <c r="C168" s="16">
        <f t="shared" si="50"/>
        <v>707.10678118654755</v>
      </c>
      <c r="D168" s="16">
        <v>0</v>
      </c>
      <c r="E168" s="10">
        <f t="shared" si="38"/>
        <v>-2.8455638171995144E-3</v>
      </c>
      <c r="F168" s="10">
        <f t="shared" si="39"/>
        <v>4.0234862578264335E-3</v>
      </c>
      <c r="G168" s="10">
        <f t="shared" si="40"/>
        <v>0</v>
      </c>
      <c r="H168" s="10">
        <f t="shared" si="41"/>
        <v>5.8896122031345957E-4</v>
      </c>
      <c r="I168" s="10">
        <f t="shared" si="42"/>
        <v>5.8896122031345957E-4</v>
      </c>
      <c r="J168" s="10">
        <f t="shared" si="43"/>
        <v>6.8690500750259479E-3</v>
      </c>
      <c r="K168" s="17">
        <f t="shared" si="44"/>
        <v>3.2539278167979506</v>
      </c>
      <c r="L168" s="17">
        <f t="shared" si="45"/>
        <v>31.966723520110349</v>
      </c>
      <c r="M168" s="17">
        <f t="shared" si="46"/>
        <v>3.2539278167979506</v>
      </c>
      <c r="N168" s="16">
        <f t="shared" si="47"/>
        <v>-575.21860618734217</v>
      </c>
      <c r="O168" s="16">
        <f t="shared" si="48"/>
        <v>575.21860618734217</v>
      </c>
    </row>
    <row r="169" spans="1:15" x14ac:dyDescent="0.2">
      <c r="A169" s="6">
        <v>136</v>
      </c>
      <c r="B169" s="16">
        <f t="shared" si="49"/>
        <v>-719.33980033865123</v>
      </c>
      <c r="C169" s="16">
        <f t="shared" si="50"/>
        <v>694.65837045899718</v>
      </c>
      <c r="D169" s="16">
        <v>0</v>
      </c>
      <c r="E169" s="10">
        <f t="shared" si="38"/>
        <v>-2.8711184687004224E-3</v>
      </c>
      <c r="F169" s="10">
        <f t="shared" si="39"/>
        <v>3.9763278355426897E-3</v>
      </c>
      <c r="G169" s="10">
        <f t="shared" si="40"/>
        <v>0</v>
      </c>
      <c r="H169" s="10">
        <f t="shared" si="41"/>
        <v>5.5260468342113365E-4</v>
      </c>
      <c r="I169" s="10">
        <f t="shared" si="42"/>
        <v>5.5260468342113365E-4</v>
      </c>
      <c r="J169" s="10">
        <f t="shared" si="43"/>
        <v>6.8474463042431117E-3</v>
      </c>
      <c r="K169" s="17">
        <f t="shared" si="44"/>
        <v>3.2249659358188563</v>
      </c>
      <c r="L169" s="17">
        <f t="shared" si="45"/>
        <v>34.069853294166165</v>
      </c>
      <c r="M169" s="17">
        <f t="shared" si="46"/>
        <v>3.2249659358188563</v>
      </c>
      <c r="N169" s="16">
        <f t="shared" si="47"/>
        <v>-579.96158809272185</v>
      </c>
      <c r="O169" s="16">
        <f t="shared" si="48"/>
        <v>560.06239544042535</v>
      </c>
    </row>
    <row r="170" spans="1:15" x14ac:dyDescent="0.2">
      <c r="A170" s="6">
        <v>137</v>
      </c>
      <c r="B170" s="16">
        <f t="shared" si="49"/>
        <v>-731.35370161917047</v>
      </c>
      <c r="C170" s="16">
        <f t="shared" si="50"/>
        <v>681.99836006249859</v>
      </c>
      <c r="D170" s="16">
        <v>0</v>
      </c>
      <c r="E170" s="10">
        <f t="shared" si="38"/>
        <v>-2.8957985497026144E-3</v>
      </c>
      <c r="F170" s="10">
        <f t="shared" si="39"/>
        <v>3.9279581852806889E-3</v>
      </c>
      <c r="G170" s="10">
        <f t="shared" si="40"/>
        <v>0</v>
      </c>
      <c r="H170" s="10">
        <f t="shared" si="41"/>
        <v>5.1607981778903724E-4</v>
      </c>
      <c r="I170" s="10">
        <f t="shared" si="42"/>
        <v>5.1607981778903724E-4</v>
      </c>
      <c r="J170" s="10">
        <f t="shared" si="43"/>
        <v>6.8237567349833037E-3</v>
      </c>
      <c r="K170" s="17">
        <f t="shared" si="44"/>
        <v>3.1974804532622421</v>
      </c>
      <c r="L170" s="17">
        <f t="shared" si="45"/>
        <v>36.481102040543881</v>
      </c>
      <c r="M170" s="17">
        <f t="shared" si="46"/>
        <v>3.1974804532622421</v>
      </c>
      <c r="N170" s="16">
        <f t="shared" si="47"/>
        <v>-584.62229133707092</v>
      </c>
      <c r="O170" s="16">
        <f t="shared" si="48"/>
        <v>545.16910636418595</v>
      </c>
    </row>
    <row r="171" spans="1:15" x14ac:dyDescent="0.2">
      <c r="A171" s="6">
        <v>138</v>
      </c>
      <c r="B171" s="16">
        <f t="shared" si="49"/>
        <v>-743.14482547739408</v>
      </c>
      <c r="C171" s="16">
        <f t="shared" si="50"/>
        <v>669.13060635885836</v>
      </c>
      <c r="D171" s="16">
        <v>0</v>
      </c>
      <c r="E171" s="10">
        <f t="shared" si="38"/>
        <v>-2.9195965424143357E-3</v>
      </c>
      <c r="F171" s="10">
        <f t="shared" si="39"/>
        <v>3.878392040904466E-3</v>
      </c>
      <c r="G171" s="10">
        <f t="shared" si="40"/>
        <v>0</v>
      </c>
      <c r="H171" s="10">
        <f t="shared" si="41"/>
        <v>4.7939774924506519E-4</v>
      </c>
      <c r="I171" s="10">
        <f t="shared" si="42"/>
        <v>4.7939774924506519E-4</v>
      </c>
      <c r="J171" s="10">
        <f t="shared" si="43"/>
        <v>6.7979885833188017E-3</v>
      </c>
      <c r="K171" s="17">
        <f t="shared" si="44"/>
        <v>3.1714173944055957</v>
      </c>
      <c r="L171" s="17">
        <f t="shared" si="45"/>
        <v>39.272525837835822</v>
      </c>
      <c r="M171" s="17">
        <f t="shared" si="46"/>
        <v>3.1714173944055957</v>
      </c>
      <c r="N171" s="16">
        <f t="shared" si="47"/>
        <v>-589.20560652037955</v>
      </c>
      <c r="O171" s="16">
        <f t="shared" si="48"/>
        <v>530.52311103391173</v>
      </c>
    </row>
    <row r="172" spans="1:15" x14ac:dyDescent="0.2">
      <c r="A172" s="6">
        <v>139</v>
      </c>
      <c r="B172" s="16">
        <f t="shared" si="49"/>
        <v>-754.70958022277205</v>
      </c>
      <c r="C172" s="16">
        <f t="shared" si="50"/>
        <v>656.05902899050727</v>
      </c>
      <c r="D172" s="16">
        <v>0</v>
      </c>
      <c r="E172" s="10">
        <f t="shared" si="38"/>
        <v>-2.9425051977364724E-3</v>
      </c>
      <c r="F172" s="10">
        <f t="shared" si="39"/>
        <v>3.8276445007417548E-3</v>
      </c>
      <c r="G172" s="10">
        <f t="shared" si="40"/>
        <v>0</v>
      </c>
      <c r="H172" s="10">
        <f t="shared" si="41"/>
        <v>4.4256965150264119E-4</v>
      </c>
      <c r="I172" s="10">
        <f t="shared" si="42"/>
        <v>4.4256965150264119E-4</v>
      </c>
      <c r="J172" s="10">
        <f t="shared" si="43"/>
        <v>6.7701496984782271E-3</v>
      </c>
      <c r="K172" s="17">
        <f t="shared" si="44"/>
        <v>3.1467265602052161</v>
      </c>
      <c r="L172" s="17">
        <f t="shared" si="45"/>
        <v>42.540559276723933</v>
      </c>
      <c r="M172" s="17">
        <f t="shared" si="46"/>
        <v>3.1467265602052161</v>
      </c>
      <c r="N172" s="16">
        <f t="shared" si="47"/>
        <v>-593.71617033208156</v>
      </c>
      <c r="O172" s="16">
        <f t="shared" si="48"/>
        <v>516.10959289671825</v>
      </c>
    </row>
    <row r="173" spans="1:15" x14ac:dyDescent="0.2">
      <c r="A173" s="6">
        <v>140</v>
      </c>
      <c r="B173" s="16">
        <f t="shared" si="49"/>
        <v>-766.04444311897794</v>
      </c>
      <c r="C173" s="16">
        <f t="shared" si="50"/>
        <v>642.78760968653944</v>
      </c>
      <c r="D173" s="16">
        <v>0</v>
      </c>
      <c r="E173" s="10">
        <f t="shared" si="38"/>
        <v>-2.9645175374706893E-3</v>
      </c>
      <c r="F173" s="10">
        <f t="shared" si="39"/>
        <v>3.775731022984894E-3</v>
      </c>
      <c r="G173" s="10">
        <f t="shared" si="40"/>
        <v>0</v>
      </c>
      <c r="H173" s="10">
        <f t="shared" si="41"/>
        <v>4.0560674275710233E-4</v>
      </c>
      <c r="I173" s="10">
        <f t="shared" si="42"/>
        <v>4.0560674275710233E-4</v>
      </c>
      <c r="J173" s="10">
        <f t="shared" si="43"/>
        <v>6.7402485604555838E-3</v>
      </c>
      <c r="K173" s="17">
        <f t="shared" si="44"/>
        <v>3.1233612694898105</v>
      </c>
      <c r="L173" s="17">
        <f t="shared" si="45"/>
        <v>46.417276906813676</v>
      </c>
      <c r="M173" s="17">
        <f t="shared" si="46"/>
        <v>3.1233612694898105</v>
      </c>
      <c r="N173" s="16">
        <f t="shared" si="47"/>
        <v>-598.1583860864265</v>
      </c>
      <c r="O173" s="16">
        <f t="shared" si="48"/>
        <v>501.91448115071768</v>
      </c>
    </row>
    <row r="174" spans="1:15" x14ac:dyDescent="0.2">
      <c r="A174" s="6">
        <v>141</v>
      </c>
      <c r="B174" s="16">
        <f t="shared" si="49"/>
        <v>-777.14596145697067</v>
      </c>
      <c r="C174" s="16">
        <f t="shared" si="50"/>
        <v>629.32039104983778</v>
      </c>
      <c r="D174" s="16">
        <v>0</v>
      </c>
      <c r="E174" s="10">
        <f t="shared" si="38"/>
        <v>-2.9856268564450667E-3</v>
      </c>
      <c r="F174" s="10">
        <f t="shared" si="39"/>
        <v>3.7226674209821049E-3</v>
      </c>
      <c r="G174" s="10">
        <f t="shared" si="40"/>
        <v>0</v>
      </c>
      <c r="H174" s="10">
        <f t="shared" si="41"/>
        <v>3.6852028226851911E-4</v>
      </c>
      <c r="I174" s="10">
        <f t="shared" si="42"/>
        <v>3.6852028226851911E-4</v>
      </c>
      <c r="J174" s="10">
        <f t="shared" si="43"/>
        <v>6.7082942774271716E-3</v>
      </c>
      <c r="K174" s="17">
        <f t="shared" si="44"/>
        <v>3.1012781249844785</v>
      </c>
      <c r="L174" s="17">
        <f t="shared" si="45"/>
        <v>51.088532706888884</v>
      </c>
      <c r="M174" s="17">
        <f t="shared" si="46"/>
        <v>3.1012781249844785</v>
      </c>
      <c r="N174" s="16">
        <f t="shared" si="47"/>
        <v>-602.53644254663345</v>
      </c>
      <c r="O174" s="16">
        <f t="shared" si="48"/>
        <v>487.92439059238495</v>
      </c>
    </row>
    <row r="175" spans="1:15" x14ac:dyDescent="0.2">
      <c r="A175" s="6">
        <v>142</v>
      </c>
      <c r="B175" s="16">
        <f t="shared" si="49"/>
        <v>-788.01075360672189</v>
      </c>
      <c r="C175" s="16">
        <f t="shared" si="50"/>
        <v>615.66147532565844</v>
      </c>
      <c r="D175" s="16">
        <v>0</v>
      </c>
      <c r="E175" s="10">
        <f t="shared" si="38"/>
        <v>-3.0058267245565546E-3</v>
      </c>
      <c r="F175" s="10">
        <f t="shared" si="39"/>
        <v>3.6684698584205939E-3</v>
      </c>
      <c r="G175" s="10">
        <f t="shared" si="40"/>
        <v>0</v>
      </c>
      <c r="H175" s="10">
        <f t="shared" si="41"/>
        <v>3.3132156693201965E-4</v>
      </c>
      <c r="I175" s="10">
        <f t="shared" si="42"/>
        <v>3.3132156693201965E-4</v>
      </c>
      <c r="J175" s="10">
        <f t="shared" si="43"/>
        <v>6.6742965829771489E-3</v>
      </c>
      <c r="K175" s="17">
        <f t="shared" si="44"/>
        <v>3.0804368008356384</v>
      </c>
      <c r="L175" s="17">
        <f t="shared" si="45"/>
        <v>56.824433942418565</v>
      </c>
      <c r="M175" s="17">
        <f t="shared" si="46"/>
        <v>3.0804368008356384</v>
      </c>
      <c r="N175" s="16">
        <f t="shared" si="47"/>
        <v>-606.85433121609276</v>
      </c>
      <c r="O175" s="16">
        <f t="shared" si="48"/>
        <v>474.12656636248016</v>
      </c>
    </row>
    <row r="176" spans="1:15" x14ac:dyDescent="0.2">
      <c r="A176" s="6">
        <v>143</v>
      </c>
      <c r="B176" s="16">
        <f t="shared" si="49"/>
        <v>-798.635510047293</v>
      </c>
      <c r="C176" s="16">
        <f t="shared" si="50"/>
        <v>601.81502315204818</v>
      </c>
      <c r="D176" s="16">
        <v>0</v>
      </c>
      <c r="E176" s="10">
        <f t="shared" si="38"/>
        <v>-3.0251109887296452E-3</v>
      </c>
      <c r="F176" s="10">
        <f t="shared" si="39"/>
        <v>3.613154844402942E-3</v>
      </c>
      <c r="G176" s="10">
        <f t="shared" si="40"/>
        <v>0</v>
      </c>
      <c r="H176" s="10">
        <f t="shared" si="41"/>
        <v>2.9402192783664844E-4</v>
      </c>
      <c r="I176" s="10">
        <f t="shared" si="42"/>
        <v>2.9402192783664844E-4</v>
      </c>
      <c r="J176" s="10">
        <f t="shared" si="43"/>
        <v>6.6382658331325872E-3</v>
      </c>
      <c r="K176" s="17">
        <f t="shared" si="44"/>
        <v>3.0607998495776054</v>
      </c>
      <c r="L176" s="17">
        <f t="shared" si="45"/>
        <v>64.033184981655793</v>
      </c>
      <c r="M176" s="17">
        <f t="shared" si="46"/>
        <v>3.0607998495776054</v>
      </c>
      <c r="N176" s="16">
        <f t="shared" si="47"/>
        <v>-611.11586225502219</v>
      </c>
      <c r="O176" s="16">
        <f t="shared" si="48"/>
        <v>460.50883308433305</v>
      </c>
    </row>
    <row r="177" spans="1:15" x14ac:dyDescent="0.2">
      <c r="A177" s="6">
        <v>144</v>
      </c>
      <c r="B177" s="16">
        <f t="shared" si="49"/>
        <v>-809.01699437494733</v>
      </c>
      <c r="C177" s="16">
        <f t="shared" si="50"/>
        <v>587.78525229247327</v>
      </c>
      <c r="D177" s="16">
        <v>0</v>
      </c>
      <c r="E177" s="10">
        <f t="shared" si="38"/>
        <v>-3.0434737747906601E-3</v>
      </c>
      <c r="F177" s="10">
        <f t="shared" si="39"/>
        <v>3.5567392284182701E-3</v>
      </c>
      <c r="G177" s="10">
        <f t="shared" si="40"/>
        <v>0</v>
      </c>
      <c r="H177" s="10">
        <f t="shared" si="41"/>
        <v>2.5663272681380501E-4</v>
      </c>
      <c r="I177" s="10">
        <f t="shared" si="42"/>
        <v>2.5663272681380501E-4</v>
      </c>
      <c r="J177" s="10">
        <f t="shared" si="43"/>
        <v>6.6002130032089303E-3</v>
      </c>
      <c r="K177" s="17">
        <f t="shared" si="44"/>
        <v>3.042332526718138</v>
      </c>
      <c r="L177" s="17">
        <f t="shared" si="45"/>
        <v>73.362274280344806</v>
      </c>
      <c r="M177" s="17">
        <f t="shared" si="46"/>
        <v>3.042332526718138</v>
      </c>
      <c r="N177" s="16">
        <f t="shared" si="47"/>
        <v>-615.32467916366181</v>
      </c>
      <c r="O177" s="16">
        <f t="shared" si="48"/>
        <v>447.05954794365459</v>
      </c>
    </row>
    <row r="178" spans="1:15" x14ac:dyDescent="0.2">
      <c r="A178" s="6">
        <v>145</v>
      </c>
      <c r="B178" s="16">
        <f t="shared" si="49"/>
        <v>-819.15204428899153</v>
      </c>
      <c r="C178" s="16">
        <f t="shared" si="50"/>
        <v>573.57643635104637</v>
      </c>
      <c r="D178" s="16">
        <v>0</v>
      </c>
      <c r="E178" s="10">
        <f t="shared" si="38"/>
        <v>-3.0609094892570811E-3</v>
      </c>
      <c r="F178" s="10">
        <f t="shared" si="39"/>
        <v>3.499240195209715E-3</v>
      </c>
      <c r="G178" s="10">
        <f t="shared" si="40"/>
        <v>0</v>
      </c>
      <c r="H178" s="10">
        <f t="shared" si="41"/>
        <v>2.1916535297631691E-4</v>
      </c>
      <c r="I178" s="10">
        <f t="shared" si="42"/>
        <v>2.1916535297631691E-4</v>
      </c>
      <c r="J178" s="10">
        <f t="shared" si="43"/>
        <v>6.5601496844667961E-3</v>
      </c>
      <c r="K178" s="17">
        <f t="shared" si="44"/>
        <v>3.0250026313279164</v>
      </c>
      <c r="L178" s="17">
        <f t="shared" si="45"/>
        <v>85.903908798310979</v>
      </c>
      <c r="M178" s="17">
        <f t="shared" si="46"/>
        <v>3.0250026313279164</v>
      </c>
      <c r="N178" s="16">
        <f t="shared" si="47"/>
        <v>-619.48427235796032</v>
      </c>
      <c r="O178" s="16">
        <f t="shared" si="48"/>
        <v>433.76755730740109</v>
      </c>
    </row>
    <row r="179" spans="1:15" x14ac:dyDescent="0.2">
      <c r="A179" s="6">
        <v>146</v>
      </c>
      <c r="B179" s="16">
        <f t="shared" si="49"/>
        <v>-829.03757255504161</v>
      </c>
      <c r="C179" s="16">
        <f t="shared" si="50"/>
        <v>559.19290347074696</v>
      </c>
      <c r="D179" s="16">
        <v>0</v>
      </c>
      <c r="E179" s="10">
        <f t="shared" si="38"/>
        <v>-3.0774128210413793E-3</v>
      </c>
      <c r="F179" s="10">
        <f t="shared" si="39"/>
        <v>3.4406752595397974E-3</v>
      </c>
      <c r="G179" s="10">
        <f t="shared" si="40"/>
        <v>0</v>
      </c>
      <c r="H179" s="10">
        <f t="shared" si="41"/>
        <v>1.8163121924920909E-4</v>
      </c>
      <c r="I179" s="10">
        <f t="shared" si="42"/>
        <v>1.8163121924920909E-4</v>
      </c>
      <c r="J179" s="10">
        <f t="shared" si="43"/>
        <v>6.5180880805811772E-3</v>
      </c>
      <c r="K179" s="17">
        <f t="shared" si="44"/>
        <v>3.0087803612015813</v>
      </c>
      <c r="L179" s="17">
        <f t="shared" si="45"/>
        <v>103.6559715430592</v>
      </c>
      <c r="M179" s="17">
        <f t="shared" si="46"/>
        <v>3.0087803612015813</v>
      </c>
      <c r="N179" s="16">
        <f t="shared" si="47"/>
        <v>-623.5979917504601</v>
      </c>
      <c r="O179" s="16">
        <f t="shared" si="48"/>
        <v>420.62215652151878</v>
      </c>
    </row>
    <row r="180" spans="1:15" x14ac:dyDescent="0.2">
      <c r="A180" s="6">
        <v>147</v>
      </c>
      <c r="B180" s="16">
        <f t="shared" si="49"/>
        <v>-838.67056794542418</v>
      </c>
      <c r="C180" s="16">
        <f t="shared" si="50"/>
        <v>544.63903501502693</v>
      </c>
      <c r="D180" s="16">
        <v>0</v>
      </c>
      <c r="E180" s="10">
        <f t="shared" si="38"/>
        <v>-3.0929787430688206E-3</v>
      </c>
      <c r="F180" s="10">
        <f t="shared" si="39"/>
        <v>3.381062260855253E-3</v>
      </c>
      <c r="G180" s="10">
        <f t="shared" si="40"/>
        <v>0</v>
      </c>
      <c r="H180" s="10">
        <f t="shared" si="41"/>
        <v>1.440417588932162E-4</v>
      </c>
      <c r="I180" s="10">
        <f t="shared" si="42"/>
        <v>1.440417588932162E-4</v>
      </c>
      <c r="J180" s="10">
        <f t="shared" si="43"/>
        <v>6.4740410039240736E-3</v>
      </c>
      <c r="K180" s="17">
        <f t="shared" si="44"/>
        <v>2.9936381813191253</v>
      </c>
      <c r="L180" s="17">
        <f t="shared" si="45"/>
        <v>130.70626628340796</v>
      </c>
      <c r="M180" s="17">
        <f t="shared" si="46"/>
        <v>2.9936381813191253</v>
      </c>
      <c r="N180" s="16">
        <f t="shared" si="47"/>
        <v>-627.66905843750442</v>
      </c>
      <c r="O180" s="16">
        <f t="shared" si="48"/>
        <v>407.61305256444717</v>
      </c>
    </row>
    <row r="181" spans="1:15" x14ac:dyDescent="0.2">
      <c r="A181" s="6">
        <v>148</v>
      </c>
      <c r="B181" s="16">
        <f t="shared" si="49"/>
        <v>-848.04809615642591</v>
      </c>
      <c r="C181" s="16">
        <f t="shared" si="50"/>
        <v>529.9192642332049</v>
      </c>
      <c r="D181" s="16">
        <v>0</v>
      </c>
      <c r="E181" s="10">
        <f t="shared" si="38"/>
        <v>-3.1076025138087647E-3</v>
      </c>
      <c r="F181" s="10">
        <f t="shared" si="39"/>
        <v>3.3204193578529688E-3</v>
      </c>
      <c r="G181" s="10">
        <f t="shared" si="40"/>
        <v>0</v>
      </c>
      <c r="H181" s="10">
        <f t="shared" si="41"/>
        <v>1.0640842202210205E-4</v>
      </c>
      <c r="I181" s="10">
        <f t="shared" si="42"/>
        <v>1.0640842202210205E-4</v>
      </c>
      <c r="J181" s="10">
        <f t="shared" si="43"/>
        <v>6.4280218716617332E-3</v>
      </c>
      <c r="K181" s="17">
        <f t="shared" si="44"/>
        <v>2.9795507044788851</v>
      </c>
      <c r="L181" s="17">
        <f t="shared" si="45"/>
        <v>176.93299210767904</v>
      </c>
      <c r="M181" s="17">
        <f t="shared" si="46"/>
        <v>2.9795507044788851</v>
      </c>
      <c r="N181" s="16">
        <f t="shared" si="47"/>
        <v>-631.700575583714</v>
      </c>
      <c r="O181" s="16">
        <f t="shared" si="48"/>
        <v>394.73032926574456</v>
      </c>
    </row>
    <row r="182" spans="1:15" x14ac:dyDescent="0.2">
      <c r="A182" s="6">
        <v>149</v>
      </c>
      <c r="B182" s="16">
        <f t="shared" si="49"/>
        <v>-857.16730070211224</v>
      </c>
      <c r="C182" s="16">
        <f t="shared" si="50"/>
        <v>515.03807491005443</v>
      </c>
      <c r="D182" s="16">
        <v>0</v>
      </c>
      <c r="E182" s="10">
        <f t="shared" si="38"/>
        <v>-3.1212796787189823E-3</v>
      </c>
      <c r="F182" s="10">
        <f t="shared" si="39"/>
        <v>3.258765022948658E-3</v>
      </c>
      <c r="G182" s="10">
        <f t="shared" si="40"/>
        <v>0</v>
      </c>
      <c r="H182" s="10">
        <f t="shared" si="41"/>
        <v>6.8742672114837852E-5</v>
      </c>
      <c r="I182" s="10">
        <f t="shared" si="42"/>
        <v>6.8742672114837852E-5</v>
      </c>
      <c r="J182" s="10">
        <f t="shared" si="43"/>
        <v>6.3800447016676403E-3</v>
      </c>
      <c r="K182" s="17">
        <f t="shared" si="44"/>
        <v>2.9664945830997724</v>
      </c>
      <c r="L182" s="17">
        <f t="shared" si="45"/>
        <v>273.87879921768985</v>
      </c>
      <c r="M182" s="17">
        <f t="shared" si="46"/>
        <v>2.9664945830997724</v>
      </c>
      <c r="N182" s="16">
        <f t="shared" si="47"/>
        <v>-635.69553858576739</v>
      </c>
      <c r="O182" s="16">
        <f t="shared" si="48"/>
        <v>381.9644148277028</v>
      </c>
    </row>
    <row r="183" spans="1:15" x14ac:dyDescent="0.2">
      <c r="A183" s="6">
        <v>150</v>
      </c>
      <c r="B183" s="16">
        <f t="shared" si="49"/>
        <v>-866.02540378443871</v>
      </c>
      <c r="C183" s="16">
        <f t="shared" si="50"/>
        <v>499.99999999999994</v>
      </c>
      <c r="D183" s="16">
        <v>0</v>
      </c>
      <c r="E183" s="10">
        <f t="shared" si="38"/>
        <v>-3.1340060716025459E-3</v>
      </c>
      <c r="F183" s="10">
        <f t="shared" si="39"/>
        <v>3.1961180366499899E-3</v>
      </c>
      <c r="G183" s="10">
        <f t="shared" si="40"/>
        <v>0</v>
      </c>
      <c r="H183" s="10">
        <f t="shared" si="41"/>
        <v>3.1055982523721989E-5</v>
      </c>
      <c r="I183" s="10">
        <f t="shared" si="42"/>
        <v>3.1055982523721989E-5</v>
      </c>
      <c r="J183" s="10">
        <f t="shared" si="43"/>
        <v>6.3301241082525357E-3</v>
      </c>
      <c r="K183" s="17">
        <f t="shared" si="44"/>
        <v>2.9544484113027325</v>
      </c>
      <c r="L183" s="17">
        <f t="shared" si="45"/>
        <v>606.23296910494173</v>
      </c>
      <c r="M183" s="17">
        <f t="shared" si="46"/>
        <v>2.9544484113027325</v>
      </c>
      <c r="N183" s="16">
        <f t="shared" si="47"/>
        <v>-639.65684458968565</v>
      </c>
      <c r="O183" s="16">
        <f t="shared" si="48"/>
        <v>369.3060514128415</v>
      </c>
    </row>
    <row r="184" spans="1:15" x14ac:dyDescent="0.2">
      <c r="A184" s="6">
        <v>151</v>
      </c>
      <c r="B184" s="16">
        <f t="shared" si="49"/>
        <v>-874.6197071393957</v>
      </c>
      <c r="C184" s="16">
        <f t="shared" si="50"/>
        <v>484.80962024633715</v>
      </c>
      <c r="D184" s="16">
        <v>0</v>
      </c>
      <c r="E184" s="10">
        <f t="shared" si="38"/>
        <v>-3.145777815876901E-3</v>
      </c>
      <c r="F184" s="10">
        <f t="shared" si="39"/>
        <v>3.1324974818358691E-3</v>
      </c>
      <c r="G184" s="10">
        <f t="shared" si="40"/>
        <v>0</v>
      </c>
      <c r="H184" s="10">
        <f t="shared" si="41"/>
        <v>-6.6401670205159385E-6</v>
      </c>
      <c r="I184" s="10">
        <f t="shared" si="42"/>
        <v>-6.6401670205159385E-6</v>
      </c>
      <c r="J184" s="10">
        <f t="shared" si="43"/>
        <v>6.2782752977127701E-3</v>
      </c>
      <c r="K184" s="17">
        <f t="shared" si="44"/>
        <v>2.9433926364816059</v>
      </c>
      <c r="L184" s="17">
        <f t="shared" si="45"/>
        <v>1000</v>
      </c>
      <c r="M184" s="17">
        <f t="shared" si="46"/>
        <v>2.9433926364816059</v>
      </c>
      <c r="N184" s="16">
        <f t="shared" si="47"/>
        <v>-643.58730142894899</v>
      </c>
      <c r="O184" s="16">
        <f t="shared" si="48"/>
        <v>356.7462665821281</v>
      </c>
    </row>
    <row r="185" spans="1:15" x14ac:dyDescent="0.2">
      <c r="A185" s="6">
        <v>152</v>
      </c>
      <c r="B185" s="16">
        <f t="shared" si="49"/>
        <v>-882.94759285892678</v>
      </c>
      <c r="C185" s="16">
        <f t="shared" si="50"/>
        <v>469.47156278589108</v>
      </c>
      <c r="D185" s="16">
        <v>0</v>
      </c>
      <c r="E185" s="10">
        <f t="shared" si="38"/>
        <v>-3.156591325754706E-3</v>
      </c>
      <c r="F185" s="10">
        <f t="shared" si="39"/>
        <v>3.0679227379435967E-3</v>
      </c>
      <c r="G185" s="10">
        <f t="shared" si="40"/>
        <v>0</v>
      </c>
      <c r="H185" s="10">
        <f t="shared" si="41"/>
        <v>-4.4334293905554665E-5</v>
      </c>
      <c r="I185" s="10">
        <f t="shared" si="42"/>
        <v>-4.4334293905554665E-5</v>
      </c>
      <c r="J185" s="10">
        <f t="shared" si="43"/>
        <v>6.2245140636983023E-3</v>
      </c>
      <c r="K185" s="17">
        <f t="shared" si="44"/>
        <v>2.9333094796633112</v>
      </c>
      <c r="L185" s="17">
        <f t="shared" si="45"/>
        <v>208.85094683100755</v>
      </c>
      <c r="M185" s="17">
        <f t="shared" si="46"/>
        <v>2.9333094796633112</v>
      </c>
      <c r="N185" s="16">
        <f t="shared" si="47"/>
        <v>-647.48963604474795</v>
      </c>
      <c r="O185" s="16">
        <f t="shared" si="48"/>
        <v>344.27634638805091</v>
      </c>
    </row>
    <row r="186" spans="1:15" x14ac:dyDescent="0.2">
      <c r="A186" s="6">
        <v>153</v>
      </c>
      <c r="B186" s="16">
        <f t="shared" si="49"/>
        <v>-891.00652418836773</v>
      </c>
      <c r="C186" s="16">
        <f t="shared" si="50"/>
        <v>453.99049973954686</v>
      </c>
      <c r="D186" s="16">
        <v>0</v>
      </c>
      <c r="E186" s="10">
        <f t="shared" si="38"/>
        <v>-3.166443307336099E-3</v>
      </c>
      <c r="F186" s="10">
        <f t="shared" si="39"/>
        <v>3.0024134750657092E-3</v>
      </c>
      <c r="G186" s="10">
        <f t="shared" si="40"/>
        <v>0</v>
      </c>
      <c r="H186" s="10">
        <f t="shared" si="41"/>
        <v>-8.2014916135194878E-5</v>
      </c>
      <c r="I186" s="10">
        <f t="shared" si="42"/>
        <v>-8.2014916135194878E-5</v>
      </c>
      <c r="J186" s="10">
        <f t="shared" si="43"/>
        <v>6.1688567824018086E-3</v>
      </c>
      <c r="K186" s="17">
        <f t="shared" si="44"/>
        <v>2.9241828640377561</v>
      </c>
      <c r="L186" s="17">
        <f t="shared" si="45"/>
        <v>112.89725937165049</v>
      </c>
      <c r="M186" s="17">
        <f t="shared" si="46"/>
        <v>2.9241828640377561</v>
      </c>
      <c r="N186" s="16">
        <f t="shared" si="47"/>
        <v>-651.3665024443668</v>
      </c>
      <c r="O186" s="16">
        <f t="shared" si="48"/>
        <v>331.88780994358007</v>
      </c>
    </row>
    <row r="187" spans="1:15" x14ac:dyDescent="0.2">
      <c r="A187" s="6">
        <v>154</v>
      </c>
      <c r="B187" s="16">
        <f t="shared" si="49"/>
        <v>-898.79404629916701</v>
      </c>
      <c r="C187" s="16">
        <f t="shared" si="50"/>
        <v>438.37114678907727</v>
      </c>
      <c r="D187" s="16">
        <v>0</v>
      </c>
      <c r="E187" s="10">
        <f t="shared" si="38"/>
        <v>-3.1753307596120535E-3</v>
      </c>
      <c r="F187" s="10">
        <f t="shared" si="39"/>
        <v>2.9359896479582855E-3</v>
      </c>
      <c r="G187" s="10">
        <f t="shared" si="40"/>
        <v>0</v>
      </c>
      <c r="H187" s="10">
        <f t="shared" si="41"/>
        <v>-1.1967055582688397E-4</v>
      </c>
      <c r="I187" s="10">
        <f t="shared" si="42"/>
        <v>-1.1967055582688397E-4</v>
      </c>
      <c r="J187" s="10">
        <f t="shared" si="43"/>
        <v>6.1113204075703385E-3</v>
      </c>
      <c r="K187" s="17">
        <f t="shared" si="44"/>
        <v>2.9159983511105185</v>
      </c>
      <c r="L187" s="17">
        <f t="shared" si="45"/>
        <v>77.372910949404712</v>
      </c>
      <c r="M187" s="17">
        <f t="shared" si="46"/>
        <v>2.9159983511105185</v>
      </c>
      <c r="N187" s="16">
        <f t="shared" si="47"/>
        <v>-655.22048924908052</v>
      </c>
      <c r="O187" s="16">
        <f t="shared" si="48"/>
        <v>319.57238530284411</v>
      </c>
    </row>
    <row r="188" spans="1:15" x14ac:dyDescent="0.2">
      <c r="A188" s="6">
        <v>155</v>
      </c>
      <c r="B188" s="16">
        <f t="shared" si="49"/>
        <v>-906.30778703664998</v>
      </c>
      <c r="C188" s="16">
        <f t="shared" si="50"/>
        <v>422.6182617406995</v>
      </c>
      <c r="D188" s="16">
        <v>0</v>
      </c>
      <c r="E188" s="10">
        <f t="shared" si="38"/>
        <v>-3.1832509753785096E-3</v>
      </c>
      <c r="F188" s="10">
        <f t="shared" si="39"/>
        <v>2.8686714899625247E-3</v>
      </c>
      <c r="G188" s="10">
        <f t="shared" si="40"/>
        <v>0</v>
      </c>
      <c r="H188" s="10">
        <f t="shared" si="41"/>
        <v>-1.5728974270799246E-4</v>
      </c>
      <c r="I188" s="10">
        <f t="shared" si="42"/>
        <v>-1.5728974270799246E-4</v>
      </c>
      <c r="J188" s="10">
        <f t="shared" si="43"/>
        <v>6.0519224653410343E-3</v>
      </c>
      <c r="K188" s="17">
        <f t="shared" si="44"/>
        <v>2.9087430839970989</v>
      </c>
      <c r="L188" s="17">
        <f t="shared" si="45"/>
        <v>58.867533889028117</v>
      </c>
      <c r="M188" s="17">
        <f t="shared" si="46"/>
        <v>2.9087430839970989</v>
      </c>
      <c r="N188" s="16">
        <f t="shared" si="47"/>
        <v>-659.05412687889282</v>
      </c>
      <c r="O188" s="16">
        <f t="shared" si="48"/>
        <v>307.32198650228383</v>
      </c>
    </row>
    <row r="189" spans="1:15" x14ac:dyDescent="0.2">
      <c r="A189" s="6">
        <v>156</v>
      </c>
      <c r="B189" s="16">
        <f t="shared" si="49"/>
        <v>-913.54545764260081</v>
      </c>
      <c r="C189" s="16">
        <f t="shared" si="50"/>
        <v>406.73664307580043</v>
      </c>
      <c r="D189" s="16">
        <v>0</v>
      </c>
      <c r="E189" s="10">
        <f t="shared" si="38"/>
        <v>-3.1902015420610203E-3</v>
      </c>
      <c r="F189" s="10">
        <f t="shared" si="39"/>
        <v>2.8004795068414766E-3</v>
      </c>
      <c r="G189" s="10">
        <f t="shared" si="40"/>
        <v>0</v>
      </c>
      <c r="H189" s="10">
        <f t="shared" si="41"/>
        <v>-1.9486101760977188E-4</v>
      </c>
      <c r="I189" s="10">
        <f t="shared" si="42"/>
        <v>-1.9486101760977188E-4</v>
      </c>
      <c r="J189" s="10">
        <f t="shared" si="43"/>
        <v>5.9906810489024969E-3</v>
      </c>
      <c r="K189" s="17">
        <f t="shared" si="44"/>
        <v>2.9024057374373098</v>
      </c>
      <c r="L189" s="17">
        <f t="shared" si="45"/>
        <v>47.517247794537461</v>
      </c>
      <c r="M189" s="17">
        <f t="shared" si="46"/>
        <v>2.9024057374373098</v>
      </c>
      <c r="N189" s="16">
        <f t="shared" si="47"/>
        <v>-662.86989441791934</v>
      </c>
      <c r="O189" s="16">
        <f t="shared" si="48"/>
        <v>295.12869162229862</v>
      </c>
    </row>
    <row r="190" spans="1:15" x14ac:dyDescent="0.2">
      <c r="A190" s="6">
        <v>157</v>
      </c>
      <c r="B190" s="16">
        <f t="shared" si="49"/>
        <v>-920.5048534524401</v>
      </c>
      <c r="C190" s="16">
        <f t="shared" si="50"/>
        <v>390.73112848927417</v>
      </c>
      <c r="D190" s="16">
        <v>0</v>
      </c>
      <c r="E190" s="10">
        <f t="shared" si="38"/>
        <v>-3.1961803424496431E-3</v>
      </c>
      <c r="F190" s="10">
        <f t="shared" si="39"/>
        <v>2.7314344705337899E-3</v>
      </c>
      <c r="G190" s="10">
        <f t="shared" si="40"/>
        <v>0</v>
      </c>
      <c r="H190" s="10">
        <f t="shared" si="41"/>
        <v>-2.3237293595792662E-4</v>
      </c>
      <c r="I190" s="10">
        <f t="shared" si="42"/>
        <v>-2.3237293595792662E-4</v>
      </c>
      <c r="J190" s="10">
        <f t="shared" si="43"/>
        <v>5.9276148129834335E-3</v>
      </c>
      <c r="K190" s="17">
        <f t="shared" si="44"/>
        <v>2.8969764741631256</v>
      </c>
      <c r="L190" s="17">
        <f t="shared" si="45"/>
        <v>39.846547624357328</v>
      </c>
      <c r="M190" s="17">
        <f t="shared" si="46"/>
        <v>2.8969764741631256</v>
      </c>
      <c r="N190" s="16">
        <f t="shared" si="47"/>
        <v>-666.6702262011737</v>
      </c>
      <c r="O190" s="16">
        <f t="shared" si="48"/>
        <v>282.98472173915917</v>
      </c>
    </row>
    <row r="191" spans="1:15" x14ac:dyDescent="0.2">
      <c r="A191" s="6">
        <v>158</v>
      </c>
      <c r="B191" s="16">
        <f t="shared" si="49"/>
        <v>-927.18385456678732</v>
      </c>
      <c r="C191" s="16">
        <f t="shared" si="50"/>
        <v>374.60659341591224</v>
      </c>
      <c r="D191" s="16">
        <v>0</v>
      </c>
      <c r="E191" s="10">
        <f t="shared" si="38"/>
        <v>-3.2011855553438625E-3</v>
      </c>
      <c r="F191" s="10">
        <f t="shared" si="39"/>
        <v>2.6615574128263778E-3</v>
      </c>
      <c r="G191" s="10">
        <f t="shared" si="40"/>
        <v>0</v>
      </c>
      <c r="H191" s="10">
        <f t="shared" si="41"/>
        <v>-2.6981407125874234E-4</v>
      </c>
      <c r="I191" s="10">
        <f t="shared" si="42"/>
        <v>-2.6981407125874234E-4</v>
      </c>
      <c r="J191" s="10">
        <f t="shared" si="43"/>
        <v>5.8627429681702408E-3</v>
      </c>
      <c r="K191" s="17">
        <f t="shared" si="44"/>
        <v>2.8924469073035834</v>
      </c>
      <c r="L191" s="17">
        <f t="shared" si="45"/>
        <v>34.317184482124176</v>
      </c>
      <c r="M191" s="17">
        <f t="shared" si="46"/>
        <v>2.8924469073035834</v>
      </c>
      <c r="N191" s="16">
        <f t="shared" si="47"/>
        <v>-670.45751816087989</v>
      </c>
      <c r="O191" s="16">
        <f t="shared" si="48"/>
        <v>270.8824206453466</v>
      </c>
    </row>
    <row r="192" spans="1:15" x14ac:dyDescent="0.2">
      <c r="A192" s="6">
        <v>159</v>
      </c>
      <c r="B192" s="16">
        <f t="shared" si="49"/>
        <v>-933.58042649720176</v>
      </c>
      <c r="C192" s="16">
        <f t="shared" si="50"/>
        <v>358.36794954530023</v>
      </c>
      <c r="D192" s="16">
        <v>0</v>
      </c>
      <c r="E192" s="10">
        <f t="shared" si="38"/>
        <v>-3.2052156561073425E-3</v>
      </c>
      <c r="F192" s="10">
        <f t="shared" si="39"/>
        <v>2.5908696189479328E-3</v>
      </c>
      <c r="G192" s="10">
        <f t="shared" si="40"/>
        <v>0</v>
      </c>
      <c r="H192" s="10">
        <f t="shared" si="41"/>
        <v>-3.0717301857970483E-4</v>
      </c>
      <c r="I192" s="10">
        <f t="shared" si="42"/>
        <v>-3.0717301857970483E-4</v>
      </c>
      <c r="J192" s="10">
        <f t="shared" si="43"/>
        <v>5.7960852750552749E-3</v>
      </c>
      <c r="K192" s="17">
        <f t="shared" si="44"/>
        <v>2.8888100685569493</v>
      </c>
      <c r="L192" s="17">
        <f t="shared" si="45"/>
        <v>30.143465406147573</v>
      </c>
      <c r="M192" s="17">
        <f t="shared" si="46"/>
        <v>2.8888100685569493</v>
      </c>
      <c r="N192" s="16">
        <f t="shared" si="47"/>
        <v>-674.23413396820183</v>
      </c>
      <c r="O192" s="16">
        <f t="shared" si="48"/>
        <v>258.81423522364304</v>
      </c>
    </row>
    <row r="193" spans="1:15" x14ac:dyDescent="0.2">
      <c r="A193" s="6">
        <v>160</v>
      </c>
      <c r="B193" s="16">
        <f t="shared" si="49"/>
        <v>-939.69262078590828</v>
      </c>
      <c r="C193" s="16">
        <f t="shared" si="50"/>
        <v>342.02014332566887</v>
      </c>
      <c r="D193" s="16">
        <v>0</v>
      </c>
      <c r="E193" s="10">
        <f t="shared" si="38"/>
        <v>-3.2082694171323514E-3</v>
      </c>
      <c r="F193" s="10">
        <f t="shared" si="39"/>
        <v>2.5193926210852402E-3</v>
      </c>
      <c r="G193" s="10">
        <f t="shared" si="40"/>
        <v>0</v>
      </c>
      <c r="H193" s="10">
        <f t="shared" si="41"/>
        <v>-3.444383980235556E-4</v>
      </c>
      <c r="I193" s="10">
        <f t="shared" si="42"/>
        <v>-3.444383980235556E-4</v>
      </c>
      <c r="J193" s="10">
        <f t="shared" si="43"/>
        <v>5.727662038217592E-3</v>
      </c>
      <c r="K193" s="17">
        <f t="shared" si="44"/>
        <v>2.8860603819037949</v>
      </c>
      <c r="L193" s="17">
        <f t="shared" si="45"/>
        <v>26.882192323476179</v>
      </c>
      <c r="M193" s="17">
        <f t="shared" si="46"/>
        <v>2.8860603819037949</v>
      </c>
      <c r="N193" s="16">
        <f t="shared" si="47"/>
        <v>-678.00241100438905</v>
      </c>
      <c r="O193" s="16">
        <f t="shared" si="48"/>
        <v>246.77269636631763</v>
      </c>
    </row>
    <row r="194" spans="1:15" x14ac:dyDescent="0.2">
      <c r="A194" s="6">
        <v>161</v>
      </c>
      <c r="B194" s="16">
        <f t="shared" si="49"/>
        <v>-945.5185755993167</v>
      </c>
      <c r="C194" s="16">
        <f t="shared" si="50"/>
        <v>325.56815445715705</v>
      </c>
      <c r="D194" s="16">
        <v>0</v>
      </c>
      <c r="E194" s="10">
        <f t="shared" si="38"/>
        <v>-3.2103459082136977E-3</v>
      </c>
      <c r="F194" s="10">
        <f t="shared" si="39"/>
        <v>2.447148191824261E-3</v>
      </c>
      <c r="G194" s="10">
        <f t="shared" si="40"/>
        <v>0</v>
      </c>
      <c r="H194" s="10">
        <f t="shared" si="41"/>
        <v>-3.8159885819471833E-4</v>
      </c>
      <c r="I194" s="10">
        <f t="shared" si="42"/>
        <v>-3.8159885819471833E-4</v>
      </c>
      <c r="J194" s="10">
        <f t="shared" si="43"/>
        <v>5.6574941000379587E-3</v>
      </c>
      <c r="K194" s="17">
        <f t="shared" si="44"/>
        <v>2.8841936426755024</v>
      </c>
      <c r="L194" s="17">
        <f t="shared" si="45"/>
        <v>24.264378837670787</v>
      </c>
      <c r="M194" s="17">
        <f t="shared" si="46"/>
        <v>2.8841936426755024</v>
      </c>
      <c r="N194" s="16">
        <f t="shared" si="47"/>
        <v>-681.76466619378641</v>
      </c>
      <c r="O194" s="16">
        <f t="shared" si="48"/>
        <v>234.75040033573211</v>
      </c>
    </row>
    <row r="195" spans="1:15" x14ac:dyDescent="0.2">
      <c r="A195" s="6">
        <v>162</v>
      </c>
      <c r="B195" s="16">
        <f t="shared" si="49"/>
        <v>-951.05651629515353</v>
      </c>
      <c r="C195" s="16">
        <f t="shared" si="50"/>
        <v>309.0169943749475</v>
      </c>
      <c r="D195" s="16">
        <v>0</v>
      </c>
      <c r="E195" s="10">
        <f t="shared" si="38"/>
        <v>-3.2114444968320832E-3</v>
      </c>
      <c r="F195" s="10">
        <f t="shared" si="39"/>
        <v>2.3741583375179931E-3</v>
      </c>
      <c r="G195" s="10">
        <f t="shared" si="40"/>
        <v>0</v>
      </c>
      <c r="H195" s="10">
        <f t="shared" si="41"/>
        <v>-4.1864307965704508E-4</v>
      </c>
      <c r="I195" s="10">
        <f t="shared" si="42"/>
        <v>-4.1864307965704508E-4</v>
      </c>
      <c r="J195" s="10">
        <f t="shared" si="43"/>
        <v>5.5856028343500763E-3</v>
      </c>
      <c r="K195" s="17">
        <f t="shared" si="44"/>
        <v>2.8832070018314244</v>
      </c>
      <c r="L195" s="17">
        <f t="shared" si="45"/>
        <v>22.117311163591907</v>
      </c>
      <c r="M195" s="17">
        <f t="shared" si="46"/>
        <v>2.8832070018314244</v>
      </c>
      <c r="N195" s="16">
        <f t="shared" si="47"/>
        <v>-685.52320172989721</v>
      </c>
      <c r="O195" s="16">
        <f t="shared" si="48"/>
        <v>222.73999046668763</v>
      </c>
    </row>
    <row r="196" spans="1:15" x14ac:dyDescent="0.2">
      <c r="A196" s="6">
        <v>163</v>
      </c>
      <c r="B196" s="16">
        <f t="shared" si="49"/>
        <v>-956.3047559630354</v>
      </c>
      <c r="C196" s="16">
        <f t="shared" si="50"/>
        <v>292.37170472273704</v>
      </c>
      <c r="D196" s="16">
        <v>0</v>
      </c>
      <c r="E196" s="10">
        <f t="shared" si="38"/>
        <v>-3.2115648483467723E-3</v>
      </c>
      <c r="F196" s="10">
        <f t="shared" si="39"/>
        <v>2.3004452915831317E-3</v>
      </c>
      <c r="G196" s="10">
        <f t="shared" si="40"/>
        <v>0</v>
      </c>
      <c r="H196" s="10">
        <f t="shared" si="41"/>
        <v>-4.5555977838182028E-4</v>
      </c>
      <c r="I196" s="10">
        <f t="shared" si="42"/>
        <v>-4.5555977838182028E-4</v>
      </c>
      <c r="J196" s="10">
        <f t="shared" si="43"/>
        <v>5.5120101399299039E-3</v>
      </c>
      <c r="K196" s="17">
        <f t="shared" si="44"/>
        <v>2.8830989553350226</v>
      </c>
      <c r="L196" s="17">
        <f t="shared" si="45"/>
        <v>20.325014846896241</v>
      </c>
      <c r="M196" s="17">
        <f t="shared" si="46"/>
        <v>2.8830989553350226</v>
      </c>
      <c r="N196" s="16">
        <f t="shared" si="47"/>
        <v>-689.28031072473527</v>
      </c>
      <c r="O196" s="16">
        <f t="shared" si="48"/>
        <v>210.73413911391071</v>
      </c>
    </row>
    <row r="197" spans="1:15" x14ac:dyDescent="0.2">
      <c r="A197" s="6">
        <v>164</v>
      </c>
      <c r="B197" s="16">
        <f t="shared" si="49"/>
        <v>-961.26169593831867</v>
      </c>
      <c r="C197" s="16">
        <f t="shared" si="50"/>
        <v>275.63735581699967</v>
      </c>
      <c r="D197" s="16">
        <v>0</v>
      </c>
      <c r="E197" s="10">
        <f t="shared" si="38"/>
        <v>-3.210706926097527E-3</v>
      </c>
      <c r="F197" s="10">
        <f t="shared" si="39"/>
        <v>2.2260315077275395E-3</v>
      </c>
      <c r="G197" s="10">
        <f t="shared" si="40"/>
        <v>0</v>
      </c>
      <c r="H197" s="10">
        <f t="shared" si="41"/>
        <v>-4.9233770918499374E-4</v>
      </c>
      <c r="I197" s="10">
        <f t="shared" si="42"/>
        <v>-4.9233770918499374E-4</v>
      </c>
      <c r="J197" s="10">
        <f t="shared" si="43"/>
        <v>5.4367384338250661E-3</v>
      </c>
      <c r="K197" s="17">
        <f t="shared" si="44"/>
        <v>2.8838693385551326</v>
      </c>
      <c r="L197" s="17">
        <f t="shared" si="45"/>
        <v>18.806723690913003</v>
      </c>
      <c r="M197" s="17">
        <f t="shared" si="46"/>
        <v>2.8838693385551326</v>
      </c>
      <c r="N197" s="16">
        <f t="shared" si="47"/>
        <v>-693.03828281100607</v>
      </c>
      <c r="O197" s="16">
        <f t="shared" si="48"/>
        <v>198.72552975026414</v>
      </c>
    </row>
    <row r="198" spans="1:15" x14ac:dyDescent="0.2">
      <c r="A198" s="6">
        <v>165</v>
      </c>
      <c r="B198" s="16">
        <f t="shared" si="49"/>
        <v>-965.92582628906825</v>
      </c>
      <c r="C198" s="16">
        <f t="shared" si="50"/>
        <v>258.81904510252105</v>
      </c>
      <c r="D198" s="16">
        <v>0</v>
      </c>
      <c r="E198" s="10">
        <f t="shared" si="38"/>
        <v>-3.2088709914157771E-3</v>
      </c>
      <c r="F198" s="10">
        <f t="shared" si="39"/>
        <v>2.1509396531106404E-3</v>
      </c>
      <c r="G198" s="10">
        <f t="shared" si="40"/>
        <v>0</v>
      </c>
      <c r="H198" s="10">
        <f t="shared" si="41"/>
        <v>-5.2896566915256837E-4</v>
      </c>
      <c r="I198" s="10">
        <f t="shared" si="42"/>
        <v>-5.2896566915256837E-4</v>
      </c>
      <c r="J198" s="10">
        <f t="shared" si="43"/>
        <v>5.3598106445264179E-3</v>
      </c>
      <c r="K198" s="17">
        <f t="shared" si="44"/>
        <v>2.8855193256535396</v>
      </c>
      <c r="L198" s="17">
        <f t="shared" si="45"/>
        <v>17.504461629982703</v>
      </c>
      <c r="M198" s="17">
        <f t="shared" si="46"/>
        <v>2.8855193256535396</v>
      </c>
      <c r="N198" s="16">
        <f t="shared" si="47"/>
        <v>-696.79940972624263</v>
      </c>
      <c r="O198" s="16">
        <f t="shared" si="48"/>
        <v>186.7068391226299</v>
      </c>
    </row>
    <row r="199" spans="1:15" x14ac:dyDescent="0.2">
      <c r="A199" s="6">
        <v>166</v>
      </c>
      <c r="B199" s="16">
        <f t="shared" si="49"/>
        <v>-970.29572627599646</v>
      </c>
      <c r="C199" s="16">
        <f t="shared" si="50"/>
        <v>241.92189559966772</v>
      </c>
      <c r="D199" s="16">
        <v>0</v>
      </c>
      <c r="E199" s="10">
        <f t="shared" si="38"/>
        <v>-3.20605760354501E-3</v>
      </c>
      <c r="F199" s="10">
        <f t="shared" si="39"/>
        <v>2.0751926014387833E-3</v>
      </c>
      <c r="G199" s="10">
        <f t="shared" si="40"/>
        <v>0</v>
      </c>
      <c r="H199" s="10">
        <f t="shared" si="41"/>
        <v>-5.6543250105311332E-4</v>
      </c>
      <c r="I199" s="10">
        <f t="shared" si="42"/>
        <v>-5.6543250105311332E-4</v>
      </c>
      <c r="J199" s="10">
        <f t="shared" si="43"/>
        <v>5.2812502049837933E-3</v>
      </c>
      <c r="K199" s="17">
        <f t="shared" si="44"/>
        <v>2.8880514339546139</v>
      </c>
      <c r="L199" s="17">
        <f t="shared" si="45"/>
        <v>16.375534200835581</v>
      </c>
      <c r="M199" s="17">
        <f t="shared" si="46"/>
        <v>2.8880514339546139</v>
      </c>
      <c r="N199" s="16">
        <f t="shared" si="47"/>
        <v>-700.5659909078563</v>
      </c>
      <c r="O199" s="16">
        <f t="shared" si="48"/>
        <v>174.6707193729097</v>
      </c>
    </row>
    <row r="200" spans="1:15" x14ac:dyDescent="0.2">
      <c r="A200" s="6">
        <v>167</v>
      </c>
      <c r="B200" s="16">
        <f t="shared" si="49"/>
        <v>-974.37006478523529</v>
      </c>
      <c r="C200" s="16">
        <f t="shared" si="50"/>
        <v>224.95105434386477</v>
      </c>
      <c r="D200" s="16">
        <v>0</v>
      </c>
      <c r="E200" s="10">
        <f t="shared" si="38"/>
        <v>-3.2022676194704254E-3</v>
      </c>
      <c r="F200" s="10">
        <f t="shared" si="39"/>
        <v>1.9988134259976858E-3</v>
      </c>
      <c r="G200" s="10">
        <f t="shared" si="40"/>
        <v>0</v>
      </c>
      <c r="H200" s="10">
        <f t="shared" si="41"/>
        <v>-6.0172709673636982E-4</v>
      </c>
      <c r="I200" s="10">
        <f t="shared" si="42"/>
        <v>-6.0172709673636982E-4</v>
      </c>
      <c r="J200" s="10">
        <f t="shared" si="43"/>
        <v>5.2010810454681117E-3</v>
      </c>
      <c r="K200" s="17">
        <f t="shared" si="44"/>
        <v>2.8914695333272951</v>
      </c>
      <c r="L200" s="17">
        <f t="shared" si="45"/>
        <v>15.387805052289258</v>
      </c>
      <c r="M200" s="17">
        <f t="shared" si="46"/>
        <v>2.8914695333272951</v>
      </c>
      <c r="N200" s="16">
        <f t="shared" si="47"/>
        <v>-704.34033912816267</v>
      </c>
      <c r="O200" s="16">
        <f t="shared" si="48"/>
        <v>162.6097800312844</v>
      </c>
    </row>
    <row r="201" spans="1:15" x14ac:dyDescent="0.2">
      <c r="A201" s="6">
        <v>168</v>
      </c>
      <c r="B201" s="16">
        <f t="shared" si="49"/>
        <v>-978.14760073380569</v>
      </c>
      <c r="C201" s="16">
        <f t="shared" si="50"/>
        <v>207.91169081775931</v>
      </c>
      <c r="D201" s="16">
        <v>0</v>
      </c>
      <c r="E201" s="10">
        <f t="shared" si="38"/>
        <v>-3.197502193657888E-3</v>
      </c>
      <c r="F201" s="10">
        <f t="shared" si="39"/>
        <v>1.9218253926240911E-3</v>
      </c>
      <c r="G201" s="10">
        <f t="shared" si="40"/>
        <v>0</v>
      </c>
      <c r="H201" s="10">
        <f t="shared" si="41"/>
        <v>-6.3783840051689846E-4</v>
      </c>
      <c r="I201" s="10">
        <f t="shared" si="42"/>
        <v>-6.3783840051689846E-4</v>
      </c>
      <c r="J201" s="10">
        <f t="shared" si="43"/>
        <v>5.1193275862819795E-3</v>
      </c>
      <c r="K201" s="17">
        <f t="shared" si="44"/>
        <v>2.8957788606446035</v>
      </c>
      <c r="L201" s="17">
        <f t="shared" si="45"/>
        <v>14.516622473271662</v>
      </c>
      <c r="M201" s="17">
        <f t="shared" si="46"/>
        <v>2.8957788606446035</v>
      </c>
      <c r="N201" s="16">
        <f t="shared" si="47"/>
        <v>-708.12478619879812</v>
      </c>
      <c r="O201" s="16">
        <f t="shared" si="48"/>
        <v>150.51656978773605</v>
      </c>
    </row>
    <row r="202" spans="1:15" x14ac:dyDescent="0.2">
      <c r="A202" s="6">
        <v>169</v>
      </c>
      <c r="B202" s="16">
        <f t="shared" si="49"/>
        <v>-981.62718344766392</v>
      </c>
      <c r="C202" s="16">
        <f t="shared" si="50"/>
        <v>190.80899537654497</v>
      </c>
      <c r="D202" s="16">
        <v>0</v>
      </c>
      <c r="E202" s="10">
        <f t="shared" si="38"/>
        <v>-3.1917627777022627E-3</v>
      </c>
      <c r="F202" s="10">
        <f t="shared" si="39"/>
        <v>1.8442519526187624E-3</v>
      </c>
      <c r="G202" s="10">
        <f t="shared" si="40"/>
        <v>0</v>
      </c>
      <c r="H202" s="10">
        <f t="shared" si="41"/>
        <v>-6.7375541254175017E-4</v>
      </c>
      <c r="I202" s="10">
        <f t="shared" si="42"/>
        <v>-6.7375541254175017E-4</v>
      </c>
      <c r="J202" s="10">
        <f t="shared" si="43"/>
        <v>5.0360147303210251E-3</v>
      </c>
      <c r="K202" s="17">
        <f t="shared" si="44"/>
        <v>2.9009860394214391</v>
      </c>
      <c r="L202" s="17">
        <f t="shared" si="45"/>
        <v>13.742760483850653</v>
      </c>
      <c r="M202" s="17">
        <f t="shared" si="46"/>
        <v>2.9009860394214391</v>
      </c>
      <c r="N202" s="16">
        <f t="shared" si="47"/>
        <v>-711.92168877456527</v>
      </c>
      <c r="O202" s="16">
        <f t="shared" si="48"/>
        <v>138.38355794584672</v>
      </c>
    </row>
    <row r="203" spans="1:15" x14ac:dyDescent="0.2">
      <c r="A203" s="6">
        <v>170</v>
      </c>
      <c r="B203" s="16">
        <f t="shared" si="49"/>
        <v>-984.80775301220797</v>
      </c>
      <c r="C203" s="16">
        <f t="shared" si="50"/>
        <v>173.64817766693028</v>
      </c>
      <c r="D203" s="16">
        <v>0</v>
      </c>
      <c r="E203" s="10">
        <f t="shared" si="38"/>
        <v>-3.1850511198852488E-3</v>
      </c>
      <c r="F203" s="10">
        <f t="shared" si="39"/>
        <v>1.7661167356029942E-3</v>
      </c>
      <c r="G203" s="10">
        <f t="shared" si="40"/>
        <v>0</v>
      </c>
      <c r="H203" s="10">
        <f t="shared" si="41"/>
        <v>-7.0946719214112731E-4</v>
      </c>
      <c r="I203" s="10">
        <f t="shared" si="42"/>
        <v>-7.0946719214112731E-4</v>
      </c>
      <c r="J203" s="10">
        <f t="shared" si="43"/>
        <v>4.951167855488243E-3</v>
      </c>
      <c r="K203" s="17">
        <f t="shared" si="44"/>
        <v>2.9070991047681685</v>
      </c>
      <c r="L203" s="17">
        <f t="shared" si="45"/>
        <v>13.051004136379298</v>
      </c>
      <c r="M203" s="17">
        <f t="shared" si="46"/>
        <v>2.9070991047681685</v>
      </c>
      <c r="N203" s="16">
        <f t="shared" si="47"/>
        <v>-715.7334342876353</v>
      </c>
      <c r="O203" s="16">
        <f t="shared" si="48"/>
        <v>126.20311546003921</v>
      </c>
    </row>
    <row r="204" spans="1:15" x14ac:dyDescent="0.2">
      <c r="A204" s="6">
        <v>171</v>
      </c>
      <c r="B204" s="16">
        <f t="shared" si="49"/>
        <v>-987.68834059513767</v>
      </c>
      <c r="C204" s="16">
        <f t="shared" si="50"/>
        <v>156.43446504023098</v>
      </c>
      <c r="D204" s="16">
        <v>0</v>
      </c>
      <c r="E204" s="10">
        <f t="shared" si="38"/>
        <v>-3.1773692646428352E-3</v>
      </c>
      <c r="F204" s="10">
        <f t="shared" si="39"/>
        <v>1.6874435423208062E-3</v>
      </c>
      <c r="G204" s="10">
        <f t="shared" si="40"/>
        <v>0</v>
      </c>
      <c r="H204" s="10">
        <f t="shared" si="41"/>
        <v>-7.4496286116101451E-4</v>
      </c>
      <c r="I204" s="10">
        <f t="shared" si="42"/>
        <v>-7.4496286116101451E-4</v>
      </c>
      <c r="J204" s="10">
        <f t="shared" si="43"/>
        <v>4.8648128069636414E-3</v>
      </c>
      <c r="K204" s="17">
        <f t="shared" si="44"/>
        <v>2.9141275338357886</v>
      </c>
      <c r="L204" s="17">
        <f t="shared" si="45"/>
        <v>12.429155521697858</v>
      </c>
      <c r="M204" s="17">
        <f t="shared" si="46"/>
        <v>2.9141275338357886</v>
      </c>
      <c r="N204" s="16">
        <f t="shared" si="47"/>
        <v>-719.56244704421772</v>
      </c>
      <c r="O204" s="16">
        <f t="shared" si="48"/>
        <v>113.96749545365229</v>
      </c>
    </row>
    <row r="205" spans="1:15" x14ac:dyDescent="0.2">
      <c r="A205" s="6">
        <v>172</v>
      </c>
      <c r="B205" s="16">
        <f t="shared" si="49"/>
        <v>-990.26806874157023</v>
      </c>
      <c r="C205" s="16">
        <f t="shared" si="50"/>
        <v>139.17310096006574</v>
      </c>
      <c r="D205" s="16">
        <v>0</v>
      </c>
      <c r="E205" s="10">
        <f t="shared" si="38"/>
        <v>-3.1687195519425441E-3</v>
      </c>
      <c r="F205" s="10">
        <f t="shared" si="39"/>
        <v>1.6082563373889945E-3</v>
      </c>
      <c r="G205" s="10">
        <f t="shared" si="40"/>
        <v>0</v>
      </c>
      <c r="H205" s="10">
        <f t="shared" si="41"/>
        <v>-7.8023160727677481E-4</v>
      </c>
      <c r="I205" s="10">
        <f t="shared" si="42"/>
        <v>-7.8023160727677481E-4</v>
      </c>
      <c r="J205" s="10">
        <f t="shared" si="43"/>
        <v>4.7769758893315382E-3</v>
      </c>
      <c r="K205" s="17">
        <f t="shared" si="44"/>
        <v>2.9220822819687484</v>
      </c>
      <c r="L205" s="17">
        <f t="shared" si="45"/>
        <v>11.867321411877491</v>
      </c>
      <c r="M205" s="17">
        <f t="shared" si="46"/>
        <v>2.9220822819687484</v>
      </c>
      <c r="N205" s="16">
        <f t="shared" si="47"/>
        <v>-723.41119451728821</v>
      </c>
      <c r="O205" s="16">
        <f t="shared" si="48"/>
        <v>101.66881311051398</v>
      </c>
    </row>
    <row r="206" spans="1:15" x14ac:dyDescent="0.2">
      <c r="A206" s="6">
        <v>173</v>
      </c>
      <c r="B206" s="16">
        <f t="shared" si="49"/>
        <v>-992.54615164132201</v>
      </c>
      <c r="C206" s="16">
        <f t="shared" si="50"/>
        <v>121.86934340514755</v>
      </c>
      <c r="D206" s="16">
        <v>0</v>
      </c>
      <c r="E206" s="10">
        <f t="shared" si="38"/>
        <v>-3.1591046165706555E-3</v>
      </c>
      <c r="F206" s="10">
        <f t="shared" si="39"/>
        <v>1.5285792419972837E-3</v>
      </c>
      <c r="G206" s="10">
        <f t="shared" si="40"/>
        <v>0</v>
      </c>
      <c r="H206" s="10">
        <f t="shared" si="41"/>
        <v>-8.1526268728668587E-4</v>
      </c>
      <c r="I206" s="10">
        <f t="shared" si="42"/>
        <v>-8.1526268728668587E-4</v>
      </c>
      <c r="J206" s="10">
        <f t="shared" si="43"/>
        <v>4.6876838585679387E-3</v>
      </c>
      <c r="K206" s="17">
        <f t="shared" si="44"/>
        <v>2.9309758248242455</v>
      </c>
      <c r="L206" s="17">
        <f t="shared" si="45"/>
        <v>11.357393639681261</v>
      </c>
      <c r="M206" s="17">
        <f t="shared" si="46"/>
        <v>2.9309758248242455</v>
      </c>
      <c r="N206" s="16">
        <f t="shared" si="47"/>
        <v>-727.28219387076365</v>
      </c>
      <c r="O206" s="16">
        <f t="shared" si="48"/>
        <v>89.299024826922889</v>
      </c>
    </row>
    <row r="207" spans="1:15" x14ac:dyDescent="0.2">
      <c r="A207" s="6">
        <v>174</v>
      </c>
      <c r="B207" s="16">
        <f t="shared" si="49"/>
        <v>-994.52189536827325</v>
      </c>
      <c r="C207" s="16">
        <f t="shared" si="50"/>
        <v>104.52846326765373</v>
      </c>
      <c r="D207" s="16">
        <v>0</v>
      </c>
      <c r="E207" s="10">
        <f t="shared" si="38"/>
        <v>-3.1485273873296262E-3</v>
      </c>
      <c r="F207" s="10">
        <f t="shared" si="39"/>
        <v>1.4484365265607826E-3</v>
      </c>
      <c r="G207" s="10">
        <f t="shared" si="40"/>
        <v>0</v>
      </c>
      <c r="H207" s="10">
        <f t="shared" si="41"/>
        <v>-8.500454303844218E-4</v>
      </c>
      <c r="I207" s="10">
        <f t="shared" si="42"/>
        <v>-8.500454303844218E-4</v>
      </c>
      <c r="J207" s="10">
        <f t="shared" si="43"/>
        <v>4.5969639138904086E-3</v>
      </c>
      <c r="K207" s="17">
        <f t="shared" si="44"/>
        <v>2.9408222067626202</v>
      </c>
      <c r="L207" s="17">
        <f t="shared" si="45"/>
        <v>10.892664001583869</v>
      </c>
      <c r="M207" s="17">
        <f t="shared" si="46"/>
        <v>2.9408222067626202</v>
      </c>
      <c r="N207" s="16">
        <f t="shared" si="47"/>
        <v>-731.1780187526673</v>
      </c>
      <c r="O207" s="16">
        <f t="shared" si="48"/>
        <v>76.84990650407174</v>
      </c>
    </row>
    <row r="208" spans="1:15" x14ac:dyDescent="0.2">
      <c r="A208" s="6">
        <v>175</v>
      </c>
      <c r="B208" s="16">
        <f t="shared" si="49"/>
        <v>-996.19469809174552</v>
      </c>
      <c r="C208" s="16">
        <f t="shared" si="50"/>
        <v>87.155742747658635</v>
      </c>
      <c r="D208" s="16">
        <v>0</v>
      </c>
      <c r="E208" s="10">
        <f t="shared" si="38"/>
        <v>-3.1369910861459467E-3</v>
      </c>
      <c r="F208" s="10">
        <f t="shared" si="39"/>
        <v>1.3678526033269714E-3</v>
      </c>
      <c r="G208" s="10">
        <f t="shared" si="40"/>
        <v>0</v>
      </c>
      <c r="H208" s="10">
        <f t="shared" si="41"/>
        <v>-8.8456924140948765E-4</v>
      </c>
      <c r="I208" s="10">
        <f t="shared" si="42"/>
        <v>-8.8456924140948765E-4</v>
      </c>
      <c r="J208" s="10">
        <f t="shared" si="43"/>
        <v>4.5048436894729177E-3</v>
      </c>
      <c r="K208" s="17">
        <f t="shared" si="44"/>
        <v>2.9516370958627829</v>
      </c>
      <c r="L208" s="17">
        <f t="shared" si="45"/>
        <v>10.467534734200568</v>
      </c>
      <c r="M208" s="17">
        <f t="shared" si="46"/>
        <v>2.9516370958627829</v>
      </c>
      <c r="N208" s="16">
        <f t="shared" si="47"/>
        <v>-735.10130639735542</v>
      </c>
      <c r="O208" s="16">
        <f t="shared" si="48"/>
        <v>64.313030852865737</v>
      </c>
    </row>
    <row r="209" spans="1:15" x14ac:dyDescent="0.2">
      <c r="A209" s="6">
        <v>176</v>
      </c>
      <c r="B209" s="16">
        <f t="shared" si="49"/>
        <v>-997.56405025982417</v>
      </c>
      <c r="C209" s="16">
        <f t="shared" si="50"/>
        <v>69.756473744125529</v>
      </c>
      <c r="D209" s="16">
        <v>0</v>
      </c>
      <c r="E209" s="10">
        <f t="shared" si="38"/>
        <v>-3.1244992270887113E-3</v>
      </c>
      <c r="F209" s="10">
        <f t="shared" si="39"/>
        <v>1.2868520189394991E-3</v>
      </c>
      <c r="G209" s="10">
        <f t="shared" si="40"/>
        <v>0</v>
      </c>
      <c r="H209" s="10">
        <f t="shared" si="41"/>
        <v>-9.1882360407460613E-4</v>
      </c>
      <c r="I209" s="10">
        <f t="shared" si="42"/>
        <v>-9.1882360407460613E-4</v>
      </c>
      <c r="J209" s="10">
        <f t="shared" si="43"/>
        <v>4.4113512460282108E-3</v>
      </c>
      <c r="K209" s="17">
        <f t="shared" si="44"/>
        <v>2.9634378459701787</v>
      </c>
      <c r="L209" s="17">
        <f t="shared" si="45"/>
        <v>10.077297990820261</v>
      </c>
      <c r="M209" s="17">
        <f t="shared" si="46"/>
        <v>2.9634378459701787</v>
      </c>
      <c r="N209" s="16">
        <f t="shared" si="47"/>
        <v>-739.05476507981507</v>
      </c>
      <c r="O209" s="16">
        <f t="shared" si="48"/>
        <v>51.679743573691674</v>
      </c>
    </row>
    <row r="210" spans="1:15" x14ac:dyDescent="0.2">
      <c r="A210" s="6">
        <v>177</v>
      </c>
      <c r="B210" s="16">
        <f t="shared" si="49"/>
        <v>-998.6295347545738</v>
      </c>
      <c r="C210" s="16">
        <f t="shared" si="50"/>
        <v>52.335956242943809</v>
      </c>
      <c r="D210" s="16">
        <v>0</v>
      </c>
      <c r="E210" s="10">
        <f t="shared" si="38"/>
        <v>-3.1110556152992011E-3</v>
      </c>
      <c r="F210" s="10">
        <f t="shared" si="39"/>
        <v>1.2054594469610423E-3</v>
      </c>
      <c r="G210" s="10">
        <f t="shared" si="40"/>
        <v>0</v>
      </c>
      <c r="H210" s="10">
        <f t="shared" si="41"/>
        <v>-9.527980841690794E-4</v>
      </c>
      <c r="I210" s="10">
        <f t="shared" si="42"/>
        <v>-9.527980841690794E-4</v>
      </c>
      <c r="J210" s="10">
        <f t="shared" si="43"/>
        <v>4.3165150622602438E-3</v>
      </c>
      <c r="K210" s="17">
        <f t="shared" si="44"/>
        <v>2.9762435662432747</v>
      </c>
      <c r="L210" s="17">
        <f t="shared" si="45"/>
        <v>9.7179658661195951</v>
      </c>
      <c r="M210" s="17">
        <f t="shared" si="46"/>
        <v>2.9762435662432747</v>
      </c>
      <c r="N210" s="16">
        <f t="shared" si="47"/>
        <v>-743.04118196845377</v>
      </c>
      <c r="O210" s="16">
        <f t="shared" si="48"/>
        <v>38.941138262812764</v>
      </c>
    </row>
    <row r="211" spans="1:15" x14ac:dyDescent="0.2">
      <c r="A211" s="6">
        <v>178</v>
      </c>
      <c r="B211" s="16">
        <f t="shared" si="49"/>
        <v>-999.39082701909581</v>
      </c>
      <c r="C211" s="16">
        <f t="shared" si="50"/>
        <v>34.899496702500699</v>
      </c>
      <c r="D211" s="16">
        <v>0</v>
      </c>
      <c r="E211" s="10">
        <f t="shared" si="38"/>
        <v>-3.0966643458317992E-3</v>
      </c>
      <c r="F211" s="10">
        <f t="shared" si="39"/>
        <v>1.1236996803574934E-3</v>
      </c>
      <c r="G211" s="10">
        <f t="shared" si="40"/>
        <v>0</v>
      </c>
      <c r="H211" s="10">
        <f t="shared" si="41"/>
        <v>-9.8648233273715283E-4</v>
      </c>
      <c r="I211" s="10">
        <f t="shared" si="42"/>
        <v>-9.8648233273715283E-4</v>
      </c>
      <c r="J211" s="10">
        <f t="shared" si="43"/>
        <v>4.2203640261892928E-3</v>
      </c>
      <c r="K211" s="17">
        <f t="shared" si="44"/>
        <v>2.9900751987287522</v>
      </c>
      <c r="L211" s="17">
        <f t="shared" si="45"/>
        <v>9.3861379489361614</v>
      </c>
      <c r="M211" s="17">
        <f t="shared" si="46"/>
        <v>2.9900751987287522</v>
      </c>
      <c r="N211" s="16">
        <f t="shared" si="47"/>
        <v>-747.06343142670369</v>
      </c>
      <c r="O211" s="16">
        <f t="shared" si="48"/>
        <v>26.088029884565803</v>
      </c>
    </row>
    <row r="212" spans="1:15" x14ac:dyDescent="0.2">
      <c r="A212" s="6">
        <v>179</v>
      </c>
      <c r="B212" s="16">
        <f t="shared" si="49"/>
        <v>-999.8476951563913</v>
      </c>
      <c r="C212" s="16">
        <f t="shared" si="50"/>
        <v>17.45240643728344</v>
      </c>
      <c r="D212" s="16">
        <v>0</v>
      </c>
      <c r="E212" s="10">
        <f t="shared" si="38"/>
        <v>-3.0813298024065954E-3</v>
      </c>
      <c r="F212" s="10">
        <f t="shared" si="39"/>
        <v>1.0415976239457865E-3</v>
      </c>
      <c r="G212" s="10">
        <f t="shared" si="40"/>
        <v>0</v>
      </c>
      <c r="H212" s="10">
        <f t="shared" si="41"/>
        <v>-1.0198660892304044E-3</v>
      </c>
      <c r="I212" s="10">
        <f t="shared" si="42"/>
        <v>-1.0198660892304044E-3</v>
      </c>
      <c r="J212" s="10">
        <f t="shared" si="43"/>
        <v>4.1229274263523824E-3</v>
      </c>
      <c r="K212" s="17">
        <f t="shared" si="44"/>
        <v>3.0049556045664265</v>
      </c>
      <c r="L212" s="17">
        <f t="shared" si="45"/>
        <v>9.0788970797591055</v>
      </c>
      <c r="M212" s="17">
        <f t="shared" si="46"/>
        <v>3.0049556045664265</v>
      </c>
      <c r="N212" s="16">
        <f t="shared" si="47"/>
        <v>-751.1244838182555</v>
      </c>
      <c r="O212" s="16">
        <f t="shared" si="48"/>
        <v>13.110926634221514</v>
      </c>
    </row>
    <row r="213" spans="1:15" x14ac:dyDescent="0.2">
      <c r="A213" s="6">
        <v>180</v>
      </c>
      <c r="B213" s="16">
        <f t="shared" si="49"/>
        <v>-1000</v>
      </c>
      <c r="C213" s="16">
        <f t="shared" si="50"/>
        <v>1.22514845490862E-13</v>
      </c>
      <c r="D213" s="16">
        <v>0</v>
      </c>
      <c r="E213" s="10">
        <f t="shared" si="38"/>
        <v>-3.0650566560740666E-3</v>
      </c>
      <c r="F213" s="10">
        <f t="shared" si="39"/>
        <v>9.5917828680764272E-4</v>
      </c>
      <c r="G213" s="10">
        <f t="shared" si="40"/>
        <v>0</v>
      </c>
      <c r="H213" s="10">
        <f t="shared" si="41"/>
        <v>-1.0529391846332121E-3</v>
      </c>
      <c r="I213" s="10">
        <f t="shared" si="42"/>
        <v>-1.0529391846332121E-3</v>
      </c>
      <c r="J213" s="10">
        <f t="shared" si="43"/>
        <v>4.0242349428817091E-3</v>
      </c>
      <c r="K213" s="17">
        <f t="shared" si="44"/>
        <v>3.0209096595033742</v>
      </c>
      <c r="L213" s="17">
        <f t="shared" si="45"/>
        <v>8.7937265460252494</v>
      </c>
      <c r="M213" s="17">
        <f t="shared" si="46"/>
        <v>3.0209096595033742</v>
      </c>
      <c r="N213" s="16">
        <f t="shared" si="47"/>
        <v>-755.22741487584358</v>
      </c>
      <c r="O213" s="16">
        <f t="shared" si="48"/>
        <v>9.2526570043977112E-14</v>
      </c>
    </row>
    <row r="214" spans="1:15" x14ac:dyDescent="0.2">
      <c r="A214" s="6">
        <v>181</v>
      </c>
      <c r="B214" s="16">
        <f t="shared" si="49"/>
        <v>-999.8476951563913</v>
      </c>
      <c r="C214" s="16">
        <f t="shared" si="50"/>
        <v>-17.452406437283191</v>
      </c>
      <c r="D214" s="16">
        <v>0</v>
      </c>
      <c r="E214" s="10">
        <f t="shared" si="38"/>
        <v>-3.0478498637922275E-3</v>
      </c>
      <c r="F214" s="10">
        <f t="shared" si="39"/>
        <v>8.7646677467156898E-4</v>
      </c>
      <c r="G214" s="10">
        <f t="shared" si="40"/>
        <v>0</v>
      </c>
      <c r="H214" s="10">
        <f t="shared" si="41"/>
        <v>-1.0856915445603293E-3</v>
      </c>
      <c r="I214" s="10">
        <f t="shared" si="42"/>
        <v>-1.0856915445603293E-3</v>
      </c>
      <c r="J214" s="10">
        <f t="shared" si="43"/>
        <v>3.9243166384637963E-3</v>
      </c>
      <c r="K214" s="17">
        <f t="shared" si="44"/>
        <v>3.0379643594841008</v>
      </c>
      <c r="L214" s="17">
        <f t="shared" si="45"/>
        <v>8.5284437422868251</v>
      </c>
      <c r="M214" s="17">
        <f t="shared" si="46"/>
        <v>3.0379643594841008</v>
      </c>
      <c r="N214" s="16">
        <f t="shared" si="47"/>
        <v>-759.37541569936025</v>
      </c>
      <c r="O214" s="16">
        <f t="shared" si="48"/>
        <v>-13.254947185924307</v>
      </c>
    </row>
    <row r="215" spans="1:15" x14ac:dyDescent="0.2">
      <c r="A215" s="6">
        <v>182</v>
      </c>
      <c r="B215" s="16">
        <f t="shared" si="49"/>
        <v>-999.39082701909581</v>
      </c>
      <c r="C215" s="16">
        <f t="shared" si="50"/>
        <v>-34.899496702500898</v>
      </c>
      <c r="D215" s="16">
        <v>0</v>
      </c>
      <c r="E215" s="10">
        <f t="shared" si="38"/>
        <v>-3.0297146669166918E-3</v>
      </c>
      <c r="F215" s="10">
        <f t="shared" si="39"/>
        <v>7.934882822654035E-4</v>
      </c>
      <c r="G215" s="10">
        <f t="shared" si="40"/>
        <v>0</v>
      </c>
      <c r="H215" s="10">
        <f t="shared" si="41"/>
        <v>-1.1181131923256441E-3</v>
      </c>
      <c r="I215" s="10">
        <f t="shared" si="42"/>
        <v>-1.1181131923256441E-3</v>
      </c>
      <c r="J215" s="10">
        <f t="shared" si="43"/>
        <v>3.8232029491820953E-3</v>
      </c>
      <c r="K215" s="17">
        <f t="shared" si="44"/>
        <v>3.0561489371810406</v>
      </c>
      <c r="L215" s="17">
        <f t="shared" si="45"/>
        <v>8.2811465984049963</v>
      </c>
      <c r="M215" s="17">
        <f t="shared" si="46"/>
        <v>3.0561489371810406</v>
      </c>
      <c r="N215" s="16">
        <f t="shared" si="47"/>
        <v>-763.57180345572272</v>
      </c>
      <c r="O215" s="16">
        <f t="shared" si="48"/>
        <v>-26.664514938875339</v>
      </c>
    </row>
    <row r="216" spans="1:15" x14ac:dyDescent="0.2">
      <c r="A216" s="6">
        <v>183</v>
      </c>
      <c r="B216" s="16">
        <f t="shared" si="49"/>
        <v>-998.6295347545738</v>
      </c>
      <c r="C216" s="16">
        <f t="shared" si="50"/>
        <v>-52.33595624294356</v>
      </c>
      <c r="D216" s="16">
        <v>0</v>
      </c>
      <c r="E216" s="10">
        <f t="shared" si="38"/>
        <v>-3.0106565896041082E-3</v>
      </c>
      <c r="F216" s="10">
        <f t="shared" si="39"/>
        <v>7.1026808564176864E-4</v>
      </c>
      <c r="G216" s="10">
        <f t="shared" si="40"/>
        <v>0</v>
      </c>
      <c r="H216" s="10">
        <f t="shared" si="41"/>
        <v>-1.1501942519811697E-3</v>
      </c>
      <c r="I216" s="10">
        <f t="shared" si="42"/>
        <v>-1.1501942519811697E-3</v>
      </c>
      <c r="J216" s="10">
        <f t="shared" si="43"/>
        <v>3.720924675245877E-3</v>
      </c>
      <c r="K216" s="17">
        <f t="shared" si="44"/>
        <v>3.0754949904388869</v>
      </c>
      <c r="L216" s="17">
        <f t="shared" si="45"/>
        <v>8.0501699980768517</v>
      </c>
      <c r="M216" s="17">
        <f t="shared" si="46"/>
        <v>3.0754949904388869</v>
      </c>
      <c r="N216" s="16">
        <f t="shared" si="47"/>
        <v>-767.82003286050201</v>
      </c>
      <c r="O216" s="16">
        <f t="shared" si="48"/>
        <v>-40.239742811250423</v>
      </c>
    </row>
    <row r="217" spans="1:15" x14ac:dyDescent="0.2">
      <c r="A217" s="6">
        <v>184</v>
      </c>
      <c r="B217" s="16">
        <f t="shared" si="49"/>
        <v>-997.56405025982428</v>
      </c>
      <c r="C217" s="16">
        <f t="shared" si="50"/>
        <v>-69.756473744124833</v>
      </c>
      <c r="D217" s="16">
        <v>0</v>
      </c>
      <c r="E217" s="10">
        <f t="shared" si="38"/>
        <v>-2.9906814371294475E-3</v>
      </c>
      <c r="F217" s="10">
        <f t="shared" si="39"/>
        <v>6.2683153447872582E-4</v>
      </c>
      <c r="G217" s="10">
        <f t="shared" si="40"/>
        <v>0</v>
      </c>
      <c r="H217" s="10">
        <f t="shared" si="41"/>
        <v>-1.1819249513253609E-3</v>
      </c>
      <c r="I217" s="10">
        <f t="shared" si="42"/>
        <v>-1.1819249513253609E-3</v>
      </c>
      <c r="J217" s="10">
        <f t="shared" si="43"/>
        <v>3.6175129716081731E-3</v>
      </c>
      <c r="K217" s="17">
        <f t="shared" si="44"/>
        <v>3.0960366237290033</v>
      </c>
      <c r="L217" s="17">
        <f t="shared" si="45"/>
        <v>7.8340500798094794</v>
      </c>
      <c r="M217" s="17">
        <f t="shared" si="46"/>
        <v>3.0960366237290033</v>
      </c>
      <c r="N217" s="16">
        <f t="shared" si="47"/>
        <v>-772.12370852996401</v>
      </c>
      <c r="O217" s="16">
        <f t="shared" si="48"/>
        <v>-53.992149363500282</v>
      </c>
    </row>
    <row r="218" spans="1:15" x14ac:dyDescent="0.2">
      <c r="A218" s="6">
        <v>185</v>
      </c>
      <c r="B218" s="16">
        <f t="shared" si="49"/>
        <v>-996.19469809174552</v>
      </c>
      <c r="C218" s="16">
        <f t="shared" si="50"/>
        <v>-87.155742747657939</v>
      </c>
      <c r="D218" s="16">
        <v>0</v>
      </c>
      <c r="E218" s="10">
        <f t="shared" si="38"/>
        <v>-2.9697952941176537E-3</v>
      </c>
      <c r="F218" s="10">
        <f t="shared" si="39"/>
        <v>5.4320404435802532E-4</v>
      </c>
      <c r="G218" s="10">
        <f t="shared" si="40"/>
        <v>0</v>
      </c>
      <c r="H218" s="10">
        <f t="shared" si="41"/>
        <v>-1.2132956248798142E-3</v>
      </c>
      <c r="I218" s="10">
        <f t="shared" si="42"/>
        <v>-1.2132956248798142E-3</v>
      </c>
      <c r="J218" s="10">
        <f t="shared" si="43"/>
        <v>3.5129993384756791E-3</v>
      </c>
      <c r="K218" s="17">
        <f t="shared" si="44"/>
        <v>3.1178106038484539</v>
      </c>
      <c r="L218" s="17">
        <f t="shared" si="45"/>
        <v>7.6314948058734293</v>
      </c>
      <c r="M218" s="17">
        <f t="shared" si="46"/>
        <v>3.1178106038484539</v>
      </c>
      <c r="N218" s="16">
        <f t="shared" si="47"/>
        <v>-776.48659830201336</v>
      </c>
      <c r="O218" s="16">
        <f t="shared" si="48"/>
        <v>-67.933774731233981</v>
      </c>
    </row>
    <row r="219" spans="1:15" x14ac:dyDescent="0.2">
      <c r="A219" s="6">
        <v>186</v>
      </c>
      <c r="B219" s="16">
        <f t="shared" si="49"/>
        <v>-994.52189536827336</v>
      </c>
      <c r="C219" s="16">
        <f t="shared" si="50"/>
        <v>-104.52846326765305</v>
      </c>
      <c r="D219" s="16">
        <v>0</v>
      </c>
      <c r="E219" s="10">
        <f t="shared" si="38"/>
        <v>-2.9480045226902194E-3</v>
      </c>
      <c r="F219" s="10">
        <f t="shared" si="39"/>
        <v>4.594110890232797E-4</v>
      </c>
      <c r="G219" s="10">
        <f t="shared" si="40"/>
        <v>0</v>
      </c>
      <c r="H219" s="10">
        <f t="shared" si="41"/>
        <v>-1.24429671683347E-3</v>
      </c>
      <c r="I219" s="10">
        <f t="shared" si="42"/>
        <v>-1.24429671683347E-3</v>
      </c>
      <c r="J219" s="10">
        <f t="shared" si="43"/>
        <v>3.4074156117134989E-3</v>
      </c>
      <c r="K219" s="17">
        <f t="shared" si="44"/>
        <v>3.1408565312544585</v>
      </c>
      <c r="L219" s="17">
        <f t="shared" si="45"/>
        <v>7.4413595519423597</v>
      </c>
      <c r="M219" s="17">
        <f t="shared" si="46"/>
        <v>3.1408565312544585</v>
      </c>
      <c r="N219" s="16">
        <f t="shared" si="47"/>
        <v>-780.91264763575111</v>
      </c>
      <c r="O219" s="16">
        <f t="shared" si="48"/>
        <v>-82.077226639049968</v>
      </c>
    </row>
    <row r="220" spans="1:15" x14ac:dyDescent="0.2">
      <c r="A220" s="6">
        <v>187</v>
      </c>
      <c r="B220" s="16">
        <f t="shared" si="49"/>
        <v>-992.54615164132201</v>
      </c>
      <c r="C220" s="16">
        <f t="shared" si="50"/>
        <v>-121.86934340514775</v>
      </c>
      <c r="D220" s="16">
        <v>0</v>
      </c>
      <c r="E220" s="10">
        <f t="shared" si="38"/>
        <v>-2.9253157605272119E-3</v>
      </c>
      <c r="F220" s="10">
        <f t="shared" si="39"/>
        <v>3.7547819262039842E-4</v>
      </c>
      <c r="G220" s="10">
        <f t="shared" si="40"/>
        <v>0</v>
      </c>
      <c r="H220" s="10">
        <f t="shared" si="41"/>
        <v>-1.2749187839534068E-3</v>
      </c>
      <c r="I220" s="10">
        <f t="shared" si="42"/>
        <v>-1.2749187839534068E-3</v>
      </c>
      <c r="J220" s="10">
        <f t="shared" si="43"/>
        <v>3.3007939531476101E-3</v>
      </c>
      <c r="K220" s="17">
        <f t="shared" si="44"/>
        <v>3.1652170286022452</v>
      </c>
      <c r="L220" s="17">
        <f t="shared" si="45"/>
        <v>7.2626267459540763</v>
      </c>
      <c r="M220" s="17">
        <f t="shared" si="46"/>
        <v>3.1652170286022452</v>
      </c>
      <c r="N220" s="16">
        <f t="shared" si="47"/>
        <v>-785.40599521218473</v>
      </c>
      <c r="O220" s="16">
        <f t="shared" si="48"/>
        <v>-96.435730252637086</v>
      </c>
    </row>
    <row r="221" spans="1:15" x14ac:dyDescent="0.2">
      <c r="A221" s="6">
        <v>188</v>
      </c>
      <c r="B221" s="16">
        <f t="shared" si="49"/>
        <v>-990.26806874157023</v>
      </c>
      <c r="C221" s="16">
        <f t="shared" si="50"/>
        <v>-139.17310096006551</v>
      </c>
      <c r="D221" s="16">
        <v>0</v>
      </c>
      <c r="E221" s="10">
        <f t="shared" si="38"/>
        <v>-2.9017359188453786E-3</v>
      </c>
      <c r="F221" s="10">
        <f t="shared" si="39"/>
        <v>2.9143092192271001E-4</v>
      </c>
      <c r="G221" s="10">
        <f t="shared" si="40"/>
        <v>0</v>
      </c>
      <c r="H221" s="10">
        <f t="shared" si="41"/>
        <v>-1.3051524984613342E-3</v>
      </c>
      <c r="I221" s="10">
        <f t="shared" si="42"/>
        <v>-1.3051524984613342E-3</v>
      </c>
      <c r="J221" s="10">
        <f t="shared" si="43"/>
        <v>3.1931668407680887E-3</v>
      </c>
      <c r="K221" s="17">
        <f t="shared" si="44"/>
        <v>3.1909379482553271</v>
      </c>
      <c r="L221" s="17">
        <f t="shared" si="45"/>
        <v>7.0943887937809196</v>
      </c>
      <c r="M221" s="17">
        <f t="shared" si="46"/>
        <v>3.1909379482553271</v>
      </c>
      <c r="N221" s="16">
        <f t="shared" si="47"/>
        <v>-789.97098987324785</v>
      </c>
      <c r="O221" s="16">
        <f t="shared" si="48"/>
        <v>-111.02318230746073</v>
      </c>
    </row>
    <row r="222" spans="1:15" x14ac:dyDescent="0.2">
      <c r="A222" s="6">
        <v>189</v>
      </c>
      <c r="B222" s="16">
        <f t="shared" si="49"/>
        <v>-987.68834059513779</v>
      </c>
      <c r="C222" s="16">
        <f t="shared" si="50"/>
        <v>-156.43446504023072</v>
      </c>
      <c r="D222" s="16">
        <v>0</v>
      </c>
      <c r="E222" s="10">
        <f t="shared" si="38"/>
        <v>-2.8772721802929183E-3</v>
      </c>
      <c r="F222" s="10">
        <f t="shared" si="39"/>
        <v>2.0729487854304941E-4</v>
      </c>
      <c r="G222" s="10">
        <f t="shared" si="40"/>
        <v>0</v>
      </c>
      <c r="H222" s="10">
        <f t="shared" si="41"/>
        <v>-1.3349886508749345E-3</v>
      </c>
      <c r="I222" s="10">
        <f t="shared" si="42"/>
        <v>-1.3349886508749345E-3</v>
      </c>
      <c r="J222" s="10">
        <f t="shared" si="43"/>
        <v>3.0845670588359676E-3</v>
      </c>
      <c r="K222" s="17">
        <f t="shared" si="44"/>
        <v>3.2180686007663786</v>
      </c>
      <c r="L222" s="17">
        <f t="shared" si="45"/>
        <v>6.9358336890660892</v>
      </c>
      <c r="M222" s="17">
        <f t="shared" si="46"/>
        <v>3.2180686007663786</v>
      </c>
      <c r="N222" s="16">
        <f t="shared" si="47"/>
        <v>-794.61220905306538</v>
      </c>
      <c r="O222" s="16">
        <f t="shared" si="48"/>
        <v>-125.85421000591306</v>
      </c>
    </row>
    <row r="223" spans="1:15" x14ac:dyDescent="0.2">
      <c r="A223" s="6">
        <v>190</v>
      </c>
      <c r="B223" s="16">
        <f t="shared" si="49"/>
        <v>-984.80775301220797</v>
      </c>
      <c r="C223" s="16">
        <f t="shared" si="50"/>
        <v>-173.64817766693048</v>
      </c>
      <c r="D223" s="16">
        <v>0</v>
      </c>
      <c r="E223" s="10">
        <f t="shared" ref="E223:E286" si="51">($B223/$B$6-$C223*$E$6/$B$6)/$A$6</f>
        <v>-2.851931996761578E-3</v>
      </c>
      <c r="F223" s="10">
        <f t="shared" ref="F223:F286" si="52">(-$B223*$E$6/$B$6+$C223/$C$6)/$A$6</f>
        <v>1.2309569113527156E-4</v>
      </c>
      <c r="G223" s="10">
        <f t="shared" ref="G223:G286" si="53">$D223/($D$6*$A$6)</f>
        <v>0</v>
      </c>
      <c r="H223" s="10">
        <f t="shared" si="41"/>
        <v>-1.3644181528131532E-3</v>
      </c>
      <c r="I223" s="10">
        <f t="shared" si="42"/>
        <v>-1.3644181528131532E-3</v>
      </c>
      <c r="J223" s="10">
        <f t="shared" si="43"/>
        <v>2.9750276878968496E-3</v>
      </c>
      <c r="K223" s="17">
        <f t="shared" si="44"/>
        <v>3.2466620065882776</v>
      </c>
      <c r="L223" s="17">
        <f t="shared" si="45"/>
        <v>6.7862328276478481</v>
      </c>
      <c r="M223" s="17">
        <f t="shared" si="46"/>
        <v>3.2466620065882776</v>
      </c>
      <c r="N223" s="16">
        <f t="shared" si="47"/>
        <v>-799.33447887457703</v>
      </c>
      <c r="O223" s="16">
        <f t="shared" si="48"/>
        <v>-140.94423523612855</v>
      </c>
    </row>
    <row r="224" spans="1:15" x14ac:dyDescent="0.2">
      <c r="A224" s="6">
        <v>191</v>
      </c>
      <c r="B224" s="16">
        <f t="shared" si="49"/>
        <v>-981.62718344766392</v>
      </c>
      <c r="C224" s="16">
        <f t="shared" si="50"/>
        <v>-190.80899537654471</v>
      </c>
      <c r="D224" s="16">
        <v>0</v>
      </c>
      <c r="E224" s="10">
        <f t="shared" si="51"/>
        <v>-2.8257230871167396E-3</v>
      </c>
      <c r="F224" s="10">
        <f t="shared" si="52"/>
        <v>3.8859007587521677E-5</v>
      </c>
      <c r="G224" s="10">
        <f t="shared" si="53"/>
        <v>0</v>
      </c>
      <c r="H224" s="10">
        <f t="shared" si="41"/>
        <v>-1.3934320397646089E-3</v>
      </c>
      <c r="I224" s="10">
        <f t="shared" si="42"/>
        <v>-1.3934320397646089E-3</v>
      </c>
      <c r="J224" s="10">
        <f t="shared" si="43"/>
        <v>2.8645820947042614E-3</v>
      </c>
      <c r="K224" s="17">
        <f t="shared" si="44"/>
        <v>3.2767751735740869</v>
      </c>
      <c r="L224" s="17">
        <f t="shared" si="45"/>
        <v>6.6449306424900465</v>
      </c>
      <c r="M224" s="17">
        <f t="shared" si="46"/>
        <v>3.2767751735740869</v>
      </c>
      <c r="N224" s="16">
        <f t="shared" si="47"/>
        <v>-804.14289610669027</v>
      </c>
      <c r="O224" s="16">
        <f t="shared" si="48"/>
        <v>-156.30954473611862</v>
      </c>
    </row>
    <row r="225" spans="1:15" x14ac:dyDescent="0.2">
      <c r="A225" s="6">
        <v>192</v>
      </c>
      <c r="B225" s="16">
        <f t="shared" si="49"/>
        <v>-978.14760073380569</v>
      </c>
      <c r="C225" s="16">
        <f t="shared" si="50"/>
        <v>-207.91169081775905</v>
      </c>
      <c r="D225" s="16">
        <v>0</v>
      </c>
      <c r="E225" s="10">
        <f t="shared" si="51"/>
        <v>-2.7986534348461711E-3</v>
      </c>
      <c r="F225" s="10">
        <f t="shared" si="52"/>
        <v>-4.5389512790375221E-5</v>
      </c>
      <c r="G225" s="10">
        <f t="shared" si="53"/>
        <v>0</v>
      </c>
      <c r="H225" s="10">
        <f t="shared" ref="H225:H288" si="54">(E225+F225+G225)/2</f>
        <v>-1.4220214738182731E-3</v>
      </c>
      <c r="I225" s="10">
        <f t="shared" ref="I225:I288" si="55">(E225+F225-G225)/2</f>
        <v>-1.4220214738182731E-3</v>
      </c>
      <c r="J225" s="10">
        <f t="shared" ref="J225:J288" si="56">-E225+F225</f>
        <v>2.753263922055796E-3</v>
      </c>
      <c r="K225" s="17">
        <f t="shared" ref="K225:K288" si="57">MIN(
IF(E225&gt;0,$A$12/E225,IF(E225&lt;0,-$B$12/E225,1000)),
IF(F225&gt;0,$A$12/F225,IF(F225&lt;0,-$B$12/F225,1000)),
IF(ABS(E225-F225)&gt;0,(1+$C$12)*MAX($A$12,$B$12)/ABS(E225-F225),1000)
)</f>
        <v>3.3084694031678836</v>
      </c>
      <c r="L225" s="17">
        <f t="shared" ref="L225:L288" si="58">MIN(
IF(H225&gt;0,$A$12/H225,IF(H225&lt;0,-$B$12/H225,1000)),
IF(I225&gt;0,$A$12/I225,IF(I225&lt;0,-$B$12/I225,1000)),
IF(ABS(H225-I225)&gt;0,(1+$C$12)*MAX($A$12,$B$12)/ABS(H225-I225),1000)
)</f>
        <v>6.5113357496615016</v>
      </c>
      <c r="M225" s="17">
        <f t="shared" ref="M225:M288" si="59">IF(MIN(K225:L225)&gt;100,"&gt;100",MIN(K225:L225))</f>
        <v>3.3084694031678836</v>
      </c>
      <c r="N225" s="16">
        <f t="shared" si="47"/>
        <v>-809.04285220246788</v>
      </c>
      <c r="O225" s="16">
        <f t="shared" si="48"/>
        <v>-171.9673669078642</v>
      </c>
    </row>
    <row r="226" spans="1:15" x14ac:dyDescent="0.2">
      <c r="A226" s="6">
        <v>193</v>
      </c>
      <c r="B226" s="16">
        <f t="shared" si="49"/>
        <v>-974.37006478523529</v>
      </c>
      <c r="C226" s="16">
        <f t="shared" si="50"/>
        <v>-224.95105434386497</v>
      </c>
      <c r="D226" s="16">
        <v>0</v>
      </c>
      <c r="E226" s="10">
        <f t="shared" si="51"/>
        <v>-2.7707312856281832E-3</v>
      </c>
      <c r="F226" s="10">
        <f t="shared" si="52"/>
        <v>-1.2962420708298016E-4</v>
      </c>
      <c r="G226" s="10">
        <f t="shared" si="53"/>
        <v>0</v>
      </c>
      <c r="H226" s="10">
        <f t="shared" si="54"/>
        <v>-1.4501777463555817E-3</v>
      </c>
      <c r="I226" s="10">
        <f t="shared" si="55"/>
        <v>-1.4501777463555817E-3</v>
      </c>
      <c r="J226" s="10">
        <f t="shared" si="56"/>
        <v>2.6411070785452031E-3</v>
      </c>
      <c r="K226" s="17">
        <f t="shared" si="57"/>
        <v>3.3418106285828397</v>
      </c>
      <c r="L226" s="17">
        <f t="shared" si="58"/>
        <v>6.3849133546067396</v>
      </c>
      <c r="M226" s="17">
        <f t="shared" si="59"/>
        <v>3.3418106285828397</v>
      </c>
      <c r="N226" s="16">
        <f t="shared" ref="N226:N289" si="60">$M226*B226/$A$6</f>
        <v>-814.04005966806233</v>
      </c>
      <c r="O226" s="16">
        <f t="shared" ref="O226:O289" si="61">$M226*C226/$A$6</f>
        <v>-187.93595607931098</v>
      </c>
    </row>
    <row r="227" spans="1:15" x14ac:dyDescent="0.2">
      <c r="A227" s="6">
        <v>194</v>
      </c>
      <c r="B227" s="16">
        <f t="shared" ref="B227:B290" si="62">1000*COS(A227*PI()/180)</f>
        <v>-970.29572627599646</v>
      </c>
      <c r="C227" s="16">
        <f t="shared" ref="C227:C290" si="63">1000*SIN(A227*PI()/180)</f>
        <v>-241.92189559966752</v>
      </c>
      <c r="D227" s="16">
        <v>0</v>
      </c>
      <c r="E227" s="10">
        <f t="shared" si="51"/>
        <v>-2.7419651448199172E-3</v>
      </c>
      <c r="F227" s="10">
        <f t="shared" si="52"/>
        <v>-2.1381941658640802E-4</v>
      </c>
      <c r="G227" s="10">
        <f t="shared" si="53"/>
        <v>0</v>
      </c>
      <c r="H227" s="10">
        <f t="shared" si="54"/>
        <v>-1.4778922807031627E-3</v>
      </c>
      <c r="I227" s="10">
        <f t="shared" si="55"/>
        <v>-1.4778922807031627E-3</v>
      </c>
      <c r="J227" s="10">
        <f t="shared" si="56"/>
        <v>2.528145728233509E-3</v>
      </c>
      <c r="K227" s="17">
        <f t="shared" si="57"/>
        <v>3.3768697887176735</v>
      </c>
      <c r="L227" s="17">
        <f t="shared" si="58"/>
        <v>6.2651787144147058</v>
      </c>
      <c r="M227" s="17">
        <f t="shared" si="59"/>
        <v>3.3768697887176735</v>
      </c>
      <c r="N227" s="16">
        <f t="shared" si="60"/>
        <v>-819.14058104582148</v>
      </c>
      <c r="O227" s="16">
        <f t="shared" si="61"/>
        <v>-204.23468511995708</v>
      </c>
    </row>
    <row r="228" spans="1:15" x14ac:dyDescent="0.2">
      <c r="A228" s="6">
        <v>195</v>
      </c>
      <c r="B228" s="16">
        <f t="shared" si="62"/>
        <v>-965.92582628906837</v>
      </c>
      <c r="C228" s="16">
        <f t="shared" si="63"/>
        <v>-258.81904510252036</v>
      </c>
      <c r="D228" s="16">
        <v>0</v>
      </c>
      <c r="E228" s="10">
        <f t="shared" si="51"/>
        <v>-2.7123637748665262E-3</v>
      </c>
      <c r="F228" s="10">
        <f t="shared" si="52"/>
        <v>-2.979494946242278E-4</v>
      </c>
      <c r="G228" s="10">
        <f t="shared" si="53"/>
        <v>0</v>
      </c>
      <c r="H228" s="10">
        <f t="shared" si="54"/>
        <v>-1.505156634745377E-3</v>
      </c>
      <c r="I228" s="10">
        <f t="shared" si="55"/>
        <v>-1.505156634745377E-3</v>
      </c>
      <c r="J228" s="10">
        <f t="shared" si="56"/>
        <v>2.4144142802422983E-3</v>
      </c>
      <c r="K228" s="17">
        <f t="shared" si="57"/>
        <v>3.4137232420879466</v>
      </c>
      <c r="L228" s="17">
        <f t="shared" si="58"/>
        <v>6.151691488790215</v>
      </c>
      <c r="M228" s="17">
        <f t="shared" si="59"/>
        <v>3.4137232420879466</v>
      </c>
      <c r="N228" s="16">
        <f t="shared" si="60"/>
        <v>-824.35086083399926</v>
      </c>
      <c r="O228" s="16">
        <f t="shared" si="61"/>
        <v>-220.88414744037058</v>
      </c>
    </row>
    <row r="229" spans="1:15" x14ac:dyDescent="0.2">
      <c r="A229" s="6">
        <v>196</v>
      </c>
      <c r="B229" s="16">
        <f t="shared" si="62"/>
        <v>-961.26169593831889</v>
      </c>
      <c r="C229" s="16">
        <f t="shared" si="63"/>
        <v>-275.63735581699899</v>
      </c>
      <c r="D229" s="16">
        <v>0</v>
      </c>
      <c r="E229" s="10">
        <f t="shared" si="51"/>
        <v>-2.681936192632052E-3</v>
      </c>
      <c r="F229" s="10">
        <f t="shared" si="52"/>
        <v>-3.819888143596859E-4</v>
      </c>
      <c r="G229" s="10">
        <f t="shared" si="53"/>
        <v>0</v>
      </c>
      <c r="H229" s="10">
        <f t="shared" si="54"/>
        <v>-1.5319625034958689E-3</v>
      </c>
      <c r="I229" s="10">
        <f t="shared" si="55"/>
        <v>-1.5319625034958689E-3</v>
      </c>
      <c r="J229" s="10">
        <f t="shared" si="56"/>
        <v>2.2999473782723662E-3</v>
      </c>
      <c r="K229" s="17">
        <f t="shared" si="57"/>
        <v>3.452453225657178</v>
      </c>
      <c r="L229" s="17">
        <f t="shared" si="58"/>
        <v>6.0440508420604608</v>
      </c>
      <c r="M229" s="17">
        <f t="shared" si="59"/>
        <v>3.452453225657178</v>
      </c>
      <c r="N229" s="16">
        <f t="shared" si="60"/>
        <v>-829.67776071073467</v>
      </c>
      <c r="O229" s="16">
        <f t="shared" si="61"/>
        <v>-237.90626955050337</v>
      </c>
    </row>
    <row r="230" spans="1:15" x14ac:dyDescent="0.2">
      <c r="A230" s="6">
        <v>197</v>
      </c>
      <c r="B230" s="16">
        <f t="shared" si="62"/>
        <v>-956.30475596303552</v>
      </c>
      <c r="C230" s="16">
        <f t="shared" si="63"/>
        <v>-292.37170472273635</v>
      </c>
      <c r="D230" s="16">
        <v>0</v>
      </c>
      <c r="E230" s="10">
        <f t="shared" si="51"/>
        <v>-2.6506916666528039E-3</v>
      </c>
      <c r="F230" s="10">
        <f t="shared" si="52"/>
        <v>-4.6591177660187922E-4</v>
      </c>
      <c r="G230" s="10">
        <f t="shared" si="53"/>
        <v>0</v>
      </c>
      <c r="H230" s="10">
        <f t="shared" si="54"/>
        <v>-1.5583017216273414E-3</v>
      </c>
      <c r="I230" s="10">
        <f t="shared" si="55"/>
        <v>-1.5583017216273414E-3</v>
      </c>
      <c r="J230" s="10">
        <f t="shared" si="56"/>
        <v>2.1847798900509249E-3</v>
      </c>
      <c r="K230" s="17">
        <f t="shared" si="57"/>
        <v>3.4931483641594241</v>
      </c>
      <c r="L230" s="17">
        <f t="shared" si="58"/>
        <v>5.9418911824019371</v>
      </c>
      <c r="M230" s="17">
        <f t="shared" si="59"/>
        <v>3.4931483641594241</v>
      </c>
      <c r="N230" s="16">
        <f t="shared" si="60"/>
        <v>-835.12859848253868</v>
      </c>
      <c r="O230" s="16">
        <f t="shared" si="61"/>
        <v>-255.32443551968217</v>
      </c>
    </row>
    <row r="231" spans="1:15" x14ac:dyDescent="0.2">
      <c r="A231" s="6">
        <v>198</v>
      </c>
      <c r="B231" s="16">
        <f t="shared" si="62"/>
        <v>-951.05651629515353</v>
      </c>
      <c r="C231" s="16">
        <f t="shared" si="63"/>
        <v>-309.01699437494773</v>
      </c>
      <c r="D231" s="16">
        <v>0</v>
      </c>
      <c r="E231" s="10">
        <f t="shared" si="51"/>
        <v>-2.6186397143140652E-3</v>
      </c>
      <c r="F231" s="10">
        <f t="shared" si="52"/>
        <v>-5.4969281760353485E-4</v>
      </c>
      <c r="G231" s="10">
        <f t="shared" si="53"/>
        <v>0</v>
      </c>
      <c r="H231" s="10">
        <f t="shared" si="54"/>
        <v>-1.5841662659588E-3</v>
      </c>
      <c r="I231" s="10">
        <f t="shared" si="55"/>
        <v>-1.5841662659588E-3</v>
      </c>
      <c r="J231" s="10">
        <f t="shared" si="56"/>
        <v>2.0689468967105304E-3</v>
      </c>
      <c r="K231" s="17">
        <f t="shared" si="57"/>
        <v>3.5359042363277755</v>
      </c>
      <c r="L231" s="17">
        <f t="shared" si="58"/>
        <v>5.8448784437757162</v>
      </c>
      <c r="M231" s="17">
        <f t="shared" si="59"/>
        <v>3.5359042363277755</v>
      </c>
      <c r="N231" s="16">
        <f t="shared" si="60"/>
        <v>-840.71119123879237</v>
      </c>
      <c r="O231" s="16">
        <f t="shared" si="61"/>
        <v>-273.1636248769135</v>
      </c>
    </row>
    <row r="232" spans="1:15" x14ac:dyDescent="0.2">
      <c r="A232" s="6">
        <v>199</v>
      </c>
      <c r="B232" s="16">
        <f t="shared" si="62"/>
        <v>-945.5185755993167</v>
      </c>
      <c r="C232" s="16">
        <f t="shared" si="63"/>
        <v>-325.56815445715677</v>
      </c>
      <c r="D232" s="16">
        <v>0</v>
      </c>
      <c r="E232" s="10">
        <f t="shared" si="51"/>
        <v>-2.5857900989510146E-3</v>
      </c>
      <c r="F232" s="10">
        <f t="shared" si="52"/>
        <v>-6.3330641684795062E-4</v>
      </c>
      <c r="G232" s="10">
        <f t="shared" si="53"/>
        <v>0</v>
      </c>
      <c r="H232" s="10">
        <f t="shared" si="54"/>
        <v>-1.6095482578994827E-3</v>
      </c>
      <c r="I232" s="10">
        <f t="shared" si="55"/>
        <v>-1.6095482578994827E-3</v>
      </c>
      <c r="J232" s="10">
        <f t="shared" si="56"/>
        <v>1.952483682103064E-3</v>
      </c>
      <c r="K232" s="17">
        <f t="shared" si="57"/>
        <v>3.5808240054037994</v>
      </c>
      <c r="L232" s="17">
        <f t="shared" si="58"/>
        <v>5.75270683175596</v>
      </c>
      <c r="M232" s="17">
        <f t="shared" si="59"/>
        <v>3.5808240054037994</v>
      </c>
      <c r="N232" s="16">
        <f t="shared" si="60"/>
        <v>-846.43390326531005</v>
      </c>
      <c r="O232" s="16">
        <f t="shared" si="61"/>
        <v>-291.45056571879974</v>
      </c>
    </row>
    <row r="233" spans="1:15" x14ac:dyDescent="0.2">
      <c r="A233" s="6">
        <v>200</v>
      </c>
      <c r="B233" s="16">
        <f t="shared" si="62"/>
        <v>-939.69262078590839</v>
      </c>
      <c r="C233" s="16">
        <f t="shared" si="63"/>
        <v>-342.02014332566864</v>
      </c>
      <c r="D233" s="16">
        <v>0</v>
      </c>
      <c r="E233" s="10">
        <f t="shared" si="51"/>
        <v>-2.552152826874713E-3</v>
      </c>
      <c r="F233" s="10">
        <f t="shared" si="52"/>
        <v>-7.1672710482281743E-4</v>
      </c>
      <c r="G233" s="10">
        <f t="shared" si="53"/>
        <v>0</v>
      </c>
      <c r="H233" s="10">
        <f t="shared" si="54"/>
        <v>-1.6344399658487652E-3</v>
      </c>
      <c r="I233" s="10">
        <f t="shared" si="55"/>
        <v>-1.6344399658487652E-3</v>
      </c>
      <c r="J233" s="10">
        <f t="shared" si="56"/>
        <v>1.8354257220518956E-3</v>
      </c>
      <c r="K233" s="17">
        <f t="shared" si="57"/>
        <v>3.6280191224276566</v>
      </c>
      <c r="L233" s="17">
        <f t="shared" si="58"/>
        <v>5.6650959672605179</v>
      </c>
      <c r="M233" s="17">
        <f t="shared" si="59"/>
        <v>3.6280191224276566</v>
      </c>
      <c r="N233" s="16">
        <f t="shared" si="60"/>
        <v>-852.30569935385904</v>
      </c>
      <c r="O233" s="16">
        <f t="shared" si="61"/>
        <v>-310.21390506024341</v>
      </c>
    </row>
    <row r="234" spans="1:15" x14ac:dyDescent="0.2">
      <c r="A234" s="6">
        <v>201</v>
      </c>
      <c r="B234" s="16">
        <f t="shared" si="62"/>
        <v>-933.58042649720176</v>
      </c>
      <c r="C234" s="16">
        <f t="shared" si="63"/>
        <v>-358.36794954530046</v>
      </c>
      <c r="D234" s="16">
        <v>0</v>
      </c>
      <c r="E234" s="10">
        <f t="shared" si="51"/>
        <v>-2.5177381443240851E-3</v>
      </c>
      <c r="F234" s="10">
        <f t="shared" si="52"/>
        <v>-7.9992947077846602E-4</v>
      </c>
      <c r="G234" s="10">
        <f t="shared" si="53"/>
        <v>0</v>
      </c>
      <c r="H234" s="10">
        <f t="shared" si="54"/>
        <v>-1.6588338075512756E-3</v>
      </c>
      <c r="I234" s="10">
        <f t="shared" si="55"/>
        <v>-1.6588338075512756E-3</v>
      </c>
      <c r="J234" s="10">
        <f t="shared" si="56"/>
        <v>1.7178086735456189E-3</v>
      </c>
      <c r="K234" s="17">
        <f t="shared" si="57"/>
        <v>3.6776101121290399</v>
      </c>
      <c r="L234" s="17">
        <f t="shared" si="58"/>
        <v>5.5817883727168063</v>
      </c>
      <c r="M234" s="17">
        <f t="shared" si="59"/>
        <v>3.6776101121290399</v>
      </c>
      <c r="N234" s="16">
        <f t="shared" si="60"/>
        <v>-858.33620424296271</v>
      </c>
      <c r="O234" s="16">
        <f t="shared" si="61"/>
        <v>-329.48439877768664</v>
      </c>
    </row>
    <row r="235" spans="1:15" x14ac:dyDescent="0.2">
      <c r="A235" s="6">
        <v>202</v>
      </c>
      <c r="B235" s="16">
        <f t="shared" si="62"/>
        <v>-927.18385456678743</v>
      </c>
      <c r="C235" s="16">
        <f t="shared" si="63"/>
        <v>-374.60659341591202</v>
      </c>
      <c r="D235" s="16">
        <v>0</v>
      </c>
      <c r="E235" s="10">
        <f t="shared" si="51"/>
        <v>-2.4825565343448196E-3</v>
      </c>
      <c r="F235" s="10">
        <f t="shared" si="52"/>
        <v>-8.828881704682224E-4</v>
      </c>
      <c r="G235" s="10">
        <f t="shared" si="53"/>
        <v>0</v>
      </c>
      <c r="H235" s="10">
        <f t="shared" si="54"/>
        <v>-1.6827223524065211E-3</v>
      </c>
      <c r="I235" s="10">
        <f t="shared" si="55"/>
        <v>-1.6827223524065211E-3</v>
      </c>
      <c r="J235" s="10">
        <f t="shared" si="56"/>
        <v>1.5996683638765971E-3</v>
      </c>
      <c r="K235" s="17">
        <f t="shared" si="57"/>
        <v>3.7297274527941027</v>
      </c>
      <c r="L235" s="17">
        <f t="shared" si="58"/>
        <v>5.5025472538694595</v>
      </c>
      <c r="M235" s="17">
        <f t="shared" si="59"/>
        <v>3.7297274527941027</v>
      </c>
      <c r="N235" s="16">
        <f t="shared" si="60"/>
        <v>-864.53576904130045</v>
      </c>
      <c r="O235" s="16">
        <f t="shared" si="61"/>
        <v>-349.29512386525141</v>
      </c>
    </row>
    <row r="236" spans="1:15" x14ac:dyDescent="0.2">
      <c r="A236" s="6">
        <v>203</v>
      </c>
      <c r="B236" s="16">
        <f t="shared" si="62"/>
        <v>-920.50485345244033</v>
      </c>
      <c r="C236" s="16">
        <f t="shared" si="63"/>
        <v>-390.73112848927354</v>
      </c>
      <c r="D236" s="16">
        <v>0</v>
      </c>
      <c r="E236" s="10">
        <f t="shared" si="51"/>
        <v>-2.4466187135961273E-3</v>
      </c>
      <c r="F236" s="10">
        <f t="shared" si="52"/>
        <v>-9.6557793386852463E-4</v>
      </c>
      <c r="G236" s="10">
        <f t="shared" si="53"/>
        <v>0</v>
      </c>
      <c r="H236" s="10">
        <f t="shared" si="54"/>
        <v>-1.706098323732326E-3</v>
      </c>
      <c r="I236" s="10">
        <f t="shared" si="55"/>
        <v>-1.706098323732326E-3</v>
      </c>
      <c r="J236" s="10">
        <f t="shared" si="56"/>
        <v>1.4810407797276027E-3</v>
      </c>
      <c r="K236" s="17">
        <f t="shared" si="57"/>
        <v>3.7845125633203671</v>
      </c>
      <c r="L236" s="17">
        <f t="shared" si="58"/>
        <v>5.4271545376138395</v>
      </c>
      <c r="M236" s="17">
        <f t="shared" si="59"/>
        <v>3.7845125633203671</v>
      </c>
      <c r="N236" s="16">
        <f t="shared" si="60"/>
        <v>-870.91554562203351</v>
      </c>
      <c r="O236" s="16">
        <f t="shared" si="61"/>
        <v>-369.6817161620001</v>
      </c>
    </row>
    <row r="237" spans="1:15" x14ac:dyDescent="0.2">
      <c r="A237" s="6">
        <v>204</v>
      </c>
      <c r="B237" s="16">
        <f t="shared" si="62"/>
        <v>-913.54545764260104</v>
      </c>
      <c r="C237" s="16">
        <f t="shared" si="63"/>
        <v>-406.7366430757998</v>
      </c>
      <c r="D237" s="16">
        <v>0</v>
      </c>
      <c r="E237" s="10">
        <f t="shared" si="51"/>
        <v>-2.4099356290863466E-3</v>
      </c>
      <c r="F237" s="10">
        <f t="shared" si="52"/>
        <v>-1.0479735728764067E-3</v>
      </c>
      <c r="G237" s="10">
        <f t="shared" si="53"/>
        <v>0</v>
      </c>
      <c r="H237" s="10">
        <f t="shared" si="54"/>
        <v>-1.7289546009813766E-3</v>
      </c>
      <c r="I237" s="10">
        <f t="shared" si="55"/>
        <v>-1.7289546009813766E-3</v>
      </c>
      <c r="J237" s="10">
        <f t="shared" si="56"/>
        <v>1.3619620562099399E-3</v>
      </c>
      <c r="K237" s="17">
        <f t="shared" si="57"/>
        <v>3.842118912848151</v>
      </c>
      <c r="L237" s="17">
        <f t="shared" si="58"/>
        <v>5.3554091322025377</v>
      </c>
      <c r="M237" s="17">
        <f t="shared" si="59"/>
        <v>3.842118912848151</v>
      </c>
      <c r="N237" s="16">
        <f t="shared" si="60"/>
        <v>-877.48757013878924</v>
      </c>
      <c r="O237" s="16">
        <f t="shared" si="61"/>
        <v>-390.68263722747457</v>
      </c>
    </row>
    <row r="238" spans="1:15" x14ac:dyDescent="0.2">
      <c r="A238" s="6">
        <v>205</v>
      </c>
      <c r="B238" s="16">
        <f t="shared" si="62"/>
        <v>-906.3077870366501</v>
      </c>
      <c r="C238" s="16">
        <f t="shared" si="63"/>
        <v>-422.61826174069927</v>
      </c>
      <c r="D238" s="16">
        <v>0</v>
      </c>
      <c r="E238" s="10">
        <f t="shared" si="51"/>
        <v>-2.3725184548383745E-3</v>
      </c>
      <c r="F238" s="10">
        <f t="shared" si="52"/>
        <v>-1.1300499889820446E-3</v>
      </c>
      <c r="G238" s="10">
        <f t="shared" si="53"/>
        <v>0</v>
      </c>
      <c r="H238" s="10">
        <f t="shared" si="54"/>
        <v>-1.7512842219102095E-3</v>
      </c>
      <c r="I238" s="10">
        <f t="shared" si="55"/>
        <v>-1.7512842219102095E-3</v>
      </c>
      <c r="J238" s="10">
        <f t="shared" si="56"/>
        <v>1.2424684658563299E-3</v>
      </c>
      <c r="K238" s="17">
        <f t="shared" si="57"/>
        <v>3.9027132709448349</v>
      </c>
      <c r="L238" s="17">
        <f t="shared" si="58"/>
        <v>5.2871253811444392</v>
      </c>
      <c r="M238" s="17">
        <f t="shared" si="59"/>
        <v>3.9027132709448349</v>
      </c>
      <c r="N238" s="16">
        <f t="shared" si="60"/>
        <v>-884.26485700714488</v>
      </c>
      <c r="O238" s="16">
        <f t="shared" si="61"/>
        <v>-412.33947465976621</v>
      </c>
    </row>
    <row r="239" spans="1:15" x14ac:dyDescent="0.2">
      <c r="A239" s="6">
        <v>206</v>
      </c>
      <c r="B239" s="16">
        <f t="shared" si="62"/>
        <v>-898.79404629916712</v>
      </c>
      <c r="C239" s="16">
        <f t="shared" si="63"/>
        <v>-438.37114678907705</v>
      </c>
      <c r="D239" s="16">
        <v>0</v>
      </c>
      <c r="E239" s="10">
        <f t="shared" si="51"/>
        <v>-2.3343785884859564E-3</v>
      </c>
      <c r="F239" s="10">
        <f t="shared" si="52"/>
        <v>-1.2117821809139971E-3</v>
      </c>
      <c r="G239" s="10">
        <f t="shared" si="53"/>
        <v>0</v>
      </c>
      <c r="H239" s="10">
        <f t="shared" si="54"/>
        <v>-1.7730803846999767E-3</v>
      </c>
      <c r="I239" s="10">
        <f t="shared" si="55"/>
        <v>-1.7730803846999767E-3</v>
      </c>
      <c r="J239" s="10">
        <f t="shared" si="56"/>
        <v>1.1225964075719593E-3</v>
      </c>
      <c r="K239" s="17">
        <f t="shared" si="57"/>
        <v>3.9664771194053308</v>
      </c>
      <c r="L239" s="17">
        <f t="shared" si="58"/>
        <v>5.2221316862777316</v>
      </c>
      <c r="M239" s="17">
        <f t="shared" si="59"/>
        <v>3.9664771194053308</v>
      </c>
      <c r="N239" s="16">
        <f t="shared" si="60"/>
        <v>-891.26150492584543</v>
      </c>
      <c r="O239" s="16">
        <f t="shared" si="61"/>
        <v>-434.69728088658741</v>
      </c>
    </row>
    <row r="240" spans="1:15" x14ac:dyDescent="0.2">
      <c r="A240" s="6">
        <v>207</v>
      </c>
      <c r="B240" s="16">
        <f t="shared" si="62"/>
        <v>-891.00652418836808</v>
      </c>
      <c r="C240" s="16">
        <f t="shared" si="63"/>
        <v>-453.99049973954624</v>
      </c>
      <c r="D240" s="16">
        <v>0</v>
      </c>
      <c r="E240" s="10">
        <f t="shared" si="51"/>
        <v>-2.2955276478018529E-3</v>
      </c>
      <c r="F240" s="10">
        <f t="shared" si="52"/>
        <v>-1.2931452522548454E-3</v>
      </c>
      <c r="G240" s="10">
        <f t="shared" si="53"/>
        <v>0</v>
      </c>
      <c r="H240" s="10">
        <f t="shared" si="54"/>
        <v>-1.7943364500283491E-3</v>
      </c>
      <c r="I240" s="10">
        <f t="shared" si="55"/>
        <v>-1.7943364500283491E-3</v>
      </c>
      <c r="J240" s="10">
        <f t="shared" si="56"/>
        <v>1.0023823955470075E-3</v>
      </c>
      <c r="K240" s="17">
        <f t="shared" si="57"/>
        <v>4.0336082504280544</v>
      </c>
      <c r="L240" s="17">
        <f t="shared" si="58"/>
        <v>5.16026927899334</v>
      </c>
      <c r="M240" s="17">
        <f t="shared" si="59"/>
        <v>4.0336082504280544</v>
      </c>
      <c r="N240" s="16">
        <f t="shared" si="60"/>
        <v>-898.49281678785633</v>
      </c>
      <c r="O240" s="16">
        <f t="shared" si="61"/>
        <v>-457.80495634134729</v>
      </c>
    </row>
    <row r="241" spans="1:15" x14ac:dyDescent="0.2">
      <c r="A241" s="6">
        <v>208</v>
      </c>
      <c r="B241" s="16">
        <f t="shared" si="62"/>
        <v>-882.9475928589269</v>
      </c>
      <c r="C241" s="16">
        <f t="shared" si="63"/>
        <v>-469.47156278589085</v>
      </c>
      <c r="D241" s="16">
        <v>0</v>
      </c>
      <c r="E241" s="10">
        <f t="shared" si="51"/>
        <v>-2.2559774671589519E-3</v>
      </c>
      <c r="F241" s="10">
        <f t="shared" si="52"/>
        <v>-1.3741144190248813E-3</v>
      </c>
      <c r="G241" s="10">
        <f t="shared" si="53"/>
        <v>0</v>
      </c>
      <c r="H241" s="10">
        <f t="shared" si="54"/>
        <v>-1.8150459430919166E-3</v>
      </c>
      <c r="I241" s="10">
        <f t="shared" si="55"/>
        <v>-1.8150459430919166E-3</v>
      </c>
      <c r="J241" s="10">
        <f t="shared" si="56"/>
        <v>8.8186304813407061E-4</v>
      </c>
      <c r="K241" s="17">
        <f t="shared" si="57"/>
        <v>4.1043225803668317</v>
      </c>
      <c r="L241" s="17">
        <f t="shared" si="58"/>
        <v>5.1013911215306118</v>
      </c>
      <c r="M241" s="17">
        <f t="shared" si="59"/>
        <v>4.1043225803668317</v>
      </c>
      <c r="N241" s="16">
        <f t="shared" si="60"/>
        <v>-905.97543566285844</v>
      </c>
      <c r="O241" s="16">
        <f t="shared" si="61"/>
        <v>-481.71568399555917</v>
      </c>
    </row>
    <row r="242" spans="1:15" x14ac:dyDescent="0.2">
      <c r="A242" s="6">
        <v>209</v>
      </c>
      <c r="B242" s="16">
        <f t="shared" si="62"/>
        <v>-874.61970713939581</v>
      </c>
      <c r="C242" s="16">
        <f t="shared" si="63"/>
        <v>-484.80962024633692</v>
      </c>
      <c r="D242" s="16">
        <v>0</v>
      </c>
      <c r="E242" s="10">
        <f t="shared" si="51"/>
        <v>-2.2157400939254107E-3</v>
      </c>
      <c r="F242" s="10">
        <f t="shared" si="52"/>
        <v>-1.454665017231533E-3</v>
      </c>
      <c r="G242" s="10">
        <f t="shared" si="53"/>
        <v>0</v>
      </c>
      <c r="H242" s="10">
        <f t="shared" si="54"/>
        <v>-1.8352025555784719E-3</v>
      </c>
      <c r="I242" s="10">
        <f t="shared" si="55"/>
        <v>-1.8352025555784719E-3</v>
      </c>
      <c r="J242" s="10">
        <f t="shared" si="56"/>
        <v>7.6107507669387776E-4</v>
      </c>
      <c r="K242" s="17">
        <f t="shared" si="57"/>
        <v>4.1788562136164318</v>
      </c>
      <c r="L242" s="17">
        <f t="shared" si="58"/>
        <v>5.0453609227569212</v>
      </c>
      <c r="M242" s="17">
        <f t="shared" si="59"/>
        <v>4.1788562136164318</v>
      </c>
      <c r="N242" s="16">
        <f t="shared" si="60"/>
        <v>-913.72749943271197</v>
      </c>
      <c r="O242" s="16">
        <f t="shared" si="61"/>
        <v>-506.48742349685693</v>
      </c>
    </row>
    <row r="243" spans="1:15" x14ac:dyDescent="0.2">
      <c r="A243" s="6">
        <v>210</v>
      </c>
      <c r="B243" s="16">
        <f t="shared" si="62"/>
        <v>-866.02540378443859</v>
      </c>
      <c r="C243" s="16">
        <f t="shared" si="63"/>
        <v>-500.00000000000011</v>
      </c>
      <c r="D243" s="16">
        <v>0</v>
      </c>
      <c r="E243" s="10">
        <f t="shared" si="51"/>
        <v>-2.1748277847949034E-3</v>
      </c>
      <c r="F243" s="10">
        <f t="shared" si="52"/>
        <v>-1.5347725103822818E-3</v>
      </c>
      <c r="G243" s="10">
        <f t="shared" si="53"/>
        <v>0</v>
      </c>
      <c r="H243" s="10">
        <f t="shared" si="54"/>
        <v>-1.8548001475885926E-3</v>
      </c>
      <c r="I243" s="10">
        <f t="shared" si="55"/>
        <v>-1.8548001475885926E-3</v>
      </c>
      <c r="J243" s="10">
        <f t="shared" si="56"/>
        <v>6.4005527441262158E-4</v>
      </c>
      <c r="K243" s="17">
        <f t="shared" si="57"/>
        <v>4.2574677976778057</v>
      </c>
      <c r="L243" s="17">
        <f t="shared" si="58"/>
        <v>4.9920522549543307</v>
      </c>
      <c r="M243" s="17">
        <f t="shared" si="59"/>
        <v>4.2574677976778057</v>
      </c>
      <c r="N243" s="16">
        <f t="shared" si="60"/>
        <v>-921.76881714579156</v>
      </c>
      <c r="O243" s="16">
        <f t="shared" si="61"/>
        <v>-532.18347470972583</v>
      </c>
    </row>
    <row r="244" spans="1:15" x14ac:dyDescent="0.2">
      <c r="A244" s="6">
        <v>211</v>
      </c>
      <c r="B244" s="16">
        <f t="shared" si="62"/>
        <v>-857.16730070211236</v>
      </c>
      <c r="C244" s="16">
        <f t="shared" si="63"/>
        <v>-515.03807491005421</v>
      </c>
      <c r="D244" s="16">
        <v>0</v>
      </c>
      <c r="E244" s="10">
        <f t="shared" si="51"/>
        <v>-2.1332530020531184E-3</v>
      </c>
      <c r="F244" s="10">
        <f t="shared" si="52"/>
        <v>-1.614412496958691E-3</v>
      </c>
      <c r="G244" s="10">
        <f t="shared" si="53"/>
        <v>0</v>
      </c>
      <c r="H244" s="10">
        <f t="shared" si="54"/>
        <v>-1.8738327495059046E-3</v>
      </c>
      <c r="I244" s="10">
        <f t="shared" si="55"/>
        <v>-1.8738327495059046E-3</v>
      </c>
      <c r="J244" s="10">
        <f t="shared" si="56"/>
        <v>5.1884050509442745E-4</v>
      </c>
      <c r="K244" s="17">
        <f t="shared" si="57"/>
        <v>4.3404412183401684</v>
      </c>
      <c r="L244" s="17">
        <f t="shared" si="58"/>
        <v>4.9413477599325528</v>
      </c>
      <c r="M244" s="17">
        <f t="shared" si="59"/>
        <v>4.3404412183401684</v>
      </c>
      <c r="N244" s="16">
        <f t="shared" si="60"/>
        <v>-930.12107074520748</v>
      </c>
      <c r="O244" s="16">
        <f t="shared" si="61"/>
        <v>-558.87312233854266</v>
      </c>
    </row>
    <row r="245" spans="1:15" x14ac:dyDescent="0.2">
      <c r="A245" s="6">
        <v>212</v>
      </c>
      <c r="B245" s="16">
        <f t="shared" si="62"/>
        <v>-848.04809615642603</v>
      </c>
      <c r="C245" s="16">
        <f t="shared" si="63"/>
        <v>-529.91926423320479</v>
      </c>
      <c r="D245" s="16">
        <v>0</v>
      </c>
      <c r="E245" s="10">
        <f t="shared" si="51"/>
        <v>-2.0910284097816222E-3</v>
      </c>
      <c r="F245" s="10">
        <f t="shared" si="52"/>
        <v>-1.6935607178493613E-3</v>
      </c>
      <c r="G245" s="10">
        <f t="shared" si="53"/>
        <v>0</v>
      </c>
      <c r="H245" s="10">
        <f t="shared" si="54"/>
        <v>-1.8922945638154918E-3</v>
      </c>
      <c r="I245" s="10">
        <f t="shared" si="55"/>
        <v>-1.8922945638154918E-3</v>
      </c>
      <c r="J245" s="10">
        <f t="shared" si="56"/>
        <v>3.9746769193226093E-4</v>
      </c>
      <c r="K245" s="17">
        <f t="shared" si="57"/>
        <v>4.4280886935564183</v>
      </c>
      <c r="L245" s="17">
        <f t="shared" si="58"/>
        <v>4.8931384343194058</v>
      </c>
      <c r="M245" s="17">
        <f t="shared" si="59"/>
        <v>4.4280886935564183</v>
      </c>
      <c r="N245" s="16">
        <f t="shared" si="60"/>
        <v>-938.80804654557903</v>
      </c>
      <c r="O245" s="16">
        <f t="shared" si="61"/>
        <v>-586.63237561219751</v>
      </c>
    </row>
    <row r="246" spans="1:15" x14ac:dyDescent="0.2">
      <c r="A246" s="6">
        <v>213</v>
      </c>
      <c r="B246" s="16">
        <f t="shared" si="62"/>
        <v>-838.67056794542407</v>
      </c>
      <c r="C246" s="16">
        <f t="shared" si="63"/>
        <v>-544.63903501502705</v>
      </c>
      <c r="D246" s="16">
        <v>0</v>
      </c>
      <c r="E246" s="10">
        <f t="shared" si="51"/>
        <v>-2.048166870000259E-3</v>
      </c>
      <c r="F246" s="10">
        <f t="shared" si="52"/>
        <v>-1.7721930637394853E-3</v>
      </c>
      <c r="G246" s="10">
        <f t="shared" si="53"/>
        <v>0</v>
      </c>
      <c r="H246" s="10">
        <f t="shared" si="54"/>
        <v>-1.9101799668698721E-3</v>
      </c>
      <c r="I246" s="10">
        <f t="shared" si="55"/>
        <v>-1.9101799668698721E-3</v>
      </c>
      <c r="J246" s="10">
        <f t="shared" si="56"/>
        <v>2.7597380626077374E-4</v>
      </c>
      <c r="K246" s="17">
        <f t="shared" si="57"/>
        <v>4.5207543364169771</v>
      </c>
      <c r="L246" s="17">
        <f t="shared" si="58"/>
        <v>4.847322985190762</v>
      </c>
      <c r="M246" s="17">
        <f t="shared" si="59"/>
        <v>4.5207543364169771</v>
      </c>
      <c r="N246" s="16">
        <f t="shared" si="60"/>
        <v>-947.85590171614126</v>
      </c>
      <c r="O246" s="16">
        <f t="shared" si="61"/>
        <v>-615.54481983153539</v>
      </c>
    </row>
    <row r="247" spans="1:15" x14ac:dyDescent="0.2">
      <c r="A247" s="6">
        <v>214</v>
      </c>
      <c r="B247" s="16">
        <f t="shared" si="62"/>
        <v>-829.03757255504183</v>
      </c>
      <c r="C247" s="16">
        <f t="shared" si="63"/>
        <v>-559.19290347074673</v>
      </c>
      <c r="D247" s="16">
        <v>0</v>
      </c>
      <c r="E247" s="10">
        <f t="shared" si="51"/>
        <v>-2.004681438749256E-3</v>
      </c>
      <c r="F247" s="10">
        <f t="shared" si="52"/>
        <v>-1.8502855824547733E-3</v>
      </c>
      <c r="G247" s="10">
        <f t="shared" si="53"/>
        <v>0</v>
      </c>
      <c r="H247" s="10">
        <f t="shared" si="54"/>
        <v>-1.9274835106020147E-3</v>
      </c>
      <c r="I247" s="10">
        <f t="shared" si="55"/>
        <v>-1.9274835106020147E-3</v>
      </c>
      <c r="J247" s="10">
        <f t="shared" si="56"/>
        <v>1.5439585629448268E-4</v>
      </c>
      <c r="K247" s="17">
        <f t="shared" si="57"/>
        <v>4.6188182722119766</v>
      </c>
      <c r="L247" s="17">
        <f t="shared" si="58"/>
        <v>4.8038072483262368</v>
      </c>
      <c r="M247" s="17">
        <f t="shared" si="59"/>
        <v>4.6188182722119766</v>
      </c>
      <c r="N247" s="16">
        <f t="shared" si="60"/>
        <v>-957.29347211687241</v>
      </c>
      <c r="O247" s="16">
        <f t="shared" si="61"/>
        <v>-645.70260006048829</v>
      </c>
    </row>
    <row r="248" spans="1:15" x14ac:dyDescent="0.2">
      <c r="A248" s="6">
        <v>215</v>
      </c>
      <c r="B248" s="16">
        <f t="shared" si="62"/>
        <v>-819.15204428899199</v>
      </c>
      <c r="C248" s="16">
        <f t="shared" si="63"/>
        <v>-573.5764363510458</v>
      </c>
      <c r="D248" s="16">
        <v>0</v>
      </c>
      <c r="E248" s="10">
        <f t="shared" si="51"/>
        <v>-1.9605853621122247E-3</v>
      </c>
      <c r="F248" s="10">
        <f t="shared" si="52"/>
        <v>-1.9278144862575263E-3</v>
      </c>
      <c r="G248" s="10">
        <f t="shared" si="53"/>
        <v>0</v>
      </c>
      <c r="H248" s="10">
        <f t="shared" si="54"/>
        <v>-1.9441999241848755E-3</v>
      </c>
      <c r="I248" s="10">
        <f t="shared" si="55"/>
        <v>-1.9441999241848755E-3</v>
      </c>
      <c r="J248" s="10">
        <f t="shared" si="56"/>
        <v>3.2770875854698338E-5</v>
      </c>
      <c r="K248" s="17">
        <f t="shared" si="57"/>
        <v>4.7227014126453808</v>
      </c>
      <c r="L248" s="17">
        <f t="shared" si="58"/>
        <v>4.7625036623439287</v>
      </c>
      <c r="M248" s="17">
        <f t="shared" si="59"/>
        <v>4.7227014126453808</v>
      </c>
      <c r="N248" s="16">
        <f t="shared" si="60"/>
        <v>-967.15262918374344</v>
      </c>
      <c r="O248" s="16">
        <f t="shared" si="61"/>
        <v>-677.20756155379684</v>
      </c>
    </row>
    <row r="249" spans="1:15" x14ac:dyDescent="0.2">
      <c r="A249" s="6">
        <v>216</v>
      </c>
      <c r="B249" s="16">
        <f t="shared" si="62"/>
        <v>-809.01699437494756</v>
      </c>
      <c r="C249" s="16">
        <f t="shared" si="63"/>
        <v>-587.78525229247305</v>
      </c>
      <c r="D249" s="16">
        <v>0</v>
      </c>
      <c r="E249" s="10">
        <f t="shared" si="51"/>
        <v>-1.9158920721812768E-3</v>
      </c>
      <c r="F249" s="10">
        <f t="shared" si="52"/>
        <v>-2.0047561590926096E-3</v>
      </c>
      <c r="G249" s="10">
        <f t="shared" si="53"/>
        <v>0</v>
      </c>
      <c r="H249" s="10">
        <f t="shared" si="54"/>
        <v>-1.960324115636943E-3</v>
      </c>
      <c r="I249" s="10">
        <f t="shared" si="55"/>
        <v>-1.960324115636943E-3</v>
      </c>
      <c r="J249" s="10">
        <f t="shared" si="56"/>
        <v>-8.8864086911332862E-5</v>
      </c>
      <c r="K249" s="17">
        <f t="shared" si="57"/>
        <v>4.6186461217558614</v>
      </c>
      <c r="L249" s="17">
        <f t="shared" si="58"/>
        <v>4.7233307928014581</v>
      </c>
      <c r="M249" s="17">
        <f t="shared" si="59"/>
        <v>4.6186461217558614</v>
      </c>
      <c r="N249" s="16">
        <f t="shared" si="60"/>
        <v>-934.14080087610876</v>
      </c>
      <c r="O249" s="16">
        <f t="shared" si="61"/>
        <v>-678.69301898148035</v>
      </c>
    </row>
    <row r="250" spans="1:15" x14ac:dyDescent="0.2">
      <c r="A250" s="6">
        <v>217</v>
      </c>
      <c r="B250" s="16">
        <f t="shared" si="62"/>
        <v>-798.635510047293</v>
      </c>
      <c r="C250" s="16">
        <f t="shared" si="63"/>
        <v>-601.81502315204807</v>
      </c>
      <c r="D250" s="16">
        <v>0</v>
      </c>
      <c r="E250" s="10">
        <f t="shared" si="51"/>
        <v>-1.8706151829654795E-3</v>
      </c>
      <c r="F250" s="10">
        <f t="shared" si="52"/>
        <v>-2.0810871637811216E-3</v>
      </c>
      <c r="G250" s="10">
        <f t="shared" si="53"/>
        <v>0</v>
      </c>
      <c r="H250" s="10">
        <f t="shared" si="54"/>
        <v>-1.9758511733733008E-3</v>
      </c>
      <c r="I250" s="10">
        <f t="shared" si="55"/>
        <v>-1.9758511733733008E-3</v>
      </c>
      <c r="J250" s="10">
        <f t="shared" si="56"/>
        <v>-2.1047198081564208E-4</v>
      </c>
      <c r="K250" s="17">
        <f t="shared" si="57"/>
        <v>4.4492414447630031</v>
      </c>
      <c r="L250" s="17">
        <f t="shared" si="58"/>
        <v>4.6862129010715181</v>
      </c>
      <c r="M250" s="17">
        <f t="shared" si="59"/>
        <v>4.4492414447630031</v>
      </c>
      <c r="N250" s="16">
        <f t="shared" si="60"/>
        <v>-888.33055264046391</v>
      </c>
      <c r="O250" s="16">
        <f t="shared" si="61"/>
        <v>-669.40508577227467</v>
      </c>
    </row>
    <row r="251" spans="1:15" x14ac:dyDescent="0.2">
      <c r="A251" s="6">
        <v>218</v>
      </c>
      <c r="B251" s="16">
        <f t="shared" si="62"/>
        <v>-788.01075360672223</v>
      </c>
      <c r="C251" s="16">
        <f t="shared" si="63"/>
        <v>-615.66147532565788</v>
      </c>
      <c r="D251" s="16">
        <v>0</v>
      </c>
      <c r="E251" s="10">
        <f t="shared" si="51"/>
        <v>-1.824768486243895E-3</v>
      </c>
      <c r="F251" s="10">
        <f t="shared" si="52"/>
        <v>-2.1567842491596019E-3</v>
      </c>
      <c r="G251" s="10">
        <f t="shared" si="53"/>
        <v>0</v>
      </c>
      <c r="H251" s="10">
        <f t="shared" si="54"/>
        <v>-1.9907763677017485E-3</v>
      </c>
      <c r="I251" s="10">
        <f t="shared" si="55"/>
        <v>-1.9907763677017485E-3</v>
      </c>
      <c r="J251" s="10">
        <f t="shared" si="56"/>
        <v>-3.3201576291570691E-4</v>
      </c>
      <c r="K251" s="17">
        <f t="shared" si="57"/>
        <v>4.293085533644434</v>
      </c>
      <c r="L251" s="17">
        <f t="shared" si="58"/>
        <v>4.6510795534249834</v>
      </c>
      <c r="M251" s="17">
        <f t="shared" si="59"/>
        <v>4.293085533644434</v>
      </c>
      <c r="N251" s="16">
        <f t="shared" si="60"/>
        <v>-845.74939166631691</v>
      </c>
      <c r="O251" s="16">
        <f t="shared" si="61"/>
        <v>-660.77184333569289</v>
      </c>
    </row>
    <row r="252" spans="1:15" x14ac:dyDescent="0.2">
      <c r="A252" s="6">
        <v>219</v>
      </c>
      <c r="B252" s="16">
        <f t="shared" si="62"/>
        <v>-777.14596145697078</v>
      </c>
      <c r="C252" s="16">
        <f t="shared" si="63"/>
        <v>-629.32039104983767</v>
      </c>
      <c r="D252" s="16">
        <v>0</v>
      </c>
      <c r="E252" s="10">
        <f t="shared" si="51"/>
        <v>-1.7783659473644695E-3</v>
      </c>
      <c r="F252" s="10">
        <f t="shared" si="52"/>
        <v>-2.2318243571625542E-3</v>
      </c>
      <c r="G252" s="10">
        <f t="shared" si="53"/>
        <v>0</v>
      </c>
      <c r="H252" s="10">
        <f t="shared" si="54"/>
        <v>-2.0050951522635118E-3</v>
      </c>
      <c r="I252" s="10">
        <f t="shared" si="55"/>
        <v>-2.0050951522635118E-3</v>
      </c>
      <c r="J252" s="10">
        <f t="shared" si="56"/>
        <v>-4.5345840979808469E-4</v>
      </c>
      <c r="K252" s="17">
        <f t="shared" si="57"/>
        <v>4.1487401235422867</v>
      </c>
      <c r="L252" s="17">
        <f t="shared" si="58"/>
        <v>4.617865266297545</v>
      </c>
      <c r="M252" s="17">
        <f t="shared" si="59"/>
        <v>4.1487401235422867</v>
      </c>
      <c r="N252" s="16">
        <f t="shared" si="60"/>
        <v>-806.04415803634549</v>
      </c>
      <c r="O252" s="16">
        <f t="shared" si="61"/>
        <v>-652.72168922794594</v>
      </c>
    </row>
    <row r="253" spans="1:15" x14ac:dyDescent="0.2">
      <c r="A253" s="6">
        <v>220</v>
      </c>
      <c r="B253" s="16">
        <f t="shared" si="62"/>
        <v>-766.04444311897805</v>
      </c>
      <c r="C253" s="16">
        <f t="shared" si="63"/>
        <v>-642.78760968653921</v>
      </c>
      <c r="D253" s="16">
        <v>0</v>
      </c>
      <c r="E253" s="10">
        <f t="shared" si="51"/>
        <v>-1.7314217009900615E-3</v>
      </c>
      <c r="F253" s="10">
        <f t="shared" si="52"/>
        <v>-2.306184629846142E-3</v>
      </c>
      <c r="G253" s="10">
        <f t="shared" si="53"/>
        <v>0</v>
      </c>
      <c r="H253" s="10">
        <f t="shared" si="54"/>
        <v>-2.0188031654181015E-3</v>
      </c>
      <c r="I253" s="10">
        <f t="shared" si="55"/>
        <v>-2.0188031654181015E-3</v>
      </c>
      <c r="J253" s="10">
        <f t="shared" si="56"/>
        <v>-5.7476292885608052E-4</v>
      </c>
      <c r="K253" s="17">
        <f t="shared" si="57"/>
        <v>4.014968766779524</v>
      </c>
      <c r="L253" s="17">
        <f t="shared" si="58"/>
        <v>4.5865091841886585</v>
      </c>
      <c r="M253" s="17">
        <f t="shared" si="59"/>
        <v>4.014968766779524</v>
      </c>
      <c r="N253" s="16">
        <f t="shared" si="60"/>
        <v>-768.91112827192762</v>
      </c>
      <c r="O253" s="16">
        <f t="shared" si="61"/>
        <v>-645.19304414108058</v>
      </c>
    </row>
    <row r="254" spans="1:15" x14ac:dyDescent="0.2">
      <c r="A254" s="6">
        <v>221</v>
      </c>
      <c r="B254" s="16">
        <f t="shared" si="62"/>
        <v>-754.70958022277193</v>
      </c>
      <c r="C254" s="16">
        <f t="shared" si="63"/>
        <v>-656.05902899050739</v>
      </c>
      <c r="D254" s="16">
        <v>0</v>
      </c>
      <c r="E254" s="10">
        <f t="shared" si="51"/>
        <v>-1.6839500467928717E-3</v>
      </c>
      <c r="F254" s="10">
        <f t="shared" si="52"/>
        <v>-2.3798424163509685E-3</v>
      </c>
      <c r="G254" s="10">
        <f t="shared" si="53"/>
        <v>0</v>
      </c>
      <c r="H254" s="10">
        <f t="shared" si="54"/>
        <v>-2.0318962315719201E-3</v>
      </c>
      <c r="I254" s="10">
        <f t="shared" si="55"/>
        <v>-2.0318962315719201E-3</v>
      </c>
      <c r="J254" s="10">
        <f t="shared" si="56"/>
        <v>-6.9589236955809684E-4</v>
      </c>
      <c r="K254" s="17">
        <f t="shared" si="57"/>
        <v>3.8907026766320754</v>
      </c>
      <c r="L254" s="17">
        <f t="shared" si="58"/>
        <v>4.5569547870543028</v>
      </c>
      <c r="M254" s="17">
        <f t="shared" si="59"/>
        <v>3.8907026766320754</v>
      </c>
      <c r="N254" s="16">
        <f t="shared" si="60"/>
        <v>-734.08764596315223</v>
      </c>
      <c r="O254" s="16">
        <f t="shared" si="61"/>
        <v>-638.13265503050184</v>
      </c>
    </row>
    <row r="255" spans="1:15" x14ac:dyDescent="0.2">
      <c r="A255" s="6">
        <v>222</v>
      </c>
      <c r="B255" s="16">
        <f t="shared" si="62"/>
        <v>-743.14482547739419</v>
      </c>
      <c r="C255" s="16">
        <f t="shared" si="63"/>
        <v>-669.13060635885824</v>
      </c>
      <c r="D255" s="16">
        <v>0</v>
      </c>
      <c r="E255" s="10">
        <f t="shared" si="51"/>
        <v>-1.635965445098639E-3</v>
      </c>
      <c r="F255" s="10">
        <f t="shared" si="52"/>
        <v>-2.4527752798017229E-3</v>
      </c>
      <c r="G255" s="10">
        <f t="shared" si="53"/>
        <v>0</v>
      </c>
      <c r="H255" s="10">
        <f t="shared" si="54"/>
        <v>-2.0443703624501812E-3</v>
      </c>
      <c r="I255" s="10">
        <f t="shared" si="55"/>
        <v>-2.0443703624501812E-3</v>
      </c>
      <c r="J255" s="10">
        <f t="shared" si="56"/>
        <v>-8.1680983470308393E-4</v>
      </c>
      <c r="K255" s="17">
        <f t="shared" si="57"/>
        <v>3.7750132821004936</v>
      </c>
      <c r="L255" s="17">
        <f t="shared" si="58"/>
        <v>4.5291496244164007</v>
      </c>
      <c r="M255" s="17">
        <f t="shared" si="59"/>
        <v>3.7750132821004936</v>
      </c>
      <c r="N255" s="16">
        <f t="shared" si="60"/>
        <v>-701.3453966753541</v>
      </c>
      <c r="O255" s="16">
        <f t="shared" si="61"/>
        <v>-631.49423161616176</v>
      </c>
    </row>
    <row r="256" spans="1:15" x14ac:dyDescent="0.2">
      <c r="A256" s="6">
        <v>223</v>
      </c>
      <c r="B256" s="16">
        <f t="shared" si="62"/>
        <v>-731.35370161917058</v>
      </c>
      <c r="C256" s="16">
        <f t="shared" si="63"/>
        <v>-681.99836006249836</v>
      </c>
      <c r="D256" s="16">
        <v>0</v>
      </c>
      <c r="E256" s="10">
        <f t="shared" si="51"/>
        <v>-1.5874825124818771E-3</v>
      </c>
      <c r="F256" s="10">
        <f t="shared" si="52"/>
        <v>-2.524961004141681E-3</v>
      </c>
      <c r="G256" s="10">
        <f t="shared" si="53"/>
        <v>0</v>
      </c>
      <c r="H256" s="10">
        <f t="shared" si="54"/>
        <v>-2.0562217583117793E-3</v>
      </c>
      <c r="I256" s="10">
        <f t="shared" si="55"/>
        <v>-2.0562217583117793E-3</v>
      </c>
      <c r="J256" s="10">
        <f t="shared" si="56"/>
        <v>-9.3747849165980385E-4</v>
      </c>
      <c r="K256" s="17">
        <f t="shared" si="57"/>
        <v>3.6670900041906953</v>
      </c>
      <c r="L256" s="17">
        <f t="shared" si="58"/>
        <v>4.503045073728523</v>
      </c>
      <c r="M256" s="17">
        <f t="shared" si="59"/>
        <v>3.6670900041906953</v>
      </c>
      <c r="N256" s="16">
        <f t="shared" si="60"/>
        <v>-670.48496218388118</v>
      </c>
      <c r="O256" s="16">
        <f t="shared" si="61"/>
        <v>-625.23734226490865</v>
      </c>
    </row>
    <row r="257" spans="1:15" x14ac:dyDescent="0.2">
      <c r="A257" s="6">
        <v>224</v>
      </c>
      <c r="B257" s="16">
        <f t="shared" si="62"/>
        <v>-719.33980033865112</v>
      </c>
      <c r="C257" s="16">
        <f t="shared" si="63"/>
        <v>-694.65837045899741</v>
      </c>
      <c r="D257" s="16">
        <v>0</v>
      </c>
      <c r="E257" s="10">
        <f t="shared" si="51"/>
        <v>-1.5385160173135232E-3</v>
      </c>
      <c r="F257" s="10">
        <f t="shared" si="52"/>
        <v>-2.5963776008999335E-3</v>
      </c>
      <c r="G257" s="10">
        <f t="shared" si="53"/>
        <v>0</v>
      </c>
      <c r="H257" s="10">
        <f t="shared" si="54"/>
        <v>-2.0674468091067284E-3</v>
      </c>
      <c r="I257" s="10">
        <f t="shared" si="55"/>
        <v>-2.0674468091067284E-3</v>
      </c>
      <c r="J257" s="10">
        <f t="shared" si="56"/>
        <v>-1.0578615835864103E-3</v>
      </c>
      <c r="K257" s="17">
        <f t="shared" si="57"/>
        <v>3.5662221304212052</v>
      </c>
      <c r="L257" s="17">
        <f t="shared" si="58"/>
        <v>4.4785961208162171</v>
      </c>
      <c r="M257" s="17">
        <f t="shared" si="59"/>
        <v>3.5662221304212052</v>
      </c>
      <c r="N257" s="16">
        <f t="shared" si="60"/>
        <v>-641.3313788151172</v>
      </c>
      <c r="O257" s="16">
        <f t="shared" si="61"/>
        <v>-619.32651345330214</v>
      </c>
    </row>
    <row r="258" spans="1:15" x14ac:dyDescent="0.2">
      <c r="A258" s="6">
        <v>225</v>
      </c>
      <c r="B258" s="16">
        <f t="shared" si="62"/>
        <v>-707.10678118654766</v>
      </c>
      <c r="C258" s="16">
        <f t="shared" si="63"/>
        <v>-707.10678118654744</v>
      </c>
      <c r="D258" s="16">
        <v>0</v>
      </c>
      <c r="E258" s="10">
        <f t="shared" si="51"/>
        <v>-1.4890808752623576E-3</v>
      </c>
      <c r="F258" s="10">
        <f t="shared" si="52"/>
        <v>-2.6670033158892746E-3</v>
      </c>
      <c r="G258" s="10">
        <f t="shared" si="53"/>
        <v>0</v>
      </c>
      <c r="H258" s="10">
        <f t="shared" si="54"/>
        <v>-2.0780420955758159E-3</v>
      </c>
      <c r="I258" s="10">
        <f t="shared" si="55"/>
        <v>-2.0780420955758159E-3</v>
      </c>
      <c r="J258" s="10">
        <f t="shared" si="56"/>
        <v>-1.177922440626917E-3</v>
      </c>
      <c r="K258" s="17">
        <f t="shared" si="57"/>
        <v>3.4717839322115314</v>
      </c>
      <c r="L258" s="17">
        <f t="shared" si="58"/>
        <v>4.4557611604559728</v>
      </c>
      <c r="M258" s="17">
        <f t="shared" si="59"/>
        <v>3.4717839322115314</v>
      </c>
      <c r="N258" s="16">
        <f t="shared" si="60"/>
        <v>-613.73049032031781</v>
      </c>
      <c r="O258" s="16">
        <f t="shared" si="61"/>
        <v>-613.73049032031759</v>
      </c>
    </row>
    <row r="259" spans="1:15" x14ac:dyDescent="0.2">
      <c r="A259" s="6">
        <v>226</v>
      </c>
      <c r="B259" s="16">
        <f t="shared" si="62"/>
        <v>-694.65837045899764</v>
      </c>
      <c r="C259" s="16">
        <f t="shared" si="63"/>
        <v>-719.33980033865089</v>
      </c>
      <c r="D259" s="16">
        <v>0</v>
      </c>
      <c r="E259" s="10">
        <f t="shared" si="51"/>
        <v>-1.4391921447515369E-3</v>
      </c>
      <c r="F259" s="10">
        <f t="shared" si="52"/>
        <v>-2.7368166358327549E-3</v>
      </c>
      <c r="G259" s="10">
        <f t="shared" si="53"/>
        <v>0</v>
      </c>
      <c r="H259" s="10">
        <f t="shared" si="54"/>
        <v>-2.0880043902921459E-3</v>
      </c>
      <c r="I259" s="10">
        <f t="shared" si="55"/>
        <v>-2.0880043902921459E-3</v>
      </c>
      <c r="J259" s="10">
        <f t="shared" si="56"/>
        <v>-1.2976244910812181E-3</v>
      </c>
      <c r="K259" s="17">
        <f t="shared" si="57"/>
        <v>3.3832223679252316</v>
      </c>
      <c r="L259" s="17">
        <f t="shared" si="58"/>
        <v>4.4345018153739311</v>
      </c>
      <c r="M259" s="17">
        <f t="shared" si="59"/>
        <v>3.3832223679252316</v>
      </c>
      <c r="N259" s="16">
        <f t="shared" si="60"/>
        <v>-587.54593425084317</v>
      </c>
      <c r="O259" s="16">
        <f t="shared" si="61"/>
        <v>-608.42162566114848</v>
      </c>
    </row>
    <row r="260" spans="1:15" x14ac:dyDescent="0.2">
      <c r="A260" s="6">
        <v>227</v>
      </c>
      <c r="B260" s="16">
        <f t="shared" si="62"/>
        <v>-681.99836006249893</v>
      </c>
      <c r="C260" s="16">
        <f t="shared" si="63"/>
        <v>-731.35370161917012</v>
      </c>
      <c r="D260" s="16">
        <v>0</v>
      </c>
      <c r="E260" s="10">
        <f t="shared" si="51"/>
        <v>-1.388865022371657E-3</v>
      </c>
      <c r="F260" s="10">
        <f t="shared" si="52"/>
        <v>-2.8057962949168229E-3</v>
      </c>
      <c r="G260" s="10">
        <f t="shared" si="53"/>
        <v>0</v>
      </c>
      <c r="H260" s="10">
        <f t="shared" si="54"/>
        <v>-2.09733065864424E-3</v>
      </c>
      <c r="I260" s="10">
        <f t="shared" si="55"/>
        <v>-2.09733065864424E-3</v>
      </c>
      <c r="J260" s="10">
        <f t="shared" si="56"/>
        <v>-1.4169312725451659E-3</v>
      </c>
      <c r="K260" s="17">
        <f t="shared" si="57"/>
        <v>3.3000468622878936</v>
      </c>
      <c r="L260" s="17">
        <f t="shared" si="58"/>
        <v>4.414782772137916</v>
      </c>
      <c r="M260" s="17">
        <f t="shared" si="59"/>
        <v>3.3000468622878936</v>
      </c>
      <c r="N260" s="16">
        <f t="shared" si="60"/>
        <v>-562.65663705243469</v>
      </c>
      <c r="O260" s="16">
        <f t="shared" si="61"/>
        <v>-603.37537206274465</v>
      </c>
    </row>
    <row r="261" spans="1:15" x14ac:dyDescent="0.2">
      <c r="A261" s="6">
        <v>228</v>
      </c>
      <c r="B261" s="16">
        <f t="shared" si="62"/>
        <v>-669.13060635885847</v>
      </c>
      <c r="C261" s="16">
        <f t="shared" si="63"/>
        <v>-743.14482547739408</v>
      </c>
      <c r="D261" s="16">
        <v>0</v>
      </c>
      <c r="E261" s="10">
        <f t="shared" si="51"/>
        <v>-1.3381148382517239E-3</v>
      </c>
      <c r="F261" s="10">
        <f t="shared" si="52"/>
        <v>-2.8739212812691015E-3</v>
      </c>
      <c r="G261" s="10">
        <f t="shared" si="53"/>
        <v>0</v>
      </c>
      <c r="H261" s="10">
        <f t="shared" si="54"/>
        <v>-2.1060180597604126E-3</v>
      </c>
      <c r="I261" s="10">
        <f t="shared" si="55"/>
        <v>-2.1060180597604126E-3</v>
      </c>
      <c r="J261" s="10">
        <f t="shared" si="56"/>
        <v>-1.5358064430173776E-3</v>
      </c>
      <c r="K261" s="17">
        <f t="shared" si="57"/>
        <v>3.2218207644053636</v>
      </c>
      <c r="L261" s="17">
        <f t="shared" si="58"/>
        <v>4.3965716325873396</v>
      </c>
      <c r="M261" s="17">
        <f t="shared" si="59"/>
        <v>3.2218207644053636</v>
      </c>
      <c r="N261" s="16">
        <f t="shared" si="60"/>
        <v>-538.95472041653045</v>
      </c>
      <c r="O261" s="16">
        <f t="shared" si="61"/>
        <v>-598.56985742086704</v>
      </c>
    </row>
    <row r="262" spans="1:15" x14ac:dyDescent="0.2">
      <c r="A262" s="6">
        <v>229</v>
      </c>
      <c r="B262" s="16">
        <f t="shared" si="62"/>
        <v>-656.05902899050761</v>
      </c>
      <c r="C262" s="16">
        <f t="shared" si="63"/>
        <v>-754.70958022277171</v>
      </c>
      <c r="D262" s="16">
        <v>0</v>
      </c>
      <c r="E262" s="10">
        <f t="shared" si="51"/>
        <v>-1.2869570513894513E-3</v>
      </c>
      <c r="F262" s="10">
        <f t="shared" si="52"/>
        <v>-2.9411708433588037E-3</v>
      </c>
      <c r="G262" s="10">
        <f t="shared" si="53"/>
        <v>0</v>
      </c>
      <c r="H262" s="10">
        <f t="shared" si="54"/>
        <v>-2.1140639473741273E-3</v>
      </c>
      <c r="I262" s="10">
        <f t="shared" si="55"/>
        <v>-2.1140639473741273E-3</v>
      </c>
      <c r="J262" s="10">
        <f t="shared" si="56"/>
        <v>-1.6542137919693524E-3</v>
      </c>
      <c r="K262" s="17">
        <f t="shared" si="57"/>
        <v>3.1481541713793226</v>
      </c>
      <c r="L262" s="17">
        <f t="shared" si="58"/>
        <v>4.379838779598014</v>
      </c>
      <c r="M262" s="17">
        <f t="shared" si="59"/>
        <v>3.1481541713793226</v>
      </c>
      <c r="N262" s="16">
        <f t="shared" si="60"/>
        <v>-516.34374219688357</v>
      </c>
      <c r="O262" s="16">
        <f t="shared" si="61"/>
        <v>-593.98552828956406</v>
      </c>
    </row>
    <row r="263" spans="1:15" x14ac:dyDescent="0.2">
      <c r="A263" s="6">
        <v>230</v>
      </c>
      <c r="B263" s="16">
        <f t="shared" si="62"/>
        <v>-642.78760968653944</v>
      </c>
      <c r="C263" s="16">
        <f t="shared" si="63"/>
        <v>-766.04444311897794</v>
      </c>
      <c r="D263" s="16">
        <v>0</v>
      </c>
      <c r="E263" s="10">
        <f t="shared" si="51"/>
        <v>-1.2354072449422913E-3</v>
      </c>
      <c r="F263" s="10">
        <f t="shared" si="52"/>
        <v>-3.0075244963178585E-3</v>
      </c>
      <c r="G263" s="10">
        <f t="shared" si="53"/>
        <v>0</v>
      </c>
      <c r="H263" s="10">
        <f t="shared" si="54"/>
        <v>-2.1214658706300749E-3</v>
      </c>
      <c r="I263" s="10">
        <f t="shared" si="55"/>
        <v>-2.1214658706300749E-3</v>
      </c>
      <c r="J263" s="10">
        <f t="shared" si="56"/>
        <v>-1.7721172513755672E-3</v>
      </c>
      <c r="K263" s="17">
        <f t="shared" si="57"/>
        <v>3.0786978694921556</v>
      </c>
      <c r="L263" s="17">
        <f t="shared" si="58"/>
        <v>4.3645572561152068</v>
      </c>
      <c r="M263" s="17">
        <f t="shared" si="59"/>
        <v>3.0786978694921556</v>
      </c>
      <c r="N263" s="16">
        <f t="shared" si="60"/>
        <v>-494.73721111947606</v>
      </c>
      <c r="O263" s="16">
        <f t="shared" si="61"/>
        <v>-589.6048487416756</v>
      </c>
    </row>
    <row r="264" spans="1:15" x14ac:dyDescent="0.2">
      <c r="A264" s="6">
        <v>231</v>
      </c>
      <c r="B264" s="16">
        <f t="shared" si="62"/>
        <v>-629.32039104983721</v>
      </c>
      <c r="C264" s="16">
        <f t="shared" si="63"/>
        <v>-777.14596145697112</v>
      </c>
      <c r="D264" s="16">
        <v>0</v>
      </c>
      <c r="E264" s="10">
        <f t="shared" si="51"/>
        <v>-1.1834811214806625E-3</v>
      </c>
      <c r="F264" s="10">
        <f t="shared" si="52"/>
        <v>-3.0729620281807922E-3</v>
      </c>
      <c r="G264" s="10">
        <f t="shared" si="53"/>
        <v>0</v>
      </c>
      <c r="H264" s="10">
        <f t="shared" si="54"/>
        <v>-2.1282215748307273E-3</v>
      </c>
      <c r="I264" s="10">
        <f t="shared" si="55"/>
        <v>-2.1282215748307273E-3</v>
      </c>
      <c r="J264" s="10">
        <f t="shared" si="56"/>
        <v>-1.8894809067001297E-3</v>
      </c>
      <c r="K264" s="17">
        <f t="shared" si="57"/>
        <v>3.0131381951181426</v>
      </c>
      <c r="L264" s="17">
        <f t="shared" si="58"/>
        <v>4.3507026565106193</v>
      </c>
      <c r="M264" s="17">
        <f t="shared" si="59"/>
        <v>3.0131381951181426</v>
      </c>
      <c r="N264" s="16">
        <f t="shared" si="60"/>
        <v>-474.05732680973756</v>
      </c>
      <c r="O264" s="16">
        <f t="shared" si="61"/>
        <v>-585.41204491195288</v>
      </c>
    </row>
    <row r="265" spans="1:15" x14ac:dyDescent="0.2">
      <c r="A265" s="6">
        <v>232</v>
      </c>
      <c r="B265" s="16">
        <f t="shared" si="62"/>
        <v>-615.6614753256581</v>
      </c>
      <c r="C265" s="16">
        <f t="shared" si="63"/>
        <v>-788.01075360672212</v>
      </c>
      <c r="D265" s="16">
        <v>0</v>
      </c>
      <c r="E265" s="10">
        <f t="shared" si="51"/>
        <v>-1.1311944982047933E-3</v>
      </c>
      <c r="F265" s="10">
        <f t="shared" si="52"/>
        <v>-3.1374635060414874E-3</v>
      </c>
      <c r="G265" s="10">
        <f t="shared" si="53"/>
        <v>0</v>
      </c>
      <c r="H265" s="10">
        <f t="shared" si="54"/>
        <v>-2.1343290021231401E-3</v>
      </c>
      <c r="I265" s="10">
        <f t="shared" si="55"/>
        <v>-2.1343290021231401E-3</v>
      </c>
      <c r="J265" s="10">
        <f t="shared" si="56"/>
        <v>-2.0062690078366942E-3</v>
      </c>
      <c r="K265" s="17">
        <f t="shared" si="57"/>
        <v>2.9511926565614757</v>
      </c>
      <c r="L265" s="17">
        <f t="shared" si="58"/>
        <v>4.3382530294291737</v>
      </c>
      <c r="M265" s="17">
        <f t="shared" si="59"/>
        <v>2.9511926565614757</v>
      </c>
      <c r="N265" s="16">
        <f t="shared" si="60"/>
        <v>-454.23390622722161</v>
      </c>
      <c r="O265" s="16">
        <f t="shared" si="61"/>
        <v>-581.39288733390822</v>
      </c>
    </row>
    <row r="266" spans="1:15" x14ac:dyDescent="0.2">
      <c r="A266" s="6">
        <v>233</v>
      </c>
      <c r="B266" s="16">
        <f t="shared" si="62"/>
        <v>-601.8150231520483</v>
      </c>
      <c r="C266" s="16">
        <f t="shared" si="63"/>
        <v>-798.63551004729288</v>
      </c>
      <c r="D266" s="16">
        <v>0</v>
      </c>
      <c r="E266" s="10">
        <f t="shared" si="51"/>
        <v>-1.0785633021266443E-3</v>
      </c>
      <c r="F266" s="10">
        <f t="shared" si="52"/>
        <v>-3.2010092821249509E-3</v>
      </c>
      <c r="G266" s="10">
        <f t="shared" si="53"/>
        <v>0</v>
      </c>
      <c r="H266" s="10">
        <f t="shared" si="54"/>
        <v>-2.1397862921257978E-3</v>
      </c>
      <c r="I266" s="10">
        <f t="shared" si="55"/>
        <v>-2.1397862921257978E-3</v>
      </c>
      <c r="J266" s="10">
        <f t="shared" si="56"/>
        <v>-2.1224459799983066E-3</v>
      </c>
      <c r="K266" s="17">
        <f t="shared" si="57"/>
        <v>2.892606188605805</v>
      </c>
      <c r="L266" s="17">
        <f t="shared" si="58"/>
        <v>4.327188791391186</v>
      </c>
      <c r="M266" s="17">
        <f t="shared" si="59"/>
        <v>2.892606188605805</v>
      </c>
      <c r="N266" s="16">
        <f t="shared" si="60"/>
        <v>-435.20346509139017</v>
      </c>
      <c r="O266" s="16">
        <f t="shared" si="61"/>
        <v>-577.53450470078826</v>
      </c>
    </row>
    <row r="267" spans="1:15" x14ac:dyDescent="0.2">
      <c r="A267" s="6">
        <v>234</v>
      </c>
      <c r="B267" s="16">
        <f t="shared" si="62"/>
        <v>-587.78525229247327</v>
      </c>
      <c r="C267" s="16">
        <f t="shared" si="63"/>
        <v>-809.01699437494733</v>
      </c>
      <c r="D267" s="16">
        <v>0</v>
      </c>
      <c r="E267" s="10">
        <f t="shared" si="51"/>
        <v>-1.0256035652183898E-3</v>
      </c>
      <c r="F267" s="10">
        <f t="shared" si="52"/>
        <v>-3.263579999772206E-3</v>
      </c>
      <c r="G267" s="10">
        <f t="shared" si="53"/>
        <v>0</v>
      </c>
      <c r="H267" s="10">
        <f t="shared" si="54"/>
        <v>-2.1445917824952981E-3</v>
      </c>
      <c r="I267" s="10">
        <f t="shared" si="55"/>
        <v>-2.1445917824952981E-3</v>
      </c>
      <c r="J267" s="10">
        <f t="shared" si="56"/>
        <v>-2.2379764345538161E-3</v>
      </c>
      <c r="K267" s="17">
        <f t="shared" si="57"/>
        <v>2.8371479356735683</v>
      </c>
      <c r="L267" s="17">
        <f t="shared" si="58"/>
        <v>4.3174926505061153</v>
      </c>
      <c r="M267" s="17">
        <f t="shared" si="59"/>
        <v>2.8371479356735683</v>
      </c>
      <c r="N267" s="16">
        <f t="shared" si="60"/>
        <v>-416.9084287902395</v>
      </c>
      <c r="O267" s="16">
        <f t="shared" si="61"/>
        <v>-573.82522387892914</v>
      </c>
    </row>
    <row r="268" spans="1:15" x14ac:dyDescent="0.2">
      <c r="A268" s="6">
        <v>235</v>
      </c>
      <c r="B268" s="16">
        <f t="shared" si="62"/>
        <v>-573.57643635104637</v>
      </c>
      <c r="C268" s="16">
        <f t="shared" si="63"/>
        <v>-819.15204428899153</v>
      </c>
      <c r="D268" s="16">
        <v>0</v>
      </c>
      <c r="E268" s="10">
        <f t="shared" si="51"/>
        <v>-9.7233141952892494E-4</v>
      </c>
      <c r="F268" s="10">
        <f t="shared" si="52"/>
        <v>-3.3251565993365211E-3</v>
      </c>
      <c r="G268" s="10">
        <f t="shared" si="53"/>
        <v>0</v>
      </c>
      <c r="H268" s="10">
        <f t="shared" si="54"/>
        <v>-2.148744009432723E-3</v>
      </c>
      <c r="I268" s="10">
        <f t="shared" si="55"/>
        <v>-2.148744009432723E-3</v>
      </c>
      <c r="J268" s="10">
        <f t="shared" si="56"/>
        <v>-2.3528251798075961E-3</v>
      </c>
      <c r="K268" s="17">
        <f t="shared" si="57"/>
        <v>2.7846084786222662</v>
      </c>
      <c r="L268" s="17">
        <f t="shared" si="58"/>
        <v>4.3091495397368158</v>
      </c>
      <c r="M268" s="17">
        <f t="shared" si="59"/>
        <v>2.7846084786222662</v>
      </c>
      <c r="N268" s="16">
        <f t="shared" si="60"/>
        <v>-399.29645195026711</v>
      </c>
      <c r="O268" s="16">
        <f t="shared" si="61"/>
        <v>-570.25443195197204</v>
      </c>
    </row>
    <row r="269" spans="1:15" x14ac:dyDescent="0.2">
      <c r="A269" s="6">
        <v>236</v>
      </c>
      <c r="B269" s="16">
        <f t="shared" si="62"/>
        <v>-559.19290347074718</v>
      </c>
      <c r="C269" s="16">
        <f t="shared" si="63"/>
        <v>-829.03757255504138</v>
      </c>
      <c r="D269" s="16">
        <v>0</v>
      </c>
      <c r="E269" s="10">
        <f t="shared" si="51"/>
        <v>-9.1876309226988581E-4</v>
      </c>
      <c r="F269" s="10">
        <f t="shared" si="52"/>
        <v>-3.3857203239891628E-3</v>
      </c>
      <c r="G269" s="10">
        <f t="shared" si="53"/>
        <v>0</v>
      </c>
      <c r="H269" s="10">
        <f t="shared" si="54"/>
        <v>-2.1522417081295243E-3</v>
      </c>
      <c r="I269" s="10">
        <f t="shared" si="55"/>
        <v>-2.1522417081295243E-3</v>
      </c>
      <c r="J269" s="10">
        <f t="shared" si="56"/>
        <v>-2.4669572317192771E-3</v>
      </c>
      <c r="K269" s="17">
        <f t="shared" si="57"/>
        <v>2.7347974354685345</v>
      </c>
      <c r="L269" s="17">
        <f t="shared" si="58"/>
        <v>4.3021465592293158</v>
      </c>
      <c r="M269" s="17">
        <f t="shared" si="59"/>
        <v>2.7347974354685345</v>
      </c>
      <c r="N269" s="16">
        <f t="shared" si="60"/>
        <v>-382.31982958600076</v>
      </c>
      <c r="O269" s="16">
        <f t="shared" si="61"/>
        <v>-566.8124568326466</v>
      </c>
    </row>
    <row r="270" spans="1:15" x14ac:dyDescent="0.2">
      <c r="A270" s="6">
        <v>237</v>
      </c>
      <c r="B270" s="16">
        <f t="shared" si="62"/>
        <v>-544.63903501502693</v>
      </c>
      <c r="C270" s="16">
        <f t="shared" si="63"/>
        <v>-838.67056794542407</v>
      </c>
      <c r="D270" s="16">
        <v>0</v>
      </c>
      <c r="E270" s="10">
        <f t="shared" si="51"/>
        <v>-8.6491490087268075E-4</v>
      </c>
      <c r="F270" s="10">
        <f t="shared" si="52"/>
        <v>-3.4452527254329119E-3</v>
      </c>
      <c r="G270" s="10">
        <f t="shared" si="53"/>
        <v>0</v>
      </c>
      <c r="H270" s="10">
        <f t="shared" si="54"/>
        <v>-2.1550838131527963E-3</v>
      </c>
      <c r="I270" s="10">
        <f t="shared" si="55"/>
        <v>-2.1550838131527963E-3</v>
      </c>
      <c r="J270" s="10">
        <f t="shared" si="56"/>
        <v>-2.5803378245602311E-3</v>
      </c>
      <c r="K270" s="17">
        <f t="shared" si="57"/>
        <v>2.6875413785779068</v>
      </c>
      <c r="L270" s="17">
        <f t="shared" si="58"/>
        <v>4.2964729272934195</v>
      </c>
      <c r="M270" s="17">
        <f t="shared" si="59"/>
        <v>2.6875413785779068</v>
      </c>
      <c r="N270" s="16">
        <f t="shared" si="60"/>
        <v>-365.93498574790658</v>
      </c>
      <c r="O270" s="16">
        <f t="shared" si="61"/>
        <v>-563.49046358719022</v>
      </c>
    </row>
    <row r="271" spans="1:15" x14ac:dyDescent="0.2">
      <c r="A271" s="6">
        <v>238</v>
      </c>
      <c r="B271" s="16">
        <f t="shared" si="62"/>
        <v>-529.91926423320501</v>
      </c>
      <c r="C271" s="16">
        <f t="shared" si="63"/>
        <v>-848.04809615642591</v>
      </c>
      <c r="D271" s="16">
        <v>0</v>
      </c>
      <c r="E271" s="10">
        <f t="shared" si="51"/>
        <v>-8.1080324801805382E-4</v>
      </c>
      <c r="F271" s="10">
        <f t="shared" si="52"/>
        <v>-3.5037356695215779E-3</v>
      </c>
      <c r="G271" s="10">
        <f t="shared" si="53"/>
        <v>0</v>
      </c>
      <c r="H271" s="10">
        <f t="shared" si="54"/>
        <v>-2.1572694587698158E-3</v>
      </c>
      <c r="I271" s="10">
        <f t="shared" si="55"/>
        <v>-2.1572694587698158E-3</v>
      </c>
      <c r="J271" s="10">
        <f t="shared" si="56"/>
        <v>-2.6929324215035242E-3</v>
      </c>
      <c r="K271" s="17">
        <f t="shared" si="57"/>
        <v>2.6426820207369057</v>
      </c>
      <c r="L271" s="17">
        <f t="shared" si="58"/>
        <v>4.2921199396849374</v>
      </c>
      <c r="M271" s="17">
        <f t="shared" si="59"/>
        <v>2.6426820207369057</v>
      </c>
      <c r="N271" s="16">
        <f t="shared" si="60"/>
        <v>-350.10202800780513</v>
      </c>
      <c r="O271" s="16">
        <f t="shared" si="61"/>
        <v>-560.28036410818731</v>
      </c>
    </row>
    <row r="272" spans="1:15" x14ac:dyDescent="0.2">
      <c r="A272" s="6">
        <v>239</v>
      </c>
      <c r="B272" s="16">
        <f t="shared" si="62"/>
        <v>-515.03807491005443</v>
      </c>
      <c r="C272" s="16">
        <f t="shared" si="63"/>
        <v>-857.16730070211213</v>
      </c>
      <c r="D272" s="16">
        <v>0</v>
      </c>
      <c r="E272" s="10">
        <f t="shared" si="51"/>
        <v>-7.5644461663965296E-4</v>
      </c>
      <c r="F272" s="10">
        <f t="shared" si="52"/>
        <v>-3.561151341783858E-3</v>
      </c>
      <c r="G272" s="10">
        <f t="shared" si="53"/>
        <v>0</v>
      </c>
      <c r="H272" s="10">
        <f t="shared" si="54"/>
        <v>-2.1587979792117556E-3</v>
      </c>
      <c r="I272" s="10">
        <f t="shared" si="55"/>
        <v>-2.1587979792117556E-3</v>
      </c>
      <c r="J272" s="10">
        <f t="shared" si="56"/>
        <v>-2.8047067251442048E-3</v>
      </c>
      <c r="K272" s="17">
        <f t="shared" si="57"/>
        <v>2.6000746305325779</v>
      </c>
      <c r="L272" s="17">
        <f t="shared" si="58"/>
        <v>4.2890809369017955</v>
      </c>
      <c r="M272" s="17">
        <f t="shared" si="59"/>
        <v>2.6000746305325779</v>
      </c>
      <c r="N272" s="16">
        <f t="shared" si="60"/>
        <v>-334.78435808299247</v>
      </c>
      <c r="O272" s="16">
        <f t="shared" si="61"/>
        <v>-557.17473816941288</v>
      </c>
    </row>
    <row r="273" spans="1:15" x14ac:dyDescent="0.2">
      <c r="A273" s="6">
        <v>240</v>
      </c>
      <c r="B273" s="16">
        <f t="shared" si="62"/>
        <v>-500.00000000000045</v>
      </c>
      <c r="C273" s="16">
        <f t="shared" si="63"/>
        <v>-866.02540378443837</v>
      </c>
      <c r="D273" s="16">
        <v>0</v>
      </c>
      <c r="E273" s="10">
        <f t="shared" si="51"/>
        <v>-7.0185556490318048E-4</v>
      </c>
      <c r="F273" s="10">
        <f t="shared" si="52"/>
        <v>-3.6174822528497836E-3</v>
      </c>
      <c r="G273" s="10">
        <f t="shared" si="53"/>
        <v>0</v>
      </c>
      <c r="H273" s="10">
        <f t="shared" si="54"/>
        <v>-2.1596689088764819E-3</v>
      </c>
      <c r="I273" s="10">
        <f t="shared" si="55"/>
        <v>-2.1596689088764819E-3</v>
      </c>
      <c r="J273" s="10">
        <f t="shared" si="56"/>
        <v>-2.9156266879466031E-3</v>
      </c>
      <c r="K273" s="17">
        <f t="shared" si="57"/>
        <v>2.5595866439883679</v>
      </c>
      <c r="L273" s="17">
        <f t="shared" si="58"/>
        <v>4.287351279264457</v>
      </c>
      <c r="M273" s="17">
        <f t="shared" si="59"/>
        <v>2.5595866439883679</v>
      </c>
      <c r="N273" s="16">
        <f t="shared" si="60"/>
        <v>-319.94833049854628</v>
      </c>
      <c r="O273" s="16">
        <f t="shared" si="61"/>
        <v>-554.16676422032049</v>
      </c>
    </row>
    <row r="274" spans="1:15" x14ac:dyDescent="0.2">
      <c r="A274" s="6">
        <v>241</v>
      </c>
      <c r="B274" s="16">
        <f t="shared" si="62"/>
        <v>-484.80962024633686</v>
      </c>
      <c r="C274" s="16">
        <f t="shared" si="63"/>
        <v>-874.61970713939593</v>
      </c>
      <c r="D274" s="16">
        <v>0</v>
      </c>
      <c r="E274" s="10">
        <f t="shared" si="51"/>
        <v>-6.4705272116260789E-4</v>
      </c>
      <c r="F274" s="10">
        <f t="shared" si="52"/>
        <v>-3.6727112437781569E-3</v>
      </c>
      <c r="G274" s="10">
        <f t="shared" si="53"/>
        <v>0</v>
      </c>
      <c r="H274" s="10">
        <f t="shared" si="54"/>
        <v>-2.1598819824703826E-3</v>
      </c>
      <c r="I274" s="10">
        <f t="shared" si="55"/>
        <v>-2.1598819824703826E-3</v>
      </c>
      <c r="J274" s="10">
        <f t="shared" si="56"/>
        <v>-3.025658522615549E-3</v>
      </c>
      <c r="K274" s="17">
        <f t="shared" si="57"/>
        <v>2.5210964447436823</v>
      </c>
      <c r="L274" s="17">
        <f t="shared" si="58"/>
        <v>4.2869283296066509</v>
      </c>
      <c r="M274" s="17">
        <f t="shared" si="59"/>
        <v>2.5210964447436823</v>
      </c>
      <c r="N274" s="16">
        <f t="shared" si="60"/>
        <v>-305.56295249514363</v>
      </c>
      <c r="O274" s="16">
        <f t="shared" si="61"/>
        <v>-551.25015854297294</v>
      </c>
    </row>
    <row r="275" spans="1:15" x14ac:dyDescent="0.2">
      <c r="A275" s="6">
        <v>242</v>
      </c>
      <c r="B275" s="16">
        <f t="shared" si="62"/>
        <v>-469.47156278589074</v>
      </c>
      <c r="C275" s="16">
        <f t="shared" si="63"/>
        <v>-882.94759285892701</v>
      </c>
      <c r="D275" s="16">
        <v>0</v>
      </c>
      <c r="E275" s="10">
        <f t="shared" si="51"/>
        <v>-5.920527788950314E-4</v>
      </c>
      <c r="F275" s="10">
        <f t="shared" si="52"/>
        <v>-3.7268214912833191E-3</v>
      </c>
      <c r="G275" s="10">
        <f t="shared" si="53"/>
        <v>0</v>
      </c>
      <c r="H275" s="10">
        <f t="shared" si="54"/>
        <v>-2.1594371350891753E-3</v>
      </c>
      <c r="I275" s="10">
        <f t="shared" si="55"/>
        <v>-2.1594371350891753E-3</v>
      </c>
      <c r="J275" s="10">
        <f t="shared" si="56"/>
        <v>-3.1347687123882877E-3</v>
      </c>
      <c r="K275" s="17">
        <f t="shared" si="57"/>
        <v>2.4844922894524961</v>
      </c>
      <c r="L275" s="17">
        <f t="shared" si="58"/>
        <v>4.2878114434560244</v>
      </c>
      <c r="M275" s="17">
        <f t="shared" si="59"/>
        <v>2.4844922894524961</v>
      </c>
      <c r="N275" s="16">
        <f t="shared" si="60"/>
        <v>-291.59961946468974</v>
      </c>
      <c r="O275" s="16">
        <f t="shared" si="61"/>
        <v>-548.41912161216146</v>
      </c>
    </row>
    <row r="276" spans="1:15" x14ac:dyDescent="0.2">
      <c r="A276" s="6">
        <v>243</v>
      </c>
      <c r="B276" s="16">
        <f t="shared" si="62"/>
        <v>-453.99049973954692</v>
      </c>
      <c r="C276" s="16">
        <f t="shared" si="63"/>
        <v>-891.00652418836773</v>
      </c>
      <c r="D276" s="16">
        <v>0</v>
      </c>
      <c r="E276" s="10">
        <f t="shared" si="51"/>
        <v>-5.368724916156594E-4</v>
      </c>
      <c r="F276" s="10">
        <f t="shared" si="52"/>
        <v>-3.7797965128597054E-3</v>
      </c>
      <c r="G276" s="10">
        <f t="shared" si="53"/>
        <v>0</v>
      </c>
      <c r="H276" s="10">
        <f t="shared" si="54"/>
        <v>-2.1583345022376825E-3</v>
      </c>
      <c r="I276" s="10">
        <f t="shared" si="55"/>
        <v>-2.1583345022376825E-3</v>
      </c>
      <c r="J276" s="10">
        <f t="shared" si="56"/>
        <v>-3.2429240212440459E-3</v>
      </c>
      <c r="K276" s="17">
        <f t="shared" si="57"/>
        <v>2.4496713586980694</v>
      </c>
      <c r="L276" s="17">
        <f t="shared" si="58"/>
        <v>4.2900019666365878</v>
      </c>
      <c r="M276" s="17">
        <f t="shared" si="59"/>
        <v>2.4496713586980694</v>
      </c>
      <c r="N276" s="16">
        <f t="shared" si="60"/>
        <v>-278.03188108324787</v>
      </c>
      <c r="O276" s="16">
        <f t="shared" si="61"/>
        <v>-545.66829067934077</v>
      </c>
    </row>
    <row r="277" spans="1:15" x14ac:dyDescent="0.2">
      <c r="A277" s="6">
        <v>244</v>
      </c>
      <c r="B277" s="16">
        <f t="shared" si="62"/>
        <v>-438.37114678907773</v>
      </c>
      <c r="C277" s="16">
        <f t="shared" si="63"/>
        <v>-898.79404629916678</v>
      </c>
      <c r="D277" s="16">
        <v>0</v>
      </c>
      <c r="E277" s="10">
        <f t="shared" si="51"/>
        <v>-4.815286677745408E-4</v>
      </c>
      <c r="F277" s="10">
        <f t="shared" si="52"/>
        <v>-3.8316201718025644E-3</v>
      </c>
      <c r="G277" s="10">
        <f t="shared" si="53"/>
        <v>0</v>
      </c>
      <c r="H277" s="10">
        <f t="shared" si="54"/>
        <v>-2.1565744197885525E-3</v>
      </c>
      <c r="I277" s="10">
        <f t="shared" si="55"/>
        <v>-2.1565744197885525E-3</v>
      </c>
      <c r="J277" s="10">
        <f t="shared" si="56"/>
        <v>-3.3500915040280237E-3</v>
      </c>
      <c r="K277" s="17">
        <f t="shared" si="57"/>
        <v>2.4165389167223461</v>
      </c>
      <c r="L277" s="17">
        <f t="shared" si="58"/>
        <v>4.2935032402763591</v>
      </c>
      <c r="M277" s="17">
        <f t="shared" si="59"/>
        <v>2.4165389167223461</v>
      </c>
      <c r="N277" s="16">
        <f t="shared" si="60"/>
        <v>-264.8352340460026</v>
      </c>
      <c r="O277" s="16">
        <f t="shared" si="61"/>
        <v>-542.99269775007065</v>
      </c>
    </row>
    <row r="278" spans="1:15" x14ac:dyDescent="0.2">
      <c r="A278" s="6">
        <v>245</v>
      </c>
      <c r="B278" s="16">
        <f t="shared" si="62"/>
        <v>-422.61826174069995</v>
      </c>
      <c r="C278" s="16">
        <f t="shared" si="63"/>
        <v>-906.30778703664976</v>
      </c>
      <c r="D278" s="16">
        <v>0</v>
      </c>
      <c r="E278" s="10">
        <f t="shared" si="51"/>
        <v>-4.2603816563654528E-4</v>
      </c>
      <c r="F278" s="10">
        <f t="shared" si="52"/>
        <v>-3.8822766821233548E-3</v>
      </c>
      <c r="G278" s="10">
        <f t="shared" si="53"/>
        <v>0</v>
      </c>
      <c r="H278" s="10">
        <f t="shared" si="54"/>
        <v>-2.1541574238799501E-3</v>
      </c>
      <c r="I278" s="10">
        <f t="shared" si="55"/>
        <v>-2.1541574238799501E-3</v>
      </c>
      <c r="J278" s="10">
        <f t="shared" si="56"/>
        <v>-3.4562385164868094E-3</v>
      </c>
      <c r="K278" s="17">
        <f t="shared" si="57"/>
        <v>2.3850075657655192</v>
      </c>
      <c r="L278" s="17">
        <f t="shared" si="58"/>
        <v>4.2983206132548979</v>
      </c>
      <c r="M278" s="17">
        <f t="shared" si="59"/>
        <v>2.3850075657655192</v>
      </c>
      <c r="N278" s="16">
        <f t="shared" si="60"/>
        <v>-251.98693792056045</v>
      </c>
      <c r="O278" s="16">
        <f t="shared" si="61"/>
        <v>-540.38773224865361</v>
      </c>
    </row>
    <row r="279" spans="1:15" x14ac:dyDescent="0.2">
      <c r="A279" s="6">
        <v>246</v>
      </c>
      <c r="B279" s="16">
        <f t="shared" si="62"/>
        <v>-406.73664307580009</v>
      </c>
      <c r="C279" s="16">
        <f t="shared" si="63"/>
        <v>-913.54545764260092</v>
      </c>
      <c r="D279" s="16">
        <v>0</v>
      </c>
      <c r="E279" s="10">
        <f t="shared" si="51"/>
        <v>-3.7041788814616962E-4</v>
      </c>
      <c r="F279" s="10">
        <f t="shared" si="52"/>
        <v>-3.9317506133583133E-3</v>
      </c>
      <c r="G279" s="10">
        <f t="shared" si="53"/>
        <v>0</v>
      </c>
      <c r="H279" s="10">
        <f t="shared" si="54"/>
        <v>-2.1510842507522416E-3</v>
      </c>
      <c r="I279" s="10">
        <f t="shared" si="55"/>
        <v>-2.1510842507522416E-3</v>
      </c>
      <c r="J279" s="10">
        <f t="shared" si="56"/>
        <v>-3.5613327252121438E-3</v>
      </c>
      <c r="K279" s="17">
        <f t="shared" si="57"/>
        <v>2.3549965828963</v>
      </c>
      <c r="L279" s="17">
        <f t="shared" si="58"/>
        <v>4.3044614621771622</v>
      </c>
      <c r="M279" s="17">
        <f t="shared" si="59"/>
        <v>2.3549965828963</v>
      </c>
      <c r="N279" s="16">
        <f t="shared" si="60"/>
        <v>-239.46585114555532</v>
      </c>
      <c r="O279" s="16">
        <f t="shared" si="61"/>
        <v>-537.84910776719039</v>
      </c>
    </row>
    <row r="280" spans="1:15" x14ac:dyDescent="0.2">
      <c r="A280" s="6">
        <v>247</v>
      </c>
      <c r="B280" s="16">
        <f t="shared" si="62"/>
        <v>-390.73112848927383</v>
      </c>
      <c r="C280" s="16">
        <f t="shared" si="63"/>
        <v>-920.50485345244022</v>
      </c>
      <c r="D280" s="16">
        <v>0</v>
      </c>
      <c r="E280" s="10">
        <f t="shared" si="51"/>
        <v>-3.1468477777874871E-4</v>
      </c>
      <c r="F280" s="10">
        <f t="shared" si="52"/>
        <v>-3.980026895268717E-3</v>
      </c>
      <c r="G280" s="10">
        <f t="shared" si="53"/>
        <v>0</v>
      </c>
      <c r="H280" s="10">
        <f t="shared" si="54"/>
        <v>-2.1473558365237328E-3</v>
      </c>
      <c r="I280" s="10">
        <f t="shared" si="55"/>
        <v>-2.1473558365237328E-3</v>
      </c>
      <c r="J280" s="10">
        <f t="shared" si="56"/>
        <v>-3.6653421174899685E-3</v>
      </c>
      <c r="K280" s="17">
        <f t="shared" si="57"/>
        <v>2.3264313289606822</v>
      </c>
      <c r="L280" s="17">
        <f t="shared" si="58"/>
        <v>4.3119352190127458</v>
      </c>
      <c r="M280" s="17">
        <f t="shared" si="59"/>
        <v>2.3264313289606822</v>
      </c>
      <c r="N280" s="16">
        <f t="shared" si="60"/>
        <v>-227.25228462940208</v>
      </c>
      <c r="O280" s="16">
        <f t="shared" si="61"/>
        <v>-535.37283238302962</v>
      </c>
    </row>
    <row r="281" spans="1:15" x14ac:dyDescent="0.2">
      <c r="A281" s="6">
        <v>248</v>
      </c>
      <c r="B281" s="16">
        <f t="shared" si="62"/>
        <v>-374.6065934159123</v>
      </c>
      <c r="C281" s="16">
        <f t="shared" si="63"/>
        <v>-927.18385456678732</v>
      </c>
      <c r="D281" s="16">
        <v>0</v>
      </c>
      <c r="E281" s="10">
        <f t="shared" si="51"/>
        <v>-2.5885581137959632E-4</v>
      </c>
      <c r="F281" s="10">
        <f t="shared" si="52"/>
        <v>-4.0270908224314369E-3</v>
      </c>
      <c r="G281" s="10">
        <f t="shared" si="53"/>
        <v>0</v>
      </c>
      <c r="H281" s="10">
        <f t="shared" si="54"/>
        <v>-2.1429733169055164E-3</v>
      </c>
      <c r="I281" s="10">
        <f t="shared" si="55"/>
        <v>-2.1429733169055164E-3</v>
      </c>
      <c r="J281" s="10">
        <f t="shared" si="56"/>
        <v>-3.7682350110518404E-3</v>
      </c>
      <c r="K281" s="17">
        <f t="shared" si="57"/>
        <v>2.2992427207461876</v>
      </c>
      <c r="L281" s="17">
        <f t="shared" si="58"/>
        <v>4.3207534065938624</v>
      </c>
      <c r="M281" s="17">
        <f t="shared" si="59"/>
        <v>2.2992427207461876</v>
      </c>
      <c r="N281" s="16">
        <f t="shared" si="60"/>
        <v>-215.32787076376579</v>
      </c>
      <c r="O281" s="16">
        <f t="shared" si="61"/>
        <v>-532.95518210151943</v>
      </c>
    </row>
    <row r="282" spans="1:15" x14ac:dyDescent="0.2">
      <c r="A282" s="6">
        <v>249</v>
      </c>
      <c r="B282" s="16">
        <f t="shared" si="62"/>
        <v>-358.36794954530069</v>
      </c>
      <c r="C282" s="16">
        <f t="shared" si="63"/>
        <v>-933.58042649720164</v>
      </c>
      <c r="D282" s="16">
        <v>0</v>
      </c>
      <c r="E282" s="10">
        <f t="shared" si="51"/>
        <v>-2.029479949927055E-4</v>
      </c>
      <c r="F282" s="10">
        <f t="shared" si="52"/>
        <v>-4.0729280587183374E-3</v>
      </c>
      <c r="G282" s="10">
        <f t="shared" si="53"/>
        <v>0</v>
      </c>
      <c r="H282" s="10">
        <f t="shared" si="54"/>
        <v>-2.1379380268555215E-3</v>
      </c>
      <c r="I282" s="10">
        <f t="shared" si="55"/>
        <v>-2.1379380268555215E-3</v>
      </c>
      <c r="J282" s="10">
        <f t="shared" si="56"/>
        <v>-3.8699800637256318E-3</v>
      </c>
      <c r="K282" s="17">
        <f t="shared" si="57"/>
        <v>2.2733667586981507</v>
      </c>
      <c r="L282" s="17">
        <f t="shared" si="58"/>
        <v>4.3309296822217869</v>
      </c>
      <c r="M282" s="17">
        <f t="shared" si="59"/>
        <v>2.2733667586981507</v>
      </c>
      <c r="N282" s="16">
        <f t="shared" si="60"/>
        <v>-203.67544596977567</v>
      </c>
      <c r="O282" s="16">
        <f t="shared" si="61"/>
        <v>-530.5926770424951</v>
      </c>
    </row>
    <row r="283" spans="1:15" x14ac:dyDescent="0.2">
      <c r="A283" s="6">
        <v>250</v>
      </c>
      <c r="B283" s="16">
        <f t="shared" si="62"/>
        <v>-342.02014332566938</v>
      </c>
      <c r="C283" s="16">
        <f t="shared" si="63"/>
        <v>-939.69262078590816</v>
      </c>
      <c r="D283" s="16">
        <v>0</v>
      </c>
      <c r="E283" s="10">
        <f t="shared" si="51"/>
        <v>-1.4697835868053837E-4</v>
      </c>
      <c r="F283" s="10">
        <f t="shared" si="52"/>
        <v>-4.1175246416632139E-3</v>
      </c>
      <c r="G283" s="10">
        <f t="shared" si="53"/>
        <v>0</v>
      </c>
      <c r="H283" s="10">
        <f t="shared" si="54"/>
        <v>-2.1322515001718761E-3</v>
      </c>
      <c r="I283" s="10">
        <f t="shared" si="55"/>
        <v>-2.1322515001718761E-3</v>
      </c>
      <c r="J283" s="10">
        <f t="shared" si="56"/>
        <v>-3.9705462829826756E-3</v>
      </c>
      <c r="K283" s="17">
        <f t="shared" si="57"/>
        <v>2.248744103573626</v>
      </c>
      <c r="L283" s="17">
        <f t="shared" si="58"/>
        <v>4.3424798896907282</v>
      </c>
      <c r="M283" s="17">
        <f t="shared" si="59"/>
        <v>2.248744103573626</v>
      </c>
      <c r="N283" s="16">
        <f t="shared" si="60"/>
        <v>-192.27894515175137</v>
      </c>
      <c r="O283" s="16">
        <f t="shared" si="61"/>
        <v>-528.28206004098956</v>
      </c>
    </row>
    <row r="284" spans="1:15" x14ac:dyDescent="0.2">
      <c r="A284" s="6">
        <v>251</v>
      </c>
      <c r="B284" s="16">
        <f t="shared" si="62"/>
        <v>-325.56815445715665</v>
      </c>
      <c r="C284" s="16">
        <f t="shared" si="63"/>
        <v>-945.51857559931682</v>
      </c>
      <c r="D284" s="16">
        <v>0</v>
      </c>
      <c r="E284" s="10">
        <f t="shared" si="51"/>
        <v>-9.0963951336503067E-5</v>
      </c>
      <c r="F284" s="10">
        <f t="shared" si="52"/>
        <v>-4.1608669867148843E-3</v>
      </c>
      <c r="G284" s="10">
        <f t="shared" si="53"/>
        <v>0</v>
      </c>
      <c r="H284" s="10">
        <f t="shared" si="54"/>
        <v>-2.1259154690256936E-3</v>
      </c>
      <c r="I284" s="10">
        <f t="shared" si="55"/>
        <v>-2.1259154690256936E-3</v>
      </c>
      <c r="J284" s="10">
        <f t="shared" si="56"/>
        <v>-4.0699030353783814E-3</v>
      </c>
      <c r="K284" s="17">
        <f t="shared" si="57"/>
        <v>2.2253196963091799</v>
      </c>
      <c r="L284" s="17">
        <f t="shared" si="58"/>
        <v>4.3554221201009344</v>
      </c>
      <c r="M284" s="17">
        <f t="shared" si="59"/>
        <v>2.2253196963091799</v>
      </c>
      <c r="N284" s="16">
        <f t="shared" si="60"/>
        <v>-181.12330665113501</v>
      </c>
      <c r="O284" s="16">
        <f t="shared" si="61"/>
        <v>-526.02027737684</v>
      </c>
    </row>
    <row r="285" spans="1:15" x14ac:dyDescent="0.2">
      <c r="A285" s="6">
        <v>252</v>
      </c>
      <c r="B285" s="16">
        <f t="shared" si="62"/>
        <v>-309.01699437494756</v>
      </c>
      <c r="C285" s="16">
        <f t="shared" si="63"/>
        <v>-951.05651629515353</v>
      </c>
      <c r="D285" s="16">
        <v>0</v>
      </c>
      <c r="E285" s="10">
        <f t="shared" si="51"/>
        <v>-3.4921835491705591E-5</v>
      </c>
      <c r="F285" s="10">
        <f t="shared" si="52"/>
        <v>-4.2029418913751759E-3</v>
      </c>
      <c r="G285" s="10">
        <f t="shared" si="53"/>
        <v>0</v>
      </c>
      <c r="H285" s="10">
        <f t="shared" si="54"/>
        <v>-2.1189318634334407E-3</v>
      </c>
      <c r="I285" s="10">
        <f t="shared" si="55"/>
        <v>-2.1189318634334407E-3</v>
      </c>
      <c r="J285" s="10">
        <f t="shared" si="56"/>
        <v>-4.1680200558834703E-3</v>
      </c>
      <c r="K285" s="17">
        <f t="shared" si="57"/>
        <v>2.2030424161371616</v>
      </c>
      <c r="L285" s="17">
        <f t="shared" si="58"/>
        <v>4.3697767818998621</v>
      </c>
      <c r="M285" s="17">
        <f t="shared" si="59"/>
        <v>2.2030424161371616</v>
      </c>
      <c r="N285" s="16">
        <f t="shared" si="60"/>
        <v>-170.19438647880705</v>
      </c>
      <c r="O285" s="16">
        <f t="shared" si="61"/>
        <v>-523.80446138546665</v>
      </c>
    </row>
    <row r="286" spans="1:15" x14ac:dyDescent="0.2">
      <c r="A286" s="6">
        <v>253</v>
      </c>
      <c r="B286" s="16">
        <f t="shared" si="62"/>
        <v>-292.37170472273709</v>
      </c>
      <c r="C286" s="16">
        <f t="shared" si="63"/>
        <v>-956.30475596303529</v>
      </c>
      <c r="D286" s="16">
        <v>0</v>
      </c>
      <c r="E286" s="10">
        <f t="shared" si="51"/>
        <v>2.1130917882477554E-5</v>
      </c>
      <c r="F286" s="10">
        <f t="shared" si="52"/>
        <v>-4.243736539220542E-3</v>
      </c>
      <c r="G286" s="10">
        <f t="shared" si="53"/>
        <v>0</v>
      </c>
      <c r="H286" s="10">
        <f t="shared" si="54"/>
        <v>-2.1113028106690321E-3</v>
      </c>
      <c r="I286" s="10">
        <f t="shared" si="55"/>
        <v>-2.1113028106690321E-3</v>
      </c>
      <c r="J286" s="10">
        <f t="shared" si="56"/>
        <v>-4.2648674571030198E-3</v>
      </c>
      <c r="K286" s="17">
        <f t="shared" si="57"/>
        <v>2.181864772632641</v>
      </c>
      <c r="L286" s="17">
        <f t="shared" si="58"/>
        <v>4.3855666806625306</v>
      </c>
      <c r="M286" s="17">
        <f t="shared" si="59"/>
        <v>2.181864772632641</v>
      </c>
      <c r="N286" s="16">
        <f t="shared" si="60"/>
        <v>-159.47888076227309</v>
      </c>
      <c r="O286" s="16">
        <f t="shared" si="61"/>
        <v>-521.63191473420034</v>
      </c>
    </row>
    <row r="287" spans="1:15" x14ac:dyDescent="0.2">
      <c r="A287" s="6">
        <v>254</v>
      </c>
      <c r="B287" s="16">
        <f t="shared" si="62"/>
        <v>-275.63735581699888</v>
      </c>
      <c r="C287" s="16">
        <f t="shared" si="63"/>
        <v>-961.26169593831901</v>
      </c>
      <c r="D287" s="16">
        <v>0</v>
      </c>
      <c r="E287" s="10">
        <f t="shared" ref="E287:E350" si="64">($B287/$B$6-$C287*$E$6/$B$6)/$A$6</f>
        <v>7.717723457437728E-5</v>
      </c>
      <c r="F287" s="10">
        <f t="shared" ref="F287:F350" si="65">(-$B287*$E$6/$B$6+$C287/$C$6)/$A$6</f>
        <v>-4.2832385038060646E-3</v>
      </c>
      <c r="G287" s="10">
        <f t="shared" ref="G287:G350" si="66">$D287/($D$6*$A$6)</f>
        <v>0</v>
      </c>
      <c r="H287" s="10">
        <f t="shared" si="54"/>
        <v>-2.1030306346158435E-3</v>
      </c>
      <c r="I287" s="10">
        <f t="shared" si="55"/>
        <v>-2.1030306346158435E-3</v>
      </c>
      <c r="J287" s="10">
        <f t="shared" si="56"/>
        <v>-4.3604157383804422E-3</v>
      </c>
      <c r="K287" s="17">
        <f t="shared" si="57"/>
        <v>2.1617426279277998</v>
      </c>
      <c r="L287" s="17">
        <f t="shared" si="58"/>
        <v>4.4028171092004227</v>
      </c>
      <c r="M287" s="17">
        <f t="shared" si="59"/>
        <v>2.1617426279277998</v>
      </c>
      <c r="N287" s="16">
        <f t="shared" si="60"/>
        <v>-148.96425547972729</v>
      </c>
      <c r="O287" s="16">
        <f t="shared" si="61"/>
        <v>-519.50009617600881</v>
      </c>
    </row>
    <row r="288" spans="1:15" x14ac:dyDescent="0.2">
      <c r="A288" s="6">
        <v>255</v>
      </c>
      <c r="B288" s="16">
        <f t="shared" si="62"/>
        <v>-258.81904510252065</v>
      </c>
      <c r="C288" s="16">
        <f t="shared" si="63"/>
        <v>-965.92582628906837</v>
      </c>
      <c r="D288" s="16">
        <v>0</v>
      </c>
      <c r="E288" s="10">
        <f t="shared" si="64"/>
        <v>1.3320004233298985E-4</v>
      </c>
      <c r="F288" s="10">
        <f t="shared" si="65"/>
        <v>-4.3214357524506636E-3</v>
      </c>
      <c r="G288" s="10">
        <f t="shared" si="66"/>
        <v>0</v>
      </c>
      <c r="H288" s="10">
        <f t="shared" si="54"/>
        <v>-2.094117855058837E-3</v>
      </c>
      <c r="I288" s="10">
        <f t="shared" si="55"/>
        <v>-2.094117855058837E-3</v>
      </c>
      <c r="J288" s="10">
        <f t="shared" si="56"/>
        <v>-4.4546357947836531E-3</v>
      </c>
      <c r="K288" s="17">
        <f t="shared" si="57"/>
        <v>2.1426349458066989</v>
      </c>
      <c r="L288" s="17">
        <f t="shared" si="58"/>
        <v>4.4215559486737233</v>
      </c>
      <c r="M288" s="17">
        <f t="shared" si="59"/>
        <v>2.1426349458066989</v>
      </c>
      <c r="N288" s="16">
        <f t="shared" si="60"/>
        <v>-138.63868266924521</v>
      </c>
      <c r="O288" s="16">
        <f t="shared" si="61"/>
        <v>-517.40660761604227</v>
      </c>
    </row>
    <row r="289" spans="1:15" x14ac:dyDescent="0.2">
      <c r="A289" s="6">
        <v>256</v>
      </c>
      <c r="B289" s="16">
        <f t="shared" si="62"/>
        <v>-241.92189559966778</v>
      </c>
      <c r="C289" s="16">
        <f t="shared" si="63"/>
        <v>-970.29572627599646</v>
      </c>
      <c r="D289" s="16">
        <v>0</v>
      </c>
      <c r="E289" s="10">
        <f t="shared" si="64"/>
        <v>1.8918227606836997E-4</v>
      </c>
      <c r="F289" s="10">
        <f t="shared" si="65"/>
        <v>-4.3583166499023768E-3</v>
      </c>
      <c r="G289" s="10">
        <f t="shared" si="66"/>
        <v>0</v>
      </c>
      <c r="H289" s="10">
        <f t="shared" ref="H289:H352" si="67">(E289+F289+G289)/2</f>
        <v>-2.0845671869170034E-3</v>
      </c>
      <c r="I289" s="10">
        <f t="shared" ref="I289:I352" si="68">(E289+F289-G289)/2</f>
        <v>-2.0845671869170034E-3</v>
      </c>
      <c r="J289" s="10">
        <f t="shared" ref="J289:J352" si="69">-E289+F289</f>
        <v>-4.5474989259707468E-3</v>
      </c>
      <c r="K289" s="17">
        <f t="shared" ref="K289:K352" si="70">MIN(
IF(E289&gt;0,$A$12/E289,IF(E289&lt;0,-$B$12/E289,1000)),
IF(F289&gt;0,$A$12/F289,IF(F289&lt;0,-$B$12/F289,1000)),
IF(ABS(E289-F289)&gt;0,(1+$C$12)*MAX($A$12,$B$12)/ABS(E289-F289),1000)
)</f>
        <v>2.124503564803319</v>
      </c>
      <c r="L289" s="17">
        <f t="shared" ref="L289:L352" si="71">MIN(
IF(H289&gt;0,$A$12/H289,IF(H289&lt;0,-$B$12/H289,1000)),
IF(I289&gt;0,$A$12/I289,IF(I289&lt;0,-$B$12/I289,1000)),
IF(ABS(H289-I289)&gt;0,(1+$C$12)*MAX($A$12,$B$12)/ABS(H289-I289),1000)
)</f>
        <v>4.4418137814753553</v>
      </c>
      <c r="M289" s="17">
        <f t="shared" ref="M289:M352" si="72">IF(MIN(K289:L289)&gt;100,"&gt;100",MIN(K289:L289))</f>
        <v>2.124503564803319</v>
      </c>
      <c r="N289" s="16">
        <f t="shared" si="60"/>
        <v>-128.49098240136763</v>
      </c>
      <c r="O289" s="16">
        <f t="shared" si="61"/>
        <v>-515.34918234669499</v>
      </c>
    </row>
    <row r="290" spans="1:15" x14ac:dyDescent="0.2">
      <c r="A290" s="6">
        <v>257</v>
      </c>
      <c r="B290" s="16">
        <f t="shared" si="62"/>
        <v>-224.95105434386525</v>
      </c>
      <c r="C290" s="16">
        <f t="shared" si="63"/>
        <v>-974.37006478523517</v>
      </c>
      <c r="D290" s="16">
        <v>0</v>
      </c>
      <c r="E290" s="10">
        <f t="shared" si="64"/>
        <v>2.4510688304980996E-4</v>
      </c>
      <c r="F290" s="10">
        <f t="shared" si="65"/>
        <v>-4.3938699618825692E-3</v>
      </c>
      <c r="G290" s="10">
        <f t="shared" si="66"/>
        <v>0</v>
      </c>
      <c r="H290" s="10">
        <f t="shared" si="67"/>
        <v>-2.0743815394163798E-3</v>
      </c>
      <c r="I290" s="10">
        <f t="shared" si="68"/>
        <v>-2.0743815394163798E-3</v>
      </c>
      <c r="J290" s="10">
        <f t="shared" si="69"/>
        <v>-4.6389768449323788E-3</v>
      </c>
      <c r="K290" s="17">
        <f t="shared" si="70"/>
        <v>2.1073129927796264</v>
      </c>
      <c r="L290" s="17">
        <f t="shared" si="71"/>
        <v>4.4636240167584216</v>
      </c>
      <c r="M290" s="17">
        <f t="shared" si="72"/>
        <v>2.1073129927796264</v>
      </c>
      <c r="N290" s="16">
        <f t="shared" ref="N290:N353" si="73">$M290*B290/$A$6</f>
        <v>-118.51056988957576</v>
      </c>
      <c r="O290" s="16">
        <f t="shared" ref="O290:O353" si="74">$M290*C290/$A$6</f>
        <v>-513.32567432436304</v>
      </c>
    </row>
    <row r="291" spans="1:15" x14ac:dyDescent="0.2">
      <c r="A291" s="6">
        <v>258</v>
      </c>
      <c r="B291" s="16">
        <f t="shared" ref="B291:B354" si="75">1000*COS(A291*PI()/180)</f>
        <v>-207.91169081775979</v>
      </c>
      <c r="C291" s="16">
        <f t="shared" ref="C291:C354" si="76">1000*SIN(A291*PI()/180)</f>
        <v>-978.14760073380558</v>
      </c>
      <c r="D291" s="16">
        <v>0</v>
      </c>
      <c r="E291" s="10">
        <f t="shared" si="64"/>
        <v>3.0095682810026925E-4</v>
      </c>
      <c r="F291" s="10">
        <f t="shared" si="65"/>
        <v>-4.4280848585079979E-3</v>
      </c>
      <c r="G291" s="10">
        <f t="shared" si="66"/>
        <v>0</v>
      </c>
      <c r="H291" s="10">
        <f t="shared" si="67"/>
        <v>-2.0635640152038641E-3</v>
      </c>
      <c r="I291" s="10">
        <f t="shared" si="68"/>
        <v>-2.0635640152038641E-3</v>
      </c>
      <c r="J291" s="10">
        <f t="shared" si="69"/>
        <v>-4.7290416866082674E-3</v>
      </c>
      <c r="K291" s="17">
        <f t="shared" si="70"/>
        <v>2.0910302207666094</v>
      </c>
      <c r="L291" s="17">
        <f t="shared" si="71"/>
        <v>4.4870230295930584</v>
      </c>
      <c r="M291" s="17">
        <f t="shared" si="72"/>
        <v>2.0910302207666094</v>
      </c>
      <c r="N291" s="16">
        <f t="shared" si="73"/>
        <v>-108.68740718765483</v>
      </c>
      <c r="O291" s="16">
        <f t="shared" si="74"/>
        <v>-511.33404837618468</v>
      </c>
    </row>
    <row r="292" spans="1:15" x14ac:dyDescent="0.2">
      <c r="A292" s="6">
        <v>259</v>
      </c>
      <c r="B292" s="16">
        <f t="shared" si="75"/>
        <v>-190.80899537654548</v>
      </c>
      <c r="C292" s="16">
        <f t="shared" si="76"/>
        <v>-981.62718344766381</v>
      </c>
      <c r="D292" s="16">
        <v>0</v>
      </c>
      <c r="E292" s="10">
        <f t="shared" si="64"/>
        <v>3.5671509878545482E-4</v>
      </c>
      <c r="F292" s="10">
        <f t="shared" si="65"/>
        <v>-4.460950917589703E-3</v>
      </c>
      <c r="G292" s="10">
        <f t="shared" si="66"/>
        <v>0</v>
      </c>
      <c r="H292" s="10">
        <f t="shared" si="67"/>
        <v>-2.0521179094021239E-3</v>
      </c>
      <c r="I292" s="10">
        <f t="shared" si="68"/>
        <v>-2.0521179094021239E-3</v>
      </c>
      <c r="J292" s="10">
        <f t="shared" si="69"/>
        <v>-4.8176660163751581E-3</v>
      </c>
      <c r="K292" s="17">
        <f t="shared" si="70"/>
        <v>2.0756245541168452</v>
      </c>
      <c r="L292" s="17">
        <f t="shared" si="71"/>
        <v>4.5120503148656335</v>
      </c>
      <c r="M292" s="17">
        <f t="shared" si="72"/>
        <v>2.0756245541168452</v>
      </c>
      <c r="N292" s="16">
        <f t="shared" si="73"/>
        <v>-99.01195898748135</v>
      </c>
      <c r="O292" s="16">
        <f t="shared" si="74"/>
        <v>-509.37237123813293</v>
      </c>
    </row>
    <row r="293" spans="1:15" x14ac:dyDescent="0.2">
      <c r="A293" s="6">
        <v>260</v>
      </c>
      <c r="B293" s="16">
        <f t="shared" si="75"/>
        <v>-173.64817766693034</v>
      </c>
      <c r="C293" s="16">
        <f t="shared" si="76"/>
        <v>-984.80775301220797</v>
      </c>
      <c r="D293" s="16">
        <v>0</v>
      </c>
      <c r="E293" s="10">
        <f t="shared" si="64"/>
        <v>4.123647105959764E-4</v>
      </c>
      <c r="F293" s="10">
        <f t="shared" si="65"/>
        <v>-4.492458127807711E-3</v>
      </c>
      <c r="G293" s="10">
        <f t="shared" si="66"/>
        <v>0</v>
      </c>
      <c r="H293" s="10">
        <f t="shared" si="67"/>
        <v>-2.0400467086058673E-3</v>
      </c>
      <c r="I293" s="10">
        <f t="shared" si="68"/>
        <v>-2.0400467086058673E-3</v>
      </c>
      <c r="J293" s="10">
        <f t="shared" si="69"/>
        <v>-4.9048228384036873E-3</v>
      </c>
      <c r="K293" s="17">
        <f t="shared" si="70"/>
        <v>2.061067459248132</v>
      </c>
      <c r="L293" s="17">
        <f t="shared" si="71"/>
        <v>4.5387486571750486</v>
      </c>
      <c r="M293" s="17">
        <f t="shared" si="72"/>
        <v>2.061067459248132</v>
      </c>
      <c r="N293" s="16">
        <f t="shared" si="73"/>
        <v>-89.47515208676208</v>
      </c>
      <c r="O293" s="16">
        <f t="shared" si="74"/>
        <v>-507.43880333718334</v>
      </c>
    </row>
    <row r="294" spans="1:15" x14ac:dyDescent="0.2">
      <c r="A294" s="6">
        <v>261</v>
      </c>
      <c r="B294" s="16">
        <f t="shared" si="75"/>
        <v>-156.43446504023103</v>
      </c>
      <c r="C294" s="16">
        <f t="shared" si="76"/>
        <v>-987.68834059513767</v>
      </c>
      <c r="D294" s="16">
        <v>0</v>
      </c>
      <c r="E294" s="10">
        <f t="shared" si="64"/>
        <v>4.6788871212098123E-4</v>
      </c>
      <c r="F294" s="10">
        <f t="shared" si="65"/>
        <v>-4.5225968917605684E-3</v>
      </c>
      <c r="G294" s="10">
        <f t="shared" si="66"/>
        <v>0</v>
      </c>
      <c r="H294" s="10">
        <f t="shared" si="67"/>
        <v>-2.0273540898197934E-3</v>
      </c>
      <c r="I294" s="10">
        <f t="shared" si="68"/>
        <v>-2.0273540898197934E-3</v>
      </c>
      <c r="J294" s="10">
        <f t="shared" si="69"/>
        <v>-4.99048560388155E-3</v>
      </c>
      <c r="K294" s="17">
        <f t="shared" si="70"/>
        <v>2.0473324244590789</v>
      </c>
      <c r="L294" s="17">
        <f t="shared" si="71"/>
        <v>4.5671643181395565</v>
      </c>
      <c r="M294" s="17">
        <f t="shared" si="72"/>
        <v>2.0473324244590789</v>
      </c>
      <c r="N294" s="16">
        <f t="shared" si="73"/>
        <v>-80.068338144943809</v>
      </c>
      <c r="O294" s="16">
        <f t="shared" si="74"/>
        <v>-505.53159124015195</v>
      </c>
    </row>
    <row r="295" spans="1:15" x14ac:dyDescent="0.2">
      <c r="A295" s="6">
        <v>262</v>
      </c>
      <c r="B295" s="16">
        <f t="shared" si="75"/>
        <v>-139.17310096006494</v>
      </c>
      <c r="C295" s="16">
        <f t="shared" si="76"/>
        <v>-990.26806874157035</v>
      </c>
      <c r="D295" s="16">
        <v>0</v>
      </c>
      <c r="E295" s="10">
        <f t="shared" si="64"/>
        <v>5.2327019021173671E-4</v>
      </c>
      <c r="F295" s="10">
        <f t="shared" si="65"/>
        <v>-4.5513580288888168E-3</v>
      </c>
      <c r="G295" s="10">
        <f t="shared" si="66"/>
        <v>0</v>
      </c>
      <c r="H295" s="10">
        <f t="shared" si="67"/>
        <v>-2.0140439193385403E-3</v>
      </c>
      <c r="I295" s="10">
        <f t="shared" si="68"/>
        <v>-2.0140439193385403E-3</v>
      </c>
      <c r="J295" s="10">
        <f t="shared" si="69"/>
        <v>-5.0746282191005531E-3</v>
      </c>
      <c r="K295" s="17">
        <f t="shared" si="70"/>
        <v>2.0343948334734376</v>
      </c>
      <c r="L295" s="17">
        <f t="shared" si="71"/>
        <v>4.5973472427057196</v>
      </c>
      <c r="M295" s="17">
        <f t="shared" si="72"/>
        <v>2.0343948334734376</v>
      </c>
      <c r="N295" s="16">
        <f t="shared" si="73"/>
        <v>-70.783259387908316</v>
      </c>
      <c r="O295" s="16">
        <f t="shared" si="74"/>
        <v>-503.6490607003924</v>
      </c>
    </row>
    <row r="296" spans="1:15" x14ac:dyDescent="0.2">
      <c r="A296" s="6">
        <v>263</v>
      </c>
      <c r="B296" s="16">
        <f t="shared" si="75"/>
        <v>-121.86934340514718</v>
      </c>
      <c r="C296" s="16">
        <f t="shared" si="76"/>
        <v>-992.54615164132213</v>
      </c>
      <c r="D296" s="16">
        <v>0</v>
      </c>
      <c r="E296" s="10">
        <f t="shared" si="64"/>
        <v>5.7849227513351894E-4</v>
      </c>
      <c r="F296" s="10">
        <f t="shared" si="65"/>
        <v>-4.5787327782714684E-3</v>
      </c>
      <c r="G296" s="10">
        <f t="shared" si="66"/>
        <v>0</v>
      </c>
      <c r="H296" s="10">
        <f t="shared" si="67"/>
        <v>-2.0001202515689746E-3</v>
      </c>
      <c r="I296" s="10">
        <f t="shared" si="68"/>
        <v>-2.0001202515689746E-3</v>
      </c>
      <c r="J296" s="10">
        <f t="shared" si="69"/>
        <v>-5.1572250534049876E-3</v>
      </c>
      <c r="K296" s="17">
        <f t="shared" si="70"/>
        <v>2.0222318505240984</v>
      </c>
      <c r="L296" s="17">
        <f t="shared" si="71"/>
        <v>4.6293512862518762</v>
      </c>
      <c r="M296" s="17">
        <f t="shared" si="72"/>
        <v>2.0222318505240984</v>
      </c>
      <c r="N296" s="16">
        <f t="shared" si="73"/>
        <v>-61.612016959086901</v>
      </c>
      <c r="O296" s="16">
        <f t="shared" si="74"/>
        <v>-501.78961024105081</v>
      </c>
    </row>
    <row r="297" spans="1:15" x14ac:dyDescent="0.2">
      <c r="A297" s="6">
        <v>264</v>
      </c>
      <c r="B297" s="16">
        <f t="shared" si="75"/>
        <v>-104.52846326765336</v>
      </c>
      <c r="C297" s="16">
        <f t="shared" si="76"/>
        <v>-994.52189536827336</v>
      </c>
      <c r="D297" s="16">
        <v>0</v>
      </c>
      <c r="E297" s="10">
        <f t="shared" si="64"/>
        <v>6.3353814570431505E-4</v>
      </c>
      <c r="F297" s="10">
        <f t="shared" si="65"/>
        <v>-4.6047128012946786E-3</v>
      </c>
      <c r="G297" s="10">
        <f t="shared" si="66"/>
        <v>0</v>
      </c>
      <c r="H297" s="10">
        <f t="shared" si="67"/>
        <v>-1.9855873277951817E-3</v>
      </c>
      <c r="I297" s="10">
        <f t="shared" si="68"/>
        <v>-1.9855873277951817E-3</v>
      </c>
      <c r="J297" s="10">
        <f t="shared" si="69"/>
        <v>-5.2382509469989938E-3</v>
      </c>
      <c r="K297" s="17">
        <f t="shared" si="70"/>
        <v>2.010822315922915</v>
      </c>
      <c r="L297" s="17">
        <f t="shared" si="71"/>
        <v>4.6632344645051917</v>
      </c>
      <c r="M297" s="17">
        <f t="shared" si="72"/>
        <v>2.010822315922915</v>
      </c>
      <c r="N297" s="16">
        <f t="shared" si="73"/>
        <v>-52.547041646931525</v>
      </c>
      <c r="O297" s="16">
        <f t="shared" si="74"/>
        <v>-499.95170522011961</v>
      </c>
    </row>
    <row r="298" spans="1:15" x14ac:dyDescent="0.2">
      <c r="A298" s="6">
        <v>265</v>
      </c>
      <c r="B298" s="16">
        <f t="shared" si="75"/>
        <v>-87.155742747658252</v>
      </c>
      <c r="C298" s="16">
        <f t="shared" si="76"/>
        <v>-996.19469809174552</v>
      </c>
      <c r="D298" s="16">
        <v>0</v>
      </c>
      <c r="E298" s="10">
        <f t="shared" si="64"/>
        <v>6.883910344187078E-4</v>
      </c>
      <c r="F298" s="10">
        <f t="shared" si="65"/>
        <v>-4.6292901841917602E-3</v>
      </c>
      <c r="G298" s="10">
        <f t="shared" si="66"/>
        <v>0</v>
      </c>
      <c r="H298" s="10">
        <f t="shared" si="67"/>
        <v>-1.9704495748865264E-3</v>
      </c>
      <c r="I298" s="10">
        <f t="shared" si="68"/>
        <v>-1.9704495748865264E-3</v>
      </c>
      <c r="J298" s="10">
        <f t="shared" si="69"/>
        <v>-5.3176812186104677E-3</v>
      </c>
      <c r="K298" s="17">
        <f t="shared" si="70"/>
        <v>2.0001466511816557</v>
      </c>
      <c r="L298" s="17">
        <f t="shared" si="71"/>
        <v>4.6990592285481236</v>
      </c>
      <c r="M298" s="17">
        <f t="shared" si="72"/>
        <v>2.0001466511816557</v>
      </c>
      <c r="N298" s="16">
        <f t="shared" si="73"/>
        <v>-43.58106674699463</v>
      </c>
      <c r="O298" s="16">
        <f t="shared" si="74"/>
        <v>-498.13387232828131</v>
      </c>
    </row>
    <row r="299" spans="1:15" x14ac:dyDescent="0.2">
      <c r="A299" s="6">
        <v>266</v>
      </c>
      <c r="B299" s="16">
        <f t="shared" si="75"/>
        <v>-69.756473744125586</v>
      </c>
      <c r="C299" s="16">
        <f t="shared" si="76"/>
        <v>-997.56405025982417</v>
      </c>
      <c r="D299" s="16">
        <v>0</v>
      </c>
      <c r="E299" s="10">
        <f t="shared" si="64"/>
        <v>7.4303423255542289E-4</v>
      </c>
      <c r="F299" s="10">
        <f t="shared" si="65"/>
        <v>-4.6524574404537946E-3</v>
      </c>
      <c r="G299" s="10">
        <f t="shared" si="66"/>
        <v>0</v>
      </c>
      <c r="H299" s="10">
        <f t="shared" si="67"/>
        <v>-1.9547116039491858E-3</v>
      </c>
      <c r="I299" s="10">
        <f t="shared" si="68"/>
        <v>-1.9547116039491858E-3</v>
      </c>
      <c r="J299" s="10">
        <f t="shared" si="69"/>
        <v>-5.3954916730092175E-3</v>
      </c>
      <c r="K299" s="17">
        <f t="shared" si="70"/>
        <v>1.9901867728544171</v>
      </c>
      <c r="L299" s="17">
        <f t="shared" si="71"/>
        <v>4.736892767481601</v>
      </c>
      <c r="M299" s="17">
        <f t="shared" si="72"/>
        <v>1.9901867728544171</v>
      </c>
      <c r="N299" s="16">
        <f t="shared" si="73"/>
        <v>-34.707102841631297</v>
      </c>
      <c r="O299" s="16">
        <f t="shared" si="74"/>
        <v>-496.33469447554529</v>
      </c>
    </row>
    <row r="300" spans="1:15" x14ac:dyDescent="0.2">
      <c r="A300" s="6">
        <v>267</v>
      </c>
      <c r="B300" s="16">
        <f t="shared" si="75"/>
        <v>-52.335956242944306</v>
      </c>
      <c r="C300" s="16">
        <f t="shared" si="76"/>
        <v>-998.6295347545738</v>
      </c>
      <c r="D300" s="16">
        <v>0</v>
      </c>
      <c r="E300" s="10">
        <f t="shared" si="64"/>
        <v>7.974510952669674E-4</v>
      </c>
      <c r="F300" s="10">
        <f t="shared" si="65"/>
        <v>-4.674207513110101E-3</v>
      </c>
      <c r="G300" s="10">
        <f t="shared" si="66"/>
        <v>0</v>
      </c>
      <c r="H300" s="10">
        <f t="shared" si="67"/>
        <v>-1.9383782089215668E-3</v>
      </c>
      <c r="I300" s="10">
        <f t="shared" si="68"/>
        <v>-1.9383782089215668E-3</v>
      </c>
      <c r="J300" s="10">
        <f t="shared" si="69"/>
        <v>-5.4716586083770682E-3</v>
      </c>
      <c r="K300" s="17">
        <f t="shared" si="70"/>
        <v>1.9809260143648135</v>
      </c>
      <c r="L300" s="17">
        <f t="shared" si="71"/>
        <v>4.7768073416439849</v>
      </c>
      <c r="M300" s="17">
        <f t="shared" si="72"/>
        <v>1.9809260143648135</v>
      </c>
      <c r="N300" s="16">
        <f t="shared" si="73"/>
        <v>-25.918414302076737</v>
      </c>
      <c r="O300" s="16">
        <f t="shared" si="74"/>
        <v>-494.55280602709149</v>
      </c>
    </row>
    <row r="301" spans="1:15" x14ac:dyDescent="0.2">
      <c r="A301" s="6">
        <v>268</v>
      </c>
      <c r="B301" s="16">
        <f t="shared" si="75"/>
        <v>-34.899496702501651</v>
      </c>
      <c r="C301" s="16">
        <f t="shared" si="76"/>
        <v>-999.3908270190957</v>
      </c>
      <c r="D301" s="16">
        <v>0</v>
      </c>
      <c r="E301" s="10">
        <f t="shared" si="64"/>
        <v>8.5162504664981114E-4</v>
      </c>
      <c r="F301" s="10">
        <f t="shared" si="65"/>
        <v>-4.6945337768778492E-3</v>
      </c>
      <c r="G301" s="10">
        <f t="shared" si="66"/>
        <v>0</v>
      </c>
      <c r="H301" s="10">
        <f t="shared" si="67"/>
        <v>-1.9214543651140191E-3</v>
      </c>
      <c r="I301" s="10">
        <f t="shared" si="68"/>
        <v>-1.9214543651140191E-3</v>
      </c>
      <c r="J301" s="10">
        <f t="shared" si="69"/>
        <v>-5.5461588235276599E-3</v>
      </c>
      <c r="K301" s="17">
        <f t="shared" si="70"/>
        <v>1.9723490551637335</v>
      </c>
      <c r="L301" s="17">
        <f t="shared" si="71"/>
        <v>4.81888064966342</v>
      </c>
      <c r="M301" s="17">
        <f t="shared" si="72"/>
        <v>1.9723490551637335</v>
      </c>
      <c r="N301" s="16">
        <f t="shared" si="73"/>
        <v>-17.20849733671724</v>
      </c>
      <c r="O301" s="16">
        <f t="shared" si="74"/>
        <v>-492.78688835260391</v>
      </c>
    </row>
    <row r="302" spans="1:15" x14ac:dyDescent="0.2">
      <c r="A302" s="6">
        <v>269</v>
      </c>
      <c r="B302" s="16">
        <f t="shared" si="75"/>
        <v>-17.452406437283496</v>
      </c>
      <c r="C302" s="16">
        <f t="shared" si="76"/>
        <v>-999.8476951563913</v>
      </c>
      <c r="D302" s="16">
        <v>0</v>
      </c>
      <c r="E302" s="10">
        <f t="shared" si="64"/>
        <v>9.0553958479357155E-4</v>
      </c>
      <c r="F302" s="10">
        <f t="shared" si="65"/>
        <v>-4.7134300401801919E-3</v>
      </c>
      <c r="G302" s="10">
        <f t="shared" si="66"/>
        <v>0</v>
      </c>
      <c r="H302" s="10">
        <f t="shared" si="67"/>
        <v>-1.9039452276933102E-3</v>
      </c>
      <c r="I302" s="10">
        <f t="shared" si="68"/>
        <v>-1.9039452276933102E-3</v>
      </c>
      <c r="J302" s="10">
        <f t="shared" si="69"/>
        <v>-5.6189696249737634E-3</v>
      </c>
      <c r="K302" s="17">
        <f t="shared" si="70"/>
        <v>1.9644418566368034</v>
      </c>
      <c r="L302" s="17">
        <f t="shared" si="71"/>
        <v>4.8631962330540066</v>
      </c>
      <c r="M302" s="17">
        <f t="shared" si="72"/>
        <v>1.9644418566368034</v>
      </c>
      <c r="N302" s="16">
        <f t="shared" si="73"/>
        <v>-8.571059426109322</v>
      </c>
      <c r="O302" s="16">
        <f t="shared" si="74"/>
        <v>-491.03566565676249</v>
      </c>
    </row>
    <row r="303" spans="1:15" x14ac:dyDescent="0.2">
      <c r="A303" s="6">
        <v>270</v>
      </c>
      <c r="B303" s="16">
        <f t="shared" si="75"/>
        <v>-1.83772268236293E-13</v>
      </c>
      <c r="C303" s="16">
        <f t="shared" si="76"/>
        <v>-1000</v>
      </c>
      <c r="D303" s="16">
        <v>0</v>
      </c>
      <c r="E303" s="10">
        <f t="shared" si="64"/>
        <v>9.5917828680764164E-4</v>
      </c>
      <c r="F303" s="10">
        <f t="shared" si="65"/>
        <v>-4.7308905470322708E-3</v>
      </c>
      <c r="G303" s="10">
        <f t="shared" si="66"/>
        <v>0</v>
      </c>
      <c r="H303" s="10">
        <f t="shared" si="67"/>
        <v>-1.8858561301123146E-3</v>
      </c>
      <c r="I303" s="10">
        <f t="shared" si="68"/>
        <v>-1.8858561301123146E-3</v>
      </c>
      <c r="J303" s="10">
        <f t="shared" si="69"/>
        <v>-5.6900688338399124E-3</v>
      </c>
      <c r="K303" s="17">
        <f t="shared" si="70"/>
        <v>1.957191604246197</v>
      </c>
      <c r="L303" s="17">
        <f t="shared" si="71"/>
        <v>4.9098439225625405</v>
      </c>
      <c r="M303" s="17">
        <f t="shared" si="72"/>
        <v>1.957191604246197</v>
      </c>
      <c r="N303" s="16">
        <f t="shared" si="73"/>
        <v>-8.991938512133818E-14</v>
      </c>
      <c r="O303" s="16">
        <f t="shared" si="74"/>
        <v>-489.29790106154923</v>
      </c>
    </row>
    <row r="304" spans="1:15" x14ac:dyDescent="0.2">
      <c r="A304" s="6">
        <v>271</v>
      </c>
      <c r="B304" s="16">
        <f t="shared" si="75"/>
        <v>17.45240643728313</v>
      </c>
      <c r="C304" s="16">
        <f t="shared" si="76"/>
        <v>-999.8476951563913</v>
      </c>
      <c r="D304" s="16">
        <v>0</v>
      </c>
      <c r="E304" s="10">
        <f t="shared" si="64"/>
        <v>1.0125248138237817E-3</v>
      </c>
      <c r="F304" s="10">
        <f t="shared" si="65"/>
        <v>-4.7469099787945598E-3</v>
      </c>
      <c r="G304" s="10">
        <f t="shared" si="66"/>
        <v>0</v>
      </c>
      <c r="H304" s="10">
        <f t="shared" si="67"/>
        <v>-1.8671925824853891E-3</v>
      </c>
      <c r="I304" s="10">
        <f t="shared" si="68"/>
        <v>-1.8671925824853891E-3</v>
      </c>
      <c r="J304" s="10">
        <f t="shared" si="69"/>
        <v>-5.7594347926183415E-3</v>
      </c>
      <c r="K304" s="17">
        <f t="shared" si="70"/>
        <v>1.9505866554500311</v>
      </c>
      <c r="L304" s="17">
        <f t="shared" si="71"/>
        <v>4.958920331042882</v>
      </c>
      <c r="M304" s="17">
        <f t="shared" si="72"/>
        <v>1.9505866554500311</v>
      </c>
      <c r="N304" s="16">
        <f t="shared" si="73"/>
        <v>8.5106077755136731</v>
      </c>
      <c r="O304" s="16">
        <f t="shared" si="74"/>
        <v>-487.57239291363186</v>
      </c>
    </row>
    <row r="305" spans="1:15" x14ac:dyDescent="0.2">
      <c r="A305" s="6">
        <v>272</v>
      </c>
      <c r="B305" s="16">
        <f t="shared" si="75"/>
        <v>34.899496702501281</v>
      </c>
      <c r="C305" s="16">
        <f t="shared" si="76"/>
        <v>-999.39082701909581</v>
      </c>
      <c r="D305" s="16">
        <v>0</v>
      </c>
      <c r="E305" s="10">
        <f t="shared" si="64"/>
        <v>1.0655629159730855E-3</v>
      </c>
      <c r="F305" s="10">
        <f t="shared" si="65"/>
        <v>-4.7614834557929584E-3</v>
      </c>
      <c r="G305" s="10">
        <f t="shared" si="66"/>
        <v>0</v>
      </c>
      <c r="H305" s="10">
        <f t="shared" si="67"/>
        <v>-1.8479602699099365E-3</v>
      </c>
      <c r="I305" s="10">
        <f t="shared" si="68"/>
        <v>-1.8479602699099365E-3</v>
      </c>
      <c r="J305" s="10">
        <f t="shared" si="69"/>
        <v>-5.827046371766044E-3</v>
      </c>
      <c r="K305" s="17">
        <f t="shared" si="70"/>
        <v>1.9446164929953029</v>
      </c>
      <c r="L305" s="17">
        <f t="shared" si="71"/>
        <v>5.010529398291947</v>
      </c>
      <c r="M305" s="17">
        <f t="shared" si="72"/>
        <v>1.9446164929953029</v>
      </c>
      <c r="N305" s="16">
        <f t="shared" si="73"/>
        <v>16.966534221229796</v>
      </c>
      <c r="O305" s="16">
        <f t="shared" si="74"/>
        <v>-485.85797129238739</v>
      </c>
    </row>
    <row r="306" spans="1:15" x14ac:dyDescent="0.2">
      <c r="A306" s="6">
        <v>273</v>
      </c>
      <c r="B306" s="16">
        <f t="shared" si="75"/>
        <v>52.335956242943944</v>
      </c>
      <c r="C306" s="16">
        <f t="shared" si="76"/>
        <v>-998.6295347545738</v>
      </c>
      <c r="D306" s="16">
        <v>0</v>
      </c>
      <c r="E306" s="10">
        <f t="shared" si="64"/>
        <v>1.1182764373358412E-3</v>
      </c>
      <c r="F306" s="10">
        <f t="shared" si="65"/>
        <v>-4.7746065388051947E-3</v>
      </c>
      <c r="G306" s="10">
        <f t="shared" si="66"/>
        <v>0</v>
      </c>
      <c r="H306" s="10">
        <f t="shared" si="67"/>
        <v>-1.8281650507346767E-3</v>
      </c>
      <c r="I306" s="10">
        <f t="shared" si="68"/>
        <v>-1.8281650507346767E-3</v>
      </c>
      <c r="J306" s="10">
        <f t="shared" si="69"/>
        <v>-5.8928829761410364E-3</v>
      </c>
      <c r="K306" s="17">
        <f t="shared" si="70"/>
        <v>1.9392716832278101</v>
      </c>
      <c r="L306" s="17">
        <f t="shared" si="71"/>
        <v>5.0647829940399971</v>
      </c>
      <c r="M306" s="17">
        <f t="shared" si="72"/>
        <v>1.9392716832278101</v>
      </c>
      <c r="N306" s="16">
        <f t="shared" si="73"/>
        <v>25.373409489147729</v>
      </c>
      <c r="O306" s="16">
        <f t="shared" si="74"/>
        <v>-484.15349469612681</v>
      </c>
    </row>
    <row r="307" spans="1:15" x14ac:dyDescent="0.2">
      <c r="A307" s="6">
        <v>274</v>
      </c>
      <c r="B307" s="16">
        <f t="shared" si="75"/>
        <v>69.756473744125216</v>
      </c>
      <c r="C307" s="16">
        <f t="shared" si="76"/>
        <v>-997.56405025982428</v>
      </c>
      <c r="D307" s="16">
        <v>0</v>
      </c>
      <c r="E307" s="10">
        <f t="shared" si="64"/>
        <v>1.1706493208627977E-3</v>
      </c>
      <c r="F307" s="10">
        <f t="shared" si="65"/>
        <v>-4.7862752304130606E-3</v>
      </c>
      <c r="G307" s="10">
        <f t="shared" si="66"/>
        <v>0</v>
      </c>
      <c r="H307" s="10">
        <f t="shared" si="67"/>
        <v>-1.8078129547751316E-3</v>
      </c>
      <c r="I307" s="10">
        <f t="shared" si="68"/>
        <v>-1.8078129547751316E-3</v>
      </c>
      <c r="J307" s="10">
        <f t="shared" si="69"/>
        <v>-5.956924551275858E-3</v>
      </c>
      <c r="K307" s="17">
        <f t="shared" si="70"/>
        <v>1.9345438391055867</v>
      </c>
      <c r="L307" s="17">
        <f t="shared" si="71"/>
        <v>5.1218015861663027</v>
      </c>
      <c r="M307" s="17">
        <f t="shared" si="72"/>
        <v>1.9345438391055867</v>
      </c>
      <c r="N307" s="16">
        <f t="shared" si="73"/>
        <v>33.736739129857014</v>
      </c>
      <c r="O307" s="16">
        <f t="shared" si="74"/>
        <v>-482.45784688583973</v>
      </c>
    </row>
    <row r="308" spans="1:15" x14ac:dyDescent="0.2">
      <c r="A308" s="6">
        <v>275</v>
      </c>
      <c r="B308" s="16">
        <f t="shared" si="75"/>
        <v>87.155742747657882</v>
      </c>
      <c r="C308" s="16">
        <f t="shared" si="76"/>
        <v>-996.19469809174552</v>
      </c>
      <c r="D308" s="16">
        <v>0</v>
      </c>
      <c r="E308" s="10">
        <f t="shared" si="64"/>
        <v>1.2226656132662845E-3</v>
      </c>
      <c r="F308" s="10">
        <f t="shared" si="65"/>
        <v>-4.7964859762200523E-3</v>
      </c>
      <c r="G308" s="10">
        <f t="shared" si="66"/>
        <v>0</v>
      </c>
      <c r="H308" s="10">
        <f t="shared" si="67"/>
        <v>-1.7869101814768839E-3</v>
      </c>
      <c r="I308" s="10">
        <f t="shared" si="68"/>
        <v>-1.7869101814768839E-3</v>
      </c>
      <c r="J308" s="10">
        <f t="shared" si="69"/>
        <v>-6.0191515894863368E-3</v>
      </c>
      <c r="K308" s="17">
        <f t="shared" si="70"/>
        <v>1.9304255876415939</v>
      </c>
      <c r="L308" s="17">
        <f t="shared" si="71"/>
        <v>5.1817149822306501</v>
      </c>
      <c r="M308" s="17">
        <f t="shared" si="72"/>
        <v>1.9304255876415939</v>
      </c>
      <c r="N308" s="16">
        <f t="shared" si="73"/>
        <v>42.061918977496767</v>
      </c>
      <c r="O308" s="16">
        <f t="shared" si="74"/>
        <v>-480.76993386729953</v>
      </c>
    </row>
    <row r="309" spans="1:15" x14ac:dyDescent="0.2">
      <c r="A309" s="6">
        <v>276</v>
      </c>
      <c r="B309" s="16">
        <f t="shared" si="75"/>
        <v>104.52846326765298</v>
      </c>
      <c r="C309" s="16">
        <f t="shared" si="76"/>
        <v>-994.52189536827336</v>
      </c>
      <c r="D309" s="16">
        <v>0</v>
      </c>
      <c r="E309" s="10">
        <f t="shared" si="64"/>
        <v>1.2743094698797429E-3</v>
      </c>
      <c r="F309" s="10">
        <f t="shared" si="65"/>
        <v>-4.8052356659340845E-3</v>
      </c>
      <c r="G309" s="10">
        <f t="shared" si="66"/>
        <v>0</v>
      </c>
      <c r="H309" s="10">
        <f t="shared" si="67"/>
        <v>-1.7654630980271707E-3</v>
      </c>
      <c r="I309" s="10">
        <f t="shared" si="68"/>
        <v>-1.7654630980271707E-3</v>
      </c>
      <c r="J309" s="10">
        <f t="shared" si="69"/>
        <v>-6.0795451358138276E-3</v>
      </c>
      <c r="K309" s="17">
        <f t="shared" si="70"/>
        <v>1.9269105415372716</v>
      </c>
      <c r="L309" s="17">
        <f t="shared" si="71"/>
        <v>5.2446631535975374</v>
      </c>
      <c r="M309" s="17">
        <f t="shared" si="72"/>
        <v>1.9269105415372716</v>
      </c>
      <c r="N309" s="16">
        <f t="shared" si="73"/>
        <v>50.354249440282999</v>
      </c>
      <c r="O309" s="16">
        <f t="shared" si="74"/>
        <v>-479.08868099368834</v>
      </c>
    </row>
    <row r="310" spans="1:15" x14ac:dyDescent="0.2">
      <c r="A310" s="6">
        <v>277</v>
      </c>
      <c r="B310" s="16">
        <f t="shared" si="75"/>
        <v>121.86934340514769</v>
      </c>
      <c r="C310" s="16">
        <f t="shared" si="76"/>
        <v>-992.54615164132201</v>
      </c>
      <c r="D310" s="16">
        <v>0</v>
      </c>
      <c r="E310" s="10">
        <f t="shared" si="64"/>
        <v>1.3255651594841656E-3</v>
      </c>
      <c r="F310" s="10">
        <f t="shared" si="65"/>
        <v>-4.8125216343149107E-3</v>
      </c>
      <c r="G310" s="10">
        <f t="shared" si="66"/>
        <v>0</v>
      </c>
      <c r="H310" s="10">
        <f t="shared" si="67"/>
        <v>-1.7434782374153726E-3</v>
      </c>
      <c r="I310" s="10">
        <f t="shared" si="68"/>
        <v>-1.7434782374153726E-3</v>
      </c>
      <c r="J310" s="10">
        <f t="shared" si="69"/>
        <v>-6.138086793799076E-3</v>
      </c>
      <c r="K310" s="17">
        <f t="shared" si="70"/>
        <v>1.9239932748016344</v>
      </c>
      <c r="L310" s="17">
        <f t="shared" si="71"/>
        <v>5.3107971528143016</v>
      </c>
      <c r="M310" s="17">
        <f t="shared" si="72"/>
        <v>1.9239932748016344</v>
      </c>
      <c r="N310" s="16">
        <f t="shared" si="73"/>
        <v>58.61894927899877</v>
      </c>
      <c r="O310" s="16">
        <f t="shared" si="74"/>
        <v>-477.41303017203671</v>
      </c>
    </row>
    <row r="311" spans="1:15" x14ac:dyDescent="0.2">
      <c r="A311" s="6">
        <v>278</v>
      </c>
      <c r="B311" s="16">
        <f t="shared" si="75"/>
        <v>139.17310096006545</v>
      </c>
      <c r="C311" s="16">
        <f t="shared" si="76"/>
        <v>-990.26806874157035</v>
      </c>
      <c r="D311" s="16">
        <v>0</v>
      </c>
      <c r="E311" s="10">
        <f t="shared" si="64"/>
        <v>1.3764170690999684E-3</v>
      </c>
      <c r="F311" s="10">
        <f t="shared" si="65"/>
        <v>-4.8183416619859811E-3</v>
      </c>
      <c r="G311" s="10">
        <f t="shared" si="66"/>
        <v>0</v>
      </c>
      <c r="H311" s="10">
        <f t="shared" si="67"/>
        <v>-1.7209622964430064E-3</v>
      </c>
      <c r="I311" s="10">
        <f t="shared" si="68"/>
        <v>-1.7209622964430064E-3</v>
      </c>
      <c r="J311" s="10">
        <f t="shared" si="69"/>
        <v>-6.1947587310859495E-3</v>
      </c>
      <c r="K311" s="17">
        <f t="shared" si="70"/>
        <v>1.9216693021812115</v>
      </c>
      <c r="L311" s="17">
        <f t="shared" si="71"/>
        <v>5.3802801365241297</v>
      </c>
      <c r="M311" s="17">
        <f t="shared" si="72"/>
        <v>1.9216693021812115</v>
      </c>
      <c r="N311" s="16">
        <f t="shared" si="73"/>
        <v>66.861168951081069</v>
      </c>
      <c r="O311" s="16">
        <f t="shared" si="74"/>
        <v>-475.74193715773737</v>
      </c>
    </row>
    <row r="312" spans="1:15" x14ac:dyDescent="0.2">
      <c r="A312" s="6">
        <v>279</v>
      </c>
      <c r="B312" s="16">
        <f t="shared" si="75"/>
        <v>156.43446504023066</v>
      </c>
      <c r="C312" s="16">
        <f t="shared" si="76"/>
        <v>-987.68834059513779</v>
      </c>
      <c r="D312" s="16">
        <v>0</v>
      </c>
      <c r="E312" s="10">
        <f t="shared" si="64"/>
        <v>1.4268497087428721E-3</v>
      </c>
      <c r="F312" s="10">
        <f t="shared" si="65"/>
        <v>-4.8226939761104861E-3</v>
      </c>
      <c r="G312" s="10">
        <f t="shared" si="66"/>
        <v>0</v>
      </c>
      <c r="H312" s="10">
        <f t="shared" si="67"/>
        <v>-1.697922133683807E-3</v>
      </c>
      <c r="I312" s="10">
        <f t="shared" si="68"/>
        <v>-1.697922133683807E-3</v>
      </c>
      <c r="J312" s="10">
        <f t="shared" si="69"/>
        <v>-6.2495436848533578E-3</v>
      </c>
      <c r="K312" s="17">
        <f t="shared" si="70"/>
        <v>1.9199350622547426</v>
      </c>
      <c r="L312" s="17">
        <f t="shared" si="71"/>
        <v>5.4532885080957136</v>
      </c>
      <c r="M312" s="17">
        <f t="shared" si="72"/>
        <v>1.9199350622547426</v>
      </c>
      <c r="N312" s="16">
        <f t="shared" si="73"/>
        <v>75.08600359395065</v>
      </c>
      <c r="O312" s="16">
        <f t="shared" si="74"/>
        <v>-474.07436892220232</v>
      </c>
    </row>
    <row r="313" spans="1:15" x14ac:dyDescent="0.2">
      <c r="A313" s="6">
        <v>280</v>
      </c>
      <c r="B313" s="16">
        <f t="shared" si="75"/>
        <v>173.64817766692997</v>
      </c>
      <c r="C313" s="16">
        <f t="shared" si="76"/>
        <v>-984.80775301220808</v>
      </c>
      <c r="D313" s="16">
        <v>0</v>
      </c>
      <c r="E313" s="10">
        <f t="shared" si="64"/>
        <v>1.476847716142289E-3</v>
      </c>
      <c r="F313" s="10">
        <f t="shared" si="65"/>
        <v>-4.8255772509313817E-3</v>
      </c>
      <c r="G313" s="10">
        <f t="shared" si="66"/>
        <v>0</v>
      </c>
      <c r="H313" s="10">
        <f t="shared" si="67"/>
        <v>-1.6743647673945464E-3</v>
      </c>
      <c r="I313" s="10">
        <f t="shared" si="68"/>
        <v>-1.6743647673945464E-3</v>
      </c>
      <c r="J313" s="10">
        <f t="shared" si="69"/>
        <v>-6.3024249670736703E-3</v>
      </c>
      <c r="K313" s="17">
        <f t="shared" si="70"/>
        <v>1.9187879040734732</v>
      </c>
      <c r="L313" s="17">
        <f t="shared" si="71"/>
        <v>5.5300131963881753</v>
      </c>
      <c r="M313" s="17">
        <f t="shared" si="72"/>
        <v>1.9187879040734732</v>
      </c>
      <c r="N313" s="16">
        <f t="shared" si="73"/>
        <v>83.298505717926659</v>
      </c>
      <c r="O313" s="16">
        <f t="shared" si="74"/>
        <v>-472.40930107940034</v>
      </c>
    </row>
    <row r="314" spans="1:15" x14ac:dyDescent="0.2">
      <c r="A314" s="6">
        <v>281</v>
      </c>
      <c r="B314" s="16">
        <f t="shared" si="75"/>
        <v>190.80899537654426</v>
      </c>
      <c r="C314" s="16">
        <f t="shared" si="76"/>
        <v>-981.62718344766404</v>
      </c>
      <c r="D314" s="16">
        <v>0</v>
      </c>
      <c r="E314" s="10">
        <f t="shared" si="64"/>
        <v>1.5263958614208243E-3</v>
      </c>
      <c r="F314" s="10">
        <f t="shared" si="65"/>
        <v>-4.8269906081752278E-3</v>
      </c>
      <c r="G314" s="10">
        <f t="shared" si="66"/>
        <v>0</v>
      </c>
      <c r="H314" s="10">
        <f t="shared" si="67"/>
        <v>-1.6502973733772018E-3</v>
      </c>
      <c r="I314" s="10">
        <f t="shared" si="68"/>
        <v>-1.6502973733772018E-3</v>
      </c>
      <c r="J314" s="10">
        <f t="shared" si="69"/>
        <v>-6.3533864695960521E-3</v>
      </c>
      <c r="K314" s="17">
        <f t="shared" si="70"/>
        <v>1.9182260772534596</v>
      </c>
      <c r="L314" s="17">
        <f t="shared" si="71"/>
        <v>5.610661089710713</v>
      </c>
      <c r="M314" s="17">
        <f t="shared" si="72"/>
        <v>1.9182260772534596</v>
      </c>
      <c r="N314" s="16">
        <f t="shared" si="73"/>
        <v>91.503697676455502</v>
      </c>
      <c r="O314" s="16">
        <f t="shared" si="74"/>
        <v>-470.7457153575437</v>
      </c>
    </row>
    <row r="315" spans="1:15" x14ac:dyDescent="0.2">
      <c r="A315" s="6">
        <v>282</v>
      </c>
      <c r="B315" s="16">
        <f t="shared" si="75"/>
        <v>207.91169081775857</v>
      </c>
      <c r="C315" s="16">
        <f t="shared" si="76"/>
        <v>-978.1476007338058</v>
      </c>
      <c r="D315" s="16">
        <v>0</v>
      </c>
      <c r="E315" s="10">
        <f t="shared" si="64"/>
        <v>1.5754790517334416E-3</v>
      </c>
      <c r="F315" s="10">
        <f t="shared" si="65"/>
        <v>-4.8269336173197156E-3</v>
      </c>
      <c r="G315" s="10">
        <f t="shared" si="66"/>
        <v>0</v>
      </c>
      <c r="H315" s="10">
        <f t="shared" si="67"/>
        <v>-1.625727282793137E-3</v>
      </c>
      <c r="I315" s="10">
        <f t="shared" si="68"/>
        <v>-1.625727282793137E-3</v>
      </c>
      <c r="J315" s="10">
        <f t="shared" si="69"/>
        <v>-6.4024126690531572E-3</v>
      </c>
      <c r="K315" s="17">
        <f t="shared" si="70"/>
        <v>1.9182487254508196</v>
      </c>
      <c r="L315" s="17">
        <f t="shared" si="71"/>
        <v>5.6954566471635193</v>
      </c>
      <c r="M315" s="17">
        <f t="shared" si="72"/>
        <v>1.9182487254508196</v>
      </c>
      <c r="N315" s="16">
        <f t="shared" si="73"/>
        <v>99.706583979372567</v>
      </c>
      <c r="O315" s="16">
        <f t="shared" si="74"/>
        <v>-469.08259710260006</v>
      </c>
    </row>
    <row r="316" spans="1:15" x14ac:dyDescent="0.2">
      <c r="A316" s="6">
        <v>283</v>
      </c>
      <c r="B316" s="16">
        <f t="shared" si="75"/>
        <v>224.95105434386491</v>
      </c>
      <c r="C316" s="16">
        <f t="shared" si="76"/>
        <v>-974.37006478523529</v>
      </c>
      <c r="D316" s="16">
        <v>0</v>
      </c>
      <c r="E316" s="10">
        <f t="shared" si="64"/>
        <v>1.6240823358648956E-3</v>
      </c>
      <c r="F316" s="10">
        <f t="shared" si="65"/>
        <v>-4.8254062957248118E-3</v>
      </c>
      <c r="G316" s="10">
        <f t="shared" si="66"/>
        <v>0</v>
      </c>
      <c r="H316" s="10">
        <f t="shared" si="67"/>
        <v>-1.6006619799299581E-3</v>
      </c>
      <c r="I316" s="10">
        <f t="shared" si="68"/>
        <v>-1.6006619799299581E-3</v>
      </c>
      <c r="J316" s="10">
        <f t="shared" si="69"/>
        <v>-6.4494886315897074E-3</v>
      </c>
      <c r="K316" s="17">
        <f t="shared" si="70"/>
        <v>1.9188558831745897</v>
      </c>
      <c r="L316" s="17">
        <f t="shared" si="71"/>
        <v>5.7846437132619508</v>
      </c>
      <c r="M316" s="17">
        <f t="shared" si="72"/>
        <v>1.9188558831745897</v>
      </c>
      <c r="N316" s="16">
        <f t="shared" si="73"/>
        <v>107.91216351351301</v>
      </c>
      <c r="O316" s="16">
        <f t="shared" si="74"/>
        <v>-467.41893280058872</v>
      </c>
    </row>
    <row r="317" spans="1:15" x14ac:dyDescent="0.2">
      <c r="A317" s="6">
        <v>284</v>
      </c>
      <c r="B317" s="16">
        <f t="shared" si="75"/>
        <v>241.92189559966747</v>
      </c>
      <c r="C317" s="16">
        <f t="shared" si="76"/>
        <v>-970.29572627599657</v>
      </c>
      <c r="D317" s="16">
        <v>0</v>
      </c>
      <c r="E317" s="10">
        <f t="shared" si="64"/>
        <v>1.6721909087840034E-3</v>
      </c>
      <c r="F317" s="10">
        <f t="shared" si="65"/>
        <v>-4.8224091086274705E-3</v>
      </c>
      <c r="G317" s="10">
        <f t="shared" si="66"/>
        <v>0</v>
      </c>
      <c r="H317" s="10">
        <f t="shared" si="67"/>
        <v>-1.5751090999217335E-3</v>
      </c>
      <c r="I317" s="10">
        <f t="shared" si="68"/>
        <v>-1.5751090999217335E-3</v>
      </c>
      <c r="J317" s="10">
        <f t="shared" si="69"/>
        <v>-6.4946000174114739E-3</v>
      </c>
      <c r="K317" s="17">
        <f t="shared" si="70"/>
        <v>1.9200484759150975</v>
      </c>
      <c r="L317" s="17">
        <f t="shared" si="71"/>
        <v>5.8784875661751599</v>
      </c>
      <c r="M317" s="17">
        <f t="shared" si="72"/>
        <v>1.9200484759150975</v>
      </c>
      <c r="N317" s="16">
        <f t="shared" si="73"/>
        <v>116.12544173415822</v>
      </c>
      <c r="O317" s="16">
        <f t="shared" si="74"/>
        <v>-465.75370760578994</v>
      </c>
    </row>
    <row r="318" spans="1:15" x14ac:dyDescent="0.2">
      <c r="A318" s="6">
        <v>285</v>
      </c>
      <c r="B318" s="16">
        <f t="shared" si="75"/>
        <v>258.8190451025211</v>
      </c>
      <c r="C318" s="16">
        <f t="shared" si="76"/>
        <v>-965.92582628906825</v>
      </c>
      <c r="D318" s="16">
        <v>0</v>
      </c>
      <c r="E318" s="10">
        <f t="shared" si="64"/>
        <v>1.7197901161534208E-3</v>
      </c>
      <c r="F318" s="10">
        <f t="shared" si="65"/>
        <v>-4.8179429689999146E-3</v>
      </c>
      <c r="G318" s="10">
        <f t="shared" si="66"/>
        <v>0</v>
      </c>
      <c r="H318" s="10">
        <f t="shared" si="67"/>
        <v>-1.5490764264232469E-3</v>
      </c>
      <c r="I318" s="10">
        <f t="shared" si="68"/>
        <v>-1.5490764264232469E-3</v>
      </c>
      <c r="J318" s="10">
        <f t="shared" si="69"/>
        <v>-6.5377330851533353E-3</v>
      </c>
      <c r="K318" s="17">
        <f t="shared" si="70"/>
        <v>1.9218283235887392</v>
      </c>
      <c r="L318" s="17">
        <f t="shared" si="71"/>
        <v>5.9772772352094359</v>
      </c>
      <c r="M318" s="17">
        <f t="shared" si="72"/>
        <v>1.9218283235887392</v>
      </c>
      <c r="N318" s="16">
        <f t="shared" si="73"/>
        <v>124.35144289055411</v>
      </c>
      <c r="O318" s="16">
        <f t="shared" si="74"/>
        <v>-464.08590286204696</v>
      </c>
    </row>
    <row r="319" spans="1:15" x14ac:dyDescent="0.2">
      <c r="A319" s="6">
        <v>286</v>
      </c>
      <c r="B319" s="16">
        <f t="shared" si="75"/>
        <v>275.63735581699939</v>
      </c>
      <c r="C319" s="16">
        <f t="shared" si="76"/>
        <v>-961.26169593831878</v>
      </c>
      <c r="D319" s="16">
        <v>0</v>
      </c>
      <c r="E319" s="10">
        <f t="shared" si="64"/>
        <v>1.7668654587934751E-3</v>
      </c>
      <c r="F319" s="10">
        <f t="shared" si="65"/>
        <v>-4.8120092372715391E-3</v>
      </c>
      <c r="G319" s="10">
        <f t="shared" si="66"/>
        <v>0</v>
      </c>
      <c r="H319" s="10">
        <f t="shared" si="67"/>
        <v>-1.5225718892390321E-3</v>
      </c>
      <c r="I319" s="10">
        <f t="shared" si="68"/>
        <v>-1.5225718892390321E-3</v>
      </c>
      <c r="J319" s="10">
        <f t="shared" si="69"/>
        <v>-6.578874696065014E-3</v>
      </c>
      <c r="K319" s="17">
        <f t="shared" si="70"/>
        <v>1.9241981473230418</v>
      </c>
      <c r="L319" s="17">
        <f t="shared" si="71"/>
        <v>6.0813281295288819</v>
      </c>
      <c r="M319" s="17">
        <f t="shared" si="72"/>
        <v>1.9241981473230418</v>
      </c>
      <c r="N319" s="16">
        <f t="shared" si="73"/>
        <v>132.59522234902306</v>
      </c>
      <c r="O319" s="16">
        <f t="shared" si="74"/>
        <v>-462.41449360427953</v>
      </c>
    </row>
    <row r="320" spans="1:15" x14ac:dyDescent="0.2">
      <c r="A320" s="6">
        <v>287</v>
      </c>
      <c r="B320" s="16">
        <f t="shared" si="75"/>
        <v>292.37170472273669</v>
      </c>
      <c r="C320" s="16">
        <f t="shared" si="76"/>
        <v>-956.3047559630354</v>
      </c>
      <c r="D320" s="16">
        <v>0</v>
      </c>
      <c r="E320" s="10">
        <f t="shared" si="64"/>
        <v>1.8134025970987701E-3</v>
      </c>
      <c r="F320" s="10">
        <f t="shared" si="65"/>
        <v>-4.8046097209145117E-3</v>
      </c>
      <c r="G320" s="10">
        <f t="shared" si="66"/>
        <v>0</v>
      </c>
      <c r="H320" s="10">
        <f t="shared" si="67"/>
        <v>-1.4956035619078708E-3</v>
      </c>
      <c r="I320" s="10">
        <f t="shared" si="68"/>
        <v>-1.4956035619078708E-3</v>
      </c>
      <c r="J320" s="10">
        <f t="shared" si="69"/>
        <v>-6.6180123180132819E-3</v>
      </c>
      <c r="K320" s="17">
        <f t="shared" si="70"/>
        <v>1.9271615796291663</v>
      </c>
      <c r="L320" s="17">
        <f t="shared" si="71"/>
        <v>6.1909850277754481</v>
      </c>
      <c r="M320" s="17">
        <f t="shared" si="72"/>
        <v>1.9271615796291663</v>
      </c>
      <c r="N320" s="16">
        <f t="shared" si="73"/>
        <v>140.86187907808537</v>
      </c>
      <c r="O320" s="16">
        <f t="shared" si="74"/>
        <v>-460.73844602715195</v>
      </c>
    </row>
    <row r="321" spans="1:15" x14ac:dyDescent="0.2">
      <c r="A321" s="6">
        <v>288</v>
      </c>
      <c r="B321" s="16">
        <f t="shared" si="75"/>
        <v>309.01699437494722</v>
      </c>
      <c r="C321" s="16">
        <f t="shared" si="76"/>
        <v>-951.05651629515364</v>
      </c>
      <c r="D321" s="16">
        <v>0</v>
      </c>
      <c r="E321" s="10">
        <f t="shared" si="64"/>
        <v>1.8593873554061642E-3</v>
      </c>
      <c r="F321" s="10">
        <f t="shared" si="65"/>
        <v>-4.7957466738931948E-3</v>
      </c>
      <c r="G321" s="10">
        <f t="shared" si="66"/>
        <v>0</v>
      </c>
      <c r="H321" s="10">
        <f t="shared" si="67"/>
        <v>-1.4681796592435153E-3</v>
      </c>
      <c r="I321" s="10">
        <f t="shared" si="68"/>
        <v>-1.4681796592435153E-3</v>
      </c>
      <c r="J321" s="10">
        <f t="shared" si="69"/>
        <v>-6.655134029299359E-3</v>
      </c>
      <c r="K321" s="17">
        <f t="shared" si="70"/>
        <v>1.9307231780327916</v>
      </c>
      <c r="L321" s="17">
        <f t="shared" si="71"/>
        <v>6.3066254875306775</v>
      </c>
      <c r="M321" s="17">
        <f t="shared" si="72"/>
        <v>1.9307231780327916</v>
      </c>
      <c r="N321" s="16">
        <f t="shared" si="73"/>
        <v>149.15656836143484</v>
      </c>
      <c r="O321" s="16">
        <f t="shared" si="74"/>
        <v>-459.05671490754361</v>
      </c>
    </row>
    <row r="322" spans="1:15" x14ac:dyDescent="0.2">
      <c r="A322" s="6">
        <v>289</v>
      </c>
      <c r="B322" s="16">
        <f t="shared" si="75"/>
        <v>325.56815445715631</v>
      </c>
      <c r="C322" s="16">
        <f t="shared" si="76"/>
        <v>-945.51857559931693</v>
      </c>
      <c r="D322" s="16">
        <v>0</v>
      </c>
      <c r="E322" s="10">
        <f t="shared" si="64"/>
        <v>1.9048057263128118E-3</v>
      </c>
      <c r="F322" s="10">
        <f t="shared" si="65"/>
        <v>-4.785422795977567E-3</v>
      </c>
      <c r="G322" s="10">
        <f t="shared" si="66"/>
        <v>0</v>
      </c>
      <c r="H322" s="10">
        <f t="shared" si="67"/>
        <v>-1.4403085348323776E-3</v>
      </c>
      <c r="I322" s="10">
        <f t="shared" si="68"/>
        <v>-1.4403085348323776E-3</v>
      </c>
      <c r="J322" s="10">
        <f t="shared" si="69"/>
        <v>-6.6902285222903788E-3</v>
      </c>
      <c r="K322" s="17">
        <f t="shared" si="70"/>
        <v>1.9348884422588988</v>
      </c>
      <c r="L322" s="17">
        <f t="shared" si="71"/>
        <v>6.4286637448391204</v>
      </c>
      <c r="M322" s="17">
        <f t="shared" si="72"/>
        <v>1.9348884422588988</v>
      </c>
      <c r="N322" s="16">
        <f t="shared" si="73"/>
        <v>157.48451480667794</v>
      </c>
      <c r="O322" s="16">
        <f t="shared" si="74"/>
        <v>-457.36824096705379</v>
      </c>
    </row>
    <row r="323" spans="1:15" x14ac:dyDescent="0.2">
      <c r="A323" s="6">
        <v>290</v>
      </c>
      <c r="B323" s="16">
        <f t="shared" si="75"/>
        <v>342.02014332566813</v>
      </c>
      <c r="C323" s="16">
        <f t="shared" si="76"/>
        <v>-939.6926207859085</v>
      </c>
      <c r="D323" s="16">
        <v>0</v>
      </c>
      <c r="E323" s="10">
        <f t="shared" si="64"/>
        <v>1.9496438749429562E-3</v>
      </c>
      <c r="F323" s="10">
        <f t="shared" si="65"/>
        <v>-4.7736412319208544E-3</v>
      </c>
      <c r="G323" s="10">
        <f t="shared" si="66"/>
        <v>0</v>
      </c>
      <c r="H323" s="10">
        <f t="shared" si="67"/>
        <v>-1.4119986784889491E-3</v>
      </c>
      <c r="I323" s="10">
        <f t="shared" si="68"/>
        <v>-1.4119986784889491E-3</v>
      </c>
      <c r="J323" s="10">
        <f t="shared" si="69"/>
        <v>-6.7232851068638102E-3</v>
      </c>
      <c r="K323" s="17">
        <f t="shared" si="70"/>
        <v>1.9396638350916553</v>
      </c>
      <c r="L323" s="17">
        <f t="shared" si="71"/>
        <v>6.5575551877768463</v>
      </c>
      <c r="M323" s="17">
        <f t="shared" si="72"/>
        <v>1.9396638350916553</v>
      </c>
      <c r="N323" s="16">
        <f t="shared" si="73"/>
        <v>165.85102572041578</v>
      </c>
      <c r="O323" s="16">
        <f t="shared" si="74"/>
        <v>-455.67194816023095</v>
      </c>
    </row>
    <row r="324" spans="1:15" x14ac:dyDescent="0.2">
      <c r="A324" s="6">
        <v>291</v>
      </c>
      <c r="B324" s="16">
        <f t="shared" si="75"/>
        <v>358.36794954529955</v>
      </c>
      <c r="C324" s="16">
        <f t="shared" si="76"/>
        <v>-933.5804264972021</v>
      </c>
      <c r="D324" s="16">
        <v>0</v>
      </c>
      <c r="E324" s="10">
        <f t="shared" si="64"/>
        <v>1.9938881431621697E-3</v>
      </c>
      <c r="F324" s="10">
        <f t="shared" si="65"/>
        <v>-4.760405570501597E-3</v>
      </c>
      <c r="G324" s="10">
        <f t="shared" si="66"/>
        <v>0</v>
      </c>
      <c r="H324" s="10">
        <f t="shared" si="67"/>
        <v>-1.3832587136697137E-3</v>
      </c>
      <c r="I324" s="10">
        <f t="shared" si="68"/>
        <v>-1.3832587136697137E-3</v>
      </c>
      <c r="J324" s="10">
        <f t="shared" si="69"/>
        <v>-6.7542937136637667E-3</v>
      </c>
      <c r="K324" s="17">
        <f t="shared" si="70"/>
        <v>1.9450568070576439</v>
      </c>
      <c r="L324" s="17">
        <f t="shared" si="71"/>
        <v>6.6938015049223321</v>
      </c>
      <c r="M324" s="17">
        <f t="shared" si="72"/>
        <v>1.9450568070576439</v>
      </c>
      <c r="N324" s="16">
        <f t="shared" si="73"/>
        <v>174.2615049235938</v>
      </c>
      <c r="O324" s="16">
        <f t="shared" si="74"/>
        <v>-453.96674087354035</v>
      </c>
    </row>
    <row r="325" spans="1:15" x14ac:dyDescent="0.2">
      <c r="A325" s="6">
        <v>292</v>
      </c>
      <c r="B325" s="16">
        <f t="shared" si="75"/>
        <v>374.60659341591196</v>
      </c>
      <c r="C325" s="16">
        <f t="shared" si="76"/>
        <v>-927.18385456678743</v>
      </c>
      <c r="D325" s="16">
        <v>0</v>
      </c>
      <c r="E325" s="10">
        <f t="shared" si="64"/>
        <v>2.0375250537377496E-3</v>
      </c>
      <c r="F325" s="10">
        <f t="shared" si="65"/>
        <v>-4.7457198434304798E-3</v>
      </c>
      <c r="G325" s="10">
        <f t="shared" si="66"/>
        <v>0</v>
      </c>
      <c r="H325" s="10">
        <f t="shared" si="67"/>
        <v>-1.3540973948463651E-3</v>
      </c>
      <c r="I325" s="10">
        <f t="shared" si="68"/>
        <v>-1.3540973948463651E-3</v>
      </c>
      <c r="J325" s="10">
        <f t="shared" si="69"/>
        <v>-6.7832448971682294E-3</v>
      </c>
      <c r="K325" s="17">
        <f t="shared" si="70"/>
        <v>1.9510758251094173</v>
      </c>
      <c r="L325" s="17">
        <f t="shared" si="71"/>
        <v>6.8379566303720773</v>
      </c>
      <c r="M325" s="17">
        <f t="shared" si="72"/>
        <v>1.9510758251094173</v>
      </c>
      <c r="N325" s="16">
        <f t="shared" si="73"/>
        <v>182.72146708509462</v>
      </c>
      <c r="O325" s="16">
        <f t="shared" si="74"/>
        <v>-452.25150101925618</v>
      </c>
    </row>
    <row r="326" spans="1:15" x14ac:dyDescent="0.2">
      <c r="A326" s="6">
        <v>293</v>
      </c>
      <c r="B326" s="16">
        <f t="shared" si="75"/>
        <v>390.73112848927349</v>
      </c>
      <c r="C326" s="16">
        <f t="shared" si="76"/>
        <v>-920.50485345244044</v>
      </c>
      <c r="D326" s="16">
        <v>0</v>
      </c>
      <c r="E326" s="10">
        <f t="shared" si="64"/>
        <v>2.0805413144440107E-3</v>
      </c>
      <c r="F326" s="10">
        <f t="shared" si="65"/>
        <v>-4.7295885241222342E-3</v>
      </c>
      <c r="G326" s="10">
        <f t="shared" si="66"/>
        <v>0</v>
      </c>
      <c r="H326" s="10">
        <f t="shared" si="67"/>
        <v>-1.3245236048391117E-3</v>
      </c>
      <c r="I326" s="10">
        <f t="shared" si="68"/>
        <v>-1.3245236048391117E-3</v>
      </c>
      <c r="J326" s="10">
        <f t="shared" si="69"/>
        <v>-6.8101298385662449E-3</v>
      </c>
      <c r="K326" s="17">
        <f t="shared" si="70"/>
        <v>1.9577304055171878</v>
      </c>
      <c r="L326" s="17">
        <f t="shared" si="71"/>
        <v>6.9906336326742702</v>
      </c>
      <c r="M326" s="17">
        <f t="shared" si="72"/>
        <v>1.9577304055171878</v>
      </c>
      <c r="N326" s="16">
        <f t="shared" si="73"/>
        <v>191.23655265637345</v>
      </c>
      <c r="O326" s="16">
        <f t="shared" si="74"/>
        <v>-450.52508500749644</v>
      </c>
    </row>
    <row r="327" spans="1:15" x14ac:dyDescent="0.2">
      <c r="A327" s="6">
        <v>294</v>
      </c>
      <c r="B327" s="16">
        <f t="shared" si="75"/>
        <v>406.73664307580054</v>
      </c>
      <c r="C327" s="16">
        <f t="shared" si="76"/>
        <v>-913.54545764260081</v>
      </c>
      <c r="D327" s="16">
        <v>0</v>
      </c>
      <c r="E327" s="10">
        <f t="shared" si="64"/>
        <v>2.1229238221112377E-3</v>
      </c>
      <c r="F327" s="10">
        <f t="shared" si="65"/>
        <v>-4.7120165263329879E-3</v>
      </c>
      <c r="G327" s="10">
        <f t="shared" si="66"/>
        <v>0</v>
      </c>
      <c r="H327" s="10">
        <f t="shared" si="67"/>
        <v>-1.2945463521108751E-3</v>
      </c>
      <c r="I327" s="10">
        <f t="shared" si="68"/>
        <v>-1.2945463521108751E-3</v>
      </c>
      <c r="J327" s="10">
        <f t="shared" si="69"/>
        <v>-6.834940348444226E-3</v>
      </c>
      <c r="K327" s="17">
        <f t="shared" si="70"/>
        <v>1.9650311512097034</v>
      </c>
      <c r="L327" s="17">
        <f t="shared" si="71"/>
        <v>7.1525127270732316</v>
      </c>
      <c r="M327" s="17">
        <f t="shared" si="72"/>
        <v>1.9650311512097034</v>
      </c>
      <c r="N327" s="16">
        <f t="shared" si="73"/>
        <v>199.81254349560265</v>
      </c>
      <c r="O327" s="16">
        <f t="shared" si="74"/>
        <v>-448.7863205784588</v>
      </c>
    </row>
    <row r="328" spans="1:15" x14ac:dyDescent="0.2">
      <c r="A328" s="6">
        <v>295</v>
      </c>
      <c r="B328" s="16">
        <f t="shared" si="75"/>
        <v>422.61826174069961</v>
      </c>
      <c r="C328" s="16">
        <f t="shared" si="76"/>
        <v>-906.30778703664998</v>
      </c>
      <c r="D328" s="16">
        <v>0</v>
      </c>
      <c r="E328" s="10">
        <f t="shared" si="64"/>
        <v>2.1646596666170226E-3</v>
      </c>
      <c r="F328" s="10">
        <f t="shared" si="65"/>
        <v>-4.6930092026634916E-3</v>
      </c>
      <c r="G328" s="10">
        <f t="shared" si="66"/>
        <v>0</v>
      </c>
      <c r="H328" s="10">
        <f t="shared" si="67"/>
        <v>-1.2641747680232345E-3</v>
      </c>
      <c r="I328" s="10">
        <f t="shared" si="68"/>
        <v>-1.2641747680232345E-3</v>
      </c>
      <c r="J328" s="10">
        <f t="shared" si="69"/>
        <v>-6.8576688692805147E-3</v>
      </c>
      <c r="K328" s="17">
        <f t="shared" si="70"/>
        <v>1.9729897938414902</v>
      </c>
      <c r="L328" s="17">
        <f t="shared" si="71"/>
        <v>7.3243506305206383</v>
      </c>
      <c r="M328" s="17">
        <f t="shared" si="72"/>
        <v>1.9729897938414902</v>
      </c>
      <c r="N328" s="16">
        <f t="shared" si="73"/>
        <v>208.45537927635797</v>
      </c>
      <c r="O328" s="16">
        <f t="shared" si="74"/>
        <v>-447.03400347559432</v>
      </c>
    </row>
    <row r="329" spans="1:15" x14ac:dyDescent="0.2">
      <c r="A329" s="6">
        <v>296</v>
      </c>
      <c r="B329" s="16">
        <f t="shared" si="75"/>
        <v>438.37114678907739</v>
      </c>
      <c r="C329" s="16">
        <f t="shared" si="76"/>
        <v>-898.79404629916701</v>
      </c>
      <c r="D329" s="16">
        <v>0</v>
      </c>
      <c r="E329" s="10">
        <f t="shared" si="64"/>
        <v>2.2057361348188269E-3</v>
      </c>
      <c r="F329" s="10">
        <f t="shared" si="65"/>
        <v>-4.6725723429286627E-3</v>
      </c>
      <c r="G329" s="10">
        <f t="shared" si="66"/>
        <v>0</v>
      </c>
      <c r="H329" s="10">
        <f t="shared" si="67"/>
        <v>-1.2334181040549179E-3</v>
      </c>
      <c r="I329" s="10">
        <f t="shared" si="68"/>
        <v>-1.2334181040549179E-3</v>
      </c>
      <c r="J329" s="10">
        <f t="shared" si="69"/>
        <v>-6.8783084777474897E-3</v>
      </c>
      <c r="K329" s="17">
        <f t="shared" si="70"/>
        <v>1.9816192409031306</v>
      </c>
      <c r="L329" s="17">
        <f t="shared" si="71"/>
        <v>7.5069915293273421</v>
      </c>
      <c r="M329" s="17">
        <f t="shared" si="72"/>
        <v>1.9816192409031306</v>
      </c>
      <c r="N329" s="16">
        <f t="shared" si="73"/>
        <v>217.17117478350158</v>
      </c>
      <c r="O329" s="16">
        <f t="shared" si="74"/>
        <v>-445.26689393890211</v>
      </c>
    </row>
    <row r="330" spans="1:15" x14ac:dyDescent="0.2">
      <c r="A330" s="6">
        <v>297</v>
      </c>
      <c r="B330" s="16">
        <f t="shared" si="75"/>
        <v>453.99049973954664</v>
      </c>
      <c r="C330" s="16">
        <f t="shared" si="76"/>
        <v>-891.00652418836785</v>
      </c>
      <c r="D330" s="16">
        <v>0</v>
      </c>
      <c r="E330" s="10">
        <f t="shared" si="64"/>
        <v>2.2461407144265194E-3</v>
      </c>
      <c r="F330" s="10">
        <f t="shared" si="65"/>
        <v>-4.6507121723939537E-3</v>
      </c>
      <c r="G330" s="10">
        <f t="shared" si="66"/>
        <v>0</v>
      </c>
      <c r="H330" s="10">
        <f t="shared" si="67"/>
        <v>-1.2022857289837171E-3</v>
      </c>
      <c r="I330" s="10">
        <f t="shared" si="68"/>
        <v>-1.2022857289837171E-3</v>
      </c>
      <c r="J330" s="10">
        <f t="shared" si="69"/>
        <v>-6.8968528868204731E-3</v>
      </c>
      <c r="K330" s="17">
        <f t="shared" si="70"/>
        <v>1.9909336282346315</v>
      </c>
      <c r="L330" s="17">
        <f t="shared" si="71"/>
        <v>7.7013799931618916</v>
      </c>
      <c r="M330" s="17">
        <f t="shared" si="72"/>
        <v>1.9909336282346315</v>
      </c>
      <c r="N330" s="16">
        <f t="shared" si="73"/>
        <v>225.96623820762727</v>
      </c>
      <c r="O330" s="16">
        <f t="shared" si="74"/>
        <v>-443.48371299576877</v>
      </c>
    </row>
    <row r="331" spans="1:15" x14ac:dyDescent="0.2">
      <c r="A331" s="6">
        <v>298</v>
      </c>
      <c r="B331" s="16">
        <f t="shared" si="75"/>
        <v>469.4715627858904</v>
      </c>
      <c r="C331" s="16">
        <f t="shared" si="76"/>
        <v>-882.94759285892712</v>
      </c>
      <c r="D331" s="16">
        <v>0</v>
      </c>
      <c r="E331" s="10">
        <f t="shared" si="64"/>
        <v>2.2858610978137447E-3</v>
      </c>
      <c r="F331" s="10">
        <f t="shared" si="65"/>
        <v>-4.6274353498790737E-3</v>
      </c>
      <c r="G331" s="10">
        <f t="shared" si="66"/>
        <v>0</v>
      </c>
      <c r="H331" s="10">
        <f t="shared" si="67"/>
        <v>-1.1707871260326645E-3</v>
      </c>
      <c r="I331" s="10">
        <f t="shared" si="68"/>
        <v>-1.1707871260326645E-3</v>
      </c>
      <c r="J331" s="10">
        <f t="shared" si="69"/>
        <v>-6.9132964476928179E-3</v>
      </c>
      <c r="K331" s="17">
        <f t="shared" si="70"/>
        <v>2.0009483783498405</v>
      </c>
      <c r="L331" s="17">
        <f t="shared" si="71"/>
        <v>7.9085762504369468</v>
      </c>
      <c r="M331" s="17">
        <f t="shared" si="72"/>
        <v>2.0009483783498405</v>
      </c>
      <c r="N331" s="16">
        <f t="shared" si="73"/>
        <v>234.84709055944819</v>
      </c>
      <c r="O331" s="16">
        <f t="shared" si="74"/>
        <v>-441.68313852474137</v>
      </c>
    </row>
    <row r="332" spans="1:15" x14ac:dyDescent="0.2">
      <c r="A332" s="6">
        <v>299</v>
      </c>
      <c r="B332" s="16">
        <f t="shared" si="75"/>
        <v>484.80962024633652</v>
      </c>
      <c r="C332" s="16">
        <f t="shared" si="76"/>
        <v>-874.61970713939604</v>
      </c>
      <c r="D332" s="16">
        <v>0</v>
      </c>
      <c r="E332" s="10">
        <f t="shared" si="64"/>
        <v>2.3248851857669418E-3</v>
      </c>
      <c r="F332" s="10">
        <f t="shared" si="65"/>
        <v>-4.6027489657296467E-3</v>
      </c>
      <c r="G332" s="10">
        <f t="shared" si="66"/>
        <v>0</v>
      </c>
      <c r="H332" s="10">
        <f t="shared" si="67"/>
        <v>-1.1389318899813524E-3</v>
      </c>
      <c r="I332" s="10">
        <f t="shared" si="68"/>
        <v>-1.1389318899813524E-3</v>
      </c>
      <c r="J332" s="10">
        <f t="shared" si="69"/>
        <v>-6.9276341514965881E-3</v>
      </c>
      <c r="K332" s="17">
        <f t="shared" si="70"/>
        <v>2.011680265032973</v>
      </c>
      <c r="L332" s="17">
        <f t="shared" si="71"/>
        <v>8.1297743444613353</v>
      </c>
      <c r="M332" s="17">
        <f t="shared" si="72"/>
        <v>2.011680265032973</v>
      </c>
      <c r="N332" s="16">
        <f t="shared" si="73"/>
        <v>243.82048633692131</v>
      </c>
      <c r="O332" s="16">
        <f t="shared" si="74"/>
        <v>-439.86380106531038</v>
      </c>
    </row>
    <row r="333" spans="1:15" x14ac:dyDescent="0.2">
      <c r="A333" s="6">
        <v>300</v>
      </c>
      <c r="B333" s="16">
        <f t="shared" si="75"/>
        <v>500.00000000000011</v>
      </c>
      <c r="C333" s="16">
        <f t="shared" si="76"/>
        <v>-866.02540378443859</v>
      </c>
      <c r="D333" s="16">
        <v>0</v>
      </c>
      <c r="E333" s="10">
        <f t="shared" si="64"/>
        <v>2.3632010911708878E-3</v>
      </c>
      <c r="F333" s="10">
        <f t="shared" si="65"/>
        <v>-4.576660539657427E-3</v>
      </c>
      <c r="G333" s="10">
        <f t="shared" si="66"/>
        <v>0</v>
      </c>
      <c r="H333" s="10">
        <f t="shared" si="67"/>
        <v>-1.1067297242432696E-3</v>
      </c>
      <c r="I333" s="10">
        <f t="shared" si="68"/>
        <v>-1.1067297242432696E-3</v>
      </c>
      <c r="J333" s="10">
        <f t="shared" si="69"/>
        <v>-6.9398616308283152E-3</v>
      </c>
      <c r="K333" s="17">
        <f t="shared" si="70"/>
        <v>2.0231474847274415</v>
      </c>
      <c r="L333" s="17">
        <f t="shared" si="71"/>
        <v>8.3663238245365736</v>
      </c>
      <c r="M333" s="17">
        <f t="shared" si="72"/>
        <v>2.0231474847274415</v>
      </c>
      <c r="N333" s="16">
        <f t="shared" si="73"/>
        <v>252.89343559093024</v>
      </c>
      <c r="O333" s="16">
        <f t="shared" si="74"/>
        <v>-438.02427934413845</v>
      </c>
    </row>
    <row r="334" spans="1:15" x14ac:dyDescent="0.2">
      <c r="A334" s="6">
        <v>301</v>
      </c>
      <c r="B334" s="16">
        <f t="shared" si="75"/>
        <v>515.03807491005421</v>
      </c>
      <c r="C334" s="16">
        <f t="shared" si="76"/>
        <v>-857.16730070211236</v>
      </c>
      <c r="D334" s="16">
        <v>0</v>
      </c>
      <c r="E334" s="10">
        <f t="shared" si="64"/>
        <v>2.4007971426296187E-3</v>
      </c>
      <c r="F334" s="10">
        <f t="shared" si="65"/>
        <v>-4.5491780184497236E-3</v>
      </c>
      <c r="G334" s="10">
        <f t="shared" si="66"/>
        <v>0</v>
      </c>
      <c r="H334" s="10">
        <f t="shared" si="67"/>
        <v>-1.0741904379100524E-3</v>
      </c>
      <c r="I334" s="10">
        <f t="shared" si="68"/>
        <v>-1.0741904379100524E-3</v>
      </c>
      <c r="J334" s="10">
        <f t="shared" si="69"/>
        <v>-6.9499751610793423E-3</v>
      </c>
      <c r="K334" s="17">
        <f t="shared" si="70"/>
        <v>2.0353697353032238</v>
      </c>
      <c r="L334" s="17">
        <f t="shared" si="71"/>
        <v>8.6197558016566376</v>
      </c>
      <c r="M334" s="17">
        <f t="shared" si="72"/>
        <v>2.0353697353032238</v>
      </c>
      <c r="N334" s="16">
        <f t="shared" si="73"/>
        <v>262.07322755018976</v>
      </c>
      <c r="O334" s="16">
        <f t="shared" si="74"/>
        <v>-436.16309548515932</v>
      </c>
    </row>
    <row r="335" spans="1:15" x14ac:dyDescent="0.2">
      <c r="A335" s="6">
        <v>302</v>
      </c>
      <c r="B335" s="16">
        <f t="shared" si="75"/>
        <v>529.91926423320467</v>
      </c>
      <c r="C335" s="16">
        <f t="shared" si="76"/>
        <v>-848.04809615642614</v>
      </c>
      <c r="D335" s="16">
        <v>0</v>
      </c>
      <c r="E335" s="10">
        <f t="shared" si="64"/>
        <v>2.4376618880216595E-3</v>
      </c>
      <c r="F335" s="10">
        <f t="shared" si="65"/>
        <v>-4.5203097735487217E-3</v>
      </c>
      <c r="G335" s="10">
        <f t="shared" si="66"/>
        <v>0</v>
      </c>
      <c r="H335" s="10">
        <f t="shared" si="67"/>
        <v>-1.0413239427635311E-3</v>
      </c>
      <c r="I335" s="10">
        <f t="shared" si="68"/>
        <v>-1.0413239427635311E-3</v>
      </c>
      <c r="J335" s="10">
        <f t="shared" si="69"/>
        <v>-6.9579716615703812E-3</v>
      </c>
      <c r="K335" s="17">
        <f t="shared" si="70"/>
        <v>2.048368302863051</v>
      </c>
      <c r="L335" s="17">
        <f t="shared" si="71"/>
        <v>8.8918144287419842</v>
      </c>
      <c r="M335" s="17">
        <f t="shared" si="72"/>
        <v>2.048368302863051</v>
      </c>
      <c r="N335" s="16">
        <f t="shared" si="73"/>
        <v>271.36745598295153</v>
      </c>
      <c r="O335" s="16">
        <f t="shared" si="74"/>
        <v>-434.27870986754505</v>
      </c>
    </row>
    <row r="336" spans="1:15" x14ac:dyDescent="0.2">
      <c r="A336" s="6">
        <v>303</v>
      </c>
      <c r="B336" s="16">
        <f t="shared" si="75"/>
        <v>544.63903501502659</v>
      </c>
      <c r="C336" s="16">
        <f t="shared" si="76"/>
        <v>-838.6705679454243</v>
      </c>
      <c r="D336" s="16">
        <v>0</v>
      </c>
      <c r="E336" s="10">
        <f t="shared" si="64"/>
        <v>2.4737840979884482E-3</v>
      </c>
      <c r="F336" s="10">
        <f t="shared" si="65"/>
        <v>-4.4900645985014743E-3</v>
      </c>
      <c r="G336" s="10">
        <f t="shared" si="66"/>
        <v>0</v>
      </c>
      <c r="H336" s="10">
        <f t="shared" si="67"/>
        <v>-1.008140250256513E-3</v>
      </c>
      <c r="I336" s="10">
        <f t="shared" si="68"/>
        <v>-1.008140250256513E-3</v>
      </c>
      <c r="J336" s="10">
        <f t="shared" si="69"/>
        <v>-6.9638486964899229E-3</v>
      </c>
      <c r="K336" s="17">
        <f t="shared" si="70"/>
        <v>2.0621661573308918</v>
      </c>
      <c r="L336" s="17">
        <f t="shared" si="71"/>
        <v>9.1844951700949498</v>
      </c>
      <c r="M336" s="17">
        <f t="shared" si="72"/>
        <v>2.0621661573308918</v>
      </c>
      <c r="N336" s="16">
        <f t="shared" si="73"/>
        <v>280.78404649233562</v>
      </c>
      <c r="O336" s="16">
        <f t="shared" si="74"/>
        <v>-432.36951559163305</v>
      </c>
    </row>
    <row r="337" spans="1:15" x14ac:dyDescent="0.2">
      <c r="A337" s="6">
        <v>304</v>
      </c>
      <c r="B337" s="16">
        <f t="shared" si="75"/>
        <v>559.19290347074627</v>
      </c>
      <c r="C337" s="16">
        <f t="shared" si="76"/>
        <v>-829.03757255504206</v>
      </c>
      <c r="D337" s="16">
        <v>0</v>
      </c>
      <c r="E337" s="10">
        <f t="shared" si="64"/>
        <v>2.5091527693549055E-3</v>
      </c>
      <c r="F337" s="10">
        <f t="shared" si="65"/>
        <v>-4.4584517062812908E-3</v>
      </c>
      <c r="G337" s="10">
        <f t="shared" si="66"/>
        <v>0</v>
      </c>
      <c r="H337" s="10">
        <f t="shared" si="67"/>
        <v>-9.7464946846319267E-4</v>
      </c>
      <c r="I337" s="10">
        <f t="shared" si="68"/>
        <v>-9.7464946846319267E-4</v>
      </c>
      <c r="J337" s="10">
        <f t="shared" si="69"/>
        <v>-6.9676044756361959E-3</v>
      </c>
      <c r="K337" s="17">
        <f t="shared" si="70"/>
        <v>2.076788057660095</v>
      </c>
      <c r="L337" s="17">
        <f t="shared" si="71"/>
        <v>9.5000916317730812</v>
      </c>
      <c r="M337" s="17">
        <f t="shared" si="72"/>
        <v>2.076788057660095</v>
      </c>
      <c r="N337" s="16">
        <f t="shared" si="73"/>
        <v>290.33128596408005</v>
      </c>
      <c r="O337" s="16">
        <f t="shared" si="74"/>
        <v>-430.43383250845648</v>
      </c>
    </row>
    <row r="338" spans="1:15" x14ac:dyDescent="0.2">
      <c r="A338" s="6">
        <v>305</v>
      </c>
      <c r="B338" s="16">
        <f t="shared" si="75"/>
        <v>573.57643635104603</v>
      </c>
      <c r="C338" s="16">
        <f t="shared" si="76"/>
        <v>-819.15204428899176</v>
      </c>
      <c r="D338" s="16">
        <v>0</v>
      </c>
      <c r="E338" s="10">
        <f t="shared" si="64"/>
        <v>2.5437571284811097E-3</v>
      </c>
      <c r="F338" s="10">
        <f t="shared" si="65"/>
        <v>-4.4254807264813801E-3</v>
      </c>
      <c r="G338" s="10">
        <f t="shared" si="66"/>
        <v>0</v>
      </c>
      <c r="H338" s="10">
        <f t="shared" si="67"/>
        <v>-9.4086179900013524E-4</v>
      </c>
      <c r="I338" s="10">
        <f t="shared" si="68"/>
        <v>-9.4086179900013524E-4</v>
      </c>
      <c r="J338" s="10">
        <f t="shared" si="69"/>
        <v>-6.9692378549624893E-3</v>
      </c>
      <c r="K338" s="17">
        <f t="shared" si="70"/>
        <v>2.092260667604608</v>
      </c>
      <c r="L338" s="17">
        <f t="shared" si="71"/>
        <v>9.8412532734341873</v>
      </c>
      <c r="M338" s="17">
        <f t="shared" si="72"/>
        <v>2.092260667604608</v>
      </c>
      <c r="N338" s="16">
        <f t="shared" si="73"/>
        <v>300.01785441052789</v>
      </c>
      <c r="O338" s="16">
        <f t="shared" si="74"/>
        <v>-428.46990076344133</v>
      </c>
    </row>
    <row r="339" spans="1:15" x14ac:dyDescent="0.2">
      <c r="A339" s="6">
        <v>306</v>
      </c>
      <c r="B339" s="16">
        <f t="shared" si="75"/>
        <v>587.78525229247293</v>
      </c>
      <c r="C339" s="16">
        <f t="shared" si="76"/>
        <v>-809.01699437494756</v>
      </c>
      <c r="D339" s="16">
        <v>0</v>
      </c>
      <c r="E339" s="10">
        <f t="shared" si="64"/>
        <v>2.5775866345440486E-3</v>
      </c>
      <c r="F339" s="10">
        <f t="shared" si="65"/>
        <v>-4.3911617023815915E-3</v>
      </c>
      <c r="G339" s="10">
        <f t="shared" si="66"/>
        <v>0</v>
      </c>
      <c r="H339" s="10">
        <f t="shared" si="67"/>
        <v>-9.0678753391877144E-4</v>
      </c>
      <c r="I339" s="10">
        <f t="shared" si="68"/>
        <v>-9.0678753391877144E-4</v>
      </c>
      <c r="J339" s="10">
        <f t="shared" si="69"/>
        <v>-6.9687483369256405E-3</v>
      </c>
      <c r="K339" s="17">
        <f t="shared" si="70"/>
        <v>2.108612683116954</v>
      </c>
      <c r="L339" s="17">
        <f t="shared" si="71"/>
        <v>10.211057070055276</v>
      </c>
      <c r="M339" s="17">
        <f t="shared" si="72"/>
        <v>2.108612683116954</v>
      </c>
      <c r="N339" s="16">
        <f t="shared" si="73"/>
        <v>309.85285948325179</v>
      </c>
      <c r="O339" s="16">
        <f t="shared" si="74"/>
        <v>-426.47587379904297</v>
      </c>
    </row>
    <row r="340" spans="1:15" x14ac:dyDescent="0.2">
      <c r="A340" s="6">
        <v>307</v>
      </c>
      <c r="B340" s="16">
        <f t="shared" si="75"/>
        <v>601.81502315204796</v>
      </c>
      <c r="C340" s="16">
        <f t="shared" si="76"/>
        <v>-798.635510047293</v>
      </c>
      <c r="D340" s="16">
        <v>0</v>
      </c>
      <c r="E340" s="10">
        <f t="shared" si="64"/>
        <v>2.610630982748463E-3</v>
      </c>
      <c r="F340" s="10">
        <f t="shared" si="65"/>
        <v>-4.3555050878891178E-3</v>
      </c>
      <c r="G340" s="10">
        <f t="shared" si="66"/>
        <v>0</v>
      </c>
      <c r="H340" s="10">
        <f t="shared" si="67"/>
        <v>-8.7243705257032743E-4</v>
      </c>
      <c r="I340" s="10">
        <f t="shared" si="68"/>
        <v>-8.7243705257032743E-4</v>
      </c>
      <c r="J340" s="10">
        <f t="shared" si="69"/>
        <v>-6.9661360706375804E-3</v>
      </c>
      <c r="K340" s="17">
        <f t="shared" si="70"/>
        <v>2.1258749725733255</v>
      </c>
      <c r="L340" s="17">
        <f t="shared" si="71"/>
        <v>10.61309722229257</v>
      </c>
      <c r="M340" s="17">
        <f t="shared" si="72"/>
        <v>2.1258749725733255</v>
      </c>
      <c r="N340" s="16">
        <f t="shared" si="73"/>
        <v>319.84587395939377</v>
      </c>
      <c r="O340" s="16">
        <f t="shared" si="74"/>
        <v>-424.44981075446822</v>
      </c>
    </row>
    <row r="341" spans="1:15" x14ac:dyDescent="0.2">
      <c r="A341" s="6">
        <v>308</v>
      </c>
      <c r="B341" s="16">
        <f t="shared" si="75"/>
        <v>615.66147532565856</v>
      </c>
      <c r="C341" s="16">
        <f t="shared" si="76"/>
        <v>-788.01075360672178</v>
      </c>
      <c r="D341" s="16">
        <v>0</v>
      </c>
      <c r="E341" s="10">
        <f t="shared" si="64"/>
        <v>2.6428801074657839E-3</v>
      </c>
      <c r="F341" s="10">
        <f t="shared" si="65"/>
        <v>-4.3185217443541465E-3</v>
      </c>
      <c r="G341" s="10">
        <f t="shared" si="66"/>
        <v>0</v>
      </c>
      <c r="H341" s="10">
        <f t="shared" si="67"/>
        <v>-8.3782081844418132E-4</v>
      </c>
      <c r="I341" s="10">
        <f t="shared" si="68"/>
        <v>-8.3782081844418132E-4</v>
      </c>
      <c r="J341" s="10">
        <f t="shared" si="69"/>
        <v>-6.9614018518199304E-3</v>
      </c>
      <c r="K341" s="17">
        <f t="shared" si="70"/>
        <v>2.1440807311817811</v>
      </c>
      <c r="L341" s="17">
        <f t="shared" si="71"/>
        <v>11.051598450911666</v>
      </c>
      <c r="M341" s="17">
        <f t="shared" si="72"/>
        <v>2.1440807311817811</v>
      </c>
      <c r="N341" s="16">
        <f t="shared" si="73"/>
        <v>330.00697654417303</v>
      </c>
      <c r="O341" s="16">
        <f t="shared" si="74"/>
        <v>-422.38966819305159</v>
      </c>
    </row>
    <row r="342" spans="1:15" x14ac:dyDescent="0.2">
      <c r="A342" s="6">
        <v>309</v>
      </c>
      <c r="B342" s="16">
        <f t="shared" si="75"/>
        <v>629.32039104983755</v>
      </c>
      <c r="C342" s="16">
        <f t="shared" si="76"/>
        <v>-777.14596145697078</v>
      </c>
      <c r="D342" s="16">
        <v>0</v>
      </c>
      <c r="E342" s="10">
        <f t="shared" si="64"/>
        <v>2.674324185300214E-3</v>
      </c>
      <c r="F342" s="10">
        <f t="shared" si="65"/>
        <v>-4.2802229372613868E-3</v>
      </c>
      <c r="G342" s="10">
        <f t="shared" si="66"/>
        <v>0</v>
      </c>
      <c r="H342" s="10">
        <f t="shared" si="67"/>
        <v>-8.0294937598058636E-4</v>
      </c>
      <c r="I342" s="10">
        <f t="shared" si="68"/>
        <v>-8.0294937598058636E-4</v>
      </c>
      <c r="J342" s="10">
        <f t="shared" si="69"/>
        <v>-6.9545471225616008E-3</v>
      </c>
      <c r="K342" s="17">
        <f t="shared" si="70"/>
        <v>2.1632656511073245</v>
      </c>
      <c r="L342" s="17">
        <f t="shared" si="71"/>
        <v>11.531560439849111</v>
      </c>
      <c r="M342" s="17">
        <f t="shared" si="72"/>
        <v>2.1632656511073245</v>
      </c>
      <c r="N342" s="16">
        <f t="shared" si="73"/>
        <v>340.34679637488574</v>
      </c>
      <c r="O342" s="16">
        <f t="shared" si="74"/>
        <v>-420.29329107916038</v>
      </c>
    </row>
    <row r="343" spans="1:15" x14ac:dyDescent="0.2">
      <c r="A343" s="6">
        <v>310</v>
      </c>
      <c r="B343" s="16">
        <f t="shared" si="75"/>
        <v>642.78760968653921</v>
      </c>
      <c r="C343" s="16">
        <f t="shared" si="76"/>
        <v>-766.04444311897817</v>
      </c>
      <c r="D343" s="16">
        <v>0</v>
      </c>
      <c r="E343" s="10">
        <f t="shared" si="64"/>
        <v>2.7049536380810415E-3</v>
      </c>
      <c r="F343" s="10">
        <f t="shared" si="65"/>
        <v>-4.2406203327984881E-3</v>
      </c>
      <c r="G343" s="10">
        <f t="shared" si="66"/>
        <v>0</v>
      </c>
      <c r="H343" s="10">
        <f t="shared" si="67"/>
        <v>-7.6783334735872327E-4</v>
      </c>
      <c r="I343" s="10">
        <f t="shared" si="68"/>
        <v>-7.6783334735872327E-4</v>
      </c>
      <c r="J343" s="10">
        <f t="shared" si="69"/>
        <v>-6.9455739708795296E-3</v>
      </c>
      <c r="K343" s="17">
        <f t="shared" si="70"/>
        <v>2.1834681090511232</v>
      </c>
      <c r="L343" s="17">
        <f t="shared" si="71"/>
        <v>12.058943898581987</v>
      </c>
      <c r="M343" s="17">
        <f t="shared" si="72"/>
        <v>2.1834681090511232</v>
      </c>
      <c r="N343" s="16">
        <f t="shared" si="73"/>
        <v>350.87656166093979</v>
      </c>
      <c r="O343" s="16">
        <f t="shared" si="74"/>
        <v>-418.15840291652898</v>
      </c>
    </row>
    <row r="344" spans="1:15" x14ac:dyDescent="0.2">
      <c r="A344" s="6">
        <v>311</v>
      </c>
      <c r="B344" s="16">
        <f t="shared" si="75"/>
        <v>656.05902899050704</v>
      </c>
      <c r="C344" s="16">
        <f t="shared" si="76"/>
        <v>-754.70958022277227</v>
      </c>
      <c r="D344" s="16">
        <v>0</v>
      </c>
      <c r="E344" s="10">
        <f t="shared" si="64"/>
        <v>2.7347591357802358E-3</v>
      </c>
      <c r="F344" s="10">
        <f t="shared" si="65"/>
        <v>-4.1997259943024065E-3</v>
      </c>
      <c r="G344" s="10">
        <f t="shared" si="66"/>
        <v>0</v>
      </c>
      <c r="H344" s="10">
        <f t="shared" si="67"/>
        <v>-7.3248342926108536E-4</v>
      </c>
      <c r="I344" s="10">
        <f t="shared" si="68"/>
        <v>-7.3248342926108536E-4</v>
      </c>
      <c r="J344" s="10">
        <f t="shared" si="69"/>
        <v>-6.9344851300826424E-3</v>
      </c>
      <c r="K344" s="17">
        <f t="shared" si="70"/>
        <v>2.2047293732545672</v>
      </c>
      <c r="L344" s="17">
        <f t="shared" si="71"/>
        <v>12.640912939968914</v>
      </c>
      <c r="M344" s="17">
        <f t="shared" si="72"/>
        <v>2.2047293732545672</v>
      </c>
      <c r="N344" s="16">
        <f t="shared" si="73"/>
        <v>361.60815295106011</v>
      </c>
      <c r="O344" s="16">
        <f t="shared" si="74"/>
        <v>-415.98259494844257</v>
      </c>
    </row>
    <row r="345" spans="1:15" x14ac:dyDescent="0.2">
      <c r="A345" s="6">
        <v>312</v>
      </c>
      <c r="B345" s="16">
        <f t="shared" si="75"/>
        <v>669.13060635885779</v>
      </c>
      <c r="C345" s="16">
        <f t="shared" si="76"/>
        <v>-743.14482547739453</v>
      </c>
      <c r="D345" s="16">
        <v>0</v>
      </c>
      <c r="E345" s="10">
        <f t="shared" si="64"/>
        <v>2.7637315993544647E-3</v>
      </c>
      <c r="F345" s="10">
        <f t="shared" si="65"/>
        <v>-4.1575523785848008E-3</v>
      </c>
      <c r="G345" s="10">
        <f t="shared" si="66"/>
        <v>0</v>
      </c>
      <c r="H345" s="10">
        <f t="shared" si="67"/>
        <v>-6.9691038961516806E-4</v>
      </c>
      <c r="I345" s="10">
        <f t="shared" si="68"/>
        <v>-6.9691038961516806E-4</v>
      </c>
      <c r="J345" s="10">
        <f t="shared" si="69"/>
        <v>-6.9212839779392655E-3</v>
      </c>
      <c r="K345" s="17">
        <f t="shared" si="70"/>
        <v>2.227093832167435</v>
      </c>
      <c r="L345" s="17">
        <f t="shared" si="71"/>
        <v>13.2861547154896</v>
      </c>
      <c r="M345" s="17">
        <f t="shared" si="72"/>
        <v>2.227093832167435</v>
      </c>
      <c r="N345" s="16">
        <f t="shared" si="73"/>
        <v>372.554161584067</v>
      </c>
      <c r="O345" s="16">
        <f t="shared" si="74"/>
        <v>-413.76331430696257</v>
      </c>
    </row>
    <row r="346" spans="1:15" x14ac:dyDescent="0.2">
      <c r="A346" s="6">
        <v>313</v>
      </c>
      <c r="B346" s="16">
        <f t="shared" si="75"/>
        <v>681.99836006249802</v>
      </c>
      <c r="C346" s="16">
        <f t="shared" si="76"/>
        <v>-731.35370161917103</v>
      </c>
      <c r="D346" s="16">
        <v>0</v>
      </c>
      <c r="E346" s="10">
        <f t="shared" si="64"/>
        <v>2.7918622035106614E-3</v>
      </c>
      <c r="F346" s="10">
        <f t="shared" si="65"/>
        <v>-4.1141123321375645E-3</v>
      </c>
      <c r="G346" s="10">
        <f t="shared" si="66"/>
        <v>0</v>
      </c>
      <c r="H346" s="10">
        <f t="shared" si="67"/>
        <v>-6.6112506431345152E-4</v>
      </c>
      <c r="I346" s="10">
        <f t="shared" si="68"/>
        <v>-6.6112506431345152E-4</v>
      </c>
      <c r="J346" s="10">
        <f t="shared" si="69"/>
        <v>-6.9059745356482259E-3</v>
      </c>
      <c r="K346" s="17">
        <f t="shared" si="70"/>
        <v>2.2506092473290433</v>
      </c>
      <c r="L346" s="17">
        <f t="shared" si="71"/>
        <v>14.005306649316919</v>
      </c>
      <c r="M346" s="17">
        <f t="shared" si="72"/>
        <v>2.2506092473290433</v>
      </c>
      <c r="N346" s="16">
        <f t="shared" si="73"/>
        <v>383.72795395497513</v>
      </c>
      <c r="O346" s="16">
        <f t="shared" si="74"/>
        <v>-411.49785098310804</v>
      </c>
    </row>
    <row r="347" spans="1:15" x14ac:dyDescent="0.2">
      <c r="A347" s="6">
        <v>314</v>
      </c>
      <c r="B347" s="16">
        <f t="shared" si="75"/>
        <v>694.65837045899661</v>
      </c>
      <c r="C347" s="16">
        <f t="shared" si="76"/>
        <v>-719.3398003386518</v>
      </c>
      <c r="D347" s="16">
        <v>0</v>
      </c>
      <c r="E347" s="10">
        <f t="shared" si="64"/>
        <v>2.8191423793942918E-3</v>
      </c>
      <c r="F347" s="10">
        <f t="shared" si="65"/>
        <v>-4.069419087219658E-3</v>
      </c>
      <c r="G347" s="10">
        <f t="shared" si="66"/>
        <v>0</v>
      </c>
      <c r="H347" s="10">
        <f t="shared" si="67"/>
        <v>-6.2513835391268314E-4</v>
      </c>
      <c r="I347" s="10">
        <f t="shared" si="68"/>
        <v>-6.2513835391268314E-4</v>
      </c>
      <c r="J347" s="10">
        <f t="shared" si="69"/>
        <v>-6.8885614666139502E-3</v>
      </c>
      <c r="K347" s="17">
        <f t="shared" si="70"/>
        <v>2.2753270333691402</v>
      </c>
      <c r="L347" s="17">
        <f t="shared" si="71"/>
        <v>14.811536040472339</v>
      </c>
      <c r="M347" s="17">
        <f t="shared" si="72"/>
        <v>2.2753270333691402</v>
      </c>
      <c r="N347" s="16">
        <f t="shared" si="73"/>
        <v>395.14374231537749</v>
      </c>
      <c r="O347" s="16">
        <f t="shared" si="74"/>
        <v>-409.18332347222355</v>
      </c>
    </row>
    <row r="348" spans="1:15" x14ac:dyDescent="0.2">
      <c r="A348" s="6">
        <v>315</v>
      </c>
      <c r="B348" s="16">
        <f t="shared" si="75"/>
        <v>707.10678118654732</v>
      </c>
      <c r="C348" s="16">
        <f t="shared" si="76"/>
        <v>-707.10678118654766</v>
      </c>
      <c r="D348" s="16">
        <v>0</v>
      </c>
      <c r="E348" s="10">
        <f t="shared" si="64"/>
        <v>2.8455638171995144E-3</v>
      </c>
      <c r="F348" s="10">
        <f t="shared" si="65"/>
        <v>-4.0234862578264335E-3</v>
      </c>
      <c r="G348" s="10">
        <f t="shared" si="66"/>
        <v>0</v>
      </c>
      <c r="H348" s="10">
        <f t="shared" si="67"/>
        <v>-5.8896122031345957E-4</v>
      </c>
      <c r="I348" s="10">
        <f t="shared" si="68"/>
        <v>-5.8896122031345957E-4</v>
      </c>
      <c r="J348" s="10">
        <f t="shared" si="69"/>
        <v>-6.8690500750259479E-3</v>
      </c>
      <c r="K348" s="17">
        <f t="shared" si="70"/>
        <v>2.3013025684500019</v>
      </c>
      <c r="L348" s="17">
        <f t="shared" si="71"/>
        <v>15.721339436119843</v>
      </c>
      <c r="M348" s="17">
        <f t="shared" si="72"/>
        <v>2.3013025684500019</v>
      </c>
      <c r="N348" s="16">
        <f t="shared" si="73"/>
        <v>406.81666292825372</v>
      </c>
      <c r="O348" s="16">
        <f t="shared" si="74"/>
        <v>-406.81666292825389</v>
      </c>
    </row>
    <row r="349" spans="1:15" x14ac:dyDescent="0.2">
      <c r="A349" s="6">
        <v>316</v>
      </c>
      <c r="B349" s="16">
        <f t="shared" si="75"/>
        <v>719.33980033865089</v>
      </c>
      <c r="C349" s="16">
        <f t="shared" si="76"/>
        <v>-694.65837045899764</v>
      </c>
      <c r="D349" s="16">
        <v>0</v>
      </c>
      <c r="E349" s="10">
        <f t="shared" si="64"/>
        <v>2.8711184687004216E-3</v>
      </c>
      <c r="F349" s="10">
        <f t="shared" si="65"/>
        <v>-3.9763278355426923E-3</v>
      </c>
      <c r="G349" s="10">
        <f t="shared" si="66"/>
        <v>0</v>
      </c>
      <c r="H349" s="10">
        <f t="shared" si="67"/>
        <v>-5.5260468342113538E-4</v>
      </c>
      <c r="I349" s="10">
        <f t="shared" si="68"/>
        <v>-5.5260468342113538E-4</v>
      </c>
      <c r="J349" s="10">
        <f t="shared" si="69"/>
        <v>-6.8474463042431134E-3</v>
      </c>
      <c r="K349" s="17">
        <f t="shared" si="70"/>
        <v>2.3285955389529764</v>
      </c>
      <c r="L349" s="17">
        <f t="shared" si="71"/>
        <v>16.755665554507896</v>
      </c>
      <c r="M349" s="17">
        <f t="shared" si="72"/>
        <v>2.3285955389529764</v>
      </c>
      <c r="N349" s="16">
        <f t="shared" si="73"/>
        <v>418.7628625149768</v>
      </c>
      <c r="O349" s="16">
        <f t="shared" si="74"/>
        <v>-404.39459563679151</v>
      </c>
    </row>
    <row r="350" spans="1:15" x14ac:dyDescent="0.2">
      <c r="A350" s="6">
        <v>317</v>
      </c>
      <c r="B350" s="16">
        <f t="shared" si="75"/>
        <v>731.35370161917069</v>
      </c>
      <c r="C350" s="16">
        <f t="shared" si="76"/>
        <v>-681.99836006249825</v>
      </c>
      <c r="D350" s="16">
        <v>0</v>
      </c>
      <c r="E350" s="10">
        <f t="shared" si="64"/>
        <v>2.8957985497026144E-3</v>
      </c>
      <c r="F350" s="10">
        <f t="shared" si="65"/>
        <v>-3.927958185280688E-3</v>
      </c>
      <c r="G350" s="10">
        <f t="shared" si="66"/>
        <v>0</v>
      </c>
      <c r="H350" s="10">
        <f t="shared" si="67"/>
        <v>-5.1607981778903681E-4</v>
      </c>
      <c r="I350" s="10">
        <f t="shared" si="68"/>
        <v>-5.1607981778903681E-4</v>
      </c>
      <c r="J350" s="10">
        <f t="shared" si="69"/>
        <v>-6.8237567349833019E-3</v>
      </c>
      <c r="K350" s="17">
        <f t="shared" si="70"/>
        <v>2.3572703227739686</v>
      </c>
      <c r="L350" s="17">
        <f t="shared" si="71"/>
        <v>17.941525593710118</v>
      </c>
      <c r="M350" s="17">
        <f t="shared" si="72"/>
        <v>2.3572703227739686</v>
      </c>
      <c r="N350" s="16">
        <f t="shared" si="73"/>
        <v>430.99959406943981</v>
      </c>
      <c r="O350" s="16">
        <f t="shared" si="74"/>
        <v>-401.91362358896066</v>
      </c>
    </row>
    <row r="351" spans="1:15" x14ac:dyDescent="0.2">
      <c r="A351" s="6">
        <v>318</v>
      </c>
      <c r="B351" s="16">
        <f t="shared" si="75"/>
        <v>743.14482547739419</v>
      </c>
      <c r="C351" s="16">
        <f t="shared" si="76"/>
        <v>-669.13060635885813</v>
      </c>
      <c r="D351" s="16">
        <v>0</v>
      </c>
      <c r="E351" s="10">
        <f t="shared" ref="E351:E393" si="77">($B351/$B$6-$C351*$E$6/$B$6)/$A$6</f>
        <v>2.9195965424143357E-3</v>
      </c>
      <c r="F351" s="10">
        <f t="shared" ref="F351:F393" si="78">(-$B351*$E$6/$B$6+$C351/$C$6)/$A$6</f>
        <v>-3.8783920409044647E-3</v>
      </c>
      <c r="G351" s="10">
        <f t="shared" ref="G351:G393" si="79">$D351/($D$6*$A$6)</f>
        <v>0</v>
      </c>
      <c r="H351" s="10">
        <f t="shared" si="67"/>
        <v>-4.7939774924506454E-4</v>
      </c>
      <c r="I351" s="10">
        <f t="shared" si="68"/>
        <v>-4.7939774924506454E-4</v>
      </c>
      <c r="J351" s="10">
        <f t="shared" si="69"/>
        <v>-6.7979885833188008E-3</v>
      </c>
      <c r="K351" s="17">
        <f t="shared" si="70"/>
        <v>2.3873964162477868</v>
      </c>
      <c r="L351" s="17">
        <f t="shared" si="71"/>
        <v>19.314356969427479</v>
      </c>
      <c r="M351" s="17">
        <f t="shared" si="72"/>
        <v>2.3873964162477868</v>
      </c>
      <c r="N351" s="16">
        <f t="shared" si="73"/>
        <v>443.54532327445446</v>
      </c>
      <c r="O351" s="16">
        <f t="shared" si="74"/>
        <v>-399.3700029057116</v>
      </c>
    </row>
    <row r="352" spans="1:15" x14ac:dyDescent="0.2">
      <c r="A352" s="6">
        <v>319</v>
      </c>
      <c r="B352" s="16">
        <f t="shared" si="75"/>
        <v>754.70958022277193</v>
      </c>
      <c r="C352" s="16">
        <f t="shared" si="76"/>
        <v>-656.05902899050739</v>
      </c>
      <c r="D352" s="16">
        <v>0</v>
      </c>
      <c r="E352" s="10">
        <f t="shared" si="77"/>
        <v>2.9425051977364719E-3</v>
      </c>
      <c r="F352" s="10">
        <f t="shared" si="78"/>
        <v>-3.8276445007417552E-3</v>
      </c>
      <c r="G352" s="10">
        <f t="shared" si="79"/>
        <v>0</v>
      </c>
      <c r="H352" s="10">
        <f t="shared" si="67"/>
        <v>-4.4256965150264163E-4</v>
      </c>
      <c r="I352" s="10">
        <f t="shared" si="68"/>
        <v>-4.4256965150264163E-4</v>
      </c>
      <c r="J352" s="10">
        <f t="shared" si="69"/>
        <v>-6.7701496984782271E-3</v>
      </c>
      <c r="K352" s="17">
        <f t="shared" si="70"/>
        <v>2.4190489104891837</v>
      </c>
      <c r="L352" s="17">
        <f t="shared" si="71"/>
        <v>20.921586529536338</v>
      </c>
      <c r="M352" s="17">
        <f t="shared" si="72"/>
        <v>2.4190489104891837</v>
      </c>
      <c r="N352" s="16">
        <f t="shared" si="73"/>
        <v>456.41984694341141</v>
      </c>
      <c r="O352" s="16">
        <f t="shared" si="74"/>
        <v>-396.75971982401967</v>
      </c>
    </row>
    <row r="353" spans="1:15" x14ac:dyDescent="0.2">
      <c r="A353" s="6">
        <v>320</v>
      </c>
      <c r="B353" s="16">
        <f t="shared" si="75"/>
        <v>766.04444311897782</v>
      </c>
      <c r="C353" s="16">
        <f t="shared" si="76"/>
        <v>-642.78760968653955</v>
      </c>
      <c r="D353" s="16">
        <v>0</v>
      </c>
      <c r="E353" s="10">
        <f t="shared" si="77"/>
        <v>2.9645175374706889E-3</v>
      </c>
      <c r="F353" s="10">
        <f t="shared" si="78"/>
        <v>-3.7757310229848944E-3</v>
      </c>
      <c r="G353" s="10">
        <f t="shared" si="79"/>
        <v>0</v>
      </c>
      <c r="H353" s="10">
        <f t="shared" ref="H353:H393" si="80">(E353+F353+G353)/2</f>
        <v>-4.0560674275710276E-4</v>
      </c>
      <c r="I353" s="10">
        <f t="shared" ref="I353:I393" si="81">(E353+F353-G353)/2</f>
        <v>-4.0560674275710276E-4</v>
      </c>
      <c r="J353" s="10">
        <f t="shared" ref="J353:J393" si="82">-E353+F353</f>
        <v>-6.7402485604555838E-3</v>
      </c>
      <c r="K353" s="17">
        <f t="shared" ref="K353:K393" si="83">MIN(
IF(E353&gt;0,$A$12/E353,IF(E353&lt;0,-$B$12/E353,1000)),
IF(F353&gt;0,$A$12/F353,IF(F353&lt;0,-$B$12/F353,1000)),
IF(ABS(E353-F353)&gt;0,(1+$C$12)*MAX($A$12,$B$12)/ABS(E353-F353),1000)
)</f>
        <v>2.4523090238402032</v>
      </c>
      <c r="L353" s="17">
        <f t="shared" ref="L353:L393" si="84">MIN(
IF(H353&gt;0,$A$12/H353,IF(H353&lt;0,-$B$12/H353,1000)),
IF(I353&gt;0,$A$12/I353,IF(I353&lt;0,-$B$12/I353,1000)),
IF(ABS(H353-I353)&gt;0,(1+$C$12)*MAX($A$12,$B$12)/ABS(H353-I353),1000)
)</f>
        <v>22.828168970564075</v>
      </c>
      <c r="M353" s="17">
        <f t="shared" ref="M353:M393" si="85">IF(MIN(K353:L353)&gt;100,"&gt;100",MIN(K353:L353))</f>
        <v>2.4523090238402032</v>
      </c>
      <c r="N353" s="16">
        <f t="shared" si="73"/>
        <v>469.64442513082815</v>
      </c>
      <c r="O353" s="16">
        <f t="shared" si="74"/>
        <v>-394.07846391174382</v>
      </c>
    </row>
    <row r="354" spans="1:15" x14ac:dyDescent="0.2">
      <c r="A354" s="6">
        <v>321</v>
      </c>
      <c r="B354" s="16">
        <f t="shared" si="75"/>
        <v>777.14596145697055</v>
      </c>
      <c r="C354" s="16">
        <f t="shared" si="76"/>
        <v>-629.32039104983778</v>
      </c>
      <c r="D354" s="16">
        <v>0</v>
      </c>
      <c r="E354" s="10">
        <f t="shared" si="77"/>
        <v>2.9856268564450667E-3</v>
      </c>
      <c r="F354" s="10">
        <f t="shared" si="78"/>
        <v>-3.7226674209821049E-3</v>
      </c>
      <c r="G354" s="10">
        <f t="shared" si="79"/>
        <v>0</v>
      </c>
      <c r="H354" s="10">
        <f t="shared" si="80"/>
        <v>-3.6852028226851911E-4</v>
      </c>
      <c r="I354" s="10">
        <f t="shared" si="81"/>
        <v>-3.6852028226851911E-4</v>
      </c>
      <c r="J354" s="10">
        <f t="shared" si="82"/>
        <v>-6.7082942774271716E-3</v>
      </c>
      <c r="K354" s="17">
        <f t="shared" si="83"/>
        <v>2.4872646981761544</v>
      </c>
      <c r="L354" s="17">
        <f t="shared" si="84"/>
        <v>25.125507888633873</v>
      </c>
      <c r="M354" s="17">
        <f t="shared" si="85"/>
        <v>2.4872646981761544</v>
      </c>
      <c r="N354" s="16">
        <f t="shared" ref="N354:N393" si="86">$M354*B354/$A$6</f>
        <v>483.24192881552227</v>
      </c>
      <c r="O354" s="16">
        <f t="shared" ref="O354:O393" si="87">$M354*C354/$A$6</f>
        <v>-391.32159812516858</v>
      </c>
    </row>
    <row r="355" spans="1:15" x14ac:dyDescent="0.2">
      <c r="A355" s="6">
        <v>322</v>
      </c>
      <c r="B355" s="16">
        <f t="shared" ref="B355:B392" si="88">1000*COS(A355*PI()/180)</f>
        <v>788.01075360672155</v>
      </c>
      <c r="C355" s="16">
        <f t="shared" ref="C355:C388" si="89">1000*SIN(A355*PI()/180)</f>
        <v>-615.6614753256589</v>
      </c>
      <c r="D355" s="16">
        <v>0</v>
      </c>
      <c r="E355" s="10">
        <f t="shared" si="77"/>
        <v>3.0058267245565537E-3</v>
      </c>
      <c r="F355" s="10">
        <f t="shared" si="78"/>
        <v>-3.6684698584205956E-3</v>
      </c>
      <c r="G355" s="10">
        <f t="shared" si="79"/>
        <v>0</v>
      </c>
      <c r="H355" s="10">
        <f t="shared" si="80"/>
        <v>-3.3132156693202095E-4</v>
      </c>
      <c r="I355" s="10">
        <f t="shared" si="81"/>
        <v>-3.3132156693202095E-4</v>
      </c>
      <c r="J355" s="10">
        <f t="shared" si="82"/>
        <v>-6.6742965829771489E-3</v>
      </c>
      <c r="K355" s="17">
        <f t="shared" si="83"/>
        <v>2.5240112680783189</v>
      </c>
      <c r="L355" s="17">
        <f t="shared" si="84"/>
        <v>27.946442922500822</v>
      </c>
      <c r="M355" s="17">
        <f t="shared" si="85"/>
        <v>2.5240112680783189</v>
      </c>
      <c r="N355" s="16">
        <f t="shared" si="86"/>
        <v>497.23700536756326</v>
      </c>
      <c r="O355" s="16">
        <f t="shared" si="87"/>
        <v>-388.48412526092125</v>
      </c>
    </row>
    <row r="356" spans="1:15" x14ac:dyDescent="0.2">
      <c r="A356" s="6">
        <v>323</v>
      </c>
      <c r="B356" s="16">
        <f t="shared" si="88"/>
        <v>798.63551004729288</v>
      </c>
      <c r="C356" s="16">
        <f t="shared" si="89"/>
        <v>-601.8150231520483</v>
      </c>
      <c r="D356" s="16">
        <v>0</v>
      </c>
      <c r="E356" s="10">
        <f t="shared" si="77"/>
        <v>3.0251109887296452E-3</v>
      </c>
      <c r="F356" s="10">
        <f t="shared" si="78"/>
        <v>-3.6131548444029425E-3</v>
      </c>
      <c r="G356" s="10">
        <f t="shared" si="79"/>
        <v>0</v>
      </c>
      <c r="H356" s="10">
        <f t="shared" si="80"/>
        <v>-2.9402192783664865E-4</v>
      </c>
      <c r="I356" s="10">
        <f t="shared" si="81"/>
        <v>-2.9402192783664865E-4</v>
      </c>
      <c r="J356" s="10">
        <f t="shared" si="82"/>
        <v>-6.6382658331325881E-3</v>
      </c>
      <c r="K356" s="17">
        <f t="shared" si="83"/>
        <v>2.5626522133704208</v>
      </c>
      <c r="L356" s="17">
        <f t="shared" si="84"/>
        <v>31.491730318847086</v>
      </c>
      <c r="M356" s="17">
        <f t="shared" si="85"/>
        <v>2.5626522133704208</v>
      </c>
      <c r="N356" s="16">
        <f t="shared" si="86"/>
        <v>511.65626437472753</v>
      </c>
      <c r="O356" s="16">
        <f t="shared" si="87"/>
        <v>-385.5606502800419</v>
      </c>
    </row>
    <row r="357" spans="1:15" x14ac:dyDescent="0.2">
      <c r="A357" s="6">
        <v>324</v>
      </c>
      <c r="B357" s="16">
        <f t="shared" si="88"/>
        <v>809.01699437494733</v>
      </c>
      <c r="C357" s="16">
        <f t="shared" si="89"/>
        <v>-587.78525229247339</v>
      </c>
      <c r="D357" s="16">
        <v>0</v>
      </c>
      <c r="E357" s="10">
        <f t="shared" si="77"/>
        <v>3.0434737747906601E-3</v>
      </c>
      <c r="F357" s="10">
        <f t="shared" si="78"/>
        <v>-3.5567392284182706E-3</v>
      </c>
      <c r="G357" s="10">
        <f t="shared" si="79"/>
        <v>0</v>
      </c>
      <c r="H357" s="10">
        <f t="shared" si="80"/>
        <v>-2.5663272681380523E-4</v>
      </c>
      <c r="I357" s="10">
        <f t="shared" si="81"/>
        <v>-2.5663272681380523E-4</v>
      </c>
      <c r="J357" s="10">
        <f t="shared" si="82"/>
        <v>-6.6002130032089303E-3</v>
      </c>
      <c r="K357" s="17">
        <f t="shared" si="83"/>
        <v>2.6033000072870047</v>
      </c>
      <c r="L357" s="17">
        <f t="shared" si="84"/>
        <v>36.07980702312036</v>
      </c>
      <c r="M357" s="17">
        <f t="shared" si="85"/>
        <v>2.6033000072870047</v>
      </c>
      <c r="N357" s="16">
        <f t="shared" si="86"/>
        <v>526.52848683790273</v>
      </c>
      <c r="O357" s="16">
        <f t="shared" si="87"/>
        <v>-382.54533789404746</v>
      </c>
    </row>
    <row r="358" spans="1:15" x14ac:dyDescent="0.2">
      <c r="A358" s="6">
        <v>325</v>
      </c>
      <c r="B358" s="16">
        <f t="shared" si="88"/>
        <v>819.15204428899153</v>
      </c>
      <c r="C358" s="16">
        <f t="shared" si="89"/>
        <v>-573.57643635104648</v>
      </c>
      <c r="D358" s="16">
        <v>0</v>
      </c>
      <c r="E358" s="10">
        <f t="shared" si="77"/>
        <v>3.0609094892570811E-3</v>
      </c>
      <c r="F358" s="10">
        <f t="shared" si="78"/>
        <v>-3.4992401952097158E-3</v>
      </c>
      <c r="G358" s="10">
        <f t="shared" si="79"/>
        <v>0</v>
      </c>
      <c r="H358" s="10">
        <f t="shared" si="80"/>
        <v>-2.1916535297631734E-4</v>
      </c>
      <c r="I358" s="10">
        <f t="shared" si="81"/>
        <v>-2.1916535297631734E-4</v>
      </c>
      <c r="J358" s="10">
        <f t="shared" si="82"/>
        <v>-6.560149684466797E-3</v>
      </c>
      <c r="K358" s="17">
        <f t="shared" si="83"/>
        <v>2.6460770746560125</v>
      </c>
      <c r="L358" s="17">
        <f t="shared" si="84"/>
        <v>42.247823999169249</v>
      </c>
      <c r="M358" s="17">
        <f t="shared" si="85"/>
        <v>2.6460770746560125</v>
      </c>
      <c r="N358" s="16">
        <f t="shared" si="86"/>
        <v>541.88486126267674</v>
      </c>
      <c r="O358" s="16">
        <f t="shared" si="87"/>
        <v>-379.43186469784939</v>
      </c>
    </row>
    <row r="359" spans="1:15" x14ac:dyDescent="0.2">
      <c r="A359" s="6">
        <v>326</v>
      </c>
      <c r="B359" s="16">
        <f t="shared" si="88"/>
        <v>829.03757255504138</v>
      </c>
      <c r="C359" s="16">
        <f t="shared" si="89"/>
        <v>-559.1929034707473</v>
      </c>
      <c r="D359" s="16">
        <v>0</v>
      </c>
      <c r="E359" s="10">
        <f t="shared" si="77"/>
        <v>3.0774128210413793E-3</v>
      </c>
      <c r="F359" s="10">
        <f t="shared" si="78"/>
        <v>-3.4406752595397988E-3</v>
      </c>
      <c r="G359" s="10">
        <f t="shared" si="79"/>
        <v>0</v>
      </c>
      <c r="H359" s="10">
        <f t="shared" si="80"/>
        <v>-1.8163121924920974E-4</v>
      </c>
      <c r="I359" s="10">
        <f t="shared" si="81"/>
        <v>-1.8163121924920974E-4</v>
      </c>
      <c r="J359" s="10">
        <f t="shared" si="82"/>
        <v>-6.518088080581178E-3</v>
      </c>
      <c r="K359" s="17">
        <f t="shared" si="83"/>
        <v>2.6911168770102742</v>
      </c>
      <c r="L359" s="17">
        <f t="shared" si="84"/>
        <v>50.978346660520721</v>
      </c>
      <c r="M359" s="17">
        <f t="shared" si="85"/>
        <v>2.6911168770102742</v>
      </c>
      <c r="N359" s="16">
        <f t="shared" si="86"/>
        <v>557.75925079462536</v>
      </c>
      <c r="O359" s="16">
        <f t="shared" si="87"/>
        <v>-376.21336500862628</v>
      </c>
    </row>
    <row r="360" spans="1:15" x14ac:dyDescent="0.2">
      <c r="A360" s="6">
        <v>327</v>
      </c>
      <c r="B360" s="16">
        <f t="shared" si="88"/>
        <v>838.67056794542407</v>
      </c>
      <c r="C360" s="16">
        <f t="shared" si="89"/>
        <v>-544.63903501502693</v>
      </c>
      <c r="D360" s="16">
        <v>0</v>
      </c>
      <c r="E360" s="10">
        <f t="shared" si="77"/>
        <v>3.0929787430688206E-3</v>
      </c>
      <c r="F360" s="10">
        <f t="shared" si="78"/>
        <v>-3.381062260855253E-3</v>
      </c>
      <c r="G360" s="10">
        <f t="shared" si="79"/>
        <v>0</v>
      </c>
      <c r="H360" s="10">
        <f t="shared" si="80"/>
        <v>-1.440417588932162E-4</v>
      </c>
      <c r="I360" s="10">
        <f t="shared" si="81"/>
        <v>-1.440417588932162E-4</v>
      </c>
      <c r="J360" s="10">
        <f t="shared" si="82"/>
        <v>-6.4740410039240736E-3</v>
      </c>
      <c r="K360" s="17">
        <f t="shared" si="83"/>
        <v>2.7385651445877524</v>
      </c>
      <c r="L360" s="17">
        <f t="shared" si="84"/>
        <v>64.281770303315383</v>
      </c>
      <c r="M360" s="17">
        <f t="shared" si="85"/>
        <v>2.7385651445877524</v>
      </c>
      <c r="N360" s="16">
        <f t="shared" si="86"/>
        <v>574.18849629173815</v>
      </c>
      <c r="O360" s="16">
        <f t="shared" si="87"/>
        <v>-372.88236941851528</v>
      </c>
    </row>
    <row r="361" spans="1:15" x14ac:dyDescent="0.2">
      <c r="A361" s="6">
        <v>328</v>
      </c>
      <c r="B361" s="16">
        <f t="shared" si="88"/>
        <v>848.04809615642534</v>
      </c>
      <c r="C361" s="16">
        <f t="shared" si="89"/>
        <v>-529.91926423320581</v>
      </c>
      <c r="D361" s="16">
        <v>0</v>
      </c>
      <c r="E361" s="10">
        <f t="shared" si="77"/>
        <v>3.1076025138087639E-3</v>
      </c>
      <c r="F361" s="10">
        <f t="shared" si="78"/>
        <v>-3.3204193578529719E-3</v>
      </c>
      <c r="G361" s="10">
        <f t="shared" si="79"/>
        <v>0</v>
      </c>
      <c r="H361" s="10">
        <f t="shared" si="80"/>
        <v>-1.0640842202210401E-4</v>
      </c>
      <c r="I361" s="10">
        <f t="shared" si="81"/>
        <v>-1.0640842202210401E-4</v>
      </c>
      <c r="J361" s="10">
        <f t="shared" si="82"/>
        <v>-6.4280218716617358E-3</v>
      </c>
      <c r="K361" s="17">
        <f t="shared" si="83"/>
        <v>2.7885812788558195</v>
      </c>
      <c r="L361" s="17">
        <f t="shared" si="84"/>
        <v>87.016225626725785</v>
      </c>
      <c r="M361" s="17">
        <f t="shared" si="85"/>
        <v>2.7885812788558195</v>
      </c>
      <c r="N361" s="16">
        <f t="shared" si="86"/>
        <v>591.21276112778185</v>
      </c>
      <c r="O361" s="16">
        <f t="shared" si="87"/>
        <v>-369.430734886442</v>
      </c>
    </row>
    <row r="362" spans="1:15" x14ac:dyDescent="0.2">
      <c r="A362" s="6">
        <v>329</v>
      </c>
      <c r="B362" s="16">
        <f t="shared" si="88"/>
        <v>857.16730070211213</v>
      </c>
      <c r="C362" s="16">
        <f t="shared" si="89"/>
        <v>-515.03807491005443</v>
      </c>
      <c r="D362" s="16">
        <v>0</v>
      </c>
      <c r="E362" s="10">
        <f t="shared" si="77"/>
        <v>3.1212796787189819E-3</v>
      </c>
      <c r="F362" s="10">
        <f t="shared" si="78"/>
        <v>-3.258765022948658E-3</v>
      </c>
      <c r="G362" s="10">
        <f t="shared" si="79"/>
        <v>0</v>
      </c>
      <c r="H362" s="10">
        <f t="shared" si="80"/>
        <v>-6.8742672114838069E-5</v>
      </c>
      <c r="I362" s="10">
        <f t="shared" si="81"/>
        <v>-6.8742672114838069E-5</v>
      </c>
      <c r="J362" s="10">
        <f t="shared" si="82"/>
        <v>-6.3800447016676403E-3</v>
      </c>
      <c r="K362" s="17">
        <f t="shared" si="83"/>
        <v>2.8413399536494102</v>
      </c>
      <c r="L362" s="17">
        <f t="shared" si="84"/>
        <v>134.69449141853553</v>
      </c>
      <c r="M362" s="17">
        <f t="shared" si="85"/>
        <v>2.8413399536494102</v>
      </c>
      <c r="N362" s="16">
        <f t="shared" si="86"/>
        <v>608.87592461168231</v>
      </c>
      <c r="O362" s="16">
        <f t="shared" si="87"/>
        <v>-365.84956497315386</v>
      </c>
    </row>
    <row r="363" spans="1:15" x14ac:dyDescent="0.2">
      <c r="A363" s="6">
        <v>330</v>
      </c>
      <c r="B363" s="16">
        <f t="shared" si="88"/>
        <v>866.02540378443837</v>
      </c>
      <c r="C363" s="16">
        <f t="shared" si="89"/>
        <v>-500.00000000000045</v>
      </c>
      <c r="D363" s="16">
        <v>0</v>
      </c>
      <c r="E363" s="10">
        <f t="shared" si="77"/>
        <v>3.1340060716025455E-3</v>
      </c>
      <c r="F363" s="10">
        <f t="shared" si="78"/>
        <v>-3.1961180366499916E-3</v>
      </c>
      <c r="G363" s="10">
        <f t="shared" si="79"/>
        <v>0</v>
      </c>
      <c r="H363" s="10">
        <f t="shared" si="80"/>
        <v>-3.1055982523723073E-5</v>
      </c>
      <c r="I363" s="10">
        <f t="shared" si="81"/>
        <v>-3.1055982523723073E-5</v>
      </c>
      <c r="J363" s="10">
        <f t="shared" si="82"/>
        <v>-6.3301241082525366E-3</v>
      </c>
      <c r="K363" s="17">
        <f t="shared" si="83"/>
        <v>2.8970329484340147</v>
      </c>
      <c r="L363" s="17">
        <f t="shared" si="84"/>
        <v>298.14736185487891</v>
      </c>
      <c r="M363" s="17">
        <f t="shared" si="85"/>
        <v>2.8970329484340147</v>
      </c>
      <c r="N363" s="16">
        <f t="shared" si="86"/>
        <v>627.22603223609735</v>
      </c>
      <c r="O363" s="16">
        <f t="shared" si="87"/>
        <v>-362.12911855425216</v>
      </c>
    </row>
    <row r="364" spans="1:15" x14ac:dyDescent="0.2">
      <c r="A364" s="6">
        <v>331</v>
      </c>
      <c r="B364" s="16">
        <f t="shared" si="88"/>
        <v>874.61970713939581</v>
      </c>
      <c r="C364" s="16">
        <f t="shared" si="89"/>
        <v>-484.80962024633692</v>
      </c>
      <c r="D364" s="16">
        <v>0</v>
      </c>
      <c r="E364" s="10">
        <f t="shared" si="77"/>
        <v>3.1457778158769005E-3</v>
      </c>
      <c r="F364" s="10">
        <f t="shared" si="78"/>
        <v>-3.1324974818358678E-3</v>
      </c>
      <c r="G364" s="10">
        <f t="shared" si="79"/>
        <v>0</v>
      </c>
      <c r="H364" s="10">
        <f t="shared" si="80"/>
        <v>6.6401670205163722E-6</v>
      </c>
      <c r="I364" s="10">
        <f t="shared" si="81"/>
        <v>6.6401670205163722E-6</v>
      </c>
      <c r="J364" s="10">
        <f t="shared" si="82"/>
        <v>-6.2782752977127683E-3</v>
      </c>
      <c r="K364" s="17">
        <f t="shared" si="83"/>
        <v>2.955871253831837</v>
      </c>
      <c r="L364" s="17">
        <f t="shared" si="84"/>
        <v>1000</v>
      </c>
      <c r="M364" s="17">
        <f t="shared" si="85"/>
        <v>2.955871253831837</v>
      </c>
      <c r="N364" s="16">
        <f t="shared" si="86"/>
        <v>646.31581259203995</v>
      </c>
      <c r="O364" s="16">
        <f t="shared" si="87"/>
        <v>-358.25870501681919</v>
      </c>
    </row>
    <row r="365" spans="1:15" x14ac:dyDescent="0.2">
      <c r="A365" s="6">
        <v>332</v>
      </c>
      <c r="B365" s="16">
        <f t="shared" si="88"/>
        <v>882.9475928589269</v>
      </c>
      <c r="C365" s="16">
        <f t="shared" si="89"/>
        <v>-469.4715627858908</v>
      </c>
      <c r="D365" s="16">
        <v>0</v>
      </c>
      <c r="E365" s="10">
        <f t="shared" si="77"/>
        <v>3.156591325754706E-3</v>
      </c>
      <c r="F365" s="10">
        <f t="shared" si="78"/>
        <v>-3.067922737943595E-3</v>
      </c>
      <c r="G365" s="10">
        <f t="shared" si="79"/>
        <v>0</v>
      </c>
      <c r="H365" s="10">
        <f t="shared" si="80"/>
        <v>4.4334293905555532E-5</v>
      </c>
      <c r="I365" s="10">
        <f t="shared" si="81"/>
        <v>4.4334293905555532E-5</v>
      </c>
      <c r="J365" s="10">
        <f t="shared" si="82"/>
        <v>-6.2245140636983005E-3</v>
      </c>
      <c r="K365" s="17">
        <f t="shared" si="83"/>
        <v>3.0180874976876599</v>
      </c>
      <c r="L365" s="17">
        <f t="shared" si="84"/>
        <v>424.66359188970711</v>
      </c>
      <c r="M365" s="17">
        <f t="shared" si="85"/>
        <v>3.0180874976876599</v>
      </c>
      <c r="N365" s="16">
        <f t="shared" si="86"/>
        <v>666.20327278023535</v>
      </c>
      <c r="O365" s="16">
        <f t="shared" si="87"/>
        <v>-354.2265635409961</v>
      </c>
    </row>
    <row r="366" spans="1:15" x14ac:dyDescent="0.2">
      <c r="A366" s="6">
        <v>333</v>
      </c>
      <c r="B366" s="16">
        <f t="shared" si="88"/>
        <v>891.00652418836773</v>
      </c>
      <c r="C366" s="16">
        <f t="shared" si="89"/>
        <v>-453.99049973954698</v>
      </c>
      <c r="D366" s="16">
        <v>0</v>
      </c>
      <c r="E366" s="10">
        <f t="shared" si="77"/>
        <v>3.1664433073360994E-3</v>
      </c>
      <c r="F366" s="10">
        <f t="shared" si="78"/>
        <v>-3.0024134750657101E-3</v>
      </c>
      <c r="G366" s="10">
        <f t="shared" si="79"/>
        <v>0</v>
      </c>
      <c r="H366" s="10">
        <f t="shared" si="80"/>
        <v>8.2014916135194661E-5</v>
      </c>
      <c r="I366" s="10">
        <f t="shared" si="81"/>
        <v>8.2014916135194661E-5</v>
      </c>
      <c r="J366" s="10">
        <f t="shared" si="82"/>
        <v>-6.1688567824018095E-3</v>
      </c>
      <c r="K366" s="17">
        <f t="shared" si="83"/>
        <v>3.0839387499939903</v>
      </c>
      <c r="L366" s="17">
        <f t="shared" si="84"/>
        <v>229.55776072235662</v>
      </c>
      <c r="M366" s="17">
        <f t="shared" si="85"/>
        <v>3.0839387499939903</v>
      </c>
      <c r="N366" s="16">
        <f t="shared" si="86"/>
        <v>686.9523866104912</v>
      </c>
      <c r="O366" s="16">
        <f t="shared" si="87"/>
        <v>-350.01972356898136</v>
      </c>
    </row>
    <row r="367" spans="1:15" x14ac:dyDescent="0.2">
      <c r="A367" s="6">
        <v>334</v>
      </c>
      <c r="B367" s="16">
        <f t="shared" si="88"/>
        <v>898.79404629916712</v>
      </c>
      <c r="C367" s="16">
        <f t="shared" si="89"/>
        <v>-438.37114678907699</v>
      </c>
      <c r="D367" s="16">
        <v>0</v>
      </c>
      <c r="E367" s="10">
        <f t="shared" si="77"/>
        <v>3.175330759612053E-3</v>
      </c>
      <c r="F367" s="10">
        <f t="shared" si="78"/>
        <v>-2.9359896479582838E-3</v>
      </c>
      <c r="G367" s="10">
        <f t="shared" si="79"/>
        <v>0</v>
      </c>
      <c r="H367" s="10">
        <f t="shared" si="80"/>
        <v>1.1967055582688462E-4</v>
      </c>
      <c r="I367" s="10">
        <f t="shared" si="81"/>
        <v>1.1967055582688462E-4</v>
      </c>
      <c r="J367" s="10">
        <f t="shared" si="82"/>
        <v>-6.1113204075703368E-3</v>
      </c>
      <c r="K367" s="17">
        <f t="shared" si="83"/>
        <v>3.153709777450421</v>
      </c>
      <c r="L367" s="17">
        <f t="shared" si="84"/>
        <v>157.32491893045542</v>
      </c>
      <c r="M367" s="17">
        <f t="shared" si="85"/>
        <v>3.153709777450421</v>
      </c>
      <c r="N367" s="16">
        <f t="shared" si="86"/>
        <v>708.63389293197747</v>
      </c>
      <c r="O367" s="16">
        <f t="shared" si="87"/>
        <v>-345.62384294521644</v>
      </c>
    </row>
    <row r="368" spans="1:15" x14ac:dyDescent="0.2">
      <c r="A368" s="6">
        <v>335</v>
      </c>
      <c r="B368" s="16">
        <f t="shared" si="88"/>
        <v>906.30778703664976</v>
      </c>
      <c r="C368" s="16">
        <f t="shared" si="89"/>
        <v>-422.61826174070001</v>
      </c>
      <c r="D368" s="16">
        <v>0</v>
      </c>
      <c r="E368" s="10">
        <f t="shared" si="77"/>
        <v>3.1832509753785092E-3</v>
      </c>
      <c r="F368" s="10">
        <f t="shared" si="78"/>
        <v>-2.8686714899625269E-3</v>
      </c>
      <c r="G368" s="10">
        <f t="shared" si="79"/>
        <v>0</v>
      </c>
      <c r="H368" s="10">
        <f t="shared" si="80"/>
        <v>1.5728974270799116E-4</v>
      </c>
      <c r="I368" s="10">
        <f t="shared" si="81"/>
        <v>1.5728974270799116E-4</v>
      </c>
      <c r="J368" s="10">
        <f t="shared" si="82"/>
        <v>-6.051922465341036E-3</v>
      </c>
      <c r="K368" s="17">
        <f t="shared" si="83"/>
        <v>3.2277168339621247</v>
      </c>
      <c r="L368" s="17">
        <f t="shared" si="84"/>
        <v>119.69731890769151</v>
      </c>
      <c r="M368" s="17">
        <f t="shared" si="85"/>
        <v>3.2277168339621247</v>
      </c>
      <c r="N368" s="16">
        <f t="shared" si="86"/>
        <v>731.32622524228873</v>
      </c>
      <c r="O368" s="16">
        <f t="shared" si="87"/>
        <v>-341.02301944006717</v>
      </c>
    </row>
    <row r="369" spans="1:15" x14ac:dyDescent="0.2">
      <c r="A369" s="6">
        <v>336</v>
      </c>
      <c r="B369" s="16">
        <f t="shared" si="88"/>
        <v>913.54545764260092</v>
      </c>
      <c r="C369" s="16">
        <f t="shared" si="89"/>
        <v>-406.73664307580015</v>
      </c>
      <c r="D369" s="16">
        <v>0</v>
      </c>
      <c r="E369" s="10">
        <f t="shared" si="77"/>
        <v>3.1902015420610203E-3</v>
      </c>
      <c r="F369" s="10">
        <f t="shared" si="78"/>
        <v>-2.8004795068414749E-3</v>
      </c>
      <c r="G369" s="10">
        <f t="shared" si="79"/>
        <v>0</v>
      </c>
      <c r="H369" s="10">
        <f t="shared" si="80"/>
        <v>1.9486101760977275E-4</v>
      </c>
      <c r="I369" s="10">
        <f t="shared" si="81"/>
        <v>1.9486101760977275E-4</v>
      </c>
      <c r="J369" s="10">
        <f t="shared" si="82"/>
        <v>-5.9906810489024952E-3</v>
      </c>
      <c r="K369" s="17">
        <f t="shared" si="83"/>
        <v>3.3063120928538159</v>
      </c>
      <c r="L369" s="17">
        <f t="shared" si="84"/>
        <v>96.618403848892427</v>
      </c>
      <c r="M369" s="17">
        <f t="shared" si="85"/>
        <v>3.3063120928538159</v>
      </c>
      <c r="N369" s="16">
        <f t="shared" si="86"/>
        <v>755.11659849385126</v>
      </c>
      <c r="O369" s="16">
        <f t="shared" si="87"/>
        <v>-336.19957040207106</v>
      </c>
    </row>
    <row r="370" spans="1:15" x14ac:dyDescent="0.2">
      <c r="A370" s="6">
        <v>337</v>
      </c>
      <c r="B370" s="16">
        <f t="shared" si="88"/>
        <v>920.50485345243987</v>
      </c>
      <c r="C370" s="16">
        <f t="shared" si="89"/>
        <v>-390.73112848927474</v>
      </c>
      <c r="D370" s="16">
        <v>0</v>
      </c>
      <c r="E370" s="10">
        <f t="shared" si="77"/>
        <v>3.1961803424496436E-3</v>
      </c>
      <c r="F370" s="10">
        <f t="shared" si="78"/>
        <v>-2.7314344705337925E-3</v>
      </c>
      <c r="G370" s="10">
        <f t="shared" si="79"/>
        <v>0</v>
      </c>
      <c r="H370" s="10">
        <f t="shared" si="80"/>
        <v>2.3237293595792553E-4</v>
      </c>
      <c r="I370" s="10">
        <f t="shared" si="81"/>
        <v>2.3237293595792553E-4</v>
      </c>
      <c r="J370" s="10">
        <f t="shared" si="82"/>
        <v>-5.9276148129834361E-3</v>
      </c>
      <c r="K370" s="17">
        <f t="shared" si="83"/>
        <v>3.3898888511316771</v>
      </c>
      <c r="L370" s="17">
        <f t="shared" si="84"/>
        <v>81.021313502860295</v>
      </c>
      <c r="M370" s="17">
        <f t="shared" si="85"/>
        <v>3.3898888511316771</v>
      </c>
      <c r="N370" s="16">
        <f t="shared" si="86"/>
        <v>780.10228503275607</v>
      </c>
      <c r="O370" s="16">
        <f t="shared" si="87"/>
        <v>-331.13377406397279</v>
      </c>
    </row>
    <row r="371" spans="1:15" x14ac:dyDescent="0.2">
      <c r="A371" s="6">
        <v>338</v>
      </c>
      <c r="B371" s="16">
        <f t="shared" si="88"/>
        <v>927.18385456678732</v>
      </c>
      <c r="C371" s="16">
        <f t="shared" si="89"/>
        <v>-374.60659341591236</v>
      </c>
      <c r="D371" s="16">
        <v>0</v>
      </c>
      <c r="E371" s="10">
        <f t="shared" si="77"/>
        <v>3.2011855553438625E-3</v>
      </c>
      <c r="F371" s="10">
        <f t="shared" si="78"/>
        <v>-2.6615574128263783E-3</v>
      </c>
      <c r="G371" s="10">
        <f t="shared" si="79"/>
        <v>0</v>
      </c>
      <c r="H371" s="10">
        <f t="shared" si="80"/>
        <v>2.6981407125874213E-4</v>
      </c>
      <c r="I371" s="10">
        <f t="shared" si="81"/>
        <v>2.6981407125874213E-4</v>
      </c>
      <c r="J371" s="10">
        <f t="shared" si="82"/>
        <v>-5.8627429681702408E-3</v>
      </c>
      <c r="K371" s="17">
        <f t="shared" si="83"/>
        <v>3.4788876672874798</v>
      </c>
      <c r="L371" s="17">
        <f t="shared" si="84"/>
        <v>69.778275113652555</v>
      </c>
      <c r="M371" s="17">
        <f t="shared" si="85"/>
        <v>3.4788876672874798</v>
      </c>
      <c r="N371" s="16">
        <f t="shared" si="86"/>
        <v>806.39211924011613</v>
      </c>
      <c r="O371" s="16">
        <f t="shared" si="87"/>
        <v>-325.80356447979818</v>
      </c>
    </row>
    <row r="372" spans="1:15" x14ac:dyDescent="0.2">
      <c r="A372" s="6">
        <v>339</v>
      </c>
      <c r="B372" s="16">
        <f t="shared" si="88"/>
        <v>933.58042649720153</v>
      </c>
      <c r="C372" s="16">
        <f t="shared" si="89"/>
        <v>-358.36794954530075</v>
      </c>
      <c r="D372" s="16">
        <v>0</v>
      </c>
      <c r="E372" s="10">
        <f t="shared" si="77"/>
        <v>3.205215656107342E-3</v>
      </c>
      <c r="F372" s="10">
        <f t="shared" si="78"/>
        <v>-2.590869618947935E-3</v>
      </c>
      <c r="G372" s="10">
        <f t="shared" si="79"/>
        <v>0</v>
      </c>
      <c r="H372" s="10">
        <f t="shared" si="80"/>
        <v>3.0717301857970353E-4</v>
      </c>
      <c r="I372" s="10">
        <f t="shared" si="81"/>
        <v>3.0717301857970353E-4</v>
      </c>
      <c r="J372" s="10">
        <f t="shared" si="82"/>
        <v>-5.7960852750552766E-3</v>
      </c>
      <c r="K372" s="17">
        <f t="shared" si="83"/>
        <v>3.5738036339393768</v>
      </c>
      <c r="L372" s="17">
        <f t="shared" si="84"/>
        <v>61.291712992500337</v>
      </c>
      <c r="M372" s="17">
        <f t="shared" si="85"/>
        <v>3.5738036339393768</v>
      </c>
      <c r="N372" s="16">
        <f t="shared" si="86"/>
        <v>834.10828019759299</v>
      </c>
      <c r="O372" s="16">
        <f t="shared" si="87"/>
        <v>-320.18417009309974</v>
      </c>
    </row>
    <row r="373" spans="1:15" x14ac:dyDescent="0.2">
      <c r="A373" s="6">
        <v>340</v>
      </c>
      <c r="B373" s="16">
        <f t="shared" si="88"/>
        <v>939.69262078590839</v>
      </c>
      <c r="C373" s="16">
        <f t="shared" si="89"/>
        <v>-342.02014332566858</v>
      </c>
      <c r="D373" s="16">
        <v>0</v>
      </c>
      <c r="E373" s="10">
        <f t="shared" si="77"/>
        <v>3.2082694171323509E-3</v>
      </c>
      <c r="F373" s="10">
        <f t="shared" si="78"/>
        <v>-2.5193926210852389E-3</v>
      </c>
      <c r="G373" s="10">
        <f t="shared" si="79"/>
        <v>0</v>
      </c>
      <c r="H373" s="10">
        <f t="shared" si="80"/>
        <v>3.4443839802355603E-4</v>
      </c>
      <c r="I373" s="10">
        <f t="shared" si="81"/>
        <v>3.4443839802355603E-4</v>
      </c>
      <c r="J373" s="10">
        <f t="shared" si="82"/>
        <v>-5.7276620382175902E-3</v>
      </c>
      <c r="K373" s="17">
        <f t="shared" si="83"/>
        <v>3.6751950377908127</v>
      </c>
      <c r="L373" s="17">
        <f t="shared" si="84"/>
        <v>54.660457724401503</v>
      </c>
      <c r="M373" s="17">
        <f t="shared" si="85"/>
        <v>3.6751950377908127</v>
      </c>
      <c r="N373" s="16">
        <f t="shared" si="86"/>
        <v>863.38841424025361</v>
      </c>
      <c r="O373" s="16">
        <f t="shared" si="87"/>
        <v>-314.24768339374992</v>
      </c>
    </row>
    <row r="374" spans="1:15" x14ac:dyDescent="0.2">
      <c r="A374" s="6">
        <v>341</v>
      </c>
      <c r="B374" s="16">
        <f t="shared" si="88"/>
        <v>945.51857559931648</v>
      </c>
      <c r="C374" s="16">
        <f t="shared" si="89"/>
        <v>-325.5681544571575</v>
      </c>
      <c r="D374" s="16">
        <v>0</v>
      </c>
      <c r="E374" s="10">
        <f t="shared" si="77"/>
        <v>3.2103459082136977E-3</v>
      </c>
      <c r="F374" s="10">
        <f t="shared" si="78"/>
        <v>-2.4471481918242632E-3</v>
      </c>
      <c r="G374" s="10">
        <f t="shared" si="79"/>
        <v>0</v>
      </c>
      <c r="H374" s="10">
        <f t="shared" si="80"/>
        <v>3.8159885819471725E-4</v>
      </c>
      <c r="I374" s="10">
        <f t="shared" si="81"/>
        <v>3.8159885819471725E-4</v>
      </c>
      <c r="J374" s="10">
        <f t="shared" si="82"/>
        <v>-5.6574941000379613E-3</v>
      </c>
      <c r="K374" s="17">
        <f t="shared" si="83"/>
        <v>3.7836937256982406</v>
      </c>
      <c r="L374" s="17">
        <f t="shared" si="84"/>
        <v>49.33757030326408</v>
      </c>
      <c r="M374" s="17">
        <f t="shared" si="85"/>
        <v>3.7836937256982406</v>
      </c>
      <c r="N374" s="16">
        <f t="shared" si="86"/>
        <v>894.38817550656779</v>
      </c>
      <c r="O374" s="16">
        <f t="shared" si="87"/>
        <v>-307.96254582667564</v>
      </c>
    </row>
    <row r="375" spans="1:15" x14ac:dyDescent="0.2">
      <c r="A375" s="6">
        <v>342</v>
      </c>
      <c r="B375" s="16">
        <f t="shared" si="88"/>
        <v>951.05651629515353</v>
      </c>
      <c r="C375" s="16">
        <f t="shared" si="89"/>
        <v>-309.01699437494761</v>
      </c>
      <c r="D375" s="16">
        <v>0</v>
      </c>
      <c r="E375" s="10">
        <f t="shared" si="77"/>
        <v>3.2114444968320832E-3</v>
      </c>
      <c r="F375" s="10">
        <f t="shared" si="78"/>
        <v>-2.3741583375179939E-3</v>
      </c>
      <c r="G375" s="10">
        <f t="shared" si="79"/>
        <v>0</v>
      </c>
      <c r="H375" s="10">
        <f t="shared" si="80"/>
        <v>4.1864307965704464E-4</v>
      </c>
      <c r="I375" s="10">
        <f t="shared" si="81"/>
        <v>4.1864307965704464E-4</v>
      </c>
      <c r="J375" s="10">
        <f t="shared" si="82"/>
        <v>-5.5856028343500772E-3</v>
      </c>
      <c r="K375" s="17">
        <f t="shared" si="83"/>
        <v>3.9000175822052063</v>
      </c>
      <c r="L375" s="17">
        <f t="shared" si="84"/>
        <v>44.971866032636932</v>
      </c>
      <c r="M375" s="17">
        <f t="shared" si="85"/>
        <v>3.9000175822052063</v>
      </c>
      <c r="N375" s="16">
        <f t="shared" si="86"/>
        <v>927.2842838054828</v>
      </c>
      <c r="O375" s="16">
        <f t="shared" si="87"/>
        <v>-301.29292781562577</v>
      </c>
    </row>
    <row r="376" spans="1:15" x14ac:dyDescent="0.2">
      <c r="A376" s="6">
        <v>343</v>
      </c>
      <c r="B376" s="16">
        <f t="shared" si="88"/>
        <v>956.30475596303563</v>
      </c>
      <c r="C376" s="16">
        <f t="shared" si="89"/>
        <v>-292.3717047227363</v>
      </c>
      <c r="D376" s="16">
        <v>0</v>
      </c>
      <c r="E376" s="10">
        <f t="shared" si="77"/>
        <v>3.2115648483467723E-3</v>
      </c>
      <c r="F376" s="10">
        <f t="shared" si="78"/>
        <v>-2.3004452915831282E-3</v>
      </c>
      <c r="G376" s="10">
        <f t="shared" si="79"/>
        <v>0</v>
      </c>
      <c r="H376" s="10">
        <f t="shared" si="80"/>
        <v>4.5555977838182202E-4</v>
      </c>
      <c r="I376" s="10">
        <f t="shared" si="81"/>
        <v>4.5555977838182202E-4</v>
      </c>
      <c r="J376" s="10">
        <f t="shared" si="82"/>
        <v>-5.5120101399299005E-3</v>
      </c>
      <c r="K376" s="17">
        <f t="shared" si="83"/>
        <v>4.0249856378402242</v>
      </c>
      <c r="L376" s="17">
        <f t="shared" si="84"/>
        <v>41.327530188688876</v>
      </c>
      <c r="M376" s="17">
        <f t="shared" si="85"/>
        <v>4.0249856378402242</v>
      </c>
      <c r="N376" s="16">
        <f t="shared" si="86"/>
        <v>962.27822703737979</v>
      </c>
      <c r="O376" s="16">
        <f t="shared" si="87"/>
        <v>-294.19797810496914</v>
      </c>
    </row>
    <row r="377" spans="1:15" x14ac:dyDescent="0.2">
      <c r="A377" s="6">
        <v>344</v>
      </c>
      <c r="B377" s="16">
        <f t="shared" si="88"/>
        <v>961.26169593831867</v>
      </c>
      <c r="C377" s="16">
        <f t="shared" si="89"/>
        <v>-275.63735581699979</v>
      </c>
      <c r="D377" s="16">
        <v>0</v>
      </c>
      <c r="E377" s="10">
        <f t="shared" si="77"/>
        <v>3.210706926097527E-3</v>
      </c>
      <c r="F377" s="10">
        <f t="shared" si="78"/>
        <v>-2.22603150772754E-3</v>
      </c>
      <c r="G377" s="10">
        <f t="shared" si="79"/>
        <v>0</v>
      </c>
      <c r="H377" s="10">
        <f t="shared" si="80"/>
        <v>4.9233770918499353E-4</v>
      </c>
      <c r="I377" s="10">
        <f t="shared" si="81"/>
        <v>4.9233770918499353E-4</v>
      </c>
      <c r="J377" s="10">
        <f t="shared" si="82"/>
        <v>-5.436738433825067E-3</v>
      </c>
      <c r="K377" s="17">
        <f t="shared" si="83"/>
        <v>4.1595364787588469</v>
      </c>
      <c r="L377" s="17">
        <f t="shared" si="84"/>
        <v>38.240338171523128</v>
      </c>
      <c r="M377" s="17">
        <f t="shared" si="85"/>
        <v>4.1595364787588469</v>
      </c>
      <c r="N377" s="16">
        <f t="shared" si="86"/>
        <v>999.60077247225786</v>
      </c>
      <c r="O377" s="16">
        <f t="shared" si="87"/>
        <v>-286.63090910736065</v>
      </c>
    </row>
    <row r="378" spans="1:15" x14ac:dyDescent="0.2">
      <c r="A378" s="6">
        <v>345</v>
      </c>
      <c r="B378" s="16">
        <f t="shared" si="88"/>
        <v>965.92582628906837</v>
      </c>
      <c r="C378" s="16">
        <f t="shared" si="89"/>
        <v>-258.8190451025207</v>
      </c>
      <c r="D378" s="16">
        <v>0</v>
      </c>
      <c r="E378" s="10">
        <f t="shared" si="77"/>
        <v>3.2088709914157776E-3</v>
      </c>
      <c r="F378" s="10">
        <f t="shared" si="78"/>
        <v>-2.1509396531106391E-3</v>
      </c>
      <c r="G378" s="10">
        <f t="shared" si="79"/>
        <v>0</v>
      </c>
      <c r="H378" s="10">
        <f t="shared" si="80"/>
        <v>5.2896566915256924E-4</v>
      </c>
      <c r="I378" s="10">
        <f t="shared" si="81"/>
        <v>5.2896566915256924E-4</v>
      </c>
      <c r="J378" s="10">
        <f t="shared" si="82"/>
        <v>-5.3598106445264162E-3</v>
      </c>
      <c r="K378" s="17">
        <f t="shared" si="83"/>
        <v>4.30475083104667</v>
      </c>
      <c r="L378" s="17">
        <f t="shared" si="84"/>
        <v>35.592405314298112</v>
      </c>
      <c r="M378" s="17">
        <f t="shared" si="85"/>
        <v>4.30475083104667</v>
      </c>
      <c r="N378" s="16">
        <f t="shared" si="86"/>
        <v>1039.5175008618271</v>
      </c>
      <c r="O378" s="16">
        <f t="shared" si="87"/>
        <v>-278.53787487394538</v>
      </c>
    </row>
    <row r="379" spans="1:15" x14ac:dyDescent="0.2">
      <c r="A379" s="6">
        <v>346</v>
      </c>
      <c r="B379" s="16">
        <f t="shared" si="88"/>
        <v>970.29572627599646</v>
      </c>
      <c r="C379" s="16">
        <f t="shared" si="89"/>
        <v>-241.92189559966786</v>
      </c>
      <c r="D379" s="16">
        <v>0</v>
      </c>
      <c r="E379" s="10">
        <f t="shared" si="77"/>
        <v>3.2060576035450104E-3</v>
      </c>
      <c r="F379" s="10">
        <f t="shared" si="78"/>
        <v>-2.0751926014387838E-3</v>
      </c>
      <c r="G379" s="10">
        <f t="shared" si="79"/>
        <v>0</v>
      </c>
      <c r="H379" s="10">
        <f t="shared" si="80"/>
        <v>5.6543250105311332E-4</v>
      </c>
      <c r="I379" s="10">
        <f t="shared" si="81"/>
        <v>5.6543250105311332E-4</v>
      </c>
      <c r="J379" s="10">
        <f t="shared" si="82"/>
        <v>-5.2812502049837942E-3</v>
      </c>
      <c r="K379" s="17">
        <f t="shared" si="83"/>
        <v>4.4618794673995943</v>
      </c>
      <c r="L379" s="17">
        <f t="shared" si="84"/>
        <v>33.296919541699026</v>
      </c>
      <c r="M379" s="17">
        <f t="shared" si="85"/>
        <v>4.4618794673995943</v>
      </c>
      <c r="N379" s="16">
        <f t="shared" si="86"/>
        <v>1082.3356445941115</v>
      </c>
      <c r="O379" s="16">
        <f t="shared" si="87"/>
        <v>-269.85658467263659</v>
      </c>
    </row>
    <row r="380" spans="1:15" x14ac:dyDescent="0.2">
      <c r="A380" s="6">
        <v>347</v>
      </c>
      <c r="B380" s="16">
        <f t="shared" si="88"/>
        <v>974.37006478523517</v>
      </c>
      <c r="C380" s="16">
        <f t="shared" si="89"/>
        <v>-224.95105434386534</v>
      </c>
      <c r="D380" s="16">
        <v>0</v>
      </c>
      <c r="E380" s="10">
        <f t="shared" si="77"/>
        <v>3.2022676194704263E-3</v>
      </c>
      <c r="F380" s="10">
        <f t="shared" si="78"/>
        <v>-1.9988134259976884E-3</v>
      </c>
      <c r="G380" s="10">
        <f t="shared" si="79"/>
        <v>0</v>
      </c>
      <c r="H380" s="10">
        <f t="shared" si="80"/>
        <v>6.0172709673636895E-4</v>
      </c>
      <c r="I380" s="10">
        <f t="shared" si="81"/>
        <v>6.0172709673636895E-4</v>
      </c>
      <c r="J380" s="10">
        <f t="shared" si="82"/>
        <v>-5.2010810454681151E-3</v>
      </c>
      <c r="K380" s="17">
        <f t="shared" si="83"/>
        <v>4.6323779592572976</v>
      </c>
      <c r="L380" s="17">
        <f t="shared" si="84"/>
        <v>31.288536939654875</v>
      </c>
      <c r="M380" s="17">
        <f t="shared" si="85"/>
        <v>4.6323779592572976</v>
      </c>
      <c r="N380" s="16">
        <f t="shared" si="86"/>
        <v>1128.4126030678071</v>
      </c>
      <c r="O380" s="16">
        <f t="shared" si="87"/>
        <v>-260.5145765135531</v>
      </c>
    </row>
    <row r="381" spans="1:15" x14ac:dyDescent="0.2">
      <c r="A381" s="6">
        <v>348</v>
      </c>
      <c r="B381" s="16">
        <f t="shared" si="88"/>
        <v>978.14760073380558</v>
      </c>
      <c r="C381" s="16">
        <f t="shared" si="89"/>
        <v>-207.91169081775988</v>
      </c>
      <c r="D381" s="16">
        <v>0</v>
      </c>
      <c r="E381" s="10">
        <f t="shared" si="77"/>
        <v>3.1975021936578884E-3</v>
      </c>
      <c r="F381" s="10">
        <f t="shared" si="78"/>
        <v>-1.9218253926240937E-3</v>
      </c>
      <c r="G381" s="10">
        <f t="shared" si="79"/>
        <v>0</v>
      </c>
      <c r="H381" s="10">
        <f t="shared" si="80"/>
        <v>6.3783840051689737E-4</v>
      </c>
      <c r="I381" s="10">
        <f t="shared" si="81"/>
        <v>6.3783840051689737E-4</v>
      </c>
      <c r="J381" s="10">
        <f t="shared" si="82"/>
        <v>-5.1193275862819821E-3</v>
      </c>
      <c r="K381" s="17">
        <f t="shared" si="83"/>
        <v>4.8179503168165061</v>
      </c>
      <c r="L381" s="17">
        <f t="shared" si="84"/>
        <v>29.517132362319099</v>
      </c>
      <c r="M381" s="17">
        <f t="shared" si="85"/>
        <v>4.8179503168165061</v>
      </c>
      <c r="N381" s="16">
        <f t="shared" si="86"/>
        <v>1178.166635712186</v>
      </c>
      <c r="O381" s="16">
        <f t="shared" si="87"/>
        <v>-250.42704916132041</v>
      </c>
    </row>
    <row r="382" spans="1:15" x14ac:dyDescent="0.2">
      <c r="A382" s="6">
        <v>349</v>
      </c>
      <c r="B382" s="16">
        <f t="shared" si="88"/>
        <v>981.62718344766392</v>
      </c>
      <c r="C382" s="16">
        <f t="shared" si="89"/>
        <v>-190.80899537654466</v>
      </c>
      <c r="D382" s="16">
        <v>0</v>
      </c>
      <c r="E382" s="10">
        <f t="shared" si="77"/>
        <v>3.1917627777022627E-3</v>
      </c>
      <c r="F382" s="10">
        <f t="shared" si="78"/>
        <v>-1.8442519526187607E-3</v>
      </c>
      <c r="G382" s="10">
        <f t="shared" si="79"/>
        <v>0</v>
      </c>
      <c r="H382" s="10">
        <f t="shared" si="80"/>
        <v>6.7375541254175103E-4</v>
      </c>
      <c r="I382" s="10">
        <f t="shared" si="81"/>
        <v>6.7375541254175103E-4</v>
      </c>
      <c r="J382" s="10">
        <f t="shared" si="82"/>
        <v>-5.0360147303210234E-3</v>
      </c>
      <c r="K382" s="17">
        <f t="shared" si="83"/>
        <v>4.9348250914007279</v>
      </c>
      <c r="L382" s="17">
        <f t="shared" si="84"/>
        <v>27.943612983829627</v>
      </c>
      <c r="M382" s="17">
        <f t="shared" si="85"/>
        <v>4.9348250914007279</v>
      </c>
      <c r="N382" s="16">
        <f t="shared" si="86"/>
        <v>1211.0396138196393</v>
      </c>
      <c r="O382" s="16">
        <f t="shared" si="87"/>
        <v>-235.40225451228451</v>
      </c>
    </row>
    <row r="383" spans="1:15" x14ac:dyDescent="0.2">
      <c r="A383" s="6">
        <v>350</v>
      </c>
      <c r="B383" s="16">
        <f t="shared" si="88"/>
        <v>984.80775301220785</v>
      </c>
      <c r="C383" s="16">
        <f t="shared" si="89"/>
        <v>-173.64817766693128</v>
      </c>
      <c r="D383" s="16">
        <v>0</v>
      </c>
      <c r="E383" s="10">
        <f t="shared" si="77"/>
        <v>3.1850511198852492E-3</v>
      </c>
      <c r="F383" s="10">
        <f t="shared" si="78"/>
        <v>-1.7661167356029985E-3</v>
      </c>
      <c r="G383" s="10">
        <f t="shared" si="79"/>
        <v>0</v>
      </c>
      <c r="H383" s="10">
        <f t="shared" si="80"/>
        <v>7.0946719214112536E-4</v>
      </c>
      <c r="I383" s="10">
        <f t="shared" si="81"/>
        <v>7.0946719214112536E-4</v>
      </c>
      <c r="J383" s="10">
        <f t="shared" si="82"/>
        <v>-4.9511678554882473E-3</v>
      </c>
      <c r="K383" s="17">
        <f t="shared" si="83"/>
        <v>5.019391904539086</v>
      </c>
      <c r="L383" s="17">
        <f t="shared" si="84"/>
        <v>26.537041743971315</v>
      </c>
      <c r="M383" s="17">
        <f t="shared" si="85"/>
        <v>5.019391904539086</v>
      </c>
      <c r="N383" s="16">
        <f t="shared" si="86"/>
        <v>1235.784015749201</v>
      </c>
      <c r="O383" s="16">
        <f t="shared" si="87"/>
        <v>-217.90206430483994</v>
      </c>
    </row>
    <row r="384" spans="1:15" x14ac:dyDescent="0.2">
      <c r="A384" s="6">
        <v>351</v>
      </c>
      <c r="B384" s="16">
        <f t="shared" si="88"/>
        <v>987.68834059513767</v>
      </c>
      <c r="C384" s="16">
        <f t="shared" si="89"/>
        <v>-156.43446504023112</v>
      </c>
      <c r="D384" s="16">
        <v>0</v>
      </c>
      <c r="E384" s="10">
        <f t="shared" si="77"/>
        <v>3.1773692646428352E-3</v>
      </c>
      <c r="F384" s="10">
        <f t="shared" si="78"/>
        <v>-1.687443542320807E-3</v>
      </c>
      <c r="G384" s="10">
        <f t="shared" si="79"/>
        <v>0</v>
      </c>
      <c r="H384" s="10">
        <f t="shared" si="80"/>
        <v>7.4496286116101408E-4</v>
      </c>
      <c r="I384" s="10">
        <f t="shared" si="81"/>
        <v>7.4496286116101408E-4</v>
      </c>
      <c r="J384" s="10">
        <f t="shared" si="82"/>
        <v>-4.8648128069636422E-3</v>
      </c>
      <c r="K384" s="17">
        <f t="shared" si="83"/>
        <v>5.1084908788840035</v>
      </c>
      <c r="L384" s="17">
        <f t="shared" si="84"/>
        <v>25.272616227452332</v>
      </c>
      <c r="M384" s="17">
        <f t="shared" si="85"/>
        <v>5.1084908788840035</v>
      </c>
      <c r="N384" s="16">
        <f t="shared" si="86"/>
        <v>1261.3992197775844</v>
      </c>
      <c r="O384" s="16">
        <f t="shared" si="87"/>
        <v>-199.78600945027981</v>
      </c>
    </row>
    <row r="385" spans="1:15" x14ac:dyDescent="0.2">
      <c r="A385" s="6">
        <v>352</v>
      </c>
      <c r="B385" s="16">
        <f t="shared" si="88"/>
        <v>990.26806874157023</v>
      </c>
      <c r="C385" s="16">
        <f t="shared" si="89"/>
        <v>-139.17310096006588</v>
      </c>
      <c r="D385" s="16">
        <v>0</v>
      </c>
      <c r="E385" s="10">
        <f t="shared" si="77"/>
        <v>3.1687195519425441E-3</v>
      </c>
      <c r="F385" s="10">
        <f t="shared" si="78"/>
        <v>-1.6082563373889954E-3</v>
      </c>
      <c r="G385" s="10">
        <f t="shared" si="79"/>
        <v>0</v>
      </c>
      <c r="H385" s="10">
        <f t="shared" si="80"/>
        <v>7.8023160727677438E-4</v>
      </c>
      <c r="I385" s="10">
        <f t="shared" si="81"/>
        <v>7.8023160727677438E-4</v>
      </c>
      <c r="J385" s="10">
        <f t="shared" si="82"/>
        <v>-4.77697588933154E-3</v>
      </c>
      <c r="K385" s="17">
        <f t="shared" si="83"/>
        <v>5.2024235473647042</v>
      </c>
      <c r="L385" s="17">
        <f t="shared" si="84"/>
        <v>24.130220204150913</v>
      </c>
      <c r="M385" s="17">
        <f t="shared" si="85"/>
        <v>5.2024235473647042</v>
      </c>
      <c r="N385" s="16">
        <f t="shared" si="86"/>
        <v>1287.9484797561286</v>
      </c>
      <c r="O385" s="16">
        <f t="shared" si="87"/>
        <v>-181.00935439860302</v>
      </c>
    </row>
    <row r="386" spans="1:15" x14ac:dyDescent="0.2">
      <c r="A386" s="6">
        <v>353</v>
      </c>
      <c r="B386" s="16">
        <f t="shared" si="88"/>
        <v>992.54615164132201</v>
      </c>
      <c r="C386" s="16">
        <f t="shared" si="89"/>
        <v>-121.86934340514811</v>
      </c>
      <c r="D386" s="16">
        <v>0</v>
      </c>
      <c r="E386" s="10">
        <f t="shared" si="77"/>
        <v>3.1591046165706559E-3</v>
      </c>
      <c r="F386" s="10">
        <f t="shared" si="78"/>
        <v>-1.5285792419972863E-3</v>
      </c>
      <c r="G386" s="10">
        <f t="shared" si="79"/>
        <v>0</v>
      </c>
      <c r="H386" s="10">
        <f t="shared" si="80"/>
        <v>8.1526268728668479E-4</v>
      </c>
      <c r="I386" s="10">
        <f t="shared" si="81"/>
        <v>8.1526268728668479E-4</v>
      </c>
      <c r="J386" s="10">
        <f t="shared" si="82"/>
        <v>-4.6876838585679422E-3</v>
      </c>
      <c r="K386" s="17">
        <f t="shared" si="83"/>
        <v>5.3015204526706157</v>
      </c>
      <c r="L386" s="17">
        <f t="shared" si="84"/>
        <v>23.093367067351931</v>
      </c>
      <c r="M386" s="17">
        <f t="shared" si="85"/>
        <v>5.3015204526706157</v>
      </c>
      <c r="N386" s="16">
        <f t="shared" si="86"/>
        <v>1315.5009307864948</v>
      </c>
      <c r="O386" s="16">
        <f t="shared" si="87"/>
        <v>-161.52320415398287</v>
      </c>
    </row>
    <row r="387" spans="1:15" x14ac:dyDescent="0.2">
      <c r="A387" s="6">
        <v>354</v>
      </c>
      <c r="B387" s="16">
        <f t="shared" si="88"/>
        <v>994.52189536827325</v>
      </c>
      <c r="C387" s="16">
        <f t="shared" si="89"/>
        <v>-104.52846326765342</v>
      </c>
      <c r="D387" s="16">
        <v>0</v>
      </c>
      <c r="E387" s="10">
        <f t="shared" si="77"/>
        <v>3.1485273873296258E-3</v>
      </c>
      <c r="F387" s="10">
        <f t="shared" si="78"/>
        <v>-1.4484365265607811E-3</v>
      </c>
      <c r="G387" s="10">
        <f t="shared" si="79"/>
        <v>0</v>
      </c>
      <c r="H387" s="10">
        <f t="shared" si="80"/>
        <v>8.5004543038442234E-4</v>
      </c>
      <c r="I387" s="10">
        <f t="shared" si="81"/>
        <v>8.5004543038442234E-4</v>
      </c>
      <c r="J387" s="10">
        <f t="shared" si="82"/>
        <v>-4.5969639138904068E-3</v>
      </c>
      <c r="K387" s="17">
        <f t="shared" si="83"/>
        <v>5.4061446461997029</v>
      </c>
      <c r="L387" s="17">
        <f t="shared" si="84"/>
        <v>22.148416803220524</v>
      </c>
      <c r="M387" s="17">
        <f t="shared" si="85"/>
        <v>5.4061446461997029</v>
      </c>
      <c r="N387" s="16">
        <f t="shared" si="86"/>
        <v>1344.132305043393</v>
      </c>
      <c r="O387" s="16">
        <f t="shared" si="87"/>
        <v>-141.27399801747671</v>
      </c>
    </row>
    <row r="388" spans="1:15" x14ac:dyDescent="0.2">
      <c r="A388" s="6">
        <v>355</v>
      </c>
      <c r="B388" s="16">
        <f t="shared" si="88"/>
        <v>996.19469809174552</v>
      </c>
      <c r="C388" s="16">
        <f t="shared" si="89"/>
        <v>-87.155742747658323</v>
      </c>
      <c r="D388" s="16">
        <v>0</v>
      </c>
      <c r="E388" s="10">
        <f t="shared" si="77"/>
        <v>3.1369910861459463E-3</v>
      </c>
      <c r="F388" s="10">
        <f t="shared" si="78"/>
        <v>-1.3678526033269699E-3</v>
      </c>
      <c r="G388" s="10">
        <f t="shared" si="79"/>
        <v>0</v>
      </c>
      <c r="H388" s="10">
        <f t="shared" si="80"/>
        <v>8.8456924140948819E-4</v>
      </c>
      <c r="I388" s="10">
        <f t="shared" si="81"/>
        <v>8.8456924140948819E-4</v>
      </c>
      <c r="J388" s="10">
        <f t="shared" si="82"/>
        <v>-4.504843689472916E-3</v>
      </c>
      <c r="K388" s="17">
        <f t="shared" si="83"/>
        <v>5.5166957090934305</v>
      </c>
      <c r="L388" s="17">
        <f t="shared" si="84"/>
        <v>21.283987292874478</v>
      </c>
      <c r="M388" s="17">
        <f t="shared" si="85"/>
        <v>5.5166957090934305</v>
      </c>
      <c r="N388" s="16">
        <f t="shared" si="86"/>
        <v>1373.9257540960896</v>
      </c>
      <c r="O388" s="16">
        <f t="shared" si="87"/>
        <v>-120.20292800971438</v>
      </c>
    </row>
    <row r="389" spans="1:15" x14ac:dyDescent="0.2">
      <c r="A389" s="6">
        <v>356</v>
      </c>
      <c r="B389" s="16">
        <f>1000*COS(A389*PI()/180)</f>
        <v>997.56405025982428</v>
      </c>
      <c r="C389" s="16">
        <f>1000*SIN(A389*PI()/180)</f>
        <v>-69.756473744124762</v>
      </c>
      <c r="D389" s="16">
        <v>0</v>
      </c>
      <c r="E389" s="10">
        <f t="shared" si="77"/>
        <v>3.1244992270887109E-3</v>
      </c>
      <c r="F389" s="10">
        <f t="shared" si="78"/>
        <v>-1.2868520189394956E-3</v>
      </c>
      <c r="G389" s="10">
        <f t="shared" si="79"/>
        <v>0</v>
      </c>
      <c r="H389" s="10">
        <f t="shared" si="80"/>
        <v>9.1882360407460765E-4</v>
      </c>
      <c r="I389" s="10">
        <f t="shared" si="81"/>
        <v>9.1882360407460765E-4</v>
      </c>
      <c r="J389" s="10">
        <f t="shared" si="82"/>
        <v>-4.4113512460282065E-3</v>
      </c>
      <c r="K389" s="17">
        <f t="shared" si="83"/>
        <v>5.6336143883866443</v>
      </c>
      <c r="L389" s="17">
        <f t="shared" si="84"/>
        <v>20.490505914667832</v>
      </c>
      <c r="M389" s="17">
        <f t="shared" si="85"/>
        <v>5.6336143883866443</v>
      </c>
      <c r="N389" s="16">
        <f t="shared" si="86"/>
        <v>1404.9727967202509</v>
      </c>
      <c r="O389" s="16">
        <f t="shared" si="87"/>
        <v>-98.245268542004112</v>
      </c>
    </row>
    <row r="390" spans="1:15" x14ac:dyDescent="0.2">
      <c r="A390" s="6">
        <v>357</v>
      </c>
      <c r="B390" s="16">
        <f t="shared" si="88"/>
        <v>998.6295347545738</v>
      </c>
      <c r="C390" s="16">
        <f t="shared" ref="C390" si="90">1000*SIN(A390*PI()/180)</f>
        <v>-52.33595624294437</v>
      </c>
      <c r="D390" s="16">
        <v>0</v>
      </c>
      <c r="E390" s="10">
        <f t="shared" si="77"/>
        <v>3.1110556152992019E-3</v>
      </c>
      <c r="F390" s="10">
        <f t="shared" si="78"/>
        <v>-1.2054594469610451E-3</v>
      </c>
      <c r="G390" s="10">
        <f t="shared" si="79"/>
        <v>0</v>
      </c>
      <c r="H390" s="10">
        <f t="shared" si="80"/>
        <v>9.5279808416907843E-4</v>
      </c>
      <c r="I390" s="10">
        <f t="shared" si="81"/>
        <v>9.5279808416907843E-4</v>
      </c>
      <c r="J390" s="10">
        <f t="shared" si="82"/>
        <v>-4.3165150622602472E-3</v>
      </c>
      <c r="K390" s="17">
        <f t="shared" si="83"/>
        <v>5.7573879607496918</v>
      </c>
      <c r="L390" s="17">
        <f t="shared" si="84"/>
        <v>19.759863927776532</v>
      </c>
      <c r="M390" s="17">
        <f t="shared" si="85"/>
        <v>5.7573879607496918</v>
      </c>
      <c r="N390" s="16">
        <f t="shared" si="86"/>
        <v>1437.3744151612623</v>
      </c>
      <c r="O390" s="16">
        <f t="shared" si="87"/>
        <v>-75.329601096862646</v>
      </c>
    </row>
    <row r="391" spans="1:15" x14ac:dyDescent="0.2">
      <c r="A391" s="6">
        <v>358</v>
      </c>
      <c r="B391" s="16">
        <f>1000*COS(A391*PI()/180)</f>
        <v>999.39082701909581</v>
      </c>
      <c r="C391" s="16">
        <f>1000*SIN(A391*PI()/180)</f>
        <v>-34.899496702500826</v>
      </c>
      <c r="D391" s="16">
        <v>0</v>
      </c>
      <c r="E391" s="10">
        <f t="shared" si="77"/>
        <v>3.0966643458317992E-3</v>
      </c>
      <c r="F391" s="10">
        <f t="shared" si="78"/>
        <v>-1.123699680357494E-3</v>
      </c>
      <c r="G391" s="10">
        <f t="shared" si="79"/>
        <v>0</v>
      </c>
      <c r="H391" s="10">
        <f t="shared" si="80"/>
        <v>9.8648233273715261E-4</v>
      </c>
      <c r="I391" s="10">
        <f t="shared" si="81"/>
        <v>9.8648233273715261E-4</v>
      </c>
      <c r="J391" s="10">
        <f t="shared" si="82"/>
        <v>-4.2203640261892928E-3</v>
      </c>
      <c r="K391" s="17">
        <f t="shared" si="83"/>
        <v>5.8885564604462379</v>
      </c>
      <c r="L391" s="17">
        <f t="shared" si="84"/>
        <v>19.085147162836869</v>
      </c>
      <c r="M391" s="17">
        <f t="shared" si="85"/>
        <v>5.8885564604462379</v>
      </c>
      <c r="N391" s="16">
        <f t="shared" si="86"/>
        <v>1471.2423277385012</v>
      </c>
      <c r="O391" s="16">
        <f t="shared" si="87"/>
        <v>-51.376914193458354</v>
      </c>
    </row>
    <row r="392" spans="1:15" x14ac:dyDescent="0.2">
      <c r="A392" s="6">
        <v>359</v>
      </c>
      <c r="B392" s="16">
        <f t="shared" si="88"/>
        <v>999.8476951563913</v>
      </c>
      <c r="C392" s="16">
        <f t="shared" ref="C392" si="91">1000*SIN(A392*PI()/180)</f>
        <v>-17.452406437284449</v>
      </c>
      <c r="D392" s="16">
        <v>0</v>
      </c>
      <c r="E392" s="10">
        <f t="shared" si="77"/>
        <v>3.0813298024065967E-3</v>
      </c>
      <c r="F392" s="10">
        <f t="shared" si="78"/>
        <v>-1.0415976239457913E-3</v>
      </c>
      <c r="G392" s="10">
        <f t="shared" si="79"/>
        <v>0</v>
      </c>
      <c r="H392" s="10">
        <f t="shared" si="80"/>
        <v>1.0198660892304027E-3</v>
      </c>
      <c r="I392" s="10">
        <f t="shared" si="81"/>
        <v>1.0198660892304027E-3</v>
      </c>
      <c r="J392" s="10">
        <f t="shared" si="82"/>
        <v>-4.1229274263523876E-3</v>
      </c>
      <c r="K392" s="17">
        <f t="shared" si="83"/>
        <v>6.027719938266932</v>
      </c>
      <c r="L392" s="17">
        <f t="shared" si="84"/>
        <v>18.460424062176884</v>
      </c>
      <c r="M392" s="17">
        <f t="shared" si="85"/>
        <v>6.027719938266932</v>
      </c>
      <c r="N392" s="16">
        <f t="shared" si="86"/>
        <v>1506.7004718311043</v>
      </c>
      <c r="O392" s="16">
        <f t="shared" si="87"/>
        <v>-26.299554563189407</v>
      </c>
    </row>
    <row r="393" spans="1:15" x14ac:dyDescent="0.2">
      <c r="A393" s="6">
        <v>360</v>
      </c>
      <c r="B393" s="16">
        <f>1000*COS(A393*PI()/180)</f>
        <v>1000</v>
      </c>
      <c r="C393" s="16">
        <f>1000*SIN(A393*PI()/180)</f>
        <v>-2.45029690981724E-13</v>
      </c>
      <c r="D393" s="16">
        <v>0</v>
      </c>
      <c r="E393" s="10">
        <f t="shared" si="77"/>
        <v>3.0650566560740671E-3</v>
      </c>
      <c r="F393" s="10">
        <f t="shared" si="78"/>
        <v>-9.5917828680764337E-4</v>
      </c>
      <c r="G393" s="10">
        <f t="shared" si="79"/>
        <v>0</v>
      </c>
      <c r="H393" s="10">
        <f t="shared" si="80"/>
        <v>1.0529391846332118E-3</v>
      </c>
      <c r="I393" s="10">
        <f t="shared" si="81"/>
        <v>1.0529391846332118E-3</v>
      </c>
      <c r="J393" s="10">
        <f t="shared" si="82"/>
        <v>-4.02423494288171E-3</v>
      </c>
      <c r="K393" s="17">
        <f t="shared" si="83"/>
        <v>6.1425163076568605</v>
      </c>
      <c r="L393" s="17">
        <f t="shared" si="84"/>
        <v>17.880577310251347</v>
      </c>
      <c r="M393" s="17">
        <f t="shared" si="85"/>
        <v>6.1425163076568605</v>
      </c>
      <c r="N393" s="16">
        <f t="shared" si="86"/>
        <v>1535.6290769142151</v>
      </c>
      <c r="O393" s="16">
        <f t="shared" si="87"/>
        <v>-3.7627471817884024E-13</v>
      </c>
    </row>
  </sheetData>
  <sheetProtection sheet="1" objects="1" scenarios="1"/>
  <mergeCells count="3">
    <mergeCell ref="E16:G16"/>
    <mergeCell ref="H16:J16"/>
    <mergeCell ref="K16:M16"/>
  </mergeCells>
  <pageMargins left="0.7" right="0.7" top="0.75" bottom="0.75" header="0.3" footer="0.3"/>
  <pageSetup paperSize="9" orientation="portrait" r:id="rId1"/>
  <headerFooter>
    <oddHeader>&amp;L&amp;KFFFFFF.</oddHeader>
    <oddFooter>&amp;L&amp;KFFFFFF.</oddFooter>
  </headerFooter>
  <ignoredErrors>
    <ignoredError sqref="A12:B12" unlockedFormula="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75"/>
  <sheetViews>
    <sheetView showGridLines="0" view="pageBreakPreview" zoomScale="90" zoomScaleNormal="100" zoomScaleSheetLayoutView="90" workbookViewId="0">
      <selection activeCell="A71" sqref="A71"/>
    </sheetView>
  </sheetViews>
  <sheetFormatPr baseColWidth="10" defaultRowHeight="12.75" x14ac:dyDescent="0.2"/>
  <cols>
    <col min="1" max="1" width="11.85546875" bestFit="1" customWidth="1"/>
  </cols>
  <sheetData>
    <row r="1" spans="1:13" ht="18" x14ac:dyDescent="0.25">
      <c r="A1" s="23" t="s">
        <v>92</v>
      </c>
    </row>
    <row r="3" spans="1:13" ht="15.75" x14ac:dyDescent="0.25">
      <c r="A3" s="24" t="s">
        <v>86</v>
      </c>
    </row>
    <row r="4" spans="1:13" ht="15.75" x14ac:dyDescent="0.25">
      <c r="A4" s="24"/>
    </row>
    <row r="5" spans="1:13" x14ac:dyDescent="0.2">
      <c r="A5" t="s">
        <v>93</v>
      </c>
    </row>
    <row r="6" spans="1:13" x14ac:dyDescent="0.2">
      <c r="A6" t="s">
        <v>122</v>
      </c>
    </row>
    <row r="7" spans="1:13" x14ac:dyDescent="0.2">
      <c r="A7" t="s">
        <v>137</v>
      </c>
    </row>
    <row r="8" spans="1:13" x14ac:dyDescent="0.2">
      <c r="A8" t="s">
        <v>87</v>
      </c>
    </row>
    <row r="10" spans="1:13" ht="15.75" x14ac:dyDescent="0.25">
      <c r="A10" s="24" t="s">
        <v>88</v>
      </c>
    </row>
    <row r="11" spans="1:13" ht="15.75" x14ac:dyDescent="0.25">
      <c r="A11" s="24"/>
    </row>
    <row r="12" spans="1:13" ht="15" x14ac:dyDescent="0.2">
      <c r="A12" t="s">
        <v>89</v>
      </c>
      <c r="M12" s="1"/>
    </row>
    <row r="13" spans="1:13" x14ac:dyDescent="0.2">
      <c r="A13" t="s">
        <v>90</v>
      </c>
    </row>
    <row r="14" spans="1:13" x14ac:dyDescent="0.2">
      <c r="A14" t="s">
        <v>91</v>
      </c>
    </row>
    <row r="16" spans="1:13" ht="15.75" x14ac:dyDescent="0.25">
      <c r="A16" s="24" t="s">
        <v>96</v>
      </c>
    </row>
    <row r="18" spans="1:6" x14ac:dyDescent="0.2">
      <c r="A18" t="s">
        <v>97</v>
      </c>
    </row>
    <row r="19" spans="1:6" x14ac:dyDescent="0.2">
      <c r="A19" t="s">
        <v>100</v>
      </c>
    </row>
    <row r="20" spans="1:6" x14ac:dyDescent="0.2">
      <c r="A20" t="s">
        <v>112</v>
      </c>
    </row>
    <row r="21" spans="1:6" x14ac:dyDescent="0.2">
      <c r="A21" t="s">
        <v>98</v>
      </c>
    </row>
    <row r="22" spans="1:6" x14ac:dyDescent="0.2">
      <c r="A22" t="s">
        <v>99</v>
      </c>
    </row>
    <row r="24" spans="1:6" ht="15.75" x14ac:dyDescent="0.25">
      <c r="A24" s="24" t="s">
        <v>94</v>
      </c>
    </row>
    <row r="25" spans="1:6" ht="15.75" x14ac:dyDescent="0.25">
      <c r="A25" s="24"/>
    </row>
    <row r="26" spans="1:6" x14ac:dyDescent="0.2">
      <c r="A26" s="25" t="s">
        <v>120</v>
      </c>
    </row>
    <row r="27" spans="1:6" ht="15.75" x14ac:dyDescent="0.25">
      <c r="A27" s="24"/>
    </row>
    <row r="28" spans="1:6" x14ac:dyDescent="0.2">
      <c r="A28" t="s">
        <v>117</v>
      </c>
    </row>
    <row r="29" spans="1:6" x14ac:dyDescent="0.2">
      <c r="A29" t="s">
        <v>118</v>
      </c>
    </row>
    <row r="30" spans="1:6" x14ac:dyDescent="0.2">
      <c r="A30" t="s">
        <v>102</v>
      </c>
      <c r="F30" t="s">
        <v>101</v>
      </c>
    </row>
    <row r="31" spans="1:6" x14ac:dyDescent="0.2">
      <c r="A31" t="s">
        <v>103</v>
      </c>
      <c r="F31" t="s">
        <v>106</v>
      </c>
    </row>
    <row r="32" spans="1:6" x14ac:dyDescent="0.2">
      <c r="A32" t="s">
        <v>104</v>
      </c>
      <c r="F32" t="s">
        <v>107</v>
      </c>
    </row>
    <row r="33" spans="1:6" x14ac:dyDescent="0.2">
      <c r="A33" t="s">
        <v>105</v>
      </c>
      <c r="F33" t="s">
        <v>108</v>
      </c>
    </row>
    <row r="34" spans="1:6" x14ac:dyDescent="0.2">
      <c r="A34" t="s">
        <v>95</v>
      </c>
      <c r="F34" t="s">
        <v>109</v>
      </c>
    </row>
    <row r="36" spans="1:6" x14ac:dyDescent="0.2">
      <c r="A36" t="s">
        <v>110</v>
      </c>
    </row>
    <row r="37" spans="1:6" x14ac:dyDescent="0.2">
      <c r="A37" t="s">
        <v>139</v>
      </c>
    </row>
    <row r="38" spans="1:6" x14ac:dyDescent="0.2">
      <c r="A38" t="s">
        <v>140</v>
      </c>
    </row>
    <row r="39" spans="1:6" x14ac:dyDescent="0.2">
      <c r="A39" t="s">
        <v>141</v>
      </c>
    </row>
    <row r="40" spans="1:6" x14ac:dyDescent="0.2">
      <c r="A40" t="s">
        <v>113</v>
      </c>
    </row>
    <row r="42" spans="1:6" x14ac:dyDescent="0.2">
      <c r="A42" t="s">
        <v>111</v>
      </c>
    </row>
    <row r="44" spans="1:6" x14ac:dyDescent="0.2">
      <c r="A44" t="s">
        <v>114</v>
      </c>
    </row>
    <row r="45" spans="1:6" x14ac:dyDescent="0.2">
      <c r="A45" t="s">
        <v>115</v>
      </c>
    </row>
    <row r="47" spans="1:6" x14ac:dyDescent="0.2">
      <c r="A47" t="s">
        <v>116</v>
      </c>
    </row>
    <row r="48" spans="1:6" x14ac:dyDescent="0.2">
      <c r="A48" t="s">
        <v>119</v>
      </c>
    </row>
    <row r="50" spans="1:1" x14ac:dyDescent="0.2">
      <c r="A50" s="25" t="s">
        <v>121</v>
      </c>
    </row>
    <row r="51" spans="1:1" x14ac:dyDescent="0.2">
      <c r="A51" s="25"/>
    </row>
    <row r="52" spans="1:1" x14ac:dyDescent="0.2">
      <c r="A52" t="s">
        <v>127</v>
      </c>
    </row>
    <row r="53" spans="1:1" x14ac:dyDescent="0.2">
      <c r="A53" t="s">
        <v>128</v>
      </c>
    </row>
    <row r="55" spans="1:1" x14ac:dyDescent="0.2">
      <c r="A55" t="s">
        <v>129</v>
      </c>
    </row>
    <row r="57" spans="1:1" x14ac:dyDescent="0.2">
      <c r="A57" t="s">
        <v>174</v>
      </c>
    </row>
    <row r="58" spans="1:1" x14ac:dyDescent="0.2">
      <c r="A58" t="s">
        <v>130</v>
      </c>
    </row>
    <row r="60" spans="1:1" x14ac:dyDescent="0.2">
      <c r="A60" t="s">
        <v>123</v>
      </c>
    </row>
    <row r="61" spans="1:1" x14ac:dyDescent="0.2">
      <c r="A61" t="s">
        <v>124</v>
      </c>
    </row>
    <row r="62" spans="1:1" x14ac:dyDescent="0.2">
      <c r="A62" t="s">
        <v>125</v>
      </c>
    </row>
    <row r="63" spans="1:1" x14ac:dyDescent="0.2">
      <c r="A63" t="s">
        <v>126</v>
      </c>
    </row>
    <row r="65" spans="1:1" x14ac:dyDescent="0.2">
      <c r="A65" t="s">
        <v>131</v>
      </c>
    </row>
    <row r="66" spans="1:1" x14ac:dyDescent="0.2">
      <c r="A66" t="s">
        <v>132</v>
      </c>
    </row>
    <row r="67" spans="1:1" x14ac:dyDescent="0.2">
      <c r="A67" t="s">
        <v>133</v>
      </c>
    </row>
    <row r="68" spans="1:1" x14ac:dyDescent="0.2">
      <c r="A68" t="s">
        <v>134</v>
      </c>
    </row>
    <row r="70" spans="1:1" x14ac:dyDescent="0.2">
      <c r="A70" t="s">
        <v>148</v>
      </c>
    </row>
    <row r="71" spans="1:1" x14ac:dyDescent="0.2">
      <c r="A71" s="89" t="s">
        <v>177</v>
      </c>
    </row>
    <row r="72" spans="1:1" ht="15.75" x14ac:dyDescent="0.3">
      <c r="A72" t="s">
        <v>178</v>
      </c>
    </row>
    <row r="73" spans="1:1" x14ac:dyDescent="0.2">
      <c r="A73" s="89" t="s">
        <v>149</v>
      </c>
    </row>
    <row r="74" spans="1:1" x14ac:dyDescent="0.2">
      <c r="A74" s="89" t="s">
        <v>175</v>
      </c>
    </row>
    <row r="75" spans="1:1" x14ac:dyDescent="0.2">
      <c r="A75" t="s">
        <v>176</v>
      </c>
    </row>
  </sheetData>
  <sheetProtection sheet="1" objects="1" scenarios="1"/>
  <pageMargins left="0.7" right="0.7" top="0.75" bottom="0.75" header="0.3" footer="0.3"/>
  <pageSetup paperSize="9" scale="76" orientation="portrait" r:id="rId1"/>
  <headerFooter>
    <oddHeader>&amp;L&amp;KFFFFFF.</oddHeader>
    <oddFooter>&amp;L&amp;KFFFFFF.</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cover</vt:lpstr>
      <vt:lpstr>moduli</vt:lpstr>
      <vt:lpstr>strength</vt:lpstr>
      <vt:lpstr>method</vt:lpstr>
      <vt:lpstr>cover!Área_de_impresión</vt:lpstr>
      <vt:lpstr>method!Área_de_impresión</vt:lpstr>
    </vt:vector>
  </TitlesOfParts>
  <Company>EADS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Maroto Herreros, Enrique (external) [ES]</dc:creator>
  <cp:lastModifiedBy>Maroto Herreros, Enrique (external) [ES]</cp:lastModifiedBy>
  <cp:lastPrinted>2017-10-24T14:36:19Z</cp:lastPrinted>
  <dcterms:created xsi:type="dcterms:W3CDTF">2016-03-10T18:18:55Z</dcterms:created>
  <dcterms:modified xsi:type="dcterms:W3CDTF">2026-03-27T08:45:26Z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b4e8185b-71d2-4894-b0a4-1052b6d8c3de</vt:lpwstr>
  </property>
  <property fmtid="{D5CDD505-2E9C-101B-9397-08002B2CF9AE}" pid="3" name="TaggedBy">
    <vt:lpwstr>U69432</vt:lpwstr>
  </property>
  <property fmtid="{D5CDD505-2E9C-101B-9397-08002B2CF9AE}" pid="4" name="L">
    <vt:lpwstr>XXPRI</vt:lpwstr>
  </property>
  <property fmtid="{D5CDD505-2E9C-101B-9397-08002B2CF9AE}" pid="5" name="STAMP">
    <vt:lpwstr>NO</vt:lpwstr>
  </property>
</Properties>
</file>