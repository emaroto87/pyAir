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69432\Desktop\FWD-HF-DFEM-2D\"/>
    </mc:Choice>
  </mc:AlternateContent>
  <xr:revisionPtr revIDLastSave="0" documentId="13_ncr:1_{4981C7F2-3651-4F5D-AE27-2501C98530E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RSION_CONTROL" sheetId="6" r:id="rId1"/>
    <sheet name="PILOT_POINTS" sheetId="4" r:id="rId2"/>
    <sheet name="FASTENERS" sheetId="5" r:id="rId3"/>
    <sheet name="CONNECTORS" sheetId="1" r:id="rId4"/>
  </sheets>
  <definedNames>
    <definedName name="_xlnm.Print_Area" localSheetId="0">VERSION_CONTROL!$A$1:$J$22</definedName>
    <definedName name="Nastran_Launcher">'CONNECTORS'!$B$1</definedName>
    <definedName name="Nastran_Output_File">'CONNECTORS'!$B$2</definedName>
    <definedName name="Output_File">'CONNECTORS'!$B$2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1" i="1" l="1"/>
  <c r="D112" i="1"/>
  <c r="D113" i="1"/>
  <c r="C111" i="1"/>
  <c r="C112" i="1"/>
  <c r="C113" i="1"/>
  <c r="C80" i="1"/>
  <c r="D80" i="1"/>
  <c r="C24" i="1"/>
  <c r="D2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D4" i="1"/>
  <c r="C4" i="1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I35" i="4"/>
  <c r="H35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</calcChain>
</file>

<file path=xl/sharedStrings.xml><?xml version="1.0" encoding="utf-8"?>
<sst xmlns="http://schemas.openxmlformats.org/spreadsheetml/2006/main" count="611" uniqueCount="158">
  <si>
    <t>E</t>
  </si>
  <si>
    <t>Diameter</t>
  </si>
  <si>
    <t>Create</t>
  </si>
  <si>
    <t>NASTRAN LAUNCHER</t>
  </si>
  <si>
    <t>OUTPUT</t>
  </si>
  <si>
    <t>Rivet</t>
  </si>
  <si>
    <t>ABS2323K5</t>
  </si>
  <si>
    <t>PTR</t>
  </si>
  <si>
    <t>YES</t>
  </si>
  <si>
    <t>Connector_ID</t>
  </si>
  <si>
    <t>Head_Type</t>
  </si>
  <si>
    <t>NAS1790V</t>
  </si>
  <si>
    <t>PilotPoint_ID</t>
  </si>
  <si>
    <t>PilotPoint_Label</t>
  </si>
  <si>
    <t>Y_ref</t>
  </si>
  <si>
    <t>X_ref</t>
  </si>
  <si>
    <t>Z_ref</t>
  </si>
  <si>
    <t>X_shank</t>
  </si>
  <si>
    <t>Y_shank</t>
  </si>
  <si>
    <t>Z_shank</t>
  </si>
  <si>
    <t>X_vec</t>
  </si>
  <si>
    <t>Y_vec</t>
  </si>
  <si>
    <t>Z_vec</t>
  </si>
  <si>
    <t>Shank_definition_method</t>
  </si>
  <si>
    <t>Connector_Label</t>
  </si>
  <si>
    <t>VERSION</t>
  </si>
  <si>
    <t>AUTHOR</t>
  </si>
  <si>
    <t>DATE</t>
  </si>
  <si>
    <t>CHANGES</t>
  </si>
  <si>
    <t>INITIAL RELEASE</t>
  </si>
  <si>
    <t>Cualquier bug o sugerencia contactar a través de email a:</t>
  </si>
  <si>
    <t>Enrique Maroto Herreros</t>
  </si>
  <si>
    <t>e.maroto.h@gmail.com</t>
  </si>
  <si>
    <t>Fastener_Label</t>
  </si>
  <si>
    <t>Fastener_ID</t>
  </si>
  <si>
    <t>1.1.0</t>
  </si>
  <si>
    <t>NO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</si>
  <si>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</si>
  <si>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</si>
  <si>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</si>
  <si>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</si>
  <si>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</si>
  <si>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</si>
  <si>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</si>
  <si>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</si>
  <si>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</si>
  <si>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</si>
  <si>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</si>
  <si>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</si>
  <si>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</si>
  <si>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</si>
  <si>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</si>
  <si>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</si>
  <si>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</si>
  <si>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</si>
  <si>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</si>
  <si>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</si>
  <si>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</si>
  <si>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</si>
  <si>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</si>
  <si>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</si>
  <si>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</si>
  <si>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F01</t>
  </si>
  <si>
    <t>F02</t>
  </si>
  <si>
    <t>F03</t>
  </si>
  <si>
    <t>F04</t>
  </si>
  <si>
    <t>F05</t>
  </si>
  <si>
    <t>F06</t>
  </si>
  <si>
    <t>F07</t>
  </si>
  <si>
    <t>F08</t>
  </si>
  <si>
    <t>FP-Fr-Rwd-01</t>
  </si>
  <si>
    <t>FP-Fr-Rwd-02</t>
  </si>
  <si>
    <t>FP-Fr-Rwd-03</t>
  </si>
  <si>
    <t>FP-Fr-Rwd-04</t>
  </si>
  <si>
    <t>FP-Fr-Rwd-05</t>
  </si>
  <si>
    <t>FP-Fr-Rwd-06</t>
  </si>
  <si>
    <t>FP-Fr-Rwd-07</t>
  </si>
  <si>
    <t>FP-Fr-Rwd-08</t>
  </si>
  <si>
    <t>FP-Fr-Rwd-09</t>
  </si>
  <si>
    <t>FP-Fr-Rwd-10</t>
  </si>
  <si>
    <t>FP-Fr-Rwd-11</t>
  </si>
  <si>
    <t>FP-Fr-Rwd-12</t>
  </si>
  <si>
    <t>FP-Fr-Rwd-13</t>
  </si>
  <si>
    <t>FP-Fr-Rwd-14</t>
  </si>
  <si>
    <t>FP-Fr-Rwd-15</t>
  </si>
  <si>
    <t>FP-Fr-Rwd-16</t>
  </si>
  <si>
    <t>FP-Fr-Rwd-17</t>
  </si>
  <si>
    <t>FP-Fr-Rwd-18</t>
  </si>
  <si>
    <t>FP-Fr-Fwd-01</t>
  </si>
  <si>
    <t>FP-Fr-Fwd-02</t>
  </si>
  <si>
    <t>FP-Fr-Fwd-03</t>
  </si>
  <si>
    <t>FP-Fr-Fwd-04</t>
  </si>
  <si>
    <t>FP-Fr-Fwd-05</t>
  </si>
  <si>
    <t>FP-Fr-Fwd-06</t>
  </si>
  <si>
    <t>FP-Fr-Fwd-07</t>
  </si>
  <si>
    <t>FP-Fr-Fwd-08</t>
  </si>
  <si>
    <t>FP-Fr-Fwd-09</t>
  </si>
  <si>
    <t>FP-Fr-Fwd-10</t>
  </si>
  <si>
    <t>FP-Fr-Fwd-11</t>
  </si>
  <si>
    <t>FP-Fr-Fwd-12</t>
  </si>
  <si>
    <t>FP-Fr-Fwd-13</t>
  </si>
  <si>
    <t>FP-Fr-Fwd-14</t>
  </si>
  <si>
    <t>FP-Fr-Fwd-15</t>
  </si>
  <si>
    <t>FP-Fr-Fwd-16</t>
  </si>
  <si>
    <t>FP-Fr-Fwd-17</t>
  </si>
  <si>
    <t>FP-Fr-Fwd-18</t>
  </si>
  <si>
    <t>FP-LG-1</t>
  </si>
  <si>
    <t>FP-LG-2</t>
  </si>
  <si>
    <t>FP-LG-3</t>
  </si>
  <si>
    <t>FP-LG-4</t>
  </si>
  <si>
    <t>FP-LG-5</t>
  </si>
  <si>
    <t>FP-LG-6</t>
  </si>
  <si>
    <t>FP-LG-7</t>
  </si>
  <si>
    <t>FP-LG-8</t>
  </si>
  <si>
    <t>FP-LG-9</t>
  </si>
  <si>
    <t>LG-FL-1</t>
  </si>
  <si>
    <t>LG-FL-2</t>
  </si>
  <si>
    <t>LG-FL-3</t>
  </si>
  <si>
    <t>LG-FL-4</t>
  </si>
  <si>
    <t>LG-FL-5</t>
  </si>
  <si>
    <t>LG-FL-6</t>
  </si>
  <si>
    <t>LG-FL-7</t>
  </si>
  <si>
    <t>LG-FL-8</t>
  </si>
  <si>
    <t>LG-FL-9</t>
  </si>
  <si>
    <t>LG-FL-10</t>
  </si>
  <si>
    <t>LG-FL-11</t>
  </si>
  <si>
    <t>LG-FL-12</t>
  </si>
  <si>
    <t>LG-FL-13</t>
  </si>
  <si>
    <t>LG-FL-14</t>
  </si>
  <si>
    <t>LG-FL-15</t>
  </si>
  <si>
    <t>LG-FL-16</t>
  </si>
  <si>
    <t>LG-FL-17</t>
  </si>
  <si>
    <t>LG-FL-18</t>
  </si>
  <si>
    <t>LG-FL-19</t>
  </si>
  <si>
    <t>LG-FL-20</t>
  </si>
  <si>
    <t>LG-FL-21</t>
  </si>
  <si>
    <t>LG-FR-1</t>
  </si>
  <si>
    <t>LG-FR-2</t>
  </si>
  <si>
    <t>LG-FR-3</t>
  </si>
  <si>
    <t>LG-FR-4</t>
  </si>
  <si>
    <t>LG-FR-5</t>
  </si>
  <si>
    <t>LG-FR-6</t>
  </si>
  <si>
    <t>LG-FR-7</t>
  </si>
  <si>
    <t>LG-FR-8</t>
  </si>
  <si>
    <t>EN6115T4</t>
  </si>
  <si>
    <t>Vector</t>
  </si>
  <si>
    <t>Vector_definition_method</t>
  </si>
  <si>
    <t>C:\Users\U69432\Desktop\FWD-HF-DFEM-2D\FEM\Fastener_test.bdf</t>
  </si>
  <si>
    <t>C:\Users\U69432\Desktop\FWD-HF-DFEM-2D\FEM\FWD_HF_DFEM2D_v1.0.dat</t>
  </si>
  <si>
    <t>MS2047E6</t>
  </si>
  <si>
    <t>ABS0257-5</t>
  </si>
  <si>
    <t>CSK</t>
  </si>
  <si>
    <t>ABS0257-8</t>
  </si>
  <si>
    <t>ABS2322K6</t>
  </si>
  <si>
    <t>ANGL-FR-1</t>
  </si>
  <si>
    <t>ANGL-FR-2</t>
  </si>
  <si>
    <t>ANGL-FR-3</t>
  </si>
  <si>
    <t>EN6115T3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</si>
</sst>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3" fillId="0" borderId="1" xfId="1" applyBorder="1"/>
    <xf numFmtId="0" fontId="0" fillId="0" borderId="2" xfId="0" applyBorder="1"/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PILOT_POINTS!$C$101:$C$108</c:f>
              <c:numCache>
                <c:formatCode>General</c:formatCode>
                <c:ptCount val="8"/>
                <c:pt idx="0">
                  <c:v>7987.6</c:v>
                </c:pt>
                <c:pt idx="1">
                  <c:v>8007.8</c:v>
                </c:pt>
                <c:pt idx="2">
                  <c:v>7987.6</c:v>
                </c:pt>
                <c:pt idx="3">
                  <c:v>8007.8</c:v>
                </c:pt>
                <c:pt idx="4">
                  <c:v>8035</c:v>
                </c:pt>
                <c:pt idx="5">
                  <c:v>8055</c:v>
                </c:pt>
                <c:pt idx="6">
                  <c:v>8035</c:v>
                </c:pt>
                <c:pt idx="7">
                  <c:v>8055.2</c:v>
                </c:pt>
              </c:numCache>
            </c:numRef>
          </c:xVal>
          <c:yVal>
            <c:numRef>
              <c:f>PILOT_POINTS!$E$101:$E$108</c:f>
              <c:numCache>
                <c:formatCode>General</c:formatCode>
                <c:ptCount val="8"/>
                <c:pt idx="0">
                  <c:v>2788.25</c:v>
                </c:pt>
                <c:pt idx="1">
                  <c:v>2788.2249999999999</c:v>
                </c:pt>
                <c:pt idx="2">
                  <c:v>2808.5010000000002</c:v>
                </c:pt>
                <c:pt idx="3">
                  <c:v>2808.5010000000002</c:v>
                </c:pt>
                <c:pt idx="4">
                  <c:v>2808.5010000000002</c:v>
                </c:pt>
                <c:pt idx="5">
                  <c:v>2808.5010000000002</c:v>
                </c:pt>
                <c:pt idx="6">
                  <c:v>2788.2249999999999</c:v>
                </c:pt>
                <c:pt idx="7">
                  <c:v>2788.2249999999999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DF-4075-90FB-24F1B078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42176"/>
        <c:axId val="747141848"/>
      </c:scatterChart>
      <c:valAx>
        <c:axId val="74714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141848"/>
        <c:crosses val="autoZero"/>
        <c:crossBetween val="midCat"/>
      </c:valAx>
      <c:valAx>
        <c:axId val="74714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14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1695450</xdr:colOff>
      <xdr:row>90</xdr:row>
      <xdr:rowOff>128587</xdr:rowOff>
    </xdr:from>
    <xdr:to>
      <xdr:col>10</xdr:col>
      <xdr:colOff>114300</xdr:colOff>
      <xdr:row>105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59C8B9-75EE-4819-BB93-A426CD481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292886-6CC3-4243-99EC-0CE291F13BBD}" name="PILOTPOINTS" displayName="PILOTPOINTS" ref="A1:M111" totalsRowShown="0" headerRowDxfId="8">
  <autoFilter ref="A1:M111" xr:uid="{DE292886-6CC3-4243-99EC-0CE291F13BBD}"/>
  <tableColumns count="13">
    <tableColumn id="1" xr3:uid="{338BAF0E-C991-4A4C-B6CA-5B3525DB6ED2}" name="PilotPoint_ID"/>
    <tableColumn id="2" xr3:uid="{7EFD8E7B-E058-47B9-A8DC-3BF7515DE40E}" name="PilotPoint_Label"/>
    <tableColumn id="3" xr3:uid="{EDB78E08-4A9B-44C0-9668-C53B655B0DFD}" name="X_ref"/>
    <tableColumn id="4" xr3:uid="{F58A166D-6DBB-4AD7-8BB3-9F644EB2D5F0}" name="Y_ref"/>
    <tableColumn id="5" xr3:uid="{1BE559EC-0723-42D0-9390-E76F407487A8}" name="Z_ref"/>
    <tableColumn id="12" xr3:uid="{FFDAD371-EEBB-4F90-8826-A0EAE89B6B9B}" name="Shank_definition_method"/>
    <tableColumn id="6" xr3:uid="{55B51487-F2A1-4BE5-936F-633D27452A0E}" name="X_shank"/>
    <tableColumn id="7" xr3:uid="{EFBEFAA3-8C8D-46D7-B07A-2BE7AC4ED614}" name="Y_shank"/>
    <tableColumn id="8" xr3:uid="{50DB8366-913F-422B-9961-0538BC63CE57}" name="Z_shank"/>
    <tableColumn id="13" xr3:uid="{ABB489DC-6424-45BE-A54F-4AF2BA3B932C}" name="Vector_definition_method"/>
    <tableColumn id="9" xr3:uid="{9A712624-C5A4-468F-BD28-0E3377CFBD18}" name="X_vec"/>
    <tableColumn id="10" xr3:uid="{0FCF9AC6-D0B0-41AF-9D51-48655B74A633}" name="Y_vec"/>
    <tableColumn id="11" xr3:uid="{52814D47-2407-4D75-961A-7C883800F94D}" name="Z_v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DE629-162C-4D4C-958F-35B2CBFACF01}" name="FASTENERS" displayName="FASTENERS" ref="A1:F11" totalsRowShown="0" dataDxfId="7">
  <autoFilter ref="A1:F11" xr:uid="{835DE629-162C-4D4C-958F-35B2CBFACF01}"/>
  <tableColumns count="6">
    <tableColumn id="1" xr3:uid="{4B10E86F-E627-4432-8D11-D529F21C6AFE}" name="Fastener_ID" dataDxfId="6"/>
    <tableColumn id="2" xr3:uid="{D51A22AC-4551-40B8-B911-BD043D99F4C0}" name="Fastener_Label" dataDxfId="5"/>
    <tableColumn id="3" xr3:uid="{4B8B73E1-B3C8-4BFB-B034-7B4C98C78531}" name="E" dataDxfId="4"/>
    <tableColumn id="4" xr3:uid="{D5CE4039-1467-4305-8AA3-2D385176BE6E}" name="Diameter" dataDxfId="3"/>
    <tableColumn id="5" xr3:uid="{A7813F6A-FBB5-43F2-9B34-73521200FF8F}" name="Head_Type" dataDxfId="2"/>
    <tableColumn id="6" xr3:uid="{256C7730-1667-4906-B762-49C94B89E583}" name="Rive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B5E06-ACF8-4396-8424-E31D4CCAD750}" name="CONNECTORS" displayName="CONNECTORS" ref="A3:E153" totalsRowShown="0" headerRowDxfId="0">
  <autoFilter ref="A3:E153" xr:uid="{5F9B5E06-ACF8-4396-8424-E31D4CCAD750}"/>
  <tableColumns count="5">
    <tableColumn id="1" xr3:uid="{6A23CC9C-AD63-4959-A963-9D8400B4A47D}" name="Create"/>
    <tableColumn id="2" xr3:uid="{0913F90A-FE41-4C36-B3EF-5AEE3B791CB7}" name="Connector_ID"/>
    <tableColumn id="14" xr3:uid="{49AAC393-63F6-411E-B25B-A54C4206F2A0}" name="Connector_Label"/>
    <tableColumn id="6" xr3:uid="{73895124-AC6C-403E-9BCE-D109CA1D3AB7}" name="PilotPoint_Label"/>
    <tableColumn id="11" xr3:uid="{151E5477-D7A0-45FD-91F9-3CE39F2C53C0}" name="Fastener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.maroto.h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0F50-4170-4C21-A5B3-B6D48EC56034}">
  <dimension ref="A1:J23"/>
  <sheetViews>
    <sheetView zoomScaleNormal="100" workbookViewId="0">
      <selection activeCell="D17" sqref="D17"/>
    </sheetView>
  </sheetViews>
  <sheetFormatPr baseColWidth="10" defaultColWidth="0" defaultRowHeight="15" zeroHeight="1" x14ac:dyDescent="0.25"/>
  <cols>
    <col min="1" max="2" width="11.42578125" customWidth="1"/>
    <col min="3" max="3" width="58.7109375" bestFit="1" customWidth="1"/>
    <col min="4" max="4" width="29" bestFit="1" customWidth="1"/>
    <col min="5" max="5" width="11.140625" bestFit="1" customWidth="1"/>
    <col min="6" max="6" width="19.85546875" bestFit="1" customWidth="1"/>
    <col min="7" max="7" width="11.42578125" customWidth="1"/>
    <col min="8" max="10" width="0" hidden="1" customWidth="1"/>
    <col min="11" max="16384" width="11.42578125" hidden="1"/>
  </cols>
  <sheetData>
    <row r="1" spans="3:6" x14ac:dyDescent="0.25">
      <c r="D1" s="7"/>
    </row>
    <row r="2" spans="3:6" x14ac:dyDescent="0.25"/>
    <row r="3" spans="3:6" x14ac:dyDescent="0.25">
      <c r="C3" s="8" t="s">
        <v>25</v>
      </c>
      <c r="D3" s="8" t="s">
        <v>26</v>
      </c>
      <c r="E3" s="8" t="s">
        <v>27</v>
      </c>
      <c r="F3" s="9" t="s">
        <v>28</v>
      </c>
    </row>
    <row r="4" spans="3:6" x14ac:dyDescent="0.25">
      <c r="C4" s="10" t="s">
        <v>35</v>
      </c>
      <c r="D4" s="10" t="s">
        <v>31</v>
      </c>
      <c r="E4" s="11">
        <v>46107</v>
      </c>
      <c r="F4" s="12" t="s">
        <v>29</v>
      </c>
    </row>
    <row r="5" spans="3:6" x14ac:dyDescent="0.25">
      <c r="C5" s="10"/>
      <c r="D5" s="10"/>
      <c r="E5" s="11"/>
      <c r="F5" s="12"/>
    </row>
    <row r="6" spans="3:6" x14ac:dyDescent="0.25">
      <c r="C6" s="10"/>
      <c r="D6" s="10"/>
      <c r="E6" s="11"/>
      <c r="F6" s="13"/>
    </row>
    <row r="7" spans="3:6" x14ac:dyDescent="0.25">
      <c r="C7" s="10"/>
      <c r="D7" s="10"/>
      <c r="E7" s="11"/>
      <c r="F7" s="13"/>
    </row>
    <row r="8" spans="3:6" x14ac:dyDescent="0.25">
      <c r="C8" s="10"/>
      <c r="D8" s="10"/>
      <c r="E8" s="11"/>
      <c r="F8" s="14"/>
    </row>
    <row r="9" spans="3:6" x14ac:dyDescent="0.25">
      <c r="C9" s="10"/>
      <c r="D9" s="10"/>
      <c r="E9" s="11"/>
      <c r="F9" s="14"/>
    </row>
    <row r="10" spans="3:6" x14ac:dyDescent="0.25">
      <c r="C10" s="10"/>
      <c r="D10" s="10"/>
      <c r="E10" s="11"/>
      <c r="F10" s="14"/>
    </row>
    <row r="11" spans="3:6" x14ac:dyDescent="0.25">
      <c r="C11" s="10"/>
      <c r="D11" s="10"/>
      <c r="E11" s="11"/>
      <c r="F11" s="13"/>
    </row>
    <row r="12" spans="3:6" x14ac:dyDescent="0.25">
      <c r="C12" s="10"/>
      <c r="D12" s="10"/>
      <c r="E12" s="11"/>
      <c r="F12" s="13"/>
    </row>
    <row r="13" spans="3:6" x14ac:dyDescent="0.25">
      <c r="C13" s="10"/>
      <c r="D13" s="10"/>
      <c r="E13" s="11"/>
      <c r="F13" s="13"/>
    </row>
    <row r="14" spans="3:6" x14ac:dyDescent="0.25">
      <c r="C14" s="10"/>
      <c r="D14" s="10"/>
      <c r="E14" s="11"/>
      <c r="F14" s="13"/>
    </row>
    <row r="15" spans="3:6" x14ac:dyDescent="0.25">
      <c r="C15" s="10"/>
      <c r="D15" s="10"/>
      <c r="E15" s="11"/>
      <c r="F15" s="13"/>
    </row>
    <row r="16" spans="3:6" x14ac:dyDescent="0.25">
      <c r="C16" s="10"/>
      <c r="D16" s="10"/>
      <c r="E16" s="11"/>
      <c r="F16" s="13"/>
    </row>
    <row r="17" spans="3:3" x14ac:dyDescent="0.25"/>
    <row r="18" spans="3:3" x14ac:dyDescent="0.25"/>
    <row r="19" spans="3:3" x14ac:dyDescent="0.25"/>
    <row r="20" spans="3:3" x14ac:dyDescent="0.25">
      <c r="C20" s="15" t="s">
        <v>30</v>
      </c>
    </row>
    <row r="21" spans="3:3" x14ac:dyDescent="0.25">
      <c r="C21" s="16" t="s">
        <v>32</v>
      </c>
    </row>
    <row r="22" spans="3:3" x14ac:dyDescent="0.25">
      <c r="C22" s="16"/>
    </row>
    <row r="23" spans="3:3" x14ac:dyDescent="0.25"/>
  </sheetData>
  <hyperlinks>
    <hyperlink ref="C21" r:id="rId1" xr:uid="{A90C9C20-C139-45E5-B0FE-3168E4768D5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1996-2B26-4CF6-9F47-464FBE11F7D1}">
  <dimension ref="A1:M111"/>
  <sheetViews>
    <sheetView topLeftCell="A94" workbookViewId="0">
      <selection activeCell="J115" sqref="J115"/>
    </sheetView>
  </sheetViews>
  <sheetFormatPr baseColWidth="10" defaultRowHeight="15" x14ac:dyDescent="0.25"/>
  <cols>
    <col min="1" max="1" width="14.28515625" bestFit="1" customWidth="1"/>
    <col min="2" max="2" width="25.42578125" bestFit="1" customWidth="1"/>
    <col min="6" max="6" width="29" bestFit="1" customWidth="1"/>
    <col min="10" max="10" width="29" bestFit="1" customWidth="1"/>
  </cols>
  <sheetData>
    <row r="1" spans="1:13" x14ac:dyDescent="0.25">
      <c r="A1" s="4" t="s">
        <v>12</v>
      </c>
      <c r="B1" s="5" t="s">
        <v>13</v>
      </c>
      <c r="C1" s="5" t="s">
        <v>15</v>
      </c>
      <c r="D1" s="5" t="s">
        <v>14</v>
      </c>
      <c r="E1" s="5" t="s">
        <v>16</v>
      </c>
      <c r="F1" s="5" t="s">
        <v>23</v>
      </c>
      <c r="G1" s="5" t="s">
        <v>17</v>
      </c>
      <c r="H1" s="5" t="s">
        <v>18</v>
      </c>
      <c r="I1" s="5" t="s">
        <v>19</v>
      </c>
      <c r="J1" s="5" t="s">
        <v>146</v>
      </c>
      <c r="K1" s="5" t="s">
        <v>20</v>
      </c>
      <c r="L1" s="5" t="s">
        <v>21</v>
      </c>
      <c r="M1" s="5" t="s">
        <v>22</v>
      </c>
    </row>
    <row r="2" spans="1:13" x14ac:dyDescent="0.25">
      <c r="A2">
        <v>1</v>
      </c>
      <c r="B2" t="s">
        <v>37</v>
      </c>
      <c r="C2">
        <v>8044.8</v>
      </c>
      <c r="D2">
        <v>-654.125</v>
      </c>
      <c r="E2">
        <v>2731.7359999999999</v>
      </c>
      <c r="F2" s="2" t="s">
        <v>145</v>
      </c>
      <c r="G2">
        <v>0</v>
      </c>
      <c r="H2">
        <v>1</v>
      </c>
      <c r="I2">
        <v>0</v>
      </c>
      <c r="J2" s="1" t="s">
        <v>145</v>
      </c>
      <c r="K2">
        <v>1</v>
      </c>
      <c r="L2">
        <v>0</v>
      </c>
      <c r="M2">
        <v>0</v>
      </c>
    </row>
    <row r="3" spans="1:13" x14ac:dyDescent="0.25">
      <c r="A3">
        <v>2</v>
      </c>
      <c r="B3" t="s">
        <v>38</v>
      </c>
      <c r="C3">
        <v>8044.8</v>
      </c>
      <c r="D3">
        <v>-656.6</v>
      </c>
      <c r="E3">
        <v>2700.6260000000002</v>
      </c>
      <c r="F3" s="2" t="s">
        <v>145</v>
      </c>
      <c r="G3">
        <v>0</v>
      </c>
      <c r="H3">
        <v>1</v>
      </c>
      <c r="I3">
        <v>0</v>
      </c>
      <c r="J3" s="1" t="s">
        <v>145</v>
      </c>
      <c r="K3">
        <v>1</v>
      </c>
      <c r="L3">
        <v>0</v>
      </c>
      <c r="M3">
        <v>0</v>
      </c>
    </row>
    <row r="4" spans="1:13" x14ac:dyDescent="0.25">
      <c r="A4">
        <v>3</v>
      </c>
      <c r="B4" t="s">
        <v>39</v>
      </c>
      <c r="C4">
        <v>8044.8</v>
      </c>
      <c r="D4">
        <v>-657.21299999999997</v>
      </c>
      <c r="E4">
        <v>2669.5160000000001</v>
      </c>
      <c r="F4" s="2" t="s">
        <v>145</v>
      </c>
      <c r="G4">
        <v>0</v>
      </c>
      <c r="H4">
        <v>1</v>
      </c>
      <c r="I4">
        <v>0</v>
      </c>
      <c r="J4" s="1" t="s">
        <v>145</v>
      </c>
      <c r="K4">
        <v>1</v>
      </c>
      <c r="L4">
        <v>0</v>
      </c>
      <c r="M4">
        <v>0</v>
      </c>
    </row>
    <row r="5" spans="1:13" x14ac:dyDescent="0.25">
      <c r="A5">
        <v>4</v>
      </c>
      <c r="B5" t="s">
        <v>40</v>
      </c>
      <c r="C5">
        <v>8044.8</v>
      </c>
      <c r="D5">
        <v>-655.27200000000005</v>
      </c>
      <c r="E5">
        <v>2638.4059999999999</v>
      </c>
      <c r="F5" s="2" t="s">
        <v>145</v>
      </c>
      <c r="G5">
        <v>0</v>
      </c>
      <c r="H5">
        <v>1</v>
      </c>
      <c r="I5">
        <v>0</v>
      </c>
      <c r="J5" s="1" t="s">
        <v>145</v>
      </c>
      <c r="K5">
        <v>1</v>
      </c>
      <c r="L5">
        <v>0</v>
      </c>
      <c r="M5">
        <v>0</v>
      </c>
    </row>
    <row r="6" spans="1:13" x14ac:dyDescent="0.25">
      <c r="A6">
        <v>5</v>
      </c>
      <c r="B6" t="s">
        <v>41</v>
      </c>
      <c r="C6">
        <v>8044.8</v>
      </c>
      <c r="D6">
        <v>-647.31299999999999</v>
      </c>
      <c r="E6">
        <v>2601.9760000000001</v>
      </c>
      <c r="F6" s="2" t="s">
        <v>145</v>
      </c>
      <c r="G6">
        <v>0</v>
      </c>
      <c r="H6">
        <v>1</v>
      </c>
      <c r="I6">
        <v>0</v>
      </c>
      <c r="J6" s="1" t="s">
        <v>145</v>
      </c>
      <c r="K6">
        <v>1</v>
      </c>
      <c r="L6">
        <v>0</v>
      </c>
      <c r="M6">
        <v>0</v>
      </c>
    </row>
    <row r="7" spans="1:13" x14ac:dyDescent="0.25">
      <c r="A7">
        <v>6</v>
      </c>
      <c r="B7" t="s">
        <v>42</v>
      </c>
      <c r="C7">
        <v>7994.8</v>
      </c>
      <c r="D7">
        <v>-654.125</v>
      </c>
      <c r="E7">
        <v>2731.7359999999999</v>
      </c>
      <c r="F7" s="2" t="s">
        <v>145</v>
      </c>
      <c r="G7">
        <v>0</v>
      </c>
      <c r="H7">
        <v>1</v>
      </c>
      <c r="I7">
        <v>0</v>
      </c>
      <c r="J7" s="1" t="s">
        <v>145</v>
      </c>
      <c r="K7">
        <v>1</v>
      </c>
      <c r="L7">
        <v>0</v>
      </c>
      <c r="M7">
        <v>0</v>
      </c>
    </row>
    <row r="8" spans="1:13" x14ac:dyDescent="0.25">
      <c r="A8">
        <v>7</v>
      </c>
      <c r="B8" t="s">
        <v>43</v>
      </c>
      <c r="C8">
        <v>7994.8</v>
      </c>
      <c r="D8">
        <v>-656.6</v>
      </c>
      <c r="E8">
        <v>2700.6260000000002</v>
      </c>
      <c r="F8" s="2" t="s">
        <v>145</v>
      </c>
      <c r="G8">
        <v>0</v>
      </c>
      <c r="H8">
        <v>1</v>
      </c>
      <c r="I8">
        <v>0</v>
      </c>
      <c r="J8" s="1" t="s">
        <v>145</v>
      </c>
      <c r="K8">
        <v>1</v>
      </c>
      <c r="L8">
        <v>0</v>
      </c>
      <c r="M8">
        <v>0</v>
      </c>
    </row>
    <row r="9" spans="1:13" x14ac:dyDescent="0.25">
      <c r="A9">
        <v>8</v>
      </c>
      <c r="B9" t="s">
        <v>44</v>
      </c>
      <c r="C9">
        <v>7994.8</v>
      </c>
      <c r="D9">
        <v>-657.21299999999997</v>
      </c>
      <c r="E9">
        <v>2669.5160000000001</v>
      </c>
      <c r="F9" s="2" t="s">
        <v>145</v>
      </c>
      <c r="G9">
        <v>0</v>
      </c>
      <c r="H9">
        <v>1</v>
      </c>
      <c r="I9">
        <v>0</v>
      </c>
      <c r="J9" s="1" t="s">
        <v>145</v>
      </c>
      <c r="K9">
        <v>1</v>
      </c>
      <c r="L9">
        <v>0</v>
      </c>
      <c r="M9">
        <v>0</v>
      </c>
    </row>
    <row r="10" spans="1:13" x14ac:dyDescent="0.25">
      <c r="A10">
        <v>9</v>
      </c>
      <c r="B10" t="s">
        <v>45</v>
      </c>
      <c r="C10">
        <v>7994.8</v>
      </c>
      <c r="D10">
        <v>-655.27200000000005</v>
      </c>
      <c r="E10">
        <v>2638.4</v>
      </c>
      <c r="F10" s="2" t="s">
        <v>145</v>
      </c>
      <c r="G10">
        <v>0</v>
      </c>
      <c r="H10">
        <v>1</v>
      </c>
      <c r="I10">
        <v>0</v>
      </c>
      <c r="J10" s="1" t="s">
        <v>145</v>
      </c>
      <c r="K10">
        <v>1</v>
      </c>
      <c r="L10">
        <v>0</v>
      </c>
      <c r="M10">
        <v>0</v>
      </c>
    </row>
    <row r="11" spans="1:13" x14ac:dyDescent="0.25">
      <c r="A11">
        <v>10</v>
      </c>
      <c r="B11" t="s">
        <v>46</v>
      </c>
      <c r="C11">
        <v>7994.8</v>
      </c>
      <c r="D11">
        <v>-647.31299999999999</v>
      </c>
      <c r="E11">
        <v>2601.9760000000001</v>
      </c>
      <c r="F11" s="2" t="s">
        <v>145</v>
      </c>
      <c r="G11">
        <v>0</v>
      </c>
      <c r="H11">
        <v>1</v>
      </c>
      <c r="I11">
        <v>0</v>
      </c>
      <c r="J11" s="1" t="s">
        <v>145</v>
      </c>
      <c r="K11">
        <v>1</v>
      </c>
      <c r="L11">
        <v>0</v>
      </c>
      <c r="M11">
        <v>0</v>
      </c>
    </row>
    <row r="12" spans="1:13" x14ac:dyDescent="0.25">
      <c r="A12">
        <v>11</v>
      </c>
      <c r="B12" t="s">
        <v>47</v>
      </c>
      <c r="C12">
        <v>8022.3</v>
      </c>
      <c r="D12">
        <v>-610.85599999999999</v>
      </c>
      <c r="E12">
        <v>2733.1759999999999</v>
      </c>
      <c r="F12" s="2" t="s">
        <v>145</v>
      </c>
      <c r="G12">
        <v>1</v>
      </c>
      <c r="H12">
        <v>0</v>
      </c>
      <c r="I12">
        <v>0</v>
      </c>
      <c r="J12" s="1" t="s">
        <v>145</v>
      </c>
      <c r="K12">
        <v>0</v>
      </c>
      <c r="L12">
        <v>1</v>
      </c>
      <c r="M12">
        <v>0</v>
      </c>
    </row>
    <row r="13" spans="1:13" x14ac:dyDescent="0.25">
      <c r="A13">
        <v>12</v>
      </c>
      <c r="B13" t="s">
        <v>48</v>
      </c>
      <c r="C13">
        <v>8022.3</v>
      </c>
      <c r="D13">
        <v>-593.90599999999995</v>
      </c>
      <c r="E13">
        <v>2744.75</v>
      </c>
      <c r="F13" s="2" t="s">
        <v>145</v>
      </c>
      <c r="G13">
        <v>1</v>
      </c>
      <c r="H13">
        <v>0</v>
      </c>
      <c r="I13">
        <v>0</v>
      </c>
      <c r="J13" s="1" t="s">
        <v>145</v>
      </c>
      <c r="K13">
        <v>0</v>
      </c>
      <c r="L13">
        <v>1</v>
      </c>
      <c r="M13">
        <v>0</v>
      </c>
    </row>
    <row r="14" spans="1:13" x14ac:dyDescent="0.25">
      <c r="A14">
        <v>13</v>
      </c>
      <c r="B14" t="s">
        <v>49</v>
      </c>
      <c r="C14">
        <v>8022.3</v>
      </c>
      <c r="D14">
        <v>-560.30600000000004</v>
      </c>
      <c r="E14">
        <v>2744.75</v>
      </c>
      <c r="F14" s="2" t="s">
        <v>145</v>
      </c>
      <c r="G14">
        <v>1</v>
      </c>
      <c r="H14">
        <v>0</v>
      </c>
      <c r="I14">
        <v>0</v>
      </c>
      <c r="J14" s="1" t="s">
        <v>145</v>
      </c>
      <c r="K14">
        <v>0</v>
      </c>
      <c r="L14">
        <v>1</v>
      </c>
      <c r="M14">
        <v>0</v>
      </c>
    </row>
    <row r="15" spans="1:13" x14ac:dyDescent="0.25">
      <c r="A15">
        <v>14</v>
      </c>
      <c r="B15" t="s">
        <v>50</v>
      </c>
      <c r="C15">
        <v>8022.3</v>
      </c>
      <c r="D15">
        <v>-635.66800000000001</v>
      </c>
      <c r="E15">
        <v>2720.9169999999999</v>
      </c>
      <c r="F15" s="2" t="s">
        <v>145</v>
      </c>
      <c r="G15">
        <v>1</v>
      </c>
      <c r="H15">
        <v>0</v>
      </c>
      <c r="I15">
        <v>0</v>
      </c>
      <c r="J15" s="1" t="s">
        <v>145</v>
      </c>
      <c r="K15">
        <v>0</v>
      </c>
      <c r="L15">
        <v>1</v>
      </c>
      <c r="M15">
        <v>0</v>
      </c>
    </row>
    <row r="16" spans="1:13" x14ac:dyDescent="0.25">
      <c r="A16">
        <v>15</v>
      </c>
      <c r="B16" t="s">
        <v>51</v>
      </c>
      <c r="C16">
        <v>8022.3</v>
      </c>
      <c r="D16">
        <v>-609.20000000000005</v>
      </c>
      <c r="E16">
        <v>2704.8049999999998</v>
      </c>
      <c r="F16" s="2" t="s">
        <v>145</v>
      </c>
      <c r="G16">
        <v>1</v>
      </c>
      <c r="H16">
        <v>0</v>
      </c>
      <c r="I16">
        <v>0</v>
      </c>
      <c r="J16" s="1" t="s">
        <v>145</v>
      </c>
      <c r="K16">
        <v>0</v>
      </c>
      <c r="L16">
        <v>1</v>
      </c>
      <c r="M16">
        <v>0</v>
      </c>
    </row>
    <row r="17" spans="1:13" x14ac:dyDescent="0.25">
      <c r="A17">
        <v>16</v>
      </c>
      <c r="B17" t="s">
        <v>52</v>
      </c>
      <c r="C17">
        <v>8022.3</v>
      </c>
      <c r="D17">
        <v>-582.6</v>
      </c>
      <c r="E17">
        <v>2712.8670000000002</v>
      </c>
      <c r="F17" s="2" t="s">
        <v>145</v>
      </c>
      <c r="G17">
        <v>1</v>
      </c>
      <c r="H17">
        <v>0</v>
      </c>
      <c r="I17">
        <v>0</v>
      </c>
      <c r="J17" s="1" t="s">
        <v>145</v>
      </c>
      <c r="K17">
        <v>0</v>
      </c>
      <c r="L17">
        <v>1</v>
      </c>
      <c r="M17">
        <v>0</v>
      </c>
    </row>
    <row r="18" spans="1:13" x14ac:dyDescent="0.25">
      <c r="A18">
        <v>17</v>
      </c>
      <c r="B18" t="s">
        <v>53</v>
      </c>
      <c r="C18">
        <v>8022.3</v>
      </c>
      <c r="D18">
        <v>-634.774</v>
      </c>
      <c r="E18">
        <v>2693.05</v>
      </c>
      <c r="F18" s="2" t="s">
        <v>145</v>
      </c>
      <c r="G18">
        <v>1</v>
      </c>
      <c r="H18">
        <v>0</v>
      </c>
      <c r="I18">
        <v>0</v>
      </c>
      <c r="J18" s="1" t="s">
        <v>145</v>
      </c>
      <c r="K18">
        <v>0</v>
      </c>
      <c r="L18">
        <v>1</v>
      </c>
      <c r="M18">
        <v>0</v>
      </c>
    </row>
    <row r="19" spans="1:13" x14ac:dyDescent="0.25">
      <c r="A19">
        <v>18</v>
      </c>
      <c r="B19" t="s">
        <v>54</v>
      </c>
      <c r="C19">
        <v>8022.3</v>
      </c>
      <c r="D19">
        <v>-609.20000000000005</v>
      </c>
      <c r="E19">
        <v>2677.0129999999999</v>
      </c>
      <c r="F19" s="2" t="s">
        <v>145</v>
      </c>
      <c r="G19">
        <v>1</v>
      </c>
      <c r="H19">
        <v>0</v>
      </c>
      <c r="I19">
        <v>0</v>
      </c>
      <c r="J19" s="1" t="s">
        <v>145</v>
      </c>
      <c r="K19">
        <v>0</v>
      </c>
      <c r="L19">
        <v>1</v>
      </c>
      <c r="M19">
        <v>0</v>
      </c>
    </row>
    <row r="20" spans="1:13" x14ac:dyDescent="0.25">
      <c r="A20">
        <v>19</v>
      </c>
      <c r="B20" t="s">
        <v>55</v>
      </c>
      <c r="C20">
        <v>8022.3</v>
      </c>
      <c r="D20">
        <v>-582.6</v>
      </c>
      <c r="E20">
        <v>2681.0540000000001</v>
      </c>
      <c r="F20" s="2" t="s">
        <v>145</v>
      </c>
      <c r="G20">
        <v>1</v>
      </c>
      <c r="H20">
        <v>0</v>
      </c>
      <c r="I20">
        <v>0</v>
      </c>
      <c r="J20" s="1" t="s">
        <v>145</v>
      </c>
      <c r="K20">
        <v>0</v>
      </c>
      <c r="L20">
        <v>1</v>
      </c>
      <c r="M20">
        <v>0</v>
      </c>
    </row>
    <row r="21" spans="1:13" x14ac:dyDescent="0.25">
      <c r="A21">
        <v>20</v>
      </c>
      <c r="B21" t="s">
        <v>56</v>
      </c>
      <c r="C21">
        <v>8022.3</v>
      </c>
      <c r="D21">
        <v>-633.81100000000004</v>
      </c>
      <c r="E21">
        <v>2665.1840000000002</v>
      </c>
      <c r="F21" s="2" t="s">
        <v>145</v>
      </c>
      <c r="G21">
        <v>1</v>
      </c>
      <c r="H21">
        <v>0</v>
      </c>
      <c r="I21">
        <v>0</v>
      </c>
      <c r="J21" s="1" t="s">
        <v>145</v>
      </c>
      <c r="K21">
        <v>0</v>
      </c>
      <c r="L21">
        <v>1</v>
      </c>
      <c r="M21">
        <v>0</v>
      </c>
    </row>
    <row r="22" spans="1:13" x14ac:dyDescent="0.25">
      <c r="A22">
        <v>21</v>
      </c>
      <c r="B22" t="s">
        <v>57</v>
      </c>
      <c r="C22">
        <v>8022.3</v>
      </c>
      <c r="D22">
        <v>-609.20000000000005</v>
      </c>
      <c r="E22">
        <v>2649.221</v>
      </c>
      <c r="F22" s="2" t="s">
        <v>145</v>
      </c>
      <c r="G22">
        <v>1</v>
      </c>
      <c r="H22">
        <v>0</v>
      </c>
      <c r="I22">
        <v>0</v>
      </c>
      <c r="J22" s="1" t="s">
        <v>145</v>
      </c>
      <c r="K22">
        <v>0</v>
      </c>
      <c r="L22">
        <v>1</v>
      </c>
      <c r="M22">
        <v>0</v>
      </c>
    </row>
    <row r="23" spans="1:13" x14ac:dyDescent="0.25">
      <c r="A23">
        <v>22</v>
      </c>
      <c r="B23" t="s">
        <v>58</v>
      </c>
      <c r="C23">
        <v>8022.3</v>
      </c>
      <c r="D23">
        <v>-582.6</v>
      </c>
      <c r="E23">
        <v>2649.221</v>
      </c>
      <c r="F23" s="2" t="s">
        <v>145</v>
      </c>
      <c r="G23">
        <v>1</v>
      </c>
      <c r="H23">
        <v>0</v>
      </c>
      <c r="I23">
        <v>0</v>
      </c>
      <c r="J23" s="1" t="s">
        <v>145</v>
      </c>
      <c r="K23">
        <v>0</v>
      </c>
      <c r="L23">
        <v>1</v>
      </c>
      <c r="M23">
        <v>0</v>
      </c>
    </row>
    <row r="24" spans="1:13" x14ac:dyDescent="0.25">
      <c r="A24">
        <v>23</v>
      </c>
      <c r="B24" t="s">
        <v>59</v>
      </c>
      <c r="C24">
        <v>8022.3</v>
      </c>
      <c r="D24">
        <v>-632.98800000000006</v>
      </c>
      <c r="E24">
        <v>2637.317</v>
      </c>
      <c r="F24" s="2" t="s">
        <v>145</v>
      </c>
      <c r="G24">
        <v>1</v>
      </c>
      <c r="H24">
        <v>0</v>
      </c>
      <c r="I24">
        <v>0</v>
      </c>
      <c r="J24" s="1" t="s">
        <v>145</v>
      </c>
      <c r="K24">
        <v>0</v>
      </c>
      <c r="L24">
        <v>1</v>
      </c>
      <c r="M24">
        <v>0</v>
      </c>
    </row>
    <row r="25" spans="1:13" x14ac:dyDescent="0.25">
      <c r="A25">
        <v>24</v>
      </c>
      <c r="B25" t="s">
        <v>60</v>
      </c>
      <c r="C25">
        <v>8022.3</v>
      </c>
      <c r="D25">
        <v>-602.30999999999995</v>
      </c>
      <c r="E25">
        <v>2609.5129999999999</v>
      </c>
      <c r="F25" s="2" t="s">
        <v>145</v>
      </c>
      <c r="G25">
        <v>1</v>
      </c>
      <c r="H25">
        <v>0</v>
      </c>
      <c r="I25">
        <v>0</v>
      </c>
      <c r="J25" s="1" t="s">
        <v>145</v>
      </c>
      <c r="K25">
        <v>0</v>
      </c>
      <c r="L25">
        <v>1</v>
      </c>
      <c r="M25">
        <v>0</v>
      </c>
    </row>
    <row r="26" spans="1:13" x14ac:dyDescent="0.25">
      <c r="A26">
        <v>25</v>
      </c>
      <c r="B26" t="s">
        <v>61</v>
      </c>
      <c r="C26">
        <v>8022.3</v>
      </c>
      <c r="D26">
        <v>-575.98699999999997</v>
      </c>
      <c r="E26">
        <v>2613.337</v>
      </c>
      <c r="F26" s="2" t="s">
        <v>145</v>
      </c>
      <c r="G26">
        <v>1</v>
      </c>
      <c r="H26">
        <v>0</v>
      </c>
      <c r="I26">
        <v>0</v>
      </c>
      <c r="J26" s="1" t="s">
        <v>145</v>
      </c>
      <c r="K26">
        <v>0</v>
      </c>
      <c r="L26">
        <v>1</v>
      </c>
      <c r="M26">
        <v>0</v>
      </c>
    </row>
    <row r="27" spans="1:13" x14ac:dyDescent="0.25">
      <c r="A27">
        <v>26</v>
      </c>
      <c r="B27" t="s">
        <v>62</v>
      </c>
      <c r="C27">
        <v>8044.7380000000003</v>
      </c>
      <c r="D27">
        <v>-636.46299999999997</v>
      </c>
      <c r="E27">
        <v>2764.75</v>
      </c>
      <c r="F27" s="2" t="s">
        <v>145</v>
      </c>
      <c r="G27">
        <v>0</v>
      </c>
      <c r="H27">
        <v>0</v>
      </c>
      <c r="I27">
        <v>1</v>
      </c>
      <c r="J27" s="1" t="s">
        <v>145</v>
      </c>
      <c r="K27">
        <v>0</v>
      </c>
      <c r="L27">
        <v>1</v>
      </c>
      <c r="M27">
        <v>0</v>
      </c>
    </row>
    <row r="28" spans="1:13" x14ac:dyDescent="0.25">
      <c r="A28">
        <v>27</v>
      </c>
      <c r="B28" t="s">
        <v>63</v>
      </c>
      <c r="C28">
        <v>8044.7380000000003</v>
      </c>
      <c r="D28">
        <v>-609.86300000000006</v>
      </c>
      <c r="E28">
        <v>2764.75</v>
      </c>
      <c r="F28" s="2" t="s">
        <v>145</v>
      </c>
      <c r="G28">
        <v>0</v>
      </c>
      <c r="H28">
        <v>0</v>
      </c>
      <c r="I28">
        <v>1</v>
      </c>
      <c r="J28" s="1" t="s">
        <v>145</v>
      </c>
      <c r="K28">
        <v>0</v>
      </c>
      <c r="L28">
        <v>1</v>
      </c>
      <c r="M28">
        <v>0</v>
      </c>
    </row>
    <row r="29" spans="1:13" x14ac:dyDescent="0.25">
      <c r="A29">
        <v>28</v>
      </c>
      <c r="B29" t="s">
        <v>64</v>
      </c>
      <c r="C29">
        <v>8044.7380000000003</v>
      </c>
      <c r="D29">
        <v>-580.14</v>
      </c>
      <c r="E29">
        <v>2767.95</v>
      </c>
      <c r="F29" s="2" t="s">
        <v>145</v>
      </c>
      <c r="G29">
        <v>0</v>
      </c>
      <c r="H29">
        <v>0</v>
      </c>
      <c r="I29">
        <v>1</v>
      </c>
      <c r="J29" s="1" t="s">
        <v>145</v>
      </c>
      <c r="K29">
        <v>0</v>
      </c>
      <c r="L29">
        <v>1</v>
      </c>
      <c r="M29">
        <v>0</v>
      </c>
    </row>
    <row r="30" spans="1:13" x14ac:dyDescent="0.25">
      <c r="A30">
        <v>29</v>
      </c>
      <c r="B30" t="s">
        <v>65</v>
      </c>
      <c r="C30">
        <v>8044.7380000000003</v>
      </c>
      <c r="D30">
        <v>-553.54</v>
      </c>
      <c r="E30">
        <v>2767.95</v>
      </c>
      <c r="F30" s="2" t="s">
        <v>145</v>
      </c>
      <c r="G30">
        <v>0</v>
      </c>
      <c r="H30">
        <v>0</v>
      </c>
      <c r="I30">
        <v>1</v>
      </c>
      <c r="J30" s="1" t="s">
        <v>145</v>
      </c>
      <c r="K30">
        <v>0</v>
      </c>
      <c r="L30">
        <v>1</v>
      </c>
      <c r="M30">
        <v>0</v>
      </c>
    </row>
    <row r="31" spans="1:13" x14ac:dyDescent="0.25">
      <c r="A31">
        <v>30</v>
      </c>
      <c r="B31" t="s">
        <v>66</v>
      </c>
      <c r="C31">
        <v>7994.8620000000001</v>
      </c>
      <c r="D31">
        <v>-636.46299999999997</v>
      </c>
      <c r="E31">
        <v>2764.75</v>
      </c>
      <c r="F31" s="2" t="s">
        <v>145</v>
      </c>
      <c r="G31">
        <v>0</v>
      </c>
      <c r="H31">
        <v>0</v>
      </c>
      <c r="I31">
        <v>1</v>
      </c>
      <c r="J31" s="1" t="s">
        <v>145</v>
      </c>
      <c r="K31">
        <v>0</v>
      </c>
      <c r="L31">
        <v>1</v>
      </c>
      <c r="M31">
        <v>0</v>
      </c>
    </row>
    <row r="32" spans="1:13" x14ac:dyDescent="0.25">
      <c r="A32">
        <v>31</v>
      </c>
      <c r="B32" t="s">
        <v>67</v>
      </c>
      <c r="C32">
        <v>7994.8620000000001</v>
      </c>
      <c r="D32">
        <v>-609.86300000000006</v>
      </c>
      <c r="E32">
        <v>2764.75</v>
      </c>
      <c r="F32" s="2" t="s">
        <v>145</v>
      </c>
      <c r="G32">
        <v>0</v>
      </c>
      <c r="H32">
        <v>0</v>
      </c>
      <c r="I32">
        <v>1</v>
      </c>
      <c r="J32" s="1" t="s">
        <v>145</v>
      </c>
      <c r="K32">
        <v>0</v>
      </c>
      <c r="L32">
        <v>1</v>
      </c>
      <c r="M32">
        <v>0</v>
      </c>
    </row>
    <row r="33" spans="1:13" x14ac:dyDescent="0.25">
      <c r="A33">
        <v>32</v>
      </c>
      <c r="B33" t="s">
        <v>68</v>
      </c>
      <c r="C33">
        <v>7994.8620000000001</v>
      </c>
      <c r="D33">
        <v>-580.14</v>
      </c>
      <c r="E33">
        <v>2767.95</v>
      </c>
      <c r="F33" s="2" t="s">
        <v>145</v>
      </c>
      <c r="G33">
        <v>0</v>
      </c>
      <c r="H33">
        <v>0</v>
      </c>
      <c r="I33">
        <v>1</v>
      </c>
      <c r="J33" s="1" t="s">
        <v>145</v>
      </c>
      <c r="K33">
        <v>0</v>
      </c>
      <c r="L33">
        <v>1</v>
      </c>
      <c r="M33">
        <v>0</v>
      </c>
    </row>
    <row r="34" spans="1:13" x14ac:dyDescent="0.25">
      <c r="A34" s="17">
        <v>33</v>
      </c>
      <c r="B34" s="17" t="s">
        <v>69</v>
      </c>
      <c r="C34" s="17">
        <v>7994.8620000000001</v>
      </c>
      <c r="D34" s="17">
        <v>-553.54</v>
      </c>
      <c r="E34" s="17">
        <v>2767.95</v>
      </c>
      <c r="F34" s="19" t="s">
        <v>145</v>
      </c>
      <c r="G34" s="17">
        <v>0</v>
      </c>
      <c r="H34" s="17">
        <v>0</v>
      </c>
      <c r="I34" s="17">
        <v>1</v>
      </c>
      <c r="J34" s="20" t="s">
        <v>145</v>
      </c>
      <c r="K34" s="17">
        <v>0</v>
      </c>
      <c r="L34" s="17">
        <v>1</v>
      </c>
      <c r="M34" s="17">
        <v>0</v>
      </c>
    </row>
    <row r="35" spans="1:13" x14ac:dyDescent="0.25">
      <c r="A35">
        <v>34</v>
      </c>
      <c r="B35" t="s">
        <v>70</v>
      </c>
      <c r="C35">
        <v>8031.8</v>
      </c>
      <c r="D35">
        <v>-652.62599999999998</v>
      </c>
      <c r="E35">
        <v>2581.1840000000002</v>
      </c>
      <c r="F35" s="2" t="s">
        <v>145</v>
      </c>
      <c r="G35">
        <v>0</v>
      </c>
      <c r="H35">
        <f>-337.568-D35</f>
        <v>315.05799999999999</v>
      </c>
      <c r="I35">
        <f>2630.417-E35</f>
        <v>49.23299999999972</v>
      </c>
      <c r="J35" s="1" t="s">
        <v>145</v>
      </c>
      <c r="K35">
        <v>1</v>
      </c>
      <c r="L35">
        <v>0</v>
      </c>
      <c r="M35">
        <v>0</v>
      </c>
    </row>
    <row r="36" spans="1:13" x14ac:dyDescent="0.25">
      <c r="A36">
        <v>35</v>
      </c>
      <c r="B36" t="s">
        <v>71</v>
      </c>
      <c r="C36">
        <v>8031.8</v>
      </c>
      <c r="D36">
        <v>-646.88599999999997</v>
      </c>
      <c r="E36">
        <v>2555.6999999999998</v>
      </c>
      <c r="F36" s="2" t="s">
        <v>145</v>
      </c>
      <c r="G36">
        <v>0</v>
      </c>
      <c r="H36">
        <f t="shared" ref="H36:H70" si="0">-337.568-D36</f>
        <v>309.31799999999998</v>
      </c>
      <c r="I36">
        <f t="shared" ref="I36:I70" si="1">2630.417-E36</f>
        <v>74.717000000000098</v>
      </c>
      <c r="J36" s="1" t="s">
        <v>145</v>
      </c>
      <c r="K36">
        <v>1</v>
      </c>
      <c r="L36">
        <v>0</v>
      </c>
      <c r="M36">
        <v>0</v>
      </c>
    </row>
    <row r="37" spans="1:13" x14ac:dyDescent="0.25">
      <c r="A37">
        <v>36</v>
      </c>
      <c r="B37" t="s">
        <v>72</v>
      </c>
      <c r="C37">
        <v>8031.8</v>
      </c>
      <c r="D37">
        <v>-640.98</v>
      </c>
      <c r="E37">
        <v>2535.0169999999998</v>
      </c>
      <c r="F37" s="2" t="s">
        <v>145</v>
      </c>
      <c r="G37">
        <v>0</v>
      </c>
      <c r="H37">
        <f t="shared" si="0"/>
        <v>303.41200000000003</v>
      </c>
      <c r="I37">
        <f t="shared" si="1"/>
        <v>95.400000000000091</v>
      </c>
      <c r="J37" s="1" t="s">
        <v>145</v>
      </c>
      <c r="K37">
        <v>1</v>
      </c>
      <c r="L37">
        <v>0</v>
      </c>
      <c r="M37">
        <v>0</v>
      </c>
    </row>
    <row r="38" spans="1:13" x14ac:dyDescent="0.25">
      <c r="A38">
        <v>37</v>
      </c>
      <c r="B38" t="s">
        <v>73</v>
      </c>
      <c r="C38">
        <v>8031.8</v>
      </c>
      <c r="D38">
        <v>-633.91899999999998</v>
      </c>
      <c r="E38">
        <v>2514.7170000000001</v>
      </c>
      <c r="F38" s="2" t="s">
        <v>145</v>
      </c>
      <c r="G38">
        <v>0</v>
      </c>
      <c r="H38">
        <f t="shared" si="0"/>
        <v>296.351</v>
      </c>
      <c r="I38">
        <f t="shared" si="1"/>
        <v>115.69999999999982</v>
      </c>
      <c r="J38" s="1" t="s">
        <v>145</v>
      </c>
      <c r="K38">
        <v>1</v>
      </c>
      <c r="L38">
        <v>0</v>
      </c>
      <c r="M38">
        <v>0</v>
      </c>
    </row>
    <row r="39" spans="1:13" x14ac:dyDescent="0.25">
      <c r="A39">
        <v>38</v>
      </c>
      <c r="B39" t="s">
        <v>74</v>
      </c>
      <c r="C39">
        <v>8031.8</v>
      </c>
      <c r="D39">
        <v>-625.62599999999998</v>
      </c>
      <c r="E39">
        <v>2494.8980000000001</v>
      </c>
      <c r="F39" s="2" t="s">
        <v>145</v>
      </c>
      <c r="G39">
        <v>0</v>
      </c>
      <c r="H39">
        <f t="shared" si="0"/>
        <v>288.05799999999999</v>
      </c>
      <c r="I39">
        <f t="shared" si="1"/>
        <v>135.51899999999978</v>
      </c>
      <c r="J39" s="1" t="s">
        <v>145</v>
      </c>
      <c r="K39">
        <v>1</v>
      </c>
      <c r="L39">
        <v>0</v>
      </c>
      <c r="M39">
        <v>0</v>
      </c>
    </row>
    <row r="40" spans="1:13" x14ac:dyDescent="0.25">
      <c r="A40">
        <v>39</v>
      </c>
      <c r="B40" t="s">
        <v>75</v>
      </c>
      <c r="C40">
        <v>8031.8</v>
      </c>
      <c r="D40">
        <v>-616.04</v>
      </c>
      <c r="E40">
        <v>2475.6999999999998</v>
      </c>
      <c r="F40" s="2" t="s">
        <v>145</v>
      </c>
      <c r="G40">
        <v>0</v>
      </c>
      <c r="H40">
        <f t="shared" si="0"/>
        <v>278.47199999999998</v>
      </c>
      <c r="I40">
        <f t="shared" si="1"/>
        <v>154.7170000000001</v>
      </c>
      <c r="J40" s="1" t="s">
        <v>145</v>
      </c>
      <c r="K40">
        <v>1</v>
      </c>
      <c r="L40">
        <v>0</v>
      </c>
      <c r="M40">
        <v>0</v>
      </c>
    </row>
    <row r="41" spans="1:13" x14ac:dyDescent="0.25">
      <c r="A41">
        <v>40</v>
      </c>
      <c r="B41" t="s">
        <v>76</v>
      </c>
      <c r="C41">
        <v>8031.8</v>
      </c>
      <c r="D41">
        <v>-605.14</v>
      </c>
      <c r="E41">
        <v>2457.1</v>
      </c>
      <c r="F41" s="2" t="s">
        <v>145</v>
      </c>
      <c r="G41">
        <v>0</v>
      </c>
      <c r="H41">
        <f t="shared" si="0"/>
        <v>267.572</v>
      </c>
      <c r="I41">
        <f t="shared" si="1"/>
        <v>173.31700000000001</v>
      </c>
      <c r="J41" s="1" t="s">
        <v>145</v>
      </c>
      <c r="K41">
        <v>1</v>
      </c>
      <c r="L41">
        <v>0</v>
      </c>
      <c r="M41">
        <v>0</v>
      </c>
    </row>
    <row r="42" spans="1:13" x14ac:dyDescent="0.25">
      <c r="A42">
        <v>41</v>
      </c>
      <c r="B42" t="s">
        <v>77</v>
      </c>
      <c r="C42">
        <v>8031.8</v>
      </c>
      <c r="D42">
        <v>-591.91999999999996</v>
      </c>
      <c r="E42">
        <v>2439.5</v>
      </c>
      <c r="F42" s="2" t="s">
        <v>145</v>
      </c>
      <c r="G42">
        <v>0</v>
      </c>
      <c r="H42">
        <f t="shared" si="0"/>
        <v>254.35199999999998</v>
      </c>
      <c r="I42">
        <f t="shared" si="1"/>
        <v>190.91699999999992</v>
      </c>
      <c r="J42" s="1" t="s">
        <v>145</v>
      </c>
      <c r="K42">
        <v>1</v>
      </c>
      <c r="L42">
        <v>0</v>
      </c>
      <c r="M42">
        <v>0</v>
      </c>
    </row>
    <row r="43" spans="1:13" x14ac:dyDescent="0.25">
      <c r="A43">
        <v>42</v>
      </c>
      <c r="B43" t="s">
        <v>78</v>
      </c>
      <c r="C43">
        <v>8031.8</v>
      </c>
      <c r="D43">
        <v>-579.41999999999996</v>
      </c>
      <c r="E43">
        <v>2422.8580000000002</v>
      </c>
      <c r="F43" s="2" t="s">
        <v>145</v>
      </c>
      <c r="G43">
        <v>0</v>
      </c>
      <c r="H43">
        <f t="shared" si="0"/>
        <v>241.85199999999998</v>
      </c>
      <c r="I43">
        <f t="shared" si="1"/>
        <v>207.55899999999974</v>
      </c>
      <c r="J43" s="1" t="s">
        <v>145</v>
      </c>
      <c r="K43">
        <v>1</v>
      </c>
      <c r="L43">
        <v>0</v>
      </c>
      <c r="M43">
        <v>0</v>
      </c>
    </row>
    <row r="44" spans="1:13" x14ac:dyDescent="0.25">
      <c r="A44">
        <v>43</v>
      </c>
      <c r="B44" t="s">
        <v>79</v>
      </c>
      <c r="C44">
        <v>8031.8</v>
      </c>
      <c r="D44">
        <v>-564.72</v>
      </c>
      <c r="E44">
        <v>2407.2199999999998</v>
      </c>
      <c r="F44" s="2" t="s">
        <v>145</v>
      </c>
      <c r="G44">
        <v>0</v>
      </c>
      <c r="H44">
        <f t="shared" si="0"/>
        <v>227.15200000000004</v>
      </c>
      <c r="I44">
        <f t="shared" si="1"/>
        <v>223.19700000000012</v>
      </c>
      <c r="J44" s="1" t="s">
        <v>145</v>
      </c>
      <c r="K44">
        <v>1</v>
      </c>
      <c r="L44">
        <v>0</v>
      </c>
      <c r="M44">
        <v>0</v>
      </c>
    </row>
    <row r="45" spans="1:13" x14ac:dyDescent="0.25">
      <c r="A45">
        <v>44</v>
      </c>
      <c r="B45" t="s">
        <v>80</v>
      </c>
      <c r="C45">
        <v>8031.8</v>
      </c>
      <c r="D45">
        <v>-517.79</v>
      </c>
      <c r="E45">
        <v>2369</v>
      </c>
      <c r="F45" s="2" t="s">
        <v>145</v>
      </c>
      <c r="G45">
        <v>0</v>
      </c>
      <c r="H45">
        <f t="shared" si="0"/>
        <v>180.22199999999998</v>
      </c>
      <c r="I45">
        <f t="shared" si="1"/>
        <v>261.41699999999992</v>
      </c>
      <c r="J45" s="1" t="s">
        <v>145</v>
      </c>
      <c r="K45">
        <v>1</v>
      </c>
      <c r="L45">
        <v>0</v>
      </c>
      <c r="M45">
        <v>0</v>
      </c>
    </row>
    <row r="46" spans="1:13" x14ac:dyDescent="0.25">
      <c r="A46">
        <v>45</v>
      </c>
      <c r="B46" t="s">
        <v>81</v>
      </c>
      <c r="C46">
        <v>8031.8</v>
      </c>
      <c r="D46">
        <v>-498.32</v>
      </c>
      <c r="E46">
        <v>2357</v>
      </c>
      <c r="F46" s="2" t="s">
        <v>145</v>
      </c>
      <c r="G46">
        <v>0</v>
      </c>
      <c r="H46">
        <f t="shared" si="0"/>
        <v>160.75200000000001</v>
      </c>
      <c r="I46">
        <f t="shared" si="1"/>
        <v>273.41699999999992</v>
      </c>
      <c r="J46" s="1" t="s">
        <v>145</v>
      </c>
      <c r="K46">
        <v>1</v>
      </c>
      <c r="L46">
        <v>0</v>
      </c>
      <c r="M46">
        <v>0</v>
      </c>
    </row>
    <row r="47" spans="1:13" x14ac:dyDescent="0.25">
      <c r="A47">
        <v>46</v>
      </c>
      <c r="B47" t="s">
        <v>82</v>
      </c>
      <c r="C47">
        <v>8031.8</v>
      </c>
      <c r="D47">
        <v>-477.45299999999997</v>
      </c>
      <c r="E47">
        <v>2345.8000000000002</v>
      </c>
      <c r="F47" s="2" t="s">
        <v>145</v>
      </c>
      <c r="G47">
        <v>0</v>
      </c>
      <c r="H47">
        <f t="shared" si="0"/>
        <v>139.88499999999999</v>
      </c>
      <c r="I47">
        <f t="shared" si="1"/>
        <v>284.61699999999973</v>
      </c>
      <c r="J47" s="1" t="s">
        <v>145</v>
      </c>
      <c r="K47">
        <v>1</v>
      </c>
      <c r="L47">
        <v>0</v>
      </c>
      <c r="M47">
        <v>0</v>
      </c>
    </row>
    <row r="48" spans="1:13" x14ac:dyDescent="0.25">
      <c r="A48">
        <v>47</v>
      </c>
      <c r="B48" t="s">
        <v>83</v>
      </c>
      <c r="C48">
        <v>8031.8</v>
      </c>
      <c r="D48">
        <v>-455.97500000000002</v>
      </c>
      <c r="E48">
        <v>2335.7469999999998</v>
      </c>
      <c r="F48" s="2" t="s">
        <v>145</v>
      </c>
      <c r="G48">
        <v>0</v>
      </c>
      <c r="H48">
        <f t="shared" si="0"/>
        <v>118.40700000000004</v>
      </c>
      <c r="I48">
        <f t="shared" si="1"/>
        <v>294.67000000000007</v>
      </c>
      <c r="J48" s="1" t="s">
        <v>145</v>
      </c>
      <c r="K48">
        <v>1</v>
      </c>
      <c r="L48">
        <v>0</v>
      </c>
      <c r="M48">
        <v>0</v>
      </c>
    </row>
    <row r="49" spans="1:13" x14ac:dyDescent="0.25">
      <c r="A49">
        <v>48</v>
      </c>
      <c r="B49" t="s">
        <v>84</v>
      </c>
      <c r="C49">
        <v>8031.8</v>
      </c>
      <c r="D49">
        <v>-427.839</v>
      </c>
      <c r="E49">
        <v>2324.4479999999999</v>
      </c>
      <c r="F49" s="2" t="s">
        <v>145</v>
      </c>
      <c r="G49">
        <v>0</v>
      </c>
      <c r="H49">
        <f t="shared" si="0"/>
        <v>90.271000000000015</v>
      </c>
      <c r="I49">
        <f t="shared" si="1"/>
        <v>305.96900000000005</v>
      </c>
      <c r="J49" s="1" t="s">
        <v>145</v>
      </c>
      <c r="K49">
        <v>1</v>
      </c>
      <c r="L49">
        <v>0</v>
      </c>
      <c r="M49">
        <v>0</v>
      </c>
    </row>
    <row r="50" spans="1:13" x14ac:dyDescent="0.25">
      <c r="A50">
        <v>49</v>
      </c>
      <c r="B50" t="s">
        <v>85</v>
      </c>
      <c r="C50">
        <v>8031.8</v>
      </c>
      <c r="D50">
        <v>-405.97199999999998</v>
      </c>
      <c r="E50">
        <v>2316.9</v>
      </c>
      <c r="F50" s="2" t="s">
        <v>145</v>
      </c>
      <c r="G50">
        <v>0</v>
      </c>
      <c r="H50">
        <f t="shared" si="0"/>
        <v>68.403999999999996</v>
      </c>
      <c r="I50">
        <f t="shared" si="1"/>
        <v>313.51699999999983</v>
      </c>
      <c r="J50" s="1" t="s">
        <v>145</v>
      </c>
      <c r="K50">
        <v>1</v>
      </c>
      <c r="L50">
        <v>0</v>
      </c>
      <c r="M50">
        <v>0</v>
      </c>
    </row>
    <row r="51" spans="1:13" x14ac:dyDescent="0.25">
      <c r="A51">
        <v>50</v>
      </c>
      <c r="B51" t="s">
        <v>86</v>
      </c>
      <c r="C51">
        <v>8031.8</v>
      </c>
      <c r="D51">
        <v>-383.827</v>
      </c>
      <c r="E51">
        <v>2310.1889999999999</v>
      </c>
      <c r="F51" s="2" t="s">
        <v>145</v>
      </c>
      <c r="G51">
        <v>0</v>
      </c>
      <c r="H51">
        <f t="shared" si="0"/>
        <v>46.259000000000015</v>
      </c>
      <c r="I51">
        <f t="shared" si="1"/>
        <v>320.22800000000007</v>
      </c>
      <c r="J51" s="1" t="s">
        <v>145</v>
      </c>
      <c r="K51">
        <v>1</v>
      </c>
      <c r="L51">
        <v>0</v>
      </c>
      <c r="M51">
        <v>0</v>
      </c>
    </row>
    <row r="52" spans="1:13" x14ac:dyDescent="0.25">
      <c r="A52">
        <v>51</v>
      </c>
      <c r="B52" t="s">
        <v>87</v>
      </c>
      <c r="C52">
        <v>8031.8</v>
      </c>
      <c r="D52">
        <v>-361.459</v>
      </c>
      <c r="E52">
        <v>2304.2289999999998</v>
      </c>
      <c r="F52" s="2" t="s">
        <v>145</v>
      </c>
      <c r="G52">
        <v>0</v>
      </c>
      <c r="H52">
        <f t="shared" si="0"/>
        <v>23.89100000000002</v>
      </c>
      <c r="I52">
        <f t="shared" si="1"/>
        <v>326.1880000000001</v>
      </c>
      <c r="J52" s="1" t="s">
        <v>145</v>
      </c>
      <c r="K52">
        <v>1</v>
      </c>
      <c r="L52">
        <v>0</v>
      </c>
      <c r="M52">
        <v>0</v>
      </c>
    </row>
    <row r="53" spans="1:13" x14ac:dyDescent="0.25">
      <c r="A53">
        <v>52</v>
      </c>
      <c r="B53" t="s">
        <v>88</v>
      </c>
      <c r="C53">
        <v>8008.8</v>
      </c>
      <c r="D53">
        <f>D35</f>
        <v>-652.62599999999998</v>
      </c>
      <c r="E53">
        <f>E35</f>
        <v>2581.1840000000002</v>
      </c>
      <c r="F53" s="2" t="s">
        <v>145</v>
      </c>
      <c r="G53">
        <v>0</v>
      </c>
      <c r="H53">
        <f t="shared" si="0"/>
        <v>315.05799999999999</v>
      </c>
      <c r="I53">
        <f t="shared" si="1"/>
        <v>49.23299999999972</v>
      </c>
      <c r="J53" s="1" t="s">
        <v>145</v>
      </c>
      <c r="K53">
        <v>1</v>
      </c>
      <c r="L53">
        <v>0</v>
      </c>
      <c r="M53">
        <v>0</v>
      </c>
    </row>
    <row r="54" spans="1:13" x14ac:dyDescent="0.25">
      <c r="A54">
        <v>53</v>
      </c>
      <c r="B54" t="s">
        <v>89</v>
      </c>
      <c r="C54">
        <v>8008.8</v>
      </c>
      <c r="D54">
        <f t="shared" ref="D54:E69" si="2">D36</f>
        <v>-646.88599999999997</v>
      </c>
      <c r="E54">
        <f t="shared" si="2"/>
        <v>2555.6999999999998</v>
      </c>
      <c r="F54" s="2" t="s">
        <v>145</v>
      </c>
      <c r="G54">
        <v>0</v>
      </c>
      <c r="H54">
        <f t="shared" si="0"/>
        <v>309.31799999999998</v>
      </c>
      <c r="I54">
        <f t="shared" si="1"/>
        <v>74.717000000000098</v>
      </c>
      <c r="J54" s="1" t="s">
        <v>145</v>
      </c>
      <c r="K54">
        <v>1</v>
      </c>
      <c r="L54">
        <v>0</v>
      </c>
      <c r="M54">
        <v>0</v>
      </c>
    </row>
    <row r="55" spans="1:13" x14ac:dyDescent="0.25">
      <c r="A55">
        <v>54</v>
      </c>
      <c r="B55" t="s">
        <v>90</v>
      </c>
      <c r="C55">
        <v>8008.8</v>
      </c>
      <c r="D55">
        <f t="shared" si="2"/>
        <v>-640.98</v>
      </c>
      <c r="E55">
        <f t="shared" si="2"/>
        <v>2535.0169999999998</v>
      </c>
      <c r="F55" s="2" t="s">
        <v>145</v>
      </c>
      <c r="G55">
        <v>0</v>
      </c>
      <c r="H55">
        <f t="shared" si="0"/>
        <v>303.41200000000003</v>
      </c>
      <c r="I55">
        <f t="shared" si="1"/>
        <v>95.400000000000091</v>
      </c>
      <c r="J55" s="1" t="s">
        <v>145</v>
      </c>
      <c r="K55">
        <v>1</v>
      </c>
      <c r="L55">
        <v>0</v>
      </c>
      <c r="M55">
        <v>0</v>
      </c>
    </row>
    <row r="56" spans="1:13" x14ac:dyDescent="0.25">
      <c r="A56">
        <v>55</v>
      </c>
      <c r="B56" t="s">
        <v>91</v>
      </c>
      <c r="C56">
        <v>8008.8</v>
      </c>
      <c r="D56">
        <f t="shared" si="2"/>
        <v>-633.91899999999998</v>
      </c>
      <c r="E56">
        <f t="shared" si="2"/>
        <v>2514.7170000000001</v>
      </c>
      <c r="F56" s="2" t="s">
        <v>145</v>
      </c>
      <c r="G56">
        <v>0</v>
      </c>
      <c r="H56">
        <f t="shared" si="0"/>
        <v>296.351</v>
      </c>
      <c r="I56">
        <f t="shared" si="1"/>
        <v>115.69999999999982</v>
      </c>
      <c r="J56" s="1" t="s">
        <v>145</v>
      </c>
      <c r="K56">
        <v>1</v>
      </c>
      <c r="L56">
        <v>0</v>
      </c>
      <c r="M56">
        <v>0</v>
      </c>
    </row>
    <row r="57" spans="1:13" x14ac:dyDescent="0.25">
      <c r="A57">
        <v>56</v>
      </c>
      <c r="B57" t="s">
        <v>92</v>
      </c>
      <c r="C57">
        <v>8008.8</v>
      </c>
      <c r="D57">
        <f t="shared" si="2"/>
        <v>-625.62599999999998</v>
      </c>
      <c r="E57">
        <f t="shared" si="2"/>
        <v>2494.8980000000001</v>
      </c>
      <c r="F57" s="2" t="s">
        <v>145</v>
      </c>
      <c r="G57">
        <v>0</v>
      </c>
      <c r="H57">
        <f t="shared" si="0"/>
        <v>288.05799999999999</v>
      </c>
      <c r="I57">
        <f t="shared" si="1"/>
        <v>135.51899999999978</v>
      </c>
      <c r="J57" s="1" t="s">
        <v>145</v>
      </c>
      <c r="K57">
        <v>1</v>
      </c>
      <c r="L57">
        <v>0</v>
      </c>
      <c r="M57">
        <v>0</v>
      </c>
    </row>
    <row r="58" spans="1:13" x14ac:dyDescent="0.25">
      <c r="A58">
        <v>57</v>
      </c>
      <c r="B58" t="s">
        <v>93</v>
      </c>
      <c r="C58">
        <v>8008.8</v>
      </c>
      <c r="D58">
        <f t="shared" si="2"/>
        <v>-616.04</v>
      </c>
      <c r="E58">
        <f t="shared" si="2"/>
        <v>2475.6999999999998</v>
      </c>
      <c r="F58" s="2" t="s">
        <v>145</v>
      </c>
      <c r="G58">
        <v>0</v>
      </c>
      <c r="H58">
        <f t="shared" si="0"/>
        <v>278.47199999999998</v>
      </c>
      <c r="I58">
        <f t="shared" si="1"/>
        <v>154.7170000000001</v>
      </c>
      <c r="J58" s="1" t="s">
        <v>145</v>
      </c>
      <c r="K58">
        <v>1</v>
      </c>
      <c r="L58">
        <v>0</v>
      </c>
      <c r="M58">
        <v>0</v>
      </c>
    </row>
    <row r="59" spans="1:13" x14ac:dyDescent="0.25">
      <c r="A59">
        <v>58</v>
      </c>
      <c r="B59" t="s">
        <v>94</v>
      </c>
      <c r="C59">
        <v>8008.8</v>
      </c>
      <c r="D59">
        <f t="shared" si="2"/>
        <v>-605.14</v>
      </c>
      <c r="E59">
        <f t="shared" si="2"/>
        <v>2457.1</v>
      </c>
      <c r="F59" s="2" t="s">
        <v>145</v>
      </c>
      <c r="G59">
        <v>0</v>
      </c>
      <c r="H59">
        <f t="shared" si="0"/>
        <v>267.572</v>
      </c>
      <c r="I59">
        <f t="shared" si="1"/>
        <v>173.31700000000001</v>
      </c>
      <c r="J59" s="1" t="s">
        <v>145</v>
      </c>
      <c r="K59">
        <v>1</v>
      </c>
      <c r="L59">
        <v>0</v>
      </c>
      <c r="M59">
        <v>0</v>
      </c>
    </row>
    <row r="60" spans="1:13" x14ac:dyDescent="0.25">
      <c r="A60">
        <v>59</v>
      </c>
      <c r="B60" t="s">
        <v>95</v>
      </c>
      <c r="C60">
        <v>8008.8</v>
      </c>
      <c r="D60">
        <f t="shared" si="2"/>
        <v>-591.91999999999996</v>
      </c>
      <c r="E60">
        <f t="shared" si="2"/>
        <v>2439.5</v>
      </c>
      <c r="F60" s="2" t="s">
        <v>145</v>
      </c>
      <c r="G60">
        <v>0</v>
      </c>
      <c r="H60">
        <f t="shared" si="0"/>
        <v>254.35199999999998</v>
      </c>
      <c r="I60">
        <f t="shared" si="1"/>
        <v>190.91699999999992</v>
      </c>
      <c r="J60" s="1" t="s">
        <v>145</v>
      </c>
      <c r="K60">
        <v>1</v>
      </c>
      <c r="L60">
        <v>0</v>
      </c>
      <c r="M60">
        <v>0</v>
      </c>
    </row>
    <row r="61" spans="1:13" x14ac:dyDescent="0.25">
      <c r="A61">
        <v>60</v>
      </c>
      <c r="B61" t="s">
        <v>96</v>
      </c>
      <c r="C61">
        <v>8008.8</v>
      </c>
      <c r="D61">
        <f t="shared" si="2"/>
        <v>-579.41999999999996</v>
      </c>
      <c r="E61">
        <f t="shared" si="2"/>
        <v>2422.8580000000002</v>
      </c>
      <c r="F61" s="2" t="s">
        <v>145</v>
      </c>
      <c r="G61">
        <v>0</v>
      </c>
      <c r="H61">
        <f t="shared" si="0"/>
        <v>241.85199999999998</v>
      </c>
      <c r="I61">
        <f t="shared" si="1"/>
        <v>207.55899999999974</v>
      </c>
      <c r="J61" s="1" t="s">
        <v>145</v>
      </c>
      <c r="K61">
        <v>1</v>
      </c>
      <c r="L61">
        <v>0</v>
      </c>
      <c r="M61">
        <v>0</v>
      </c>
    </row>
    <row r="62" spans="1:13" x14ac:dyDescent="0.25">
      <c r="A62">
        <v>61</v>
      </c>
      <c r="B62" t="s">
        <v>97</v>
      </c>
      <c r="C62">
        <v>8008.8</v>
      </c>
      <c r="D62">
        <f t="shared" si="2"/>
        <v>-564.72</v>
      </c>
      <c r="E62">
        <f t="shared" si="2"/>
        <v>2407.2199999999998</v>
      </c>
      <c r="F62" s="2" t="s">
        <v>145</v>
      </c>
      <c r="G62">
        <v>0</v>
      </c>
      <c r="H62">
        <f t="shared" si="0"/>
        <v>227.15200000000004</v>
      </c>
      <c r="I62">
        <f t="shared" si="1"/>
        <v>223.19700000000012</v>
      </c>
      <c r="J62" s="1" t="s">
        <v>145</v>
      </c>
      <c r="K62">
        <v>1</v>
      </c>
      <c r="L62">
        <v>0</v>
      </c>
      <c r="M62">
        <v>0</v>
      </c>
    </row>
    <row r="63" spans="1:13" x14ac:dyDescent="0.25">
      <c r="A63">
        <v>62</v>
      </c>
      <c r="B63" t="s">
        <v>98</v>
      </c>
      <c r="C63">
        <v>8008.8</v>
      </c>
      <c r="D63">
        <f t="shared" si="2"/>
        <v>-517.79</v>
      </c>
      <c r="E63">
        <f t="shared" si="2"/>
        <v>2369</v>
      </c>
      <c r="F63" s="2" t="s">
        <v>145</v>
      </c>
      <c r="G63">
        <v>0</v>
      </c>
      <c r="H63">
        <f t="shared" si="0"/>
        <v>180.22199999999998</v>
      </c>
      <c r="I63">
        <f t="shared" si="1"/>
        <v>261.41699999999992</v>
      </c>
      <c r="J63" s="1" t="s">
        <v>145</v>
      </c>
      <c r="K63">
        <v>1</v>
      </c>
      <c r="L63">
        <v>0</v>
      </c>
      <c r="M63">
        <v>0</v>
      </c>
    </row>
    <row r="64" spans="1:13" x14ac:dyDescent="0.25">
      <c r="A64">
        <v>63</v>
      </c>
      <c r="B64" t="s">
        <v>99</v>
      </c>
      <c r="C64">
        <v>8008.8</v>
      </c>
      <c r="D64">
        <f t="shared" si="2"/>
        <v>-498.32</v>
      </c>
      <c r="E64">
        <f t="shared" si="2"/>
        <v>2357</v>
      </c>
      <c r="F64" s="2" t="s">
        <v>145</v>
      </c>
      <c r="G64">
        <v>0</v>
      </c>
      <c r="H64">
        <f t="shared" si="0"/>
        <v>160.75200000000001</v>
      </c>
      <c r="I64">
        <f t="shared" si="1"/>
        <v>273.41699999999992</v>
      </c>
      <c r="J64" s="1" t="s">
        <v>145</v>
      </c>
      <c r="K64">
        <v>1</v>
      </c>
      <c r="L64">
        <v>0</v>
      </c>
      <c r="M64">
        <v>0</v>
      </c>
    </row>
    <row r="65" spans="1:13" x14ac:dyDescent="0.25">
      <c r="A65">
        <v>64</v>
      </c>
      <c r="B65" t="s">
        <v>100</v>
      </c>
      <c r="C65">
        <v>8008.8</v>
      </c>
      <c r="D65">
        <f t="shared" si="2"/>
        <v>-477.45299999999997</v>
      </c>
      <c r="E65">
        <f t="shared" si="2"/>
        <v>2345.8000000000002</v>
      </c>
      <c r="F65" s="2" t="s">
        <v>145</v>
      </c>
      <c r="G65">
        <v>0</v>
      </c>
      <c r="H65">
        <f t="shared" si="0"/>
        <v>139.88499999999999</v>
      </c>
      <c r="I65">
        <f t="shared" si="1"/>
        <v>284.61699999999973</v>
      </c>
      <c r="J65" s="1" t="s">
        <v>145</v>
      </c>
      <c r="K65">
        <v>1</v>
      </c>
      <c r="L65">
        <v>0</v>
      </c>
      <c r="M65">
        <v>0</v>
      </c>
    </row>
    <row r="66" spans="1:13" x14ac:dyDescent="0.25">
      <c r="A66">
        <v>65</v>
      </c>
      <c r="B66" t="s">
        <v>101</v>
      </c>
      <c r="C66">
        <v>8008.8</v>
      </c>
      <c r="D66">
        <f t="shared" si="2"/>
        <v>-455.97500000000002</v>
      </c>
      <c r="E66">
        <f t="shared" si="2"/>
        <v>2335.7469999999998</v>
      </c>
      <c r="F66" s="2" t="s">
        <v>145</v>
      </c>
      <c r="G66">
        <v>0</v>
      </c>
      <c r="H66">
        <f t="shared" si="0"/>
        <v>118.40700000000004</v>
      </c>
      <c r="I66">
        <f t="shared" si="1"/>
        <v>294.67000000000007</v>
      </c>
      <c r="J66" s="1" t="s">
        <v>145</v>
      </c>
      <c r="K66">
        <v>1</v>
      </c>
      <c r="L66">
        <v>0</v>
      </c>
      <c r="M66">
        <v>0</v>
      </c>
    </row>
    <row r="67" spans="1:13" x14ac:dyDescent="0.25">
      <c r="A67">
        <v>66</v>
      </c>
      <c r="B67" t="s">
        <v>102</v>
      </c>
      <c r="C67">
        <v>8008.8</v>
      </c>
      <c r="D67">
        <f t="shared" si="2"/>
        <v>-427.839</v>
      </c>
      <c r="E67">
        <f t="shared" si="2"/>
        <v>2324.4479999999999</v>
      </c>
      <c r="F67" s="2" t="s">
        <v>145</v>
      </c>
      <c r="G67">
        <v>0</v>
      </c>
      <c r="H67">
        <f t="shared" si="0"/>
        <v>90.271000000000015</v>
      </c>
      <c r="I67">
        <f t="shared" si="1"/>
        <v>305.96900000000005</v>
      </c>
      <c r="J67" s="1" t="s">
        <v>145</v>
      </c>
      <c r="K67">
        <v>1</v>
      </c>
      <c r="L67">
        <v>0</v>
      </c>
      <c r="M67">
        <v>0</v>
      </c>
    </row>
    <row r="68" spans="1:13" x14ac:dyDescent="0.25">
      <c r="A68">
        <v>67</v>
      </c>
      <c r="B68" t="s">
        <v>103</v>
      </c>
      <c r="C68">
        <v>8008.8</v>
      </c>
      <c r="D68">
        <f t="shared" si="2"/>
        <v>-405.97199999999998</v>
      </c>
      <c r="E68">
        <f t="shared" si="2"/>
        <v>2316.9</v>
      </c>
      <c r="F68" s="2" t="s">
        <v>145</v>
      </c>
      <c r="G68">
        <v>0</v>
      </c>
      <c r="H68">
        <f t="shared" si="0"/>
        <v>68.403999999999996</v>
      </c>
      <c r="I68">
        <f t="shared" si="1"/>
        <v>313.51699999999983</v>
      </c>
      <c r="J68" s="1" t="s">
        <v>145</v>
      </c>
      <c r="K68">
        <v>1</v>
      </c>
      <c r="L68">
        <v>0</v>
      </c>
      <c r="M68">
        <v>0</v>
      </c>
    </row>
    <row r="69" spans="1:13" x14ac:dyDescent="0.25">
      <c r="A69">
        <v>68</v>
      </c>
      <c r="B69" t="s">
        <v>104</v>
      </c>
      <c r="C69">
        <v>8008.8</v>
      </c>
      <c r="D69">
        <f t="shared" si="2"/>
        <v>-383.827</v>
      </c>
      <c r="E69">
        <f t="shared" si="2"/>
        <v>2310.1889999999999</v>
      </c>
      <c r="F69" s="2" t="s">
        <v>145</v>
      </c>
      <c r="G69">
        <v>0</v>
      </c>
      <c r="H69">
        <f t="shared" si="0"/>
        <v>46.259000000000015</v>
      </c>
      <c r="I69">
        <f t="shared" si="1"/>
        <v>320.22800000000007</v>
      </c>
      <c r="J69" s="1" t="s">
        <v>145</v>
      </c>
      <c r="K69">
        <v>1</v>
      </c>
      <c r="L69">
        <v>0</v>
      </c>
      <c r="M69">
        <v>0</v>
      </c>
    </row>
    <row r="70" spans="1:13" x14ac:dyDescent="0.25">
      <c r="A70" s="17">
        <v>69</v>
      </c>
      <c r="B70" s="17" t="s">
        <v>105</v>
      </c>
      <c r="C70" s="17">
        <v>8008.8</v>
      </c>
      <c r="D70" s="17">
        <f>D52</f>
        <v>-361.459</v>
      </c>
      <c r="E70" s="17">
        <f>E52</f>
        <v>2304.2289999999998</v>
      </c>
      <c r="F70" s="19" t="s">
        <v>145</v>
      </c>
      <c r="G70" s="17">
        <v>0</v>
      </c>
      <c r="H70" s="17">
        <f t="shared" si="0"/>
        <v>23.89100000000002</v>
      </c>
      <c r="I70" s="17">
        <f t="shared" si="1"/>
        <v>326.1880000000001</v>
      </c>
      <c r="J70" s="20" t="s">
        <v>145</v>
      </c>
      <c r="K70" s="17">
        <v>1</v>
      </c>
      <c r="L70" s="17">
        <v>0</v>
      </c>
      <c r="M70" s="17">
        <v>0</v>
      </c>
    </row>
    <row r="71" spans="1:13" x14ac:dyDescent="0.25">
      <c r="A71">
        <v>70</v>
      </c>
      <c r="B71" t="s">
        <v>106</v>
      </c>
      <c r="C71">
        <v>7754.53</v>
      </c>
      <c r="D71">
        <v>-662.77099999999996</v>
      </c>
      <c r="E71">
        <v>2754.884</v>
      </c>
      <c r="F71" s="2" t="s">
        <v>145</v>
      </c>
      <c r="G71">
        <v>0</v>
      </c>
      <c r="H71">
        <v>1</v>
      </c>
      <c r="I71">
        <v>0</v>
      </c>
      <c r="J71" s="1" t="s">
        <v>145</v>
      </c>
      <c r="K71">
        <v>1</v>
      </c>
      <c r="L71">
        <v>0</v>
      </c>
      <c r="M71">
        <v>0</v>
      </c>
    </row>
    <row r="72" spans="1:13" x14ac:dyDescent="0.25">
      <c r="A72">
        <v>71</v>
      </c>
      <c r="B72" t="s">
        <v>107</v>
      </c>
      <c r="C72">
        <v>7778.47</v>
      </c>
      <c r="D72">
        <v>-662.77099999999996</v>
      </c>
      <c r="E72">
        <v>2754.884</v>
      </c>
      <c r="F72" s="2" t="s">
        <v>145</v>
      </c>
      <c r="G72">
        <v>0</v>
      </c>
      <c r="H72">
        <v>1</v>
      </c>
      <c r="I72">
        <v>0</v>
      </c>
      <c r="J72" s="1" t="s">
        <v>145</v>
      </c>
      <c r="K72">
        <v>1</v>
      </c>
      <c r="L72">
        <v>0</v>
      </c>
      <c r="M72">
        <v>0</v>
      </c>
    </row>
    <row r="73" spans="1:13" x14ac:dyDescent="0.25">
      <c r="A73">
        <v>72</v>
      </c>
      <c r="B73" t="s">
        <v>108</v>
      </c>
      <c r="C73">
        <v>7802.41</v>
      </c>
      <c r="D73">
        <v>-662.77099999999996</v>
      </c>
      <c r="E73">
        <v>2754.884</v>
      </c>
      <c r="F73" s="2" t="s">
        <v>145</v>
      </c>
      <c r="G73">
        <v>0</v>
      </c>
      <c r="H73">
        <v>1</v>
      </c>
      <c r="I73">
        <v>0</v>
      </c>
      <c r="J73" s="1" t="s">
        <v>145</v>
      </c>
      <c r="K73">
        <v>1</v>
      </c>
      <c r="L73">
        <v>0</v>
      </c>
      <c r="M73">
        <v>0</v>
      </c>
    </row>
    <row r="74" spans="1:13" x14ac:dyDescent="0.25">
      <c r="A74">
        <v>73</v>
      </c>
      <c r="B74" t="s">
        <v>109</v>
      </c>
      <c r="C74">
        <v>7826.35</v>
      </c>
      <c r="D74">
        <v>-662.77099999999996</v>
      </c>
      <c r="E74">
        <v>2754.884</v>
      </c>
      <c r="F74" s="2" t="s">
        <v>145</v>
      </c>
      <c r="G74">
        <v>0</v>
      </c>
      <c r="H74">
        <v>1</v>
      </c>
      <c r="I74">
        <v>0</v>
      </c>
      <c r="J74" s="1" t="s">
        <v>145</v>
      </c>
      <c r="K74">
        <v>1</v>
      </c>
      <c r="L74">
        <v>0</v>
      </c>
      <c r="M74">
        <v>0</v>
      </c>
    </row>
    <row r="75" spans="1:13" x14ac:dyDescent="0.25">
      <c r="A75">
        <v>74</v>
      </c>
      <c r="B75" t="s">
        <v>110</v>
      </c>
      <c r="C75">
        <v>7850.29</v>
      </c>
      <c r="D75">
        <v>-662.77099999999996</v>
      </c>
      <c r="E75">
        <v>2754.884</v>
      </c>
      <c r="F75" s="2" t="s">
        <v>145</v>
      </c>
      <c r="G75">
        <v>0</v>
      </c>
      <c r="H75">
        <v>1</v>
      </c>
      <c r="I75">
        <v>0</v>
      </c>
      <c r="J75" s="1" t="s">
        <v>145</v>
      </c>
      <c r="K75">
        <v>1</v>
      </c>
      <c r="L75">
        <v>0</v>
      </c>
      <c r="M75">
        <v>0</v>
      </c>
    </row>
    <row r="76" spans="1:13" x14ac:dyDescent="0.25">
      <c r="A76">
        <v>75</v>
      </c>
      <c r="B76" t="s">
        <v>111</v>
      </c>
      <c r="C76">
        <v>7874.23</v>
      </c>
      <c r="D76">
        <v>-662.77099999999996</v>
      </c>
      <c r="E76">
        <v>2754.884</v>
      </c>
      <c r="F76" s="2" t="s">
        <v>145</v>
      </c>
      <c r="G76">
        <v>0</v>
      </c>
      <c r="H76">
        <v>1</v>
      </c>
      <c r="I76">
        <v>0</v>
      </c>
      <c r="J76" s="1" t="s">
        <v>145</v>
      </c>
      <c r="K76">
        <v>1</v>
      </c>
      <c r="L76">
        <v>0</v>
      </c>
      <c r="M76">
        <v>0</v>
      </c>
    </row>
    <row r="77" spans="1:13" x14ac:dyDescent="0.25">
      <c r="A77">
        <v>76</v>
      </c>
      <c r="B77" t="s">
        <v>112</v>
      </c>
      <c r="C77">
        <v>7898.17</v>
      </c>
      <c r="D77">
        <v>-662.77099999999996</v>
      </c>
      <c r="E77">
        <v>2754.884</v>
      </c>
      <c r="F77" s="2" t="s">
        <v>145</v>
      </c>
      <c r="G77">
        <v>0</v>
      </c>
      <c r="H77">
        <v>1</v>
      </c>
      <c r="I77">
        <v>0</v>
      </c>
      <c r="J77" s="1" t="s">
        <v>145</v>
      </c>
      <c r="K77">
        <v>1</v>
      </c>
      <c r="L77">
        <v>0</v>
      </c>
      <c r="M77">
        <v>0</v>
      </c>
    </row>
    <row r="78" spans="1:13" x14ac:dyDescent="0.25">
      <c r="A78">
        <v>77</v>
      </c>
      <c r="B78" t="s">
        <v>113</v>
      </c>
      <c r="C78">
        <v>7922.11</v>
      </c>
      <c r="D78">
        <v>-662.77099999999996</v>
      </c>
      <c r="E78">
        <v>2754.884</v>
      </c>
      <c r="F78" s="2" t="s">
        <v>145</v>
      </c>
      <c r="G78">
        <v>0</v>
      </c>
      <c r="H78">
        <v>1</v>
      </c>
      <c r="I78">
        <v>0</v>
      </c>
      <c r="J78" s="1" t="s">
        <v>145</v>
      </c>
      <c r="K78">
        <v>1</v>
      </c>
      <c r="L78">
        <v>0</v>
      </c>
      <c r="M78">
        <v>0</v>
      </c>
    </row>
    <row r="79" spans="1:13" x14ac:dyDescent="0.25">
      <c r="A79" s="17">
        <v>78</v>
      </c>
      <c r="B79" s="17" t="s">
        <v>114</v>
      </c>
      <c r="C79" s="17">
        <v>7946.05</v>
      </c>
      <c r="D79" s="17">
        <v>-662.77099999999996</v>
      </c>
      <c r="E79" s="17">
        <v>2754.884</v>
      </c>
      <c r="F79" s="19" t="s">
        <v>145</v>
      </c>
      <c r="G79" s="17">
        <v>0</v>
      </c>
      <c r="H79" s="17">
        <v>1</v>
      </c>
      <c r="I79" s="17">
        <v>0</v>
      </c>
      <c r="J79" s="20" t="s">
        <v>145</v>
      </c>
      <c r="K79" s="17">
        <v>1</v>
      </c>
      <c r="L79" s="17">
        <v>0</v>
      </c>
      <c r="M79" s="17">
        <v>0</v>
      </c>
    </row>
    <row r="80" spans="1:13" x14ac:dyDescent="0.25">
      <c r="A80">
        <v>79</v>
      </c>
      <c r="B80" t="s">
        <v>115</v>
      </c>
      <c r="C80">
        <v>7756.88</v>
      </c>
      <c r="D80">
        <v>-641.24199999999996</v>
      </c>
      <c r="E80">
        <v>2769.8</v>
      </c>
      <c r="F80" s="2" t="s">
        <v>145</v>
      </c>
      <c r="G80">
        <v>0</v>
      </c>
      <c r="H80">
        <v>0</v>
      </c>
      <c r="I80">
        <v>1</v>
      </c>
      <c r="J80" s="1" t="s">
        <v>145</v>
      </c>
      <c r="K80">
        <v>1</v>
      </c>
      <c r="L80">
        <v>0</v>
      </c>
      <c r="M80">
        <v>0</v>
      </c>
    </row>
    <row r="81" spans="1:13" x14ac:dyDescent="0.25">
      <c r="A81">
        <v>80</v>
      </c>
      <c r="B81" t="s">
        <v>116</v>
      </c>
      <c r="C81">
        <v>7783.9570000000003</v>
      </c>
      <c r="D81">
        <v>-641.24199999999996</v>
      </c>
      <c r="E81">
        <v>2769.8</v>
      </c>
      <c r="F81" s="2" t="s">
        <v>145</v>
      </c>
      <c r="G81">
        <v>0</v>
      </c>
      <c r="H81">
        <v>0</v>
      </c>
      <c r="I81">
        <v>1</v>
      </c>
      <c r="J81" s="1" t="s">
        <v>145</v>
      </c>
      <c r="K81">
        <v>1</v>
      </c>
      <c r="L81">
        <v>0</v>
      </c>
      <c r="M81">
        <v>0</v>
      </c>
    </row>
    <row r="82" spans="1:13" x14ac:dyDescent="0.25">
      <c r="A82">
        <v>81</v>
      </c>
      <c r="B82" t="s">
        <v>117</v>
      </c>
      <c r="C82">
        <v>7811.02</v>
      </c>
      <c r="D82">
        <v>-641.24199999999996</v>
      </c>
      <c r="E82">
        <v>2769.8</v>
      </c>
      <c r="F82" s="2" t="s">
        <v>145</v>
      </c>
      <c r="G82">
        <v>0</v>
      </c>
      <c r="H82">
        <v>0</v>
      </c>
      <c r="I82">
        <v>1</v>
      </c>
      <c r="J82" s="1" t="s">
        <v>145</v>
      </c>
      <c r="K82">
        <v>1</v>
      </c>
      <c r="L82">
        <v>0</v>
      </c>
      <c r="M82">
        <v>0</v>
      </c>
    </row>
    <row r="83" spans="1:13" x14ac:dyDescent="0.25">
      <c r="A83">
        <v>82</v>
      </c>
      <c r="B83" t="s">
        <v>118</v>
      </c>
      <c r="C83">
        <v>7838.0969999999998</v>
      </c>
      <c r="D83">
        <v>-641.24199999999996</v>
      </c>
      <c r="E83">
        <v>2769.8</v>
      </c>
      <c r="F83" s="2" t="s">
        <v>145</v>
      </c>
      <c r="G83">
        <v>0</v>
      </c>
      <c r="H83">
        <v>0</v>
      </c>
      <c r="I83">
        <v>1</v>
      </c>
      <c r="J83" s="1" t="s">
        <v>145</v>
      </c>
      <c r="K83">
        <v>1</v>
      </c>
      <c r="L83">
        <v>0</v>
      </c>
      <c r="M83">
        <v>0</v>
      </c>
    </row>
    <row r="84" spans="1:13" x14ac:dyDescent="0.25">
      <c r="A84">
        <v>83</v>
      </c>
      <c r="B84" t="s">
        <v>119</v>
      </c>
      <c r="C84">
        <v>7865.1660000000002</v>
      </c>
      <c r="D84">
        <v>-641.24199999999996</v>
      </c>
      <c r="E84">
        <v>2769.8</v>
      </c>
      <c r="F84" s="2" t="s">
        <v>145</v>
      </c>
      <c r="G84">
        <v>0</v>
      </c>
      <c r="H84">
        <v>0</v>
      </c>
      <c r="I84">
        <v>1</v>
      </c>
      <c r="J84" s="1" t="s">
        <v>145</v>
      </c>
      <c r="K84">
        <v>1</v>
      </c>
      <c r="L84">
        <v>0</v>
      </c>
      <c r="M84">
        <v>0</v>
      </c>
    </row>
    <row r="85" spans="1:13" x14ac:dyDescent="0.25">
      <c r="A85">
        <v>84</v>
      </c>
      <c r="B85" t="s">
        <v>120</v>
      </c>
      <c r="C85">
        <v>7892.2359999999999</v>
      </c>
      <c r="D85">
        <v>-641.24199999999996</v>
      </c>
      <c r="E85">
        <v>2769.8</v>
      </c>
      <c r="F85" s="2" t="s">
        <v>145</v>
      </c>
      <c r="G85">
        <v>0</v>
      </c>
      <c r="H85">
        <v>0</v>
      </c>
      <c r="I85">
        <v>1</v>
      </c>
      <c r="J85" s="1" t="s">
        <v>145</v>
      </c>
      <c r="K85">
        <v>1</v>
      </c>
      <c r="L85">
        <v>0</v>
      </c>
      <c r="M85">
        <v>0</v>
      </c>
    </row>
    <row r="86" spans="1:13" x14ac:dyDescent="0.25">
      <c r="A86">
        <v>85</v>
      </c>
      <c r="B86" t="s">
        <v>121</v>
      </c>
      <c r="C86">
        <v>7919.3</v>
      </c>
      <c r="D86">
        <v>-641.24199999999996</v>
      </c>
      <c r="E86">
        <v>2769.8</v>
      </c>
      <c r="F86" s="2" t="s">
        <v>145</v>
      </c>
      <c r="G86">
        <v>0</v>
      </c>
      <c r="H86">
        <v>0</v>
      </c>
      <c r="I86">
        <v>1</v>
      </c>
      <c r="J86" s="1" t="s">
        <v>145</v>
      </c>
      <c r="K86">
        <v>1</v>
      </c>
      <c r="L86">
        <v>0</v>
      </c>
      <c r="M86">
        <v>0</v>
      </c>
    </row>
    <row r="87" spans="1:13" x14ac:dyDescent="0.25">
      <c r="A87">
        <v>86</v>
      </c>
      <c r="B87" t="s">
        <v>122</v>
      </c>
      <c r="C87">
        <v>7946.37</v>
      </c>
      <c r="D87">
        <v>-641.24199999999996</v>
      </c>
      <c r="E87">
        <v>2769.8</v>
      </c>
      <c r="F87" s="2" t="s">
        <v>145</v>
      </c>
      <c r="G87">
        <v>0</v>
      </c>
      <c r="H87">
        <v>0</v>
      </c>
      <c r="I87">
        <v>1</v>
      </c>
      <c r="J87" s="1" t="s">
        <v>145</v>
      </c>
      <c r="K87">
        <v>1</v>
      </c>
      <c r="L87">
        <v>0</v>
      </c>
      <c r="M87">
        <v>0</v>
      </c>
    </row>
    <row r="88" spans="1:13" x14ac:dyDescent="0.25">
      <c r="A88">
        <v>87</v>
      </c>
      <c r="B88" t="s">
        <v>123</v>
      </c>
      <c r="C88">
        <v>8092.3</v>
      </c>
      <c r="D88">
        <v>-641.24199999999996</v>
      </c>
      <c r="E88">
        <v>2769.8</v>
      </c>
      <c r="F88" s="2" t="s">
        <v>145</v>
      </c>
      <c r="G88">
        <v>0</v>
      </c>
      <c r="H88">
        <v>0</v>
      </c>
      <c r="I88">
        <v>1</v>
      </c>
      <c r="J88" s="1" t="s">
        <v>145</v>
      </c>
      <c r="K88">
        <v>1</v>
      </c>
      <c r="L88">
        <v>0</v>
      </c>
      <c r="M88">
        <v>0</v>
      </c>
    </row>
    <row r="89" spans="1:13" x14ac:dyDescent="0.25">
      <c r="A89">
        <v>88</v>
      </c>
      <c r="B89" t="s">
        <v>124</v>
      </c>
      <c r="C89">
        <v>8120.2</v>
      </c>
      <c r="D89">
        <v>-641.24199999999996</v>
      </c>
      <c r="E89">
        <v>2769.8</v>
      </c>
      <c r="F89" s="2" t="s">
        <v>145</v>
      </c>
      <c r="G89">
        <v>0</v>
      </c>
      <c r="H89">
        <v>0</v>
      </c>
      <c r="I89">
        <v>1</v>
      </c>
      <c r="J89" s="1" t="s">
        <v>145</v>
      </c>
      <c r="K89">
        <v>1</v>
      </c>
      <c r="L89">
        <v>0</v>
      </c>
      <c r="M89">
        <v>0</v>
      </c>
    </row>
    <row r="90" spans="1:13" x14ac:dyDescent="0.25">
      <c r="A90">
        <v>89</v>
      </c>
      <c r="B90" t="s">
        <v>125</v>
      </c>
      <c r="C90">
        <v>8148.1639999999998</v>
      </c>
      <c r="D90">
        <v>-641.24199999999996</v>
      </c>
      <c r="E90">
        <v>2769.8</v>
      </c>
      <c r="F90" s="2" t="s">
        <v>145</v>
      </c>
      <c r="G90">
        <v>0</v>
      </c>
      <c r="H90">
        <v>0</v>
      </c>
      <c r="I90">
        <v>1</v>
      </c>
      <c r="J90" s="1" t="s">
        <v>145</v>
      </c>
      <c r="K90">
        <v>1</v>
      </c>
      <c r="L90">
        <v>0</v>
      </c>
      <c r="M90">
        <v>0</v>
      </c>
    </row>
    <row r="91" spans="1:13" x14ac:dyDescent="0.25">
      <c r="A91">
        <v>90</v>
      </c>
      <c r="B91" t="s">
        <v>126</v>
      </c>
      <c r="C91">
        <v>8176.1</v>
      </c>
      <c r="D91">
        <v>-641.24199999999996</v>
      </c>
      <c r="E91">
        <v>2769.8</v>
      </c>
      <c r="F91" s="2" t="s">
        <v>145</v>
      </c>
      <c r="G91">
        <v>0</v>
      </c>
      <c r="H91">
        <v>0</v>
      </c>
      <c r="I91">
        <v>1</v>
      </c>
      <c r="J91" s="1" t="s">
        <v>145</v>
      </c>
      <c r="K91">
        <v>1</v>
      </c>
      <c r="L91">
        <v>0</v>
      </c>
      <c r="M91">
        <v>0</v>
      </c>
    </row>
    <row r="92" spans="1:13" x14ac:dyDescent="0.25">
      <c r="A92">
        <v>91</v>
      </c>
      <c r="B92" t="s">
        <v>127</v>
      </c>
      <c r="C92">
        <v>8204.0499999999993</v>
      </c>
      <c r="D92">
        <v>-641.24199999999996</v>
      </c>
      <c r="E92">
        <v>2769.8</v>
      </c>
      <c r="F92" s="2" t="s">
        <v>145</v>
      </c>
      <c r="G92">
        <v>0</v>
      </c>
      <c r="H92">
        <v>0</v>
      </c>
      <c r="I92">
        <v>1</v>
      </c>
      <c r="J92" s="1" t="s">
        <v>145</v>
      </c>
      <c r="K92">
        <v>1</v>
      </c>
      <c r="L92">
        <v>0</v>
      </c>
      <c r="M92">
        <v>0</v>
      </c>
    </row>
    <row r="93" spans="1:13" x14ac:dyDescent="0.25">
      <c r="A93">
        <v>92</v>
      </c>
      <c r="B93" t="s">
        <v>128</v>
      </c>
      <c r="C93">
        <v>8232</v>
      </c>
      <c r="D93">
        <v>-641.24199999999996</v>
      </c>
      <c r="E93">
        <v>2769.8</v>
      </c>
      <c r="F93" s="2" t="s">
        <v>145</v>
      </c>
      <c r="G93">
        <v>0</v>
      </c>
      <c r="H93">
        <v>0</v>
      </c>
      <c r="I93">
        <v>1</v>
      </c>
      <c r="J93" s="1" t="s">
        <v>145</v>
      </c>
      <c r="K93">
        <v>1</v>
      </c>
      <c r="L93">
        <v>0</v>
      </c>
      <c r="M93">
        <v>0</v>
      </c>
    </row>
    <row r="94" spans="1:13" x14ac:dyDescent="0.25">
      <c r="A94">
        <v>93</v>
      </c>
      <c r="B94" t="s">
        <v>129</v>
      </c>
      <c r="C94">
        <v>8259.9</v>
      </c>
      <c r="D94">
        <v>-641.24199999999996</v>
      </c>
      <c r="E94">
        <v>2769.8</v>
      </c>
      <c r="F94" s="2" t="s">
        <v>145</v>
      </c>
      <c r="G94">
        <v>0</v>
      </c>
      <c r="H94">
        <v>0</v>
      </c>
      <c r="I94">
        <v>1</v>
      </c>
      <c r="J94" s="1" t="s">
        <v>145</v>
      </c>
      <c r="K94">
        <v>1</v>
      </c>
      <c r="L94">
        <v>0</v>
      </c>
      <c r="M94">
        <v>0</v>
      </c>
    </row>
    <row r="95" spans="1:13" x14ac:dyDescent="0.25">
      <c r="A95">
        <v>94</v>
      </c>
      <c r="B95" t="s">
        <v>130</v>
      </c>
      <c r="C95">
        <v>8287.89</v>
      </c>
      <c r="D95">
        <v>-641.24199999999996</v>
      </c>
      <c r="E95">
        <v>2769.8</v>
      </c>
      <c r="F95" s="2" t="s">
        <v>145</v>
      </c>
      <c r="G95">
        <v>0</v>
      </c>
      <c r="H95">
        <v>0</v>
      </c>
      <c r="I95">
        <v>1</v>
      </c>
      <c r="J95" s="1" t="s">
        <v>145</v>
      </c>
      <c r="K95">
        <v>1</v>
      </c>
      <c r="L95">
        <v>0</v>
      </c>
      <c r="M95">
        <v>0</v>
      </c>
    </row>
    <row r="96" spans="1:13" x14ac:dyDescent="0.25">
      <c r="A96">
        <v>95</v>
      </c>
      <c r="B96" t="s">
        <v>131</v>
      </c>
      <c r="C96">
        <v>8315.7999999999993</v>
      </c>
      <c r="D96">
        <v>-641.24199999999996</v>
      </c>
      <c r="E96">
        <v>2769.8</v>
      </c>
      <c r="F96" s="2" t="s">
        <v>145</v>
      </c>
      <c r="G96">
        <v>0</v>
      </c>
      <c r="H96">
        <v>0</v>
      </c>
      <c r="I96">
        <v>1</v>
      </c>
      <c r="J96" s="1" t="s">
        <v>145</v>
      </c>
      <c r="K96">
        <v>1</v>
      </c>
      <c r="L96">
        <v>0</v>
      </c>
      <c r="M96">
        <v>0</v>
      </c>
    </row>
    <row r="97" spans="1:13" x14ac:dyDescent="0.25">
      <c r="A97">
        <v>96</v>
      </c>
      <c r="B97" t="s">
        <v>132</v>
      </c>
      <c r="C97">
        <v>8343.7000000000007</v>
      </c>
      <c r="D97">
        <v>-641.24199999999996</v>
      </c>
      <c r="E97">
        <v>2769.8</v>
      </c>
      <c r="F97" s="2" t="s">
        <v>145</v>
      </c>
      <c r="G97">
        <v>0</v>
      </c>
      <c r="H97">
        <v>0</v>
      </c>
      <c r="I97">
        <v>1</v>
      </c>
      <c r="J97" s="1" t="s">
        <v>145</v>
      </c>
      <c r="K97">
        <v>1</v>
      </c>
      <c r="L97">
        <v>0</v>
      </c>
      <c r="M97">
        <v>0</v>
      </c>
    </row>
    <row r="98" spans="1:13" x14ac:dyDescent="0.25">
      <c r="A98">
        <v>97</v>
      </c>
      <c r="B98" t="s">
        <v>133</v>
      </c>
      <c r="C98">
        <v>8371.7000000000007</v>
      </c>
      <c r="D98">
        <v>-641.24199999999996</v>
      </c>
      <c r="E98">
        <v>2769.8</v>
      </c>
      <c r="F98" s="2" t="s">
        <v>145</v>
      </c>
      <c r="G98">
        <v>0</v>
      </c>
      <c r="H98">
        <v>0</v>
      </c>
      <c r="I98">
        <v>1</v>
      </c>
      <c r="J98" s="1" t="s">
        <v>145</v>
      </c>
      <c r="K98">
        <v>1</v>
      </c>
      <c r="L98">
        <v>0</v>
      </c>
      <c r="M98">
        <v>0</v>
      </c>
    </row>
    <row r="99" spans="1:13" x14ac:dyDescent="0.25">
      <c r="A99">
        <v>98</v>
      </c>
      <c r="B99" t="s">
        <v>134</v>
      </c>
      <c r="C99">
        <v>8399.6</v>
      </c>
      <c r="D99">
        <v>-641.24199999999996</v>
      </c>
      <c r="E99">
        <v>2769.8</v>
      </c>
      <c r="F99" s="2" t="s">
        <v>145</v>
      </c>
      <c r="G99">
        <v>0</v>
      </c>
      <c r="H99">
        <v>0</v>
      </c>
      <c r="I99">
        <v>1</v>
      </c>
      <c r="J99" s="1" t="s">
        <v>145</v>
      </c>
      <c r="K99">
        <v>1</v>
      </c>
      <c r="L99">
        <v>0</v>
      </c>
      <c r="M99">
        <v>0</v>
      </c>
    </row>
    <row r="100" spans="1:13" x14ac:dyDescent="0.25">
      <c r="A100" s="17">
        <v>99</v>
      </c>
      <c r="B100" s="17" t="s">
        <v>135</v>
      </c>
      <c r="C100" s="17">
        <v>8427</v>
      </c>
      <c r="D100" s="17">
        <v>-641.24199999999996</v>
      </c>
      <c r="E100" s="17">
        <v>2769.8</v>
      </c>
      <c r="F100" s="19" t="s">
        <v>145</v>
      </c>
      <c r="G100" s="17">
        <v>0</v>
      </c>
      <c r="H100" s="17">
        <v>0</v>
      </c>
      <c r="I100" s="17">
        <v>1</v>
      </c>
      <c r="J100" s="20" t="s">
        <v>145</v>
      </c>
      <c r="K100" s="17">
        <v>1</v>
      </c>
      <c r="L100" s="17">
        <v>0</v>
      </c>
      <c r="M100" s="17">
        <v>0</v>
      </c>
    </row>
    <row r="101" spans="1:13" x14ac:dyDescent="0.25">
      <c r="A101">
        <v>100</v>
      </c>
      <c r="B101" t="s">
        <v>136</v>
      </c>
      <c r="C101">
        <v>7987.6</v>
      </c>
      <c r="D101">
        <v>-656.69200000000001</v>
      </c>
      <c r="E101">
        <v>2788.25</v>
      </c>
      <c r="F101" s="2" t="s">
        <v>145</v>
      </c>
      <c r="G101">
        <v>0</v>
      </c>
      <c r="H101">
        <v>1</v>
      </c>
      <c r="I101">
        <v>0</v>
      </c>
      <c r="J101" s="1" t="s">
        <v>145</v>
      </c>
      <c r="K101">
        <v>1</v>
      </c>
      <c r="L101">
        <v>0</v>
      </c>
      <c r="M101">
        <v>0</v>
      </c>
    </row>
    <row r="102" spans="1:13" x14ac:dyDescent="0.25">
      <c r="A102">
        <v>101</v>
      </c>
      <c r="B102" t="s">
        <v>137</v>
      </c>
      <c r="C102">
        <v>8007.8</v>
      </c>
      <c r="D102">
        <v>-656.69200000000001</v>
      </c>
      <c r="E102">
        <v>2788.2249999999999</v>
      </c>
      <c r="F102" s="2" t="s">
        <v>145</v>
      </c>
      <c r="G102">
        <v>0</v>
      </c>
      <c r="H102">
        <v>1</v>
      </c>
      <c r="I102">
        <v>0</v>
      </c>
      <c r="J102" s="1" t="s">
        <v>145</v>
      </c>
      <c r="K102">
        <v>1</v>
      </c>
      <c r="L102">
        <v>0</v>
      </c>
      <c r="M102">
        <v>0</v>
      </c>
    </row>
    <row r="103" spans="1:13" x14ac:dyDescent="0.25">
      <c r="A103">
        <v>102</v>
      </c>
      <c r="B103" t="s">
        <v>138</v>
      </c>
      <c r="C103">
        <v>7987.6</v>
      </c>
      <c r="D103">
        <v>-656.36400000000003</v>
      </c>
      <c r="E103">
        <v>2808.5010000000002</v>
      </c>
      <c r="F103" s="2" t="s">
        <v>145</v>
      </c>
      <c r="G103">
        <v>0</v>
      </c>
      <c r="H103">
        <v>1</v>
      </c>
      <c r="I103">
        <v>0</v>
      </c>
      <c r="J103" s="1" t="s">
        <v>145</v>
      </c>
      <c r="K103">
        <v>1</v>
      </c>
      <c r="L103">
        <v>0</v>
      </c>
      <c r="M103">
        <v>0</v>
      </c>
    </row>
    <row r="104" spans="1:13" x14ac:dyDescent="0.25">
      <c r="A104">
        <v>103</v>
      </c>
      <c r="B104" t="s">
        <v>139</v>
      </c>
      <c r="C104">
        <v>8007.8</v>
      </c>
      <c r="D104">
        <v>-656.36400000000003</v>
      </c>
      <c r="E104">
        <v>2808.5010000000002</v>
      </c>
      <c r="F104" s="2" t="s">
        <v>145</v>
      </c>
      <c r="G104">
        <v>0</v>
      </c>
      <c r="H104">
        <v>1</v>
      </c>
      <c r="I104">
        <v>0</v>
      </c>
      <c r="J104" s="1" t="s">
        <v>145</v>
      </c>
      <c r="K104">
        <v>1</v>
      </c>
      <c r="L104">
        <v>0</v>
      </c>
      <c r="M104">
        <v>0</v>
      </c>
    </row>
    <row r="105" spans="1:13" x14ac:dyDescent="0.25">
      <c r="A105">
        <v>104</v>
      </c>
      <c r="B105" t="s">
        <v>140</v>
      </c>
      <c r="C105">
        <v>8035</v>
      </c>
      <c r="D105">
        <v>-656.36400000000003</v>
      </c>
      <c r="E105">
        <v>2808.5010000000002</v>
      </c>
      <c r="F105" s="2" t="s">
        <v>145</v>
      </c>
      <c r="G105">
        <v>0</v>
      </c>
      <c r="H105">
        <v>1</v>
      </c>
      <c r="I105">
        <v>0</v>
      </c>
      <c r="J105" s="1" t="s">
        <v>145</v>
      </c>
      <c r="K105">
        <v>1</v>
      </c>
      <c r="L105">
        <v>0</v>
      </c>
      <c r="M105">
        <v>0</v>
      </c>
    </row>
    <row r="106" spans="1:13" x14ac:dyDescent="0.25">
      <c r="A106">
        <v>105</v>
      </c>
      <c r="B106" t="s">
        <v>141</v>
      </c>
      <c r="C106">
        <v>8055</v>
      </c>
      <c r="D106">
        <v>-656.36400000000003</v>
      </c>
      <c r="E106">
        <v>2808.5010000000002</v>
      </c>
      <c r="F106" s="2" t="s">
        <v>145</v>
      </c>
      <c r="G106">
        <v>0</v>
      </c>
      <c r="H106">
        <v>1</v>
      </c>
      <c r="I106">
        <v>0</v>
      </c>
      <c r="J106" s="1" t="s">
        <v>145</v>
      </c>
      <c r="K106">
        <v>1</v>
      </c>
      <c r="L106">
        <v>0</v>
      </c>
      <c r="M106">
        <v>0</v>
      </c>
    </row>
    <row r="107" spans="1:13" x14ac:dyDescent="0.25">
      <c r="A107">
        <v>106</v>
      </c>
      <c r="B107" t="s">
        <v>142</v>
      </c>
      <c r="C107">
        <v>8035</v>
      </c>
      <c r="D107">
        <v>-656.69200000000001</v>
      </c>
      <c r="E107">
        <v>2788.2249999999999</v>
      </c>
      <c r="F107" s="2" t="s">
        <v>145</v>
      </c>
      <c r="G107">
        <v>0</v>
      </c>
      <c r="H107">
        <v>1</v>
      </c>
      <c r="I107">
        <v>0</v>
      </c>
      <c r="J107" s="1" t="s">
        <v>145</v>
      </c>
      <c r="K107">
        <v>1</v>
      </c>
      <c r="L107">
        <v>0</v>
      </c>
      <c r="M107">
        <v>0</v>
      </c>
    </row>
    <row r="108" spans="1:13" x14ac:dyDescent="0.25">
      <c r="A108" s="17">
        <v>107</v>
      </c>
      <c r="B108" s="17" t="s">
        <v>143</v>
      </c>
      <c r="C108" s="17">
        <v>8055.2</v>
      </c>
      <c r="D108" s="17">
        <v>-656.69200000000001</v>
      </c>
      <c r="E108" s="17">
        <v>2788.2249999999999</v>
      </c>
      <c r="F108" s="19" t="s">
        <v>145</v>
      </c>
      <c r="G108" s="17">
        <v>0</v>
      </c>
      <c r="H108" s="17">
        <v>1</v>
      </c>
      <c r="I108" s="17">
        <v>0</v>
      </c>
      <c r="J108" s="20" t="s">
        <v>145</v>
      </c>
      <c r="K108" s="17">
        <v>1</v>
      </c>
      <c r="L108" s="17">
        <v>0</v>
      </c>
      <c r="M108" s="17">
        <v>0</v>
      </c>
    </row>
    <row r="109" spans="1:13" x14ac:dyDescent="0.25">
      <c r="A109">
        <v>108</v>
      </c>
      <c r="B109" t="s">
        <v>154</v>
      </c>
      <c r="C109">
        <v>8022</v>
      </c>
      <c r="D109">
        <v>-637.29200000000003</v>
      </c>
      <c r="E109">
        <v>2806.797</v>
      </c>
      <c r="F109" s="2" t="s">
        <v>145</v>
      </c>
      <c r="G109">
        <v>1</v>
      </c>
      <c r="H109">
        <v>0</v>
      </c>
      <c r="I109">
        <v>0</v>
      </c>
      <c r="J109" s="2" t="s">
        <v>145</v>
      </c>
      <c r="K109">
        <v>0</v>
      </c>
      <c r="L109">
        <v>1</v>
      </c>
      <c r="M109">
        <v>0</v>
      </c>
    </row>
    <row r="110" spans="1:13" x14ac:dyDescent="0.25">
      <c r="A110">
        <v>109</v>
      </c>
      <c r="B110" t="s">
        <v>155</v>
      </c>
      <c r="C110">
        <v>8022</v>
      </c>
      <c r="D110">
        <v>-637.61300000000006</v>
      </c>
      <c r="E110">
        <v>2786.6</v>
      </c>
      <c r="F110" s="2" t="s">
        <v>145</v>
      </c>
      <c r="G110">
        <v>1</v>
      </c>
      <c r="H110">
        <v>0</v>
      </c>
      <c r="I110">
        <v>0</v>
      </c>
      <c r="J110" s="2" t="s">
        <v>145</v>
      </c>
      <c r="K110">
        <v>0</v>
      </c>
      <c r="L110">
        <v>1</v>
      </c>
      <c r="M110">
        <v>0</v>
      </c>
    </row>
    <row r="111" spans="1:13" x14ac:dyDescent="0.25">
      <c r="A111">
        <v>110</v>
      </c>
      <c r="B111" t="s">
        <v>156</v>
      </c>
      <c r="C111">
        <v>8022</v>
      </c>
      <c r="D111">
        <v>-617.41300000000001</v>
      </c>
      <c r="E111">
        <v>2786.6</v>
      </c>
      <c r="F111" s="2" t="s">
        <v>145</v>
      </c>
      <c r="G111">
        <v>1</v>
      </c>
      <c r="H111">
        <v>0</v>
      </c>
      <c r="I111">
        <v>0</v>
      </c>
      <c r="J111" s="2" t="s">
        <v>145</v>
      </c>
      <c r="K111">
        <v>0</v>
      </c>
      <c r="L111">
        <v>1</v>
      </c>
      <c r="M111">
        <v>0</v>
      </c>
    </row>
  </sheetData>
  <dataValidations count="1">
    <dataValidation type="list" allowBlank="1" showInputMessage="1" showErrorMessage="1" sqref="J2:J111 F2:F111" xr:uid="{B3F29EC1-2EF7-4716-803E-56FD4C9F7439}">
      <formula1>"Point,Vector"</formula1>
    </dataValidation>
  </dataValidations>
  <pageMargins left="0.7" right="0.7" top="0.75" bottom="0.75" header="0.3" footer="0.3"/>
  <pageSetup orientation="portrait" r:id="rId1"/>
  <headerFooter>
    <oddHeader>&amp;L&amp;KFFFFFF.</oddHeader>
    <oddFooter>&amp;L&amp;KFFFFFF.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1386-6805-4D50-B9BF-514803329304}">
  <dimension ref="A1:F11"/>
  <sheetViews>
    <sheetView workbookViewId="0">
      <selection activeCell="F10" sqref="F10"/>
    </sheetView>
  </sheetViews>
  <sheetFormatPr baseColWidth="10" defaultRowHeight="15" x14ac:dyDescent="0.25"/>
  <cols>
    <col min="2" max="2" width="16.7109375" bestFit="1" customWidth="1"/>
    <col min="5" max="5" width="12.7109375" customWidth="1"/>
  </cols>
  <sheetData>
    <row r="1" spans="1:6" x14ac:dyDescent="0.25">
      <c r="A1" t="s">
        <v>34</v>
      </c>
      <c r="B1" t="s">
        <v>33</v>
      </c>
      <c r="C1" s="2" t="s">
        <v>0</v>
      </c>
      <c r="D1" s="2" t="s">
        <v>1</v>
      </c>
      <c r="E1" t="s">
        <v>10</v>
      </c>
      <c r="F1" t="s">
        <v>5</v>
      </c>
    </row>
    <row r="2" spans="1:6" x14ac:dyDescent="0.25">
      <c r="A2" s="2">
        <v>1</v>
      </c>
      <c r="B2" s="2" t="s">
        <v>6</v>
      </c>
      <c r="C2" s="2">
        <v>110000</v>
      </c>
      <c r="D2" s="6">
        <v>4</v>
      </c>
      <c r="E2" s="2" t="s">
        <v>7</v>
      </c>
      <c r="F2" s="2" t="s">
        <v>8</v>
      </c>
    </row>
    <row r="3" spans="1:6" x14ac:dyDescent="0.25">
      <c r="A3" s="1">
        <v>2</v>
      </c>
      <c r="B3" s="2" t="s">
        <v>11</v>
      </c>
      <c r="C3" s="2">
        <v>110000</v>
      </c>
      <c r="D3" s="6">
        <v>7.19</v>
      </c>
      <c r="E3" s="2" t="s">
        <v>7</v>
      </c>
      <c r="F3" s="2" t="s">
        <v>8</v>
      </c>
    </row>
    <row r="4" spans="1:6" x14ac:dyDescent="0.25">
      <c r="A4" s="1">
        <v>3</v>
      </c>
      <c r="B4" s="1" t="s">
        <v>144</v>
      </c>
      <c r="C4" s="1">
        <v>110000</v>
      </c>
      <c r="D4" s="1">
        <v>6.35</v>
      </c>
      <c r="E4" s="1" t="s">
        <v>7</v>
      </c>
      <c r="F4" s="1" t="s">
        <v>8</v>
      </c>
    </row>
    <row r="5" spans="1:6" x14ac:dyDescent="0.25">
      <c r="A5" s="1">
        <v>4</v>
      </c>
      <c r="B5" s="1" t="s">
        <v>149</v>
      </c>
      <c r="C5" s="1">
        <v>110000</v>
      </c>
      <c r="D5" s="18">
        <v>4</v>
      </c>
      <c r="E5" s="1" t="s">
        <v>7</v>
      </c>
      <c r="F5" s="1" t="s">
        <v>8</v>
      </c>
    </row>
    <row r="6" spans="1:6" x14ac:dyDescent="0.25">
      <c r="A6" s="1">
        <v>5</v>
      </c>
      <c r="B6" s="1" t="s">
        <v>150</v>
      </c>
      <c r="C6" s="1">
        <v>110000</v>
      </c>
      <c r="D6" s="1">
        <v>4</v>
      </c>
      <c r="E6" s="1" t="s">
        <v>151</v>
      </c>
      <c r="F6" s="1" t="s">
        <v>8</v>
      </c>
    </row>
    <row r="7" spans="1:6" x14ac:dyDescent="0.25">
      <c r="A7" s="1">
        <v>6</v>
      </c>
      <c r="B7" s="1" t="s">
        <v>152</v>
      </c>
      <c r="C7" s="1">
        <v>110000</v>
      </c>
      <c r="D7" s="1">
        <v>6.35</v>
      </c>
      <c r="E7" s="1" t="s">
        <v>151</v>
      </c>
      <c r="F7" s="1" t="s">
        <v>8</v>
      </c>
    </row>
    <row r="8" spans="1:6" x14ac:dyDescent="0.25">
      <c r="A8" s="1">
        <v>7</v>
      </c>
      <c r="B8" s="1" t="s">
        <v>153</v>
      </c>
      <c r="C8" s="1">
        <v>110000</v>
      </c>
      <c r="D8" s="1">
        <v>4.8</v>
      </c>
      <c r="E8" s="1" t="s">
        <v>151</v>
      </c>
      <c r="F8" s="1" t="s">
        <v>8</v>
      </c>
    </row>
    <row r="9" spans="1:6" x14ac:dyDescent="0.25">
      <c r="A9" s="1">
        <v>8</v>
      </c>
      <c r="B9" s="1" t="s">
        <v>157</v>
      </c>
      <c r="C9" s="1">
        <v>110000</v>
      </c>
      <c r="D9" s="1">
        <v>4.8</v>
      </c>
      <c r="E9" s="1" t="s">
        <v>7</v>
      </c>
      <c r="F9" s="1" t="s">
        <v>8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</sheetData>
  <dataValidations disablePrompts="1" count="2">
    <dataValidation type="list" allowBlank="1" showInputMessage="1" showErrorMessage="1" sqref="E2:E3" xr:uid="{3361109C-7C86-45A5-8967-B7EB8B3C00E5}">
      <formula1>"PTR,CSK"</formula1>
    </dataValidation>
    <dataValidation type="list" allowBlank="1" showInputMessage="1" showErrorMessage="1" sqref="F2:F3" xr:uid="{3FEDC6D7-9CAB-40AA-BF27-F11B890DE765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7" workbookViewId="0">
      <selection activeCell="A36" sqref="A36"/>
    </sheetView>
  </sheetViews>
  <sheetFormatPr baseColWidth="10" defaultColWidth="9.140625" defaultRowHeight="15" x14ac:dyDescent="0.25"/>
  <cols>
    <col min="1" max="1" width="19.5703125" bestFit="1" customWidth="1"/>
    <col min="2" max="2" width="17.5703125" bestFit="1" customWidth="1"/>
    <col min="3" max="3" width="20.42578125" bestFit="1" customWidth="1"/>
    <col min="4" max="4" width="24.42578125" customWidth="1"/>
    <col min="5" max="5" width="24" customWidth="1"/>
  </cols>
  <sheetData>
    <row r="1" spans="1:5" x14ac:dyDescent="0.25">
      <c r="A1" s="3" t="s">
        <v>3</v>
      </c>
      <c r="B1" t="s">
        <v>148</v>
      </c>
    </row>
    <row r="2" spans="1:5" x14ac:dyDescent="0.25">
      <c r="A2" s="3" t="s">
        <v>4</v>
      </c>
      <c r="B2" t="s">
        <v>147</v>
      </c>
    </row>
    <row r="3" spans="1:5" x14ac:dyDescent="0.25">
      <c r="A3" s="4" t="s">
        <v>2</v>
      </c>
      <c r="B3" s="4" t="s">
        <v>9</v>
      </c>
      <c r="C3" s="4" t="s">
        <v>24</v>
      </c>
      <c r="D3" s="5" t="s">
        <v>13</v>
      </c>
      <c r="E3" s="4" t="s">
        <v>33</v>
      </c>
    </row>
    <row r="4" spans="1:5" x14ac:dyDescent="0.25">
      <c r="A4" s="2" t="s">
        <v>36</v>
      </c>
      <c r="B4">
        <v>1</v>
      </c>
      <c r="C4" t="str">
        <f>PILOT_POINTS!B2</f>
        <v>L01</v>
      </c>
      <c r="D4" t="str">
        <f>CONNECTORS[[#This Row],[Connector_Label]]</f>
        <v>L01</v>
      </c>
      <c r="E4" t="s">
        <v>152</v>
      </c>
    </row>
    <row r="5" spans="1:5" x14ac:dyDescent="0.25">
      <c r="A5" s="2" t="s">
        <v>36</v>
      </c>
      <c r="B5">
        <v>2</v>
      </c>
      <c r="C5" t="str">
        <f>PILOT_POINTS!B3</f>
        <v>L02</v>
      </c>
      <c r="D5" t="str">
        <f>CONNECTORS[[#This Row],[Connector_Label]]</f>
        <v>L02</v>
      </c>
      <c r="E5" t="s">
        <v>152</v>
      </c>
    </row>
    <row r="6" spans="1:5" x14ac:dyDescent="0.25">
      <c r="A6" s="2" t="s">
        <v>36</v>
      </c>
      <c r="B6">
        <v>3</v>
      </c>
      <c r="C6" t="str">
        <f>PILOT_POINTS!B4</f>
        <v>L03</v>
      </c>
      <c r="D6" t="str">
        <f>CONNECTORS[[#This Row],[Connector_Label]]</f>
        <v>L03</v>
      </c>
      <c r="E6" t="s">
        <v>152</v>
      </c>
    </row>
    <row r="7" spans="1:5" x14ac:dyDescent="0.25">
      <c r="A7" s="2" t="s">
        <v>36</v>
      </c>
      <c r="B7">
        <v>4</v>
      </c>
      <c r="C7" t="str">
        <f>PILOT_POINTS!B5</f>
        <v>L04</v>
      </c>
      <c r="D7" t="str">
        <f>CONNECTORS[[#This Row],[Connector_Label]]</f>
        <v>L04</v>
      </c>
      <c r="E7" t="s">
        <v>152</v>
      </c>
    </row>
    <row r="8" spans="1:5" x14ac:dyDescent="0.25">
      <c r="A8" s="2" t="s">
        <v>36</v>
      </c>
      <c r="B8">
        <v>5</v>
      </c>
      <c r="C8" t="str">
        <f>PILOT_POINTS!B6</f>
        <v>L05</v>
      </c>
      <c r="D8" t="str">
        <f>CONNECTORS[[#This Row],[Connector_Label]]</f>
        <v>L05</v>
      </c>
      <c r="E8" t="s">
        <v>152</v>
      </c>
    </row>
    <row r="9" spans="1:5" x14ac:dyDescent="0.25">
      <c r="A9" s="2" t="s">
        <v>36</v>
      </c>
      <c r="B9">
        <v>6</v>
      </c>
      <c r="C9" t="str">
        <f>PILOT_POINTS!B7</f>
        <v>L06</v>
      </c>
      <c r="D9" t="str">
        <f>CONNECTORS[[#This Row],[Connector_Label]]</f>
        <v>L06</v>
      </c>
      <c r="E9" t="s">
        <v>152</v>
      </c>
    </row>
    <row r="10" spans="1:5" x14ac:dyDescent="0.25">
      <c r="A10" s="2" t="s">
        <v>36</v>
      </c>
      <c r="B10">
        <v>7</v>
      </c>
      <c r="C10" t="str">
        <f>PILOT_POINTS!B8</f>
        <v>L07</v>
      </c>
      <c r="D10" t="str">
        <f>CONNECTORS[[#This Row],[Connector_Label]]</f>
        <v>L07</v>
      </c>
      <c r="E10" t="s">
        <v>152</v>
      </c>
    </row>
    <row r="11" spans="1:5" x14ac:dyDescent="0.25">
      <c r="A11" s="2" t="s">
        <v>36</v>
      </c>
      <c r="B11">
        <v>8</v>
      </c>
      <c r="C11" t="str">
        <f>PILOT_POINTS!B9</f>
        <v>L08</v>
      </c>
      <c r="D11" t="str">
        <f>CONNECTORS[[#This Row],[Connector_Label]]</f>
        <v>L08</v>
      </c>
      <c r="E11" t="s">
        <v>152</v>
      </c>
    </row>
    <row r="12" spans="1:5" x14ac:dyDescent="0.25">
      <c r="A12" s="2" t="s">
        <v>36</v>
      </c>
      <c r="B12">
        <v>9</v>
      </c>
      <c r="C12" t="str">
        <f>PILOT_POINTS!B10</f>
        <v>L09</v>
      </c>
      <c r="D12" t="str">
        <f>CONNECTORS[[#This Row],[Connector_Label]]</f>
        <v>L09</v>
      </c>
      <c r="E12" t="s">
        <v>152</v>
      </c>
    </row>
    <row r="13" spans="1:5" x14ac:dyDescent="0.25">
      <c r="A13" s="2" t="s">
        <v>36</v>
      </c>
      <c r="B13">
        <v>10</v>
      </c>
      <c r="C13" t="str">
        <f>PILOT_POINTS!B11</f>
        <v>L10</v>
      </c>
      <c r="D13" t="str">
        <f>CONNECTORS[[#This Row],[Connector_Label]]</f>
        <v>L10</v>
      </c>
      <c r="E13" t="s">
        <v>152</v>
      </c>
    </row>
    <row r="14" spans="1:5" x14ac:dyDescent="0.25">
      <c r="A14" s="2" t="s">
        <v>36</v>
      </c>
      <c r="B14">
        <v>11</v>
      </c>
      <c r="C14" t="str">
        <f>PILOT_POINTS!B12</f>
        <v>W01</v>
      </c>
      <c r="D14" t="str">
        <f>CONNECTORS[[#This Row],[Connector_Label]]</f>
        <v>W01</v>
      </c>
      <c r="E14" t="s">
        <v>144</v>
      </c>
    </row>
    <row r="15" spans="1:5" x14ac:dyDescent="0.25">
      <c r="A15" s="2" t="s">
        <v>36</v>
      </c>
      <c r="B15">
        <v>12</v>
      </c>
      <c r="C15" t="str">
        <f>PILOT_POINTS!B13</f>
        <v>W02</v>
      </c>
      <c r="D15" t="str">
        <f>CONNECTORS[[#This Row],[Connector_Label]]</f>
        <v>W02</v>
      </c>
      <c r="E15" t="s">
        <v>144</v>
      </c>
    </row>
    <row r="16" spans="1:5" x14ac:dyDescent="0.25">
      <c r="A16" s="2" t="s">
        <v>36</v>
      </c>
      <c r="B16">
        <v>13</v>
      </c>
      <c r="C16" t="str">
        <f>PILOT_POINTS!B14</f>
        <v>W03</v>
      </c>
      <c r="D16" t="str">
        <f>CONNECTORS[[#This Row],[Connector_Label]]</f>
        <v>W03</v>
      </c>
      <c r="E16" t="s">
        <v>144</v>
      </c>
    </row>
    <row r="17" spans="1:5" x14ac:dyDescent="0.25">
      <c r="A17" s="2" t="s">
        <v>36</v>
      </c>
      <c r="B17">
        <v>14</v>
      </c>
      <c r="C17" t="str">
        <f>PILOT_POINTS!B15</f>
        <v>W04</v>
      </c>
      <c r="D17" t="str">
        <f>CONNECTORS[[#This Row],[Connector_Label]]</f>
        <v>W04</v>
      </c>
      <c r="E17" t="s">
        <v>144</v>
      </c>
    </row>
    <row r="18" spans="1:5" x14ac:dyDescent="0.25">
      <c r="A18" s="2" t="s">
        <v>36</v>
      </c>
      <c r="B18">
        <v>15</v>
      </c>
      <c r="C18" t="str">
        <f>PILOT_POINTS!B16</f>
        <v>W05</v>
      </c>
      <c r="D18" t="str">
        <f>CONNECTORS[[#This Row],[Connector_Label]]</f>
        <v>W05</v>
      </c>
      <c r="E18" t="s">
        <v>144</v>
      </c>
    </row>
    <row r="19" spans="1:5" x14ac:dyDescent="0.25">
      <c r="A19" s="2" t="s">
        <v>36</v>
      </c>
      <c r="B19">
        <v>16</v>
      </c>
      <c r="C19" t="str">
        <f>PILOT_POINTS!B17</f>
        <v>W06</v>
      </c>
      <c r="D19" t="str">
        <f>CONNECTORS[[#This Row],[Connector_Label]]</f>
        <v>W06</v>
      </c>
      <c r="E19" t="s">
        <v>144</v>
      </c>
    </row>
    <row r="20" spans="1:5" x14ac:dyDescent="0.25">
      <c r="A20" s="2" t="s">
        <v>36</v>
      </c>
      <c r="B20">
        <v>17</v>
      </c>
      <c r="C20" t="str">
        <f>PILOT_POINTS!B18</f>
        <v>W07</v>
      </c>
      <c r="D20" t="str">
        <f>CONNECTORS[[#This Row],[Connector_Label]]</f>
        <v>W07</v>
      </c>
      <c r="E20" t="s">
        <v>144</v>
      </c>
    </row>
    <row r="21" spans="1:5" x14ac:dyDescent="0.25">
      <c r="A21" s="2" t="s">
        <v>36</v>
      </c>
      <c r="B21">
        <v>18</v>
      </c>
      <c r="C21" t="str">
        <f>PILOT_POINTS!B19</f>
        <v>W08</v>
      </c>
      <c r="D21" t="str">
        <f>CONNECTORS[[#This Row],[Connector_Label]]</f>
        <v>W08</v>
      </c>
      <c r="E21" t="s">
        <v>144</v>
      </c>
    </row>
    <row r="22" spans="1:5" x14ac:dyDescent="0.25">
      <c r="A22" s="2" t="s">
        <v>36</v>
      </c>
      <c r="B22">
        <v>19</v>
      </c>
      <c r="C22" t="str">
        <f>PILOT_POINTS!B20</f>
        <v>W09</v>
      </c>
      <c r="D22" t="str">
        <f>CONNECTORS[[#This Row],[Connector_Label]]</f>
        <v>W09</v>
      </c>
      <c r="E22" t="s">
        <v>144</v>
      </c>
    </row>
    <row r="23" spans="1:5" x14ac:dyDescent="0.25">
      <c r="A23" s="2" t="s">
        <v>36</v>
      </c>
      <c r="B23">
        <v>20</v>
      </c>
      <c r="C23" t="str">
        <f>PILOT_POINTS!B21</f>
        <v>W10</v>
      </c>
      <c r="D23" t="str">
        <f>CONNECTORS[[#This Row],[Connector_Label]]</f>
        <v>W10</v>
      </c>
      <c r="E23" t="s">
        <v>144</v>
      </c>
    </row>
    <row r="24" spans="1:5" x14ac:dyDescent="0.25">
      <c r="A24" s="2" t="s">
        <v>36</v>
      </c>
      <c r="B24">
        <v>21</v>
      </c>
      <c r="C24" t="str">
        <f>PILOT_POINTS!B22</f>
        <v>W11</v>
      </c>
      <c r="D24" t="str">
        <f>CONNECTORS[[#This Row],[Connector_Label]]</f>
        <v>W11</v>
      </c>
      <c r="E24" t="s">
        <v>144</v>
      </c>
    </row>
    <row r="25" spans="1:5" x14ac:dyDescent="0.25">
      <c r="A25" s="2" t="s">
        <v>36</v>
      </c>
      <c r="B25">
        <v>22</v>
      </c>
      <c r="C25" t="str">
        <f>PILOT_POINTS!B23</f>
        <v>W12</v>
      </c>
      <c r="D25" t="str">
        <f>CONNECTORS[[#This Row],[Connector_Label]]</f>
        <v>W12</v>
      </c>
      <c r="E25" t="s">
        <v>144</v>
      </c>
    </row>
    <row r="26" spans="1:5" x14ac:dyDescent="0.25">
      <c r="A26" s="2" t="s">
        <v>36</v>
      </c>
      <c r="B26">
        <v>23</v>
      </c>
      <c r="C26" t="str">
        <f>PILOT_POINTS!B24</f>
        <v>W13</v>
      </c>
      <c r="D26" t="str">
        <f>CONNECTORS[[#This Row],[Connector_Label]]</f>
        <v>W13</v>
      </c>
      <c r="E26" t="s">
        <v>144</v>
      </c>
    </row>
    <row r="27" spans="1:5" x14ac:dyDescent="0.25">
      <c r="A27" s="2" t="s">
        <v>36</v>
      </c>
      <c r="B27">
        <v>24</v>
      </c>
      <c r="C27" t="str">
        <f>PILOT_POINTS!B25</f>
        <v>W14</v>
      </c>
      <c r="D27" t="str">
        <f>CONNECTORS[[#This Row],[Connector_Label]]</f>
        <v>W14</v>
      </c>
      <c r="E27" t="s">
        <v>144</v>
      </c>
    </row>
    <row r="28" spans="1:5" x14ac:dyDescent="0.25">
      <c r="A28" s="2" t="s">
        <v>36</v>
      </c>
      <c r="B28">
        <v>25</v>
      </c>
      <c r="C28" t="str">
        <f>PILOT_POINTS!B26</f>
        <v>W15</v>
      </c>
      <c r="D28" t="str">
        <f>CONNECTORS[[#This Row],[Connector_Label]]</f>
        <v>W15</v>
      </c>
      <c r="E28" t="s">
        <v>144</v>
      </c>
    </row>
    <row r="29" spans="1:5" x14ac:dyDescent="0.25">
      <c r="A29" s="2" t="s">
        <v>8</v>
      </c>
      <c r="B29">
        <v>26</v>
      </c>
      <c r="C29" t="str">
        <f>PILOT_POINTS!B27</f>
        <v>F01</v>
      </c>
      <c r="D29" t="str">
        <f>CONNECTORS[[#This Row],[Connector_Label]]</f>
        <v>F01</v>
      </c>
      <c r="E29" t="s">
        <v>144</v>
      </c>
    </row>
    <row r="30" spans="1:5" x14ac:dyDescent="0.25">
      <c r="A30" s="2" t="s">
        <v>8</v>
      </c>
      <c r="B30">
        <v>27</v>
      </c>
      <c r="C30" t="str">
        <f>PILOT_POINTS!B28</f>
        <v>F02</v>
      </c>
      <c r="D30" t="str">
        <f>CONNECTORS[[#This Row],[Connector_Label]]</f>
        <v>F02</v>
      </c>
      <c r="E30" t="s">
        <v>144</v>
      </c>
    </row>
    <row r="31" spans="1:5" x14ac:dyDescent="0.25">
      <c r="A31" s="2" t="s">
        <v>8</v>
      </c>
      <c r="B31">
        <v>28</v>
      </c>
      <c r="C31" t="str">
        <f>PILOT_POINTS!B29</f>
        <v>F03</v>
      </c>
      <c r="D31" t="str">
        <f>CONNECTORS[[#This Row],[Connector_Label]]</f>
        <v>F03</v>
      </c>
      <c r="E31" t="s">
        <v>144</v>
      </c>
    </row>
    <row r="32" spans="1:5" x14ac:dyDescent="0.25">
      <c r="A32" s="2" t="s">
        <v>8</v>
      </c>
      <c r="B32">
        <v>29</v>
      </c>
      <c r="C32" t="str">
        <f>PILOT_POINTS!B30</f>
        <v>F04</v>
      </c>
      <c r="D32" t="str">
        <f>CONNECTORS[[#This Row],[Connector_Label]]</f>
        <v>F04</v>
      </c>
      <c r="E32" t="s">
        <v>144</v>
      </c>
    </row>
    <row r="33" spans="1:5" x14ac:dyDescent="0.25">
      <c r="A33" s="2" t="s">
        <v>8</v>
      </c>
      <c r="B33">
        <v>30</v>
      </c>
      <c r="C33" t="str">
        <f>PILOT_POINTS!B31</f>
        <v>F05</v>
      </c>
      <c r="D33" t="str">
        <f>CONNECTORS[[#This Row],[Connector_Label]]</f>
        <v>F05</v>
      </c>
      <c r="E33" t="s">
        <v>144</v>
      </c>
    </row>
    <row r="34" spans="1:5" x14ac:dyDescent="0.25">
      <c r="A34" s="2" t="s">
        <v>8</v>
      </c>
      <c r="B34">
        <v>31</v>
      </c>
      <c r="C34" t="str">
        <f>PILOT_POINTS!B32</f>
        <v>F06</v>
      </c>
      <c r="D34" t="str">
        <f>CONNECTORS[[#This Row],[Connector_Label]]</f>
        <v>F06</v>
      </c>
      <c r="E34" t="s">
        <v>144</v>
      </c>
    </row>
    <row r="35" spans="1:5" x14ac:dyDescent="0.25">
      <c r="A35" s="2" t="s">
        <v>8</v>
      </c>
      <c r="B35">
        <v>32</v>
      </c>
      <c r="C35" t="str">
        <f>PILOT_POINTS!B33</f>
        <v>F07</v>
      </c>
      <c r="D35" t="str">
        <f>CONNECTORS[[#This Row],[Connector_Label]]</f>
        <v>F07</v>
      </c>
      <c r="E35" t="s">
        <v>144</v>
      </c>
    </row>
    <row r="36" spans="1:5" x14ac:dyDescent="0.25">
      <c r="A36" s="2" t="s">
        <v>8</v>
      </c>
      <c r="B36">
        <v>33</v>
      </c>
      <c r="C36" t="str">
        <f>PILOT_POINTS!B34</f>
        <v>F08</v>
      </c>
      <c r="D36" t="str">
        <f>CONNECTORS[[#This Row],[Connector_Label]]</f>
        <v>F08</v>
      </c>
      <c r="E36" t="s">
        <v>144</v>
      </c>
    </row>
    <row r="37" spans="1:5" x14ac:dyDescent="0.25">
      <c r="A37" s="2" t="s">
        <v>36</v>
      </c>
      <c r="B37">
        <v>34</v>
      </c>
      <c r="C37" t="str">
        <f>PILOT_POINTS!B35</f>
        <v>FP-Fr-Rwd-01</v>
      </c>
      <c r="D37" t="str">
        <f>CONNECTORS[[#This Row],[Connector_Label]]</f>
        <v>FP-Fr-Rwd-01</v>
      </c>
      <c r="E37" t="s">
        <v>6</v>
      </c>
    </row>
    <row r="38" spans="1:5" x14ac:dyDescent="0.25">
      <c r="A38" s="2" t="s">
        <v>36</v>
      </c>
      <c r="B38">
        <v>35</v>
      </c>
      <c r="C38" t="str">
        <f>PILOT_POINTS!B36</f>
        <v>FP-Fr-Rwd-02</v>
      </c>
      <c r="D38" t="str">
        <f>CONNECTORS[[#This Row],[Connector_Label]]</f>
        <v>FP-Fr-Rwd-02</v>
      </c>
      <c r="E38" t="s">
        <v>6</v>
      </c>
    </row>
    <row r="39" spans="1:5" x14ac:dyDescent="0.25">
      <c r="A39" s="2" t="s">
        <v>36</v>
      </c>
      <c r="B39">
        <v>36</v>
      </c>
      <c r="C39" t="str">
        <f>PILOT_POINTS!B37</f>
        <v>FP-Fr-Rwd-03</v>
      </c>
      <c r="D39" t="str">
        <f>CONNECTORS[[#This Row],[Connector_Label]]</f>
        <v>FP-Fr-Rwd-03</v>
      </c>
      <c r="E39" t="s">
        <v>6</v>
      </c>
    </row>
    <row r="40" spans="1:5" x14ac:dyDescent="0.25">
      <c r="A40" s="2" t="s">
        <v>36</v>
      </c>
      <c r="B40">
        <v>37</v>
      </c>
      <c r="C40" t="str">
        <f>PILOT_POINTS!B38</f>
        <v>FP-Fr-Rwd-04</v>
      </c>
      <c r="D40" t="str">
        <f>CONNECTORS[[#This Row],[Connector_Label]]</f>
        <v>FP-Fr-Rwd-04</v>
      </c>
      <c r="E40" t="s">
        <v>6</v>
      </c>
    </row>
    <row r="41" spans="1:5" x14ac:dyDescent="0.25">
      <c r="A41" s="2" t="s">
        <v>36</v>
      </c>
      <c r="B41">
        <v>38</v>
      </c>
      <c r="C41" t="str">
        <f>PILOT_POINTS!B39</f>
        <v>FP-Fr-Rwd-05</v>
      </c>
      <c r="D41" t="str">
        <f>CONNECTORS[[#This Row],[Connector_Label]]</f>
        <v>FP-Fr-Rwd-05</v>
      </c>
      <c r="E41" t="s">
        <v>6</v>
      </c>
    </row>
    <row r="42" spans="1:5" x14ac:dyDescent="0.25">
      <c r="A42" s="2" t="s">
        <v>36</v>
      </c>
      <c r="B42">
        <v>39</v>
      </c>
      <c r="C42" t="str">
        <f>PILOT_POINTS!B40</f>
        <v>FP-Fr-Rwd-06</v>
      </c>
      <c r="D42" t="str">
        <f>CONNECTORS[[#This Row],[Connector_Label]]</f>
        <v>FP-Fr-Rwd-06</v>
      </c>
      <c r="E42" t="s">
        <v>6</v>
      </c>
    </row>
    <row r="43" spans="1:5" x14ac:dyDescent="0.25">
      <c r="A43" s="2" t="s">
        <v>36</v>
      </c>
      <c r="B43">
        <v>40</v>
      </c>
      <c r="C43" t="str">
        <f>PILOT_POINTS!B41</f>
        <v>FP-Fr-Rwd-07</v>
      </c>
      <c r="D43" t="str">
        <f>CONNECTORS[[#This Row],[Connector_Label]]</f>
        <v>FP-Fr-Rwd-07</v>
      </c>
      <c r="E43" t="s">
        <v>6</v>
      </c>
    </row>
    <row r="44" spans="1:5" x14ac:dyDescent="0.25">
      <c r="A44" s="2" t="s">
        <v>36</v>
      </c>
      <c r="B44">
        <v>41</v>
      </c>
      <c r="C44" t="str">
        <f>PILOT_POINTS!B42</f>
        <v>FP-Fr-Rwd-08</v>
      </c>
      <c r="D44" t="str">
        <f>CONNECTORS[[#This Row],[Connector_Label]]</f>
        <v>FP-Fr-Rwd-08</v>
      </c>
      <c r="E44" t="s">
        <v>6</v>
      </c>
    </row>
    <row r="45" spans="1:5" x14ac:dyDescent="0.25">
      <c r="A45" s="2" t="s">
        <v>36</v>
      </c>
      <c r="B45">
        <v>42</v>
      </c>
      <c r="C45" t="str">
        <f>PILOT_POINTS!B43</f>
        <v>FP-Fr-Rwd-09</v>
      </c>
      <c r="D45" t="str">
        <f>CONNECTORS[[#This Row],[Connector_Label]]</f>
        <v>FP-Fr-Rwd-09</v>
      </c>
      <c r="E45" t="s">
        <v>6</v>
      </c>
    </row>
    <row r="46" spans="1:5" x14ac:dyDescent="0.25">
      <c r="A46" s="2" t="s">
        <v>36</v>
      </c>
      <c r="B46">
        <v>43</v>
      </c>
      <c r="C46" t="str">
        <f>PILOT_POINTS!B44</f>
        <v>FP-Fr-Rwd-10</v>
      </c>
      <c r="D46" t="str">
        <f>CONNECTORS[[#This Row],[Connector_Label]]</f>
        <v>FP-Fr-Rwd-10</v>
      </c>
      <c r="E46" t="s">
        <v>6</v>
      </c>
    </row>
    <row r="47" spans="1:5" x14ac:dyDescent="0.25">
      <c r="A47" s="2" t="s">
        <v>36</v>
      </c>
      <c r="B47">
        <v>44</v>
      </c>
      <c r="C47" t="str">
        <f>PILOT_POINTS!B45</f>
        <v>FP-Fr-Rwd-11</v>
      </c>
      <c r="D47" t="str">
        <f>CONNECTORS[[#This Row],[Connector_Label]]</f>
        <v>FP-Fr-Rwd-11</v>
      </c>
      <c r="E47" t="s">
        <v>6</v>
      </c>
    </row>
    <row r="48" spans="1:5" x14ac:dyDescent="0.25">
      <c r="A48" s="2" t="s">
        <v>36</v>
      </c>
      <c r="B48">
        <v>45</v>
      </c>
      <c r="C48" t="str">
        <f>PILOT_POINTS!B46</f>
        <v>FP-Fr-Rwd-12</v>
      </c>
      <c r="D48" t="str">
        <f>CONNECTORS[[#This Row],[Connector_Label]]</f>
        <v>FP-Fr-Rwd-12</v>
      </c>
      <c r="E48" t="s">
        <v>6</v>
      </c>
    </row>
    <row r="49" spans="1:5" x14ac:dyDescent="0.25">
      <c r="A49" s="2" t="s">
        <v>36</v>
      </c>
      <c r="B49">
        <v>46</v>
      </c>
      <c r="C49" t="str">
        <f>PILOT_POINTS!B47</f>
        <v>FP-Fr-Rwd-13</v>
      </c>
      <c r="D49" t="str">
        <f>CONNECTORS[[#This Row],[Connector_Label]]</f>
        <v>FP-Fr-Rwd-13</v>
      </c>
      <c r="E49" t="s">
        <v>6</v>
      </c>
    </row>
    <row r="50" spans="1:5" x14ac:dyDescent="0.25">
      <c r="A50" s="2" t="s">
        <v>36</v>
      </c>
      <c r="B50">
        <v>47</v>
      </c>
      <c r="C50" t="str">
        <f>PILOT_POINTS!B48</f>
        <v>FP-Fr-Rwd-14</v>
      </c>
      <c r="D50" t="str">
        <f>CONNECTORS[[#This Row],[Connector_Label]]</f>
        <v>FP-Fr-Rwd-14</v>
      </c>
      <c r="E50" t="s">
        <v>6</v>
      </c>
    </row>
    <row r="51" spans="1:5" x14ac:dyDescent="0.25">
      <c r="A51" s="2" t="s">
        <v>36</v>
      </c>
      <c r="B51">
        <v>48</v>
      </c>
      <c r="C51" t="str">
        <f>PILOT_POINTS!B49</f>
        <v>FP-Fr-Rwd-15</v>
      </c>
      <c r="D51" t="str">
        <f>CONNECTORS[[#This Row],[Connector_Label]]</f>
        <v>FP-Fr-Rwd-15</v>
      </c>
      <c r="E51" t="s">
        <v>6</v>
      </c>
    </row>
    <row r="52" spans="1:5" x14ac:dyDescent="0.25">
      <c r="A52" s="2" t="s">
        <v>36</v>
      </c>
      <c r="B52">
        <v>49</v>
      </c>
      <c r="C52" t="str">
        <f>PILOT_POINTS!B50</f>
        <v>FP-Fr-Rwd-16</v>
      </c>
      <c r="D52" t="str">
        <f>CONNECTORS[[#This Row],[Connector_Label]]</f>
        <v>FP-Fr-Rwd-16</v>
      </c>
      <c r="E52" t="s">
        <v>6</v>
      </c>
    </row>
    <row r="53" spans="1:5" x14ac:dyDescent="0.25">
      <c r="A53" s="2" t="s">
        <v>36</v>
      </c>
      <c r="B53">
        <v>50</v>
      </c>
      <c r="C53" t="str">
        <f>PILOT_POINTS!B51</f>
        <v>FP-Fr-Rwd-17</v>
      </c>
      <c r="D53" t="str">
        <f>CONNECTORS[[#This Row],[Connector_Label]]</f>
        <v>FP-Fr-Rwd-17</v>
      </c>
      <c r="E53" t="s">
        <v>6</v>
      </c>
    </row>
    <row r="54" spans="1:5" x14ac:dyDescent="0.25">
      <c r="A54" s="2" t="s">
        <v>36</v>
      </c>
      <c r="B54">
        <v>51</v>
      </c>
      <c r="C54" t="str">
        <f>PILOT_POINTS!B52</f>
        <v>FP-Fr-Rwd-18</v>
      </c>
      <c r="D54" t="str">
        <f>CONNECTORS[[#This Row],[Connector_Label]]</f>
        <v>FP-Fr-Rwd-18</v>
      </c>
      <c r="E54" t="s">
        <v>6</v>
      </c>
    </row>
    <row r="55" spans="1:5" x14ac:dyDescent="0.25">
      <c r="A55" s="2" t="s">
        <v>36</v>
      </c>
      <c r="B55">
        <v>52</v>
      </c>
      <c r="C55" t="str">
        <f>PILOT_POINTS!B53</f>
        <v>FP-Fr-Fwd-01</v>
      </c>
      <c r="D55" t="str">
        <f>CONNECTORS[[#This Row],[Connector_Label]]</f>
        <v>FP-Fr-Fwd-01</v>
      </c>
      <c r="E55" t="s">
        <v>6</v>
      </c>
    </row>
    <row r="56" spans="1:5" x14ac:dyDescent="0.25">
      <c r="A56" s="2" t="s">
        <v>36</v>
      </c>
      <c r="B56">
        <v>53</v>
      </c>
      <c r="C56" t="str">
        <f>PILOT_POINTS!B54</f>
        <v>FP-Fr-Fwd-02</v>
      </c>
      <c r="D56" t="str">
        <f>CONNECTORS[[#This Row],[Connector_Label]]</f>
        <v>FP-Fr-Fwd-02</v>
      </c>
      <c r="E56" t="s">
        <v>6</v>
      </c>
    </row>
    <row r="57" spans="1:5" x14ac:dyDescent="0.25">
      <c r="A57" s="2" t="s">
        <v>36</v>
      </c>
      <c r="B57">
        <v>54</v>
      </c>
      <c r="C57" t="str">
        <f>PILOT_POINTS!B55</f>
        <v>FP-Fr-Fwd-03</v>
      </c>
      <c r="D57" t="str">
        <f>CONNECTORS[[#This Row],[Connector_Label]]</f>
        <v>FP-Fr-Fwd-03</v>
      </c>
      <c r="E57" t="s">
        <v>6</v>
      </c>
    </row>
    <row r="58" spans="1:5" x14ac:dyDescent="0.25">
      <c r="A58" s="2" t="s">
        <v>36</v>
      </c>
      <c r="B58">
        <v>55</v>
      </c>
      <c r="C58" t="str">
        <f>PILOT_POINTS!B56</f>
        <v>FP-Fr-Fwd-04</v>
      </c>
      <c r="D58" t="str">
        <f>CONNECTORS[[#This Row],[Connector_Label]]</f>
        <v>FP-Fr-Fwd-04</v>
      </c>
      <c r="E58" t="s">
        <v>6</v>
      </c>
    </row>
    <row r="59" spans="1:5" x14ac:dyDescent="0.25">
      <c r="A59" s="2" t="s">
        <v>36</v>
      </c>
      <c r="B59">
        <v>56</v>
      </c>
      <c r="C59" t="str">
        <f>PILOT_POINTS!B57</f>
        <v>FP-Fr-Fwd-05</v>
      </c>
      <c r="D59" t="str">
        <f>CONNECTORS[[#This Row],[Connector_Label]]</f>
        <v>FP-Fr-Fwd-05</v>
      </c>
      <c r="E59" t="s">
        <v>6</v>
      </c>
    </row>
    <row r="60" spans="1:5" x14ac:dyDescent="0.25">
      <c r="A60" s="2" t="s">
        <v>36</v>
      </c>
      <c r="B60">
        <v>57</v>
      </c>
      <c r="C60" t="str">
        <f>PILOT_POINTS!B58</f>
        <v>FP-Fr-Fwd-06</v>
      </c>
      <c r="D60" t="str">
        <f>CONNECTORS[[#This Row],[Connector_Label]]</f>
        <v>FP-Fr-Fwd-06</v>
      </c>
      <c r="E60" t="s">
        <v>6</v>
      </c>
    </row>
    <row r="61" spans="1:5" x14ac:dyDescent="0.25">
      <c r="A61" s="2" t="s">
        <v>36</v>
      </c>
      <c r="B61">
        <v>58</v>
      </c>
      <c r="C61" t="str">
        <f>PILOT_POINTS!B59</f>
        <v>FP-Fr-Fwd-07</v>
      </c>
      <c r="D61" t="str">
        <f>CONNECTORS[[#This Row],[Connector_Label]]</f>
        <v>FP-Fr-Fwd-07</v>
      </c>
      <c r="E61" t="s">
        <v>6</v>
      </c>
    </row>
    <row r="62" spans="1:5" x14ac:dyDescent="0.25">
      <c r="A62" s="2" t="s">
        <v>36</v>
      </c>
      <c r="B62">
        <v>59</v>
      </c>
      <c r="C62" t="str">
        <f>PILOT_POINTS!B60</f>
        <v>FP-Fr-Fwd-08</v>
      </c>
      <c r="D62" t="str">
        <f>CONNECTORS[[#This Row],[Connector_Label]]</f>
        <v>FP-Fr-Fwd-08</v>
      </c>
      <c r="E62" t="s">
        <v>6</v>
      </c>
    </row>
    <row r="63" spans="1:5" x14ac:dyDescent="0.25">
      <c r="A63" s="2" t="s">
        <v>36</v>
      </c>
      <c r="B63">
        <v>60</v>
      </c>
      <c r="C63" t="str">
        <f>PILOT_POINTS!B61</f>
        <v>FP-Fr-Fwd-09</v>
      </c>
      <c r="D63" t="str">
        <f>CONNECTORS[[#This Row],[Connector_Label]]</f>
        <v>FP-Fr-Fwd-09</v>
      </c>
      <c r="E63" t="s">
        <v>6</v>
      </c>
    </row>
    <row r="64" spans="1:5" x14ac:dyDescent="0.25">
      <c r="A64" s="2" t="s">
        <v>36</v>
      </c>
      <c r="B64">
        <v>61</v>
      </c>
      <c r="C64" t="str">
        <f>PILOT_POINTS!B62</f>
        <v>FP-Fr-Fwd-10</v>
      </c>
      <c r="D64" t="str">
        <f>CONNECTORS[[#This Row],[Connector_Label]]</f>
        <v>FP-Fr-Fwd-10</v>
      </c>
      <c r="E64" t="s">
        <v>6</v>
      </c>
    </row>
    <row r="65" spans="1:5" x14ac:dyDescent="0.25">
      <c r="A65" s="2" t="s">
        <v>36</v>
      </c>
      <c r="B65">
        <v>62</v>
      </c>
      <c r="C65" t="str">
        <f>PILOT_POINTS!B63</f>
        <v>FP-Fr-Fwd-11</v>
      </c>
      <c r="D65" t="str">
        <f>CONNECTORS[[#This Row],[Connector_Label]]</f>
        <v>FP-Fr-Fwd-11</v>
      </c>
      <c r="E65" t="s">
        <v>6</v>
      </c>
    </row>
    <row r="66" spans="1:5" x14ac:dyDescent="0.25">
      <c r="A66" s="2" t="s">
        <v>36</v>
      </c>
      <c r="B66">
        <v>63</v>
      </c>
      <c r="C66" t="str">
        <f>PILOT_POINTS!B64</f>
        <v>FP-Fr-Fwd-12</v>
      </c>
      <c r="D66" t="str">
        <f>CONNECTORS[[#This Row],[Connector_Label]]</f>
        <v>FP-Fr-Fwd-12</v>
      </c>
      <c r="E66" t="s">
        <v>6</v>
      </c>
    </row>
    <row r="67" spans="1:5" x14ac:dyDescent="0.25">
      <c r="A67" s="2" t="s">
        <v>36</v>
      </c>
      <c r="B67">
        <v>64</v>
      </c>
      <c r="C67" t="str">
        <f>PILOT_POINTS!B65</f>
        <v>FP-Fr-Fwd-13</v>
      </c>
      <c r="D67" t="str">
        <f>CONNECTORS[[#This Row],[Connector_Label]]</f>
        <v>FP-Fr-Fwd-13</v>
      </c>
      <c r="E67" t="s">
        <v>6</v>
      </c>
    </row>
    <row r="68" spans="1:5" x14ac:dyDescent="0.25">
      <c r="A68" s="2" t="s">
        <v>36</v>
      </c>
      <c r="B68">
        <v>65</v>
      </c>
      <c r="C68" t="str">
        <f>PILOT_POINTS!B66</f>
        <v>FP-Fr-Fwd-14</v>
      </c>
      <c r="D68" t="str">
        <f>CONNECTORS[[#This Row],[Connector_Label]]</f>
        <v>FP-Fr-Fwd-14</v>
      </c>
      <c r="E68" t="s">
        <v>6</v>
      </c>
    </row>
    <row r="69" spans="1:5" x14ac:dyDescent="0.25">
      <c r="A69" s="2" t="s">
        <v>36</v>
      </c>
      <c r="B69">
        <v>66</v>
      </c>
      <c r="C69" t="str">
        <f>PILOT_POINTS!B67</f>
        <v>FP-Fr-Fwd-15</v>
      </c>
      <c r="D69" t="str">
        <f>CONNECTORS[[#This Row],[Connector_Label]]</f>
        <v>FP-Fr-Fwd-15</v>
      </c>
      <c r="E69" t="s">
        <v>6</v>
      </c>
    </row>
    <row r="70" spans="1:5" x14ac:dyDescent="0.25">
      <c r="A70" s="2" t="s">
        <v>36</v>
      </c>
      <c r="B70">
        <v>67</v>
      </c>
      <c r="C70" t="str">
        <f>PILOT_POINTS!B68</f>
        <v>FP-Fr-Fwd-16</v>
      </c>
      <c r="D70" t="str">
        <f>CONNECTORS[[#This Row],[Connector_Label]]</f>
        <v>FP-Fr-Fwd-16</v>
      </c>
      <c r="E70" t="s">
        <v>6</v>
      </c>
    </row>
    <row r="71" spans="1:5" x14ac:dyDescent="0.25">
      <c r="A71" s="2" t="s">
        <v>36</v>
      </c>
      <c r="B71">
        <v>68</v>
      </c>
      <c r="C71" t="str">
        <f>PILOT_POINTS!B69</f>
        <v>FP-Fr-Fwd-17</v>
      </c>
      <c r="D71" t="str">
        <f>CONNECTORS[[#This Row],[Connector_Label]]</f>
        <v>FP-Fr-Fwd-17</v>
      </c>
      <c r="E71" t="s">
        <v>6</v>
      </c>
    </row>
    <row r="72" spans="1:5" x14ac:dyDescent="0.25">
      <c r="A72" s="2" t="s">
        <v>36</v>
      </c>
      <c r="B72">
        <v>69</v>
      </c>
      <c r="C72" t="str">
        <f>PILOT_POINTS!B70</f>
        <v>FP-Fr-Fwd-18</v>
      </c>
      <c r="D72" t="str">
        <f>CONNECTORS[[#This Row],[Connector_Label]]</f>
        <v>FP-Fr-Fwd-18</v>
      </c>
      <c r="E72" t="s">
        <v>6</v>
      </c>
    </row>
    <row r="73" spans="1:5" x14ac:dyDescent="0.25">
      <c r="A73" s="2" t="s">
        <v>36</v>
      </c>
      <c r="B73">
        <v>70</v>
      </c>
      <c r="C73" t="str">
        <f>PILOT_POINTS!B71</f>
        <v>FP-LG-1</v>
      </c>
      <c r="D73" t="str">
        <f>CONNECTORS[[#This Row],[Connector_Label]]</f>
        <v>FP-LG-1</v>
      </c>
      <c r="E73" t="s">
        <v>149</v>
      </c>
    </row>
    <row r="74" spans="1:5" x14ac:dyDescent="0.25">
      <c r="A74" s="2" t="s">
        <v>36</v>
      </c>
      <c r="B74">
        <v>71</v>
      </c>
      <c r="C74" t="str">
        <f>PILOT_POINTS!B72</f>
        <v>FP-LG-2</v>
      </c>
      <c r="D74" t="str">
        <f>CONNECTORS[[#This Row],[Connector_Label]]</f>
        <v>FP-LG-2</v>
      </c>
      <c r="E74" t="s">
        <v>149</v>
      </c>
    </row>
    <row r="75" spans="1:5" x14ac:dyDescent="0.25">
      <c r="A75" s="2" t="s">
        <v>36</v>
      </c>
      <c r="B75">
        <v>72</v>
      </c>
      <c r="C75" t="str">
        <f>PILOT_POINTS!B73</f>
        <v>FP-LG-3</v>
      </c>
      <c r="D75" t="str">
        <f>CONNECTORS[[#This Row],[Connector_Label]]</f>
        <v>FP-LG-3</v>
      </c>
      <c r="E75" t="s">
        <v>149</v>
      </c>
    </row>
    <row r="76" spans="1:5" x14ac:dyDescent="0.25">
      <c r="A76" s="2" t="s">
        <v>36</v>
      </c>
      <c r="B76">
        <v>73</v>
      </c>
      <c r="C76" t="str">
        <f>PILOT_POINTS!B74</f>
        <v>FP-LG-4</v>
      </c>
      <c r="D76" t="str">
        <f>CONNECTORS[[#This Row],[Connector_Label]]</f>
        <v>FP-LG-4</v>
      </c>
      <c r="E76" t="s">
        <v>149</v>
      </c>
    </row>
    <row r="77" spans="1:5" x14ac:dyDescent="0.25">
      <c r="A77" s="2" t="s">
        <v>36</v>
      </c>
      <c r="B77">
        <v>74</v>
      </c>
      <c r="C77" t="str">
        <f>PILOT_POINTS!B75</f>
        <v>FP-LG-5</v>
      </c>
      <c r="D77" t="str">
        <f>CONNECTORS[[#This Row],[Connector_Label]]</f>
        <v>FP-LG-5</v>
      </c>
      <c r="E77" t="s">
        <v>149</v>
      </c>
    </row>
    <row r="78" spans="1:5" x14ac:dyDescent="0.25">
      <c r="A78" s="2" t="s">
        <v>36</v>
      </c>
      <c r="B78">
        <v>75</v>
      </c>
      <c r="C78" t="str">
        <f>PILOT_POINTS!B76</f>
        <v>FP-LG-6</v>
      </c>
      <c r="D78" t="str">
        <f>CONNECTORS[[#This Row],[Connector_Label]]</f>
        <v>FP-LG-6</v>
      </c>
      <c r="E78" t="s">
        <v>149</v>
      </c>
    </row>
    <row r="79" spans="1:5" x14ac:dyDescent="0.25">
      <c r="A79" s="2" t="s">
        <v>36</v>
      </c>
      <c r="B79">
        <v>76</v>
      </c>
      <c r="C79" t="str">
        <f>PILOT_POINTS!B77</f>
        <v>FP-LG-7</v>
      </c>
      <c r="D79" t="str">
        <f>CONNECTORS[[#This Row],[Connector_Label]]</f>
        <v>FP-LG-7</v>
      </c>
      <c r="E79" t="s">
        <v>149</v>
      </c>
    </row>
    <row r="80" spans="1:5" x14ac:dyDescent="0.25">
      <c r="A80" s="2" t="s">
        <v>36</v>
      </c>
      <c r="B80">
        <v>77</v>
      </c>
      <c r="C80" t="str">
        <f>PILOT_POINTS!B78</f>
        <v>FP-LG-8</v>
      </c>
      <c r="D80" t="str">
        <f>CONNECTORS[[#This Row],[Connector_Label]]</f>
        <v>FP-LG-8</v>
      </c>
      <c r="E80" t="s">
        <v>149</v>
      </c>
    </row>
    <row r="81" spans="1:5" x14ac:dyDescent="0.25">
      <c r="A81" s="2" t="s">
        <v>36</v>
      </c>
      <c r="B81">
        <v>78</v>
      </c>
      <c r="C81" t="str">
        <f>PILOT_POINTS!B79</f>
        <v>FP-LG-9</v>
      </c>
      <c r="D81" t="str">
        <f>CONNECTORS[[#This Row],[Connector_Label]]</f>
        <v>FP-LG-9</v>
      </c>
      <c r="E81" t="s">
        <v>149</v>
      </c>
    </row>
    <row r="82" spans="1:5" x14ac:dyDescent="0.25">
      <c r="A82" s="2" t="s">
        <v>36</v>
      </c>
      <c r="B82">
        <v>79</v>
      </c>
      <c r="C82" t="str">
        <f>PILOT_POINTS!B80</f>
        <v>LG-FL-1</v>
      </c>
      <c r="D82" t="str">
        <f>CONNECTORS[[#This Row],[Connector_Label]]</f>
        <v>LG-FL-1</v>
      </c>
      <c r="E82" t="s">
        <v>149</v>
      </c>
    </row>
    <row r="83" spans="1:5" x14ac:dyDescent="0.25">
      <c r="A83" s="2" t="s">
        <v>36</v>
      </c>
      <c r="B83">
        <v>80</v>
      </c>
      <c r="C83" t="str">
        <f>PILOT_POINTS!B81</f>
        <v>LG-FL-2</v>
      </c>
      <c r="D83" t="str">
        <f>CONNECTORS[[#This Row],[Connector_Label]]</f>
        <v>LG-FL-2</v>
      </c>
      <c r="E83" t="s">
        <v>149</v>
      </c>
    </row>
    <row r="84" spans="1:5" x14ac:dyDescent="0.25">
      <c r="A84" s="2" t="s">
        <v>36</v>
      </c>
      <c r="B84">
        <v>81</v>
      </c>
      <c r="C84" t="str">
        <f>PILOT_POINTS!B82</f>
        <v>LG-FL-3</v>
      </c>
      <c r="D84" t="str">
        <f>CONNECTORS[[#This Row],[Connector_Label]]</f>
        <v>LG-FL-3</v>
      </c>
      <c r="E84" t="s">
        <v>149</v>
      </c>
    </row>
    <row r="85" spans="1:5" x14ac:dyDescent="0.25">
      <c r="A85" s="2" t="s">
        <v>36</v>
      </c>
      <c r="B85">
        <v>82</v>
      </c>
      <c r="C85" t="str">
        <f>PILOT_POINTS!B83</f>
        <v>LG-FL-4</v>
      </c>
      <c r="D85" t="str">
        <f>CONNECTORS[[#This Row],[Connector_Label]]</f>
        <v>LG-FL-4</v>
      </c>
      <c r="E85" t="s">
        <v>149</v>
      </c>
    </row>
    <row r="86" spans="1:5" x14ac:dyDescent="0.25">
      <c r="A86" s="2" t="s">
        <v>36</v>
      </c>
      <c r="B86">
        <v>83</v>
      </c>
      <c r="C86" t="str">
        <f>PILOT_POINTS!B84</f>
        <v>LG-FL-5</v>
      </c>
      <c r="D86" t="str">
        <f>CONNECTORS[[#This Row],[Connector_Label]]</f>
        <v>LG-FL-5</v>
      </c>
      <c r="E86" t="s">
        <v>149</v>
      </c>
    </row>
    <row r="87" spans="1:5" x14ac:dyDescent="0.25">
      <c r="A87" s="2" t="s">
        <v>36</v>
      </c>
      <c r="B87">
        <v>84</v>
      </c>
      <c r="C87" t="str">
        <f>PILOT_POINTS!B85</f>
        <v>LG-FL-6</v>
      </c>
      <c r="D87" t="str">
        <f>CONNECTORS[[#This Row],[Connector_Label]]</f>
        <v>LG-FL-6</v>
      </c>
      <c r="E87" t="s">
        <v>149</v>
      </c>
    </row>
    <row r="88" spans="1:5" x14ac:dyDescent="0.25">
      <c r="A88" s="2" t="s">
        <v>36</v>
      </c>
      <c r="B88">
        <v>85</v>
      </c>
      <c r="C88" t="str">
        <f>PILOT_POINTS!B86</f>
        <v>LG-FL-7</v>
      </c>
      <c r="D88" t="str">
        <f>CONNECTORS[[#This Row],[Connector_Label]]</f>
        <v>LG-FL-7</v>
      </c>
      <c r="E88" t="s">
        <v>149</v>
      </c>
    </row>
    <row r="89" spans="1:5" x14ac:dyDescent="0.25">
      <c r="A89" s="2" t="s">
        <v>36</v>
      </c>
      <c r="B89">
        <v>86</v>
      </c>
      <c r="C89" t="str">
        <f>PILOT_POINTS!B87</f>
        <v>LG-FL-8</v>
      </c>
      <c r="D89" t="str">
        <f>CONNECTORS[[#This Row],[Connector_Label]]</f>
        <v>LG-FL-8</v>
      </c>
      <c r="E89" t="s">
        <v>149</v>
      </c>
    </row>
    <row r="90" spans="1:5" x14ac:dyDescent="0.25">
      <c r="A90" s="2" t="s">
        <v>36</v>
      </c>
      <c r="B90">
        <v>87</v>
      </c>
      <c r="C90" t="str">
        <f>PILOT_POINTS!B88</f>
        <v>LG-FL-9</v>
      </c>
      <c r="D90" t="str">
        <f>CONNECTORS[[#This Row],[Connector_Label]]</f>
        <v>LG-FL-9</v>
      </c>
      <c r="E90" t="s">
        <v>149</v>
      </c>
    </row>
    <row r="91" spans="1:5" x14ac:dyDescent="0.25">
      <c r="A91" s="2" t="s">
        <v>36</v>
      </c>
      <c r="B91">
        <v>88</v>
      </c>
      <c r="C91" t="str">
        <f>PILOT_POINTS!B89</f>
        <v>LG-FL-10</v>
      </c>
      <c r="D91" t="str">
        <f>CONNECTORS[[#This Row],[Connector_Label]]</f>
        <v>LG-FL-10</v>
      </c>
      <c r="E91" t="s">
        <v>149</v>
      </c>
    </row>
    <row r="92" spans="1:5" x14ac:dyDescent="0.25">
      <c r="A92" s="2" t="s">
        <v>36</v>
      </c>
      <c r="B92">
        <v>89</v>
      </c>
      <c r="C92" t="str">
        <f>PILOT_POINTS!B90</f>
        <v>LG-FL-11</v>
      </c>
      <c r="D92" t="str">
        <f>CONNECTORS[[#This Row],[Connector_Label]]</f>
        <v>LG-FL-11</v>
      </c>
      <c r="E92" t="s">
        <v>149</v>
      </c>
    </row>
    <row r="93" spans="1:5" x14ac:dyDescent="0.25">
      <c r="A93" s="2" t="s">
        <v>36</v>
      </c>
      <c r="B93">
        <v>90</v>
      </c>
      <c r="C93" t="str">
        <f>PILOT_POINTS!B91</f>
        <v>LG-FL-12</v>
      </c>
      <c r="D93" t="str">
        <f>CONNECTORS[[#This Row],[Connector_Label]]</f>
        <v>LG-FL-12</v>
      </c>
      <c r="E93" t="s">
        <v>149</v>
      </c>
    </row>
    <row r="94" spans="1:5" x14ac:dyDescent="0.25">
      <c r="A94" s="2" t="s">
        <v>36</v>
      </c>
      <c r="B94">
        <v>91</v>
      </c>
      <c r="C94" t="str">
        <f>PILOT_POINTS!B92</f>
        <v>LG-FL-13</v>
      </c>
      <c r="D94" t="str">
        <f>CONNECTORS[[#This Row],[Connector_Label]]</f>
        <v>LG-FL-13</v>
      </c>
      <c r="E94" t="s">
        <v>149</v>
      </c>
    </row>
    <row r="95" spans="1:5" x14ac:dyDescent="0.25">
      <c r="A95" s="2" t="s">
        <v>36</v>
      </c>
      <c r="B95">
        <v>92</v>
      </c>
      <c r="C95" t="str">
        <f>PILOT_POINTS!B93</f>
        <v>LG-FL-14</v>
      </c>
      <c r="D95" t="str">
        <f>CONNECTORS[[#This Row],[Connector_Label]]</f>
        <v>LG-FL-14</v>
      </c>
      <c r="E95" t="s">
        <v>149</v>
      </c>
    </row>
    <row r="96" spans="1:5" x14ac:dyDescent="0.25">
      <c r="A96" s="2" t="s">
        <v>36</v>
      </c>
      <c r="B96">
        <v>93</v>
      </c>
      <c r="C96" t="str">
        <f>PILOT_POINTS!B94</f>
        <v>LG-FL-15</v>
      </c>
      <c r="D96" t="str">
        <f>CONNECTORS[[#This Row],[Connector_Label]]</f>
        <v>LG-FL-15</v>
      </c>
      <c r="E96" t="s">
        <v>149</v>
      </c>
    </row>
    <row r="97" spans="1:5" x14ac:dyDescent="0.25">
      <c r="A97" s="2" t="s">
        <v>36</v>
      </c>
      <c r="B97">
        <v>94</v>
      </c>
      <c r="C97" t="str">
        <f>PILOT_POINTS!B95</f>
        <v>LG-FL-16</v>
      </c>
      <c r="D97" t="str">
        <f>CONNECTORS[[#This Row],[Connector_Label]]</f>
        <v>LG-FL-16</v>
      </c>
      <c r="E97" t="s">
        <v>149</v>
      </c>
    </row>
    <row r="98" spans="1:5" x14ac:dyDescent="0.25">
      <c r="A98" s="2" t="s">
        <v>36</v>
      </c>
      <c r="B98">
        <v>95</v>
      </c>
      <c r="C98" t="str">
        <f>PILOT_POINTS!B96</f>
        <v>LG-FL-17</v>
      </c>
      <c r="D98" t="str">
        <f>CONNECTORS[[#This Row],[Connector_Label]]</f>
        <v>LG-FL-17</v>
      </c>
      <c r="E98" t="s">
        <v>149</v>
      </c>
    </row>
    <row r="99" spans="1:5" x14ac:dyDescent="0.25">
      <c r="A99" s="2" t="s">
        <v>36</v>
      </c>
      <c r="B99">
        <v>96</v>
      </c>
      <c r="C99" t="str">
        <f>PILOT_POINTS!B97</f>
        <v>LG-FL-18</v>
      </c>
      <c r="D99" t="str">
        <f>CONNECTORS[[#This Row],[Connector_Label]]</f>
        <v>LG-FL-18</v>
      </c>
      <c r="E99" t="s">
        <v>149</v>
      </c>
    </row>
    <row r="100" spans="1:5" x14ac:dyDescent="0.25">
      <c r="A100" s="2" t="s">
        <v>36</v>
      </c>
      <c r="B100">
        <v>97</v>
      </c>
      <c r="C100" t="str">
        <f>PILOT_POINTS!B98</f>
        <v>LG-FL-19</v>
      </c>
      <c r="D100" t="str">
        <f>CONNECTORS[[#This Row],[Connector_Label]]</f>
        <v>LG-FL-19</v>
      </c>
      <c r="E100" t="s">
        <v>149</v>
      </c>
    </row>
    <row r="101" spans="1:5" x14ac:dyDescent="0.25">
      <c r="A101" s="2" t="s">
        <v>36</v>
      </c>
      <c r="B101">
        <v>98</v>
      </c>
      <c r="C101" t="str">
        <f>PILOT_POINTS!B99</f>
        <v>LG-FL-20</v>
      </c>
      <c r="D101" t="str">
        <f>CONNECTORS[[#This Row],[Connector_Label]]</f>
        <v>LG-FL-20</v>
      </c>
      <c r="E101" t="s">
        <v>149</v>
      </c>
    </row>
    <row r="102" spans="1:5" x14ac:dyDescent="0.25">
      <c r="A102" s="2" t="s">
        <v>36</v>
      </c>
      <c r="B102">
        <v>99</v>
      </c>
      <c r="C102" t="str">
        <f>PILOT_POINTS!B100</f>
        <v>LG-FL-21</v>
      </c>
      <c r="D102" t="str">
        <f>CONNECTORS[[#This Row],[Connector_Label]]</f>
        <v>LG-FL-21</v>
      </c>
      <c r="E102" t="s">
        <v>149</v>
      </c>
    </row>
    <row r="103" spans="1:5" x14ac:dyDescent="0.25">
      <c r="A103" s="2" t="s">
        <v>36</v>
      </c>
      <c r="B103">
        <v>100</v>
      </c>
      <c r="C103" t="str">
        <f>PILOT_POINTS!B101</f>
        <v>LG-FR-1</v>
      </c>
      <c r="D103" t="str">
        <f>CONNECTORS[[#This Row],[Connector_Label]]</f>
        <v>LG-FR-1</v>
      </c>
      <c r="E103" s="21" t="s">
        <v>153</v>
      </c>
    </row>
    <row r="104" spans="1:5" x14ac:dyDescent="0.25">
      <c r="A104" s="2" t="s">
        <v>36</v>
      </c>
      <c r="B104">
        <v>101</v>
      </c>
      <c r="C104" t="str">
        <f>PILOT_POINTS!B102</f>
        <v>LG-FR-2</v>
      </c>
      <c r="D104" t="str">
        <f>CONNECTORS[[#This Row],[Connector_Label]]</f>
        <v>LG-FR-2</v>
      </c>
      <c r="E104" s="21" t="s">
        <v>153</v>
      </c>
    </row>
    <row r="105" spans="1:5" x14ac:dyDescent="0.25">
      <c r="A105" s="2" t="s">
        <v>36</v>
      </c>
      <c r="B105">
        <v>102</v>
      </c>
      <c r="C105" t="str">
        <f>PILOT_POINTS!B103</f>
        <v>LG-FR-3</v>
      </c>
      <c r="D105" t="str">
        <f>CONNECTORS[[#This Row],[Connector_Label]]</f>
        <v>LG-FR-3</v>
      </c>
      <c r="E105" s="21" t="s">
        <v>153</v>
      </c>
    </row>
    <row r="106" spans="1:5" x14ac:dyDescent="0.25">
      <c r="A106" s="2" t="s">
        <v>36</v>
      </c>
      <c r="B106">
        <v>103</v>
      </c>
      <c r="C106" t="str">
        <f>PILOT_POINTS!B104</f>
        <v>LG-FR-4</v>
      </c>
      <c r="D106" t="str">
        <f>CONNECTORS[[#This Row],[Connector_Label]]</f>
        <v>LG-FR-4</v>
      </c>
      <c r="E106" s="21" t="s">
        <v>153</v>
      </c>
    </row>
    <row r="107" spans="1:5" x14ac:dyDescent="0.25">
      <c r="A107" s="2" t="s">
        <v>36</v>
      </c>
      <c r="B107">
        <v>104</v>
      </c>
      <c r="C107" t="str">
        <f>PILOT_POINTS!B105</f>
        <v>LG-FR-5</v>
      </c>
      <c r="D107" t="str">
        <f>CONNECTORS[[#This Row],[Connector_Label]]</f>
        <v>LG-FR-5</v>
      </c>
      <c r="E107" s="21" t="s">
        <v>153</v>
      </c>
    </row>
    <row r="108" spans="1:5" x14ac:dyDescent="0.25">
      <c r="A108" s="2" t="s">
        <v>36</v>
      </c>
      <c r="B108">
        <v>105</v>
      </c>
      <c r="C108" t="str">
        <f>PILOT_POINTS!B106</f>
        <v>LG-FR-6</v>
      </c>
      <c r="D108" t="str">
        <f>CONNECTORS[[#This Row],[Connector_Label]]</f>
        <v>LG-FR-6</v>
      </c>
      <c r="E108" s="21" t="s">
        <v>153</v>
      </c>
    </row>
    <row r="109" spans="1:5" x14ac:dyDescent="0.25">
      <c r="A109" s="2" t="s">
        <v>36</v>
      </c>
      <c r="B109">
        <v>106</v>
      </c>
      <c r="C109" t="str">
        <f>PILOT_POINTS!B107</f>
        <v>LG-FR-7</v>
      </c>
      <c r="D109" t="str">
        <f>CONNECTORS[[#This Row],[Connector_Label]]</f>
        <v>LG-FR-7</v>
      </c>
      <c r="E109" s="21" t="s">
        <v>153</v>
      </c>
    </row>
    <row r="110" spans="1:5" x14ac:dyDescent="0.25">
      <c r="A110" s="2" t="s">
        <v>36</v>
      </c>
      <c r="B110">
        <v>107</v>
      </c>
      <c r="C110" t="str">
        <f>PILOT_POINTS!B108</f>
        <v>LG-FR-8</v>
      </c>
      <c r="D110" t="str">
        <f>CONNECTORS[[#This Row],[Connector_Label]]</f>
        <v>LG-FR-8</v>
      </c>
      <c r="E110" s="21" t="s">
        <v>153</v>
      </c>
    </row>
    <row r="111" spans="1:5" x14ac:dyDescent="0.25">
      <c r="A111" s="2" t="s">
        <v>36</v>
      </c>
      <c r="B111">
        <v>108</v>
      </c>
      <c r="C111" t="str">
        <f>PILOT_POINTS!B109</f>
        <v>ANGL-FR-1</v>
      </c>
      <c r="D111" t="str">
        <f>CONNECTORS[[#This Row],[Connector_Label]]</f>
        <v>ANGL-FR-1</v>
      </c>
      <c r="E111" s="21" t="s">
        <v>157</v>
      </c>
    </row>
    <row r="112" spans="1:5" x14ac:dyDescent="0.25">
      <c r="A112" s="2" t="s">
        <v>36</v>
      </c>
      <c r="B112">
        <v>109</v>
      </c>
      <c r="C112" t="str">
        <f>PILOT_POINTS!B110</f>
        <v>ANGL-FR-2</v>
      </c>
      <c r="D112" t="str">
        <f>CONNECTORS[[#This Row],[Connector_Label]]</f>
        <v>ANGL-FR-2</v>
      </c>
      <c r="E112" s="21" t="s">
        <v>157</v>
      </c>
    </row>
    <row r="113" spans="1:5" x14ac:dyDescent="0.25">
      <c r="A113" s="2" t="s">
        <v>36</v>
      </c>
      <c r="B113">
        <v>110</v>
      </c>
      <c r="C113" t="str">
        <f>PILOT_POINTS!B111</f>
        <v>ANGL-FR-3</v>
      </c>
      <c r="D113" t="str">
        <f>CONNECTORS[[#This Row],[Connector_Label]]</f>
        <v>ANGL-FR-3</v>
      </c>
      <c r="E113" s="21" t="s">
        <v>157</v>
      </c>
    </row>
    <row r="114" spans="1:5" x14ac:dyDescent="0.25">
      <c r="A114" s="2"/>
    </row>
    <row r="115" spans="1:5" x14ac:dyDescent="0.25">
      <c r="A115" s="2"/>
    </row>
    <row r="116" spans="1:5" x14ac:dyDescent="0.25">
      <c r="A116" s="2"/>
    </row>
    <row r="117" spans="1:5" x14ac:dyDescent="0.25">
      <c r="A117" s="2"/>
    </row>
    <row r="118" spans="1:5" x14ac:dyDescent="0.25">
      <c r="A118" s="2"/>
    </row>
    <row r="119" spans="1:5" x14ac:dyDescent="0.25">
      <c r="A119" s="2"/>
    </row>
    <row r="120" spans="1:5" x14ac:dyDescent="0.25">
      <c r="A120" s="2"/>
    </row>
    <row r="121" spans="1:5" x14ac:dyDescent="0.25">
      <c r="A121" s="2"/>
    </row>
    <row r="122" spans="1:5" x14ac:dyDescent="0.25">
      <c r="A122" s="2"/>
    </row>
    <row r="123" spans="1:5" x14ac:dyDescent="0.25">
      <c r="A123" s="2"/>
    </row>
    <row r="124" spans="1:5" x14ac:dyDescent="0.25">
      <c r="A124" s="2"/>
    </row>
    <row r="125" spans="1:5" x14ac:dyDescent="0.25">
      <c r="A125" s="2"/>
    </row>
    <row r="126" spans="1:5" x14ac:dyDescent="0.25">
      <c r="A126" s="2"/>
    </row>
    <row r="127" spans="1:5" x14ac:dyDescent="0.25">
      <c r="A127" s="2"/>
    </row>
    <row r="128" spans="1:5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</sheetData>
  <phoneticPr fontId="2" type="noConversion"/>
  <dataValidations count="3">
    <dataValidation type="list" allowBlank="1" showInputMessage="1" showErrorMessage="1" sqref="A4:A153" xr:uid="{98016D2B-DC43-420F-94DA-6AFA5F0BBCCA}">
      <formula1>"YES,NO"</formula1>
    </dataValidation>
    <dataValidation type="list" allowBlank="1" showInputMessage="1" showErrorMessage="1" sqref="E4:E102 E111:E113" xr:uid="{71FEFB6A-63B1-463A-9889-9FDC4A704BA9}">
      <formula1>INDIRECT("FASTENERS[Fastener_Label]")</formula1>
    </dataValidation>
    <dataValidation type="list" allowBlank="1" showInputMessage="1" showErrorMessage="1" sqref="D4:D113" xr:uid="{2D208762-7F79-4542-B952-CBCC6D908E0D}">
      <formula1>INDIRECT("PILOTPOINTS[PilotPoint_Label]")</formula1>
    </dataValidation>
  </dataValidations>
  <pageMargins left="0.7" right="0.7" top="0.75" bottom="0.75" header="0.3" footer="0.3"/>
  <pageSetup orientation="portrait" r:id="rId1"/>
  <headerFooter>
    <oddHeader>&amp;L&amp;KFFFFFF.</oddHeader>
    <oddFooter>&amp;L&amp;KFFFFFF.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VERSION_CONTROL</vt:lpstr>
      <vt:lpstr>PILOT_POINTS</vt:lpstr>
      <vt:lpstr>FASTENERS</vt:lpstr>
      <vt:lpstr>CONNECTORS</vt:lpstr>
      <vt:lpstr>VERSION_CONTROL!Área_de_impresión</vt:lpstr>
      <vt:lpstr>Nastran_Launcher</vt:lpstr>
      <vt:lpstr>Nastran_Output_File</vt:lpstr>
      <vt:lpstr>Output_File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>Maroto Herreros, Enrique (external) [ES]</cp:lastModifiedBy>
  <dcterms:created xsi:type="dcterms:W3CDTF">2015-06-05T18:19:34Z</dcterms:created>
  <dcterms:modified xsi:type="dcterms:W3CDTF">2026-05-19T13:16:32Z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50f03345-3b39-4608-9975-a675fe27bb7c</vt:lpwstr>
  </property>
  <property fmtid="{D5CDD505-2E9C-101B-9397-08002B2CF9AE}" pid="3" name="TaggedBy">
    <vt:lpwstr>U69432</vt:lpwstr>
  </property>
  <property fmtid="{D5CDD505-2E9C-101B-9397-08002B2CF9AE}" pid="4" name="L">
    <vt:lpwstr>XXPRI</vt:lpwstr>
  </property>
  <property fmtid="{D5CDD505-2E9C-101B-9397-08002B2CF9AE}" pid="5" name="STAMP">
    <vt:lpwstr>NO</vt:lpwstr>
  </property>
</Properties>
</file>