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fs\calculo-documentacion\INFOCALCULO\01-ACADEMIAS&amp;A3\2022-10-Hyperworks_Interfaces_FASTPPH\"/>
    </mc:Choice>
  </mc:AlternateContent>
  <bookViews>
    <workbookView xWindow="8892" yWindow="0" windowWidth="11172" windowHeight="8928"/>
  </bookViews>
  <sheets>
    <sheet name="01_FASTPPH" sheetId="1" r:id="rId1"/>
    <sheet name="02_PROPERTIES" sheetId="3" r:id="rId2"/>
    <sheet name="03_CALCULATIONS" sheetId="2" r:id="rId3"/>
  </sheets>
  <definedNames>
    <definedName name="_xlnm._FilterDatabase" localSheetId="0" hidden="1">'01_FASTPPH'!$B$8:$FM$288</definedName>
    <definedName name="_xlnm._FilterDatabase" localSheetId="2" hidden="1">'03_CALCULATIONS'!$A$9:$AW$289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  <c r="K12" i="3" l="1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11" i="3"/>
  <c r="B14" i="2"/>
  <c r="C14" i="2"/>
  <c r="D14" i="2"/>
  <c r="AF14" i="2" s="1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B15" i="2"/>
  <c r="C15" i="2"/>
  <c r="D15" i="2"/>
  <c r="AD15" i="2" s="1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B16" i="2"/>
  <c r="C16" i="2"/>
  <c r="D16" i="2"/>
  <c r="AF16" i="2" s="1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B17" i="2"/>
  <c r="C17" i="2"/>
  <c r="D17" i="2"/>
  <c r="AF17" i="2" s="1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B18" i="2"/>
  <c r="C18" i="2"/>
  <c r="D18" i="2"/>
  <c r="AF18" i="2" s="1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B19" i="2"/>
  <c r="C19" i="2"/>
  <c r="D19" i="2"/>
  <c r="AF19" i="2" s="1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B20" i="2"/>
  <c r="C20" i="2"/>
  <c r="D20" i="2"/>
  <c r="AF20" i="2" s="1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B21" i="2"/>
  <c r="C21" i="2"/>
  <c r="D21" i="2"/>
  <c r="AF21" i="2" s="1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B22" i="2"/>
  <c r="C22" i="2"/>
  <c r="D22" i="2"/>
  <c r="AF22" i="2" s="1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B23" i="2"/>
  <c r="C23" i="2"/>
  <c r="D23" i="2"/>
  <c r="AF23" i="2" s="1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B24" i="2"/>
  <c r="C24" i="2"/>
  <c r="D24" i="2"/>
  <c r="AF24" i="2" s="1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B25" i="2"/>
  <c r="C25" i="2"/>
  <c r="D25" i="2"/>
  <c r="AF25" i="2" s="1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B26" i="2"/>
  <c r="C26" i="2"/>
  <c r="D26" i="2"/>
  <c r="AF26" i="2" s="1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B27" i="2"/>
  <c r="C27" i="2"/>
  <c r="D27" i="2"/>
  <c r="AF27" i="2" s="1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B28" i="2"/>
  <c r="C28" i="2"/>
  <c r="D28" i="2"/>
  <c r="AF28" i="2" s="1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B29" i="2"/>
  <c r="C29" i="2"/>
  <c r="D29" i="2"/>
  <c r="AF29" i="2" s="1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B30" i="2"/>
  <c r="C30" i="2"/>
  <c r="D30" i="2"/>
  <c r="AF30" i="2" s="1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B31" i="2"/>
  <c r="C31" i="2"/>
  <c r="D31" i="2"/>
  <c r="AF31" i="2" s="1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B32" i="2"/>
  <c r="C32" i="2"/>
  <c r="D32" i="2"/>
  <c r="AF32" i="2" s="1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B33" i="2"/>
  <c r="C33" i="2"/>
  <c r="D33" i="2"/>
  <c r="AF33" i="2" s="1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B34" i="2"/>
  <c r="C34" i="2"/>
  <c r="D34" i="2"/>
  <c r="AF34" i="2" s="1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B35" i="2"/>
  <c r="C35" i="2"/>
  <c r="D35" i="2"/>
  <c r="AF35" i="2" s="1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B36" i="2"/>
  <c r="C36" i="2"/>
  <c r="D36" i="2"/>
  <c r="AF36" i="2" s="1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B37" i="2"/>
  <c r="C37" i="2"/>
  <c r="D37" i="2"/>
  <c r="AF37" i="2" s="1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B38" i="2"/>
  <c r="C38" i="2"/>
  <c r="D38" i="2"/>
  <c r="AB38" i="2" s="1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B39" i="2"/>
  <c r="C39" i="2"/>
  <c r="D39" i="2"/>
  <c r="AF39" i="2" s="1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B40" i="2"/>
  <c r="C40" i="2"/>
  <c r="D40" i="2"/>
  <c r="AF40" i="2" s="1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B41" i="2"/>
  <c r="C41" i="2"/>
  <c r="D41" i="2"/>
  <c r="AF41" i="2" s="1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B42" i="2"/>
  <c r="C42" i="2"/>
  <c r="D42" i="2"/>
  <c r="AF42" i="2" s="1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B43" i="2"/>
  <c r="C43" i="2"/>
  <c r="D43" i="2"/>
  <c r="AF43" i="2" s="1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B44" i="2"/>
  <c r="C44" i="2"/>
  <c r="D44" i="2"/>
  <c r="AF44" i="2" s="1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B45" i="2"/>
  <c r="C45" i="2"/>
  <c r="D45" i="2"/>
  <c r="AF45" i="2" s="1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B46" i="2"/>
  <c r="C46" i="2"/>
  <c r="D46" i="2"/>
  <c r="AF46" i="2" s="1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B47" i="2"/>
  <c r="C47" i="2"/>
  <c r="D47" i="2"/>
  <c r="AF47" i="2" s="1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B48" i="2"/>
  <c r="C48" i="2"/>
  <c r="D48" i="2"/>
  <c r="AF48" i="2" s="1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B49" i="2"/>
  <c r="C49" i="2"/>
  <c r="D49" i="2"/>
  <c r="AF49" i="2" s="1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B50" i="2"/>
  <c r="C50" i="2"/>
  <c r="D50" i="2"/>
  <c r="AF50" i="2" s="1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B51" i="2"/>
  <c r="C51" i="2"/>
  <c r="D51" i="2"/>
  <c r="AF51" i="2" s="1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B52" i="2"/>
  <c r="C52" i="2"/>
  <c r="D52" i="2"/>
  <c r="AF52" i="2" s="1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B53" i="2"/>
  <c r="C53" i="2"/>
  <c r="D53" i="2"/>
  <c r="AF53" i="2" s="1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B54" i="2"/>
  <c r="C54" i="2"/>
  <c r="D54" i="2"/>
  <c r="AF54" i="2" s="1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B55" i="2"/>
  <c r="C55" i="2"/>
  <c r="D55" i="2"/>
  <c r="AF55" i="2" s="1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B56" i="2"/>
  <c r="C56" i="2"/>
  <c r="D56" i="2"/>
  <c r="AF56" i="2" s="1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B57" i="2"/>
  <c r="C57" i="2"/>
  <c r="D57" i="2"/>
  <c r="AF57" i="2" s="1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B58" i="2"/>
  <c r="C58" i="2"/>
  <c r="D58" i="2"/>
  <c r="AF58" i="2" s="1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B59" i="2"/>
  <c r="C59" i="2"/>
  <c r="D59" i="2"/>
  <c r="AF59" i="2" s="1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B60" i="2"/>
  <c r="C60" i="2"/>
  <c r="D60" i="2"/>
  <c r="AD60" i="2" s="1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B61" i="2"/>
  <c r="C61" i="2"/>
  <c r="D61" i="2"/>
  <c r="AF61" i="2" s="1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B62" i="2"/>
  <c r="C62" i="2"/>
  <c r="D62" i="2"/>
  <c r="AF62" i="2" s="1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B63" i="2"/>
  <c r="C63" i="2"/>
  <c r="D63" i="2"/>
  <c r="AF63" i="2" s="1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B64" i="2"/>
  <c r="C64" i="2"/>
  <c r="D64" i="2"/>
  <c r="AF64" i="2" s="1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B65" i="2"/>
  <c r="C65" i="2"/>
  <c r="D65" i="2"/>
  <c r="AF65" i="2" s="1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B66" i="2"/>
  <c r="C66" i="2"/>
  <c r="D66" i="2"/>
  <c r="AF66" i="2" s="1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B67" i="2"/>
  <c r="C67" i="2"/>
  <c r="D67" i="2"/>
  <c r="AF67" i="2" s="1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B68" i="2"/>
  <c r="C68" i="2"/>
  <c r="D68" i="2"/>
  <c r="AF68" i="2" s="1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B69" i="2"/>
  <c r="C69" i="2"/>
  <c r="D69" i="2"/>
  <c r="AF69" i="2" s="1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B70" i="2"/>
  <c r="C70" i="2"/>
  <c r="D70" i="2"/>
  <c r="AF70" i="2" s="1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B71" i="2"/>
  <c r="C71" i="2"/>
  <c r="D71" i="2"/>
  <c r="AF71" i="2" s="1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B72" i="2"/>
  <c r="C72" i="2"/>
  <c r="D72" i="2"/>
  <c r="AF72" i="2" s="1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B73" i="2"/>
  <c r="C73" i="2"/>
  <c r="D73" i="2"/>
  <c r="AF73" i="2" s="1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B74" i="2"/>
  <c r="C74" i="2"/>
  <c r="D74" i="2"/>
  <c r="AF74" i="2" s="1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B75" i="2"/>
  <c r="C75" i="2"/>
  <c r="D75" i="2"/>
  <c r="AF75" i="2" s="1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B76" i="2"/>
  <c r="C76" i="2"/>
  <c r="D76" i="2"/>
  <c r="AF76" i="2" s="1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B77" i="2"/>
  <c r="C77" i="2"/>
  <c r="D77" i="2"/>
  <c r="AF77" i="2" s="1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B78" i="2"/>
  <c r="C78" i="2"/>
  <c r="D78" i="2"/>
  <c r="AF78" i="2" s="1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B79" i="2"/>
  <c r="C79" i="2"/>
  <c r="D79" i="2"/>
  <c r="AF79" i="2" s="1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B80" i="2"/>
  <c r="C80" i="2"/>
  <c r="D80" i="2"/>
  <c r="AF80" i="2" s="1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B81" i="2"/>
  <c r="C81" i="2"/>
  <c r="D81" i="2"/>
  <c r="AF81" i="2" s="1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B82" i="2"/>
  <c r="C82" i="2"/>
  <c r="D82" i="2"/>
  <c r="AE82" i="2" s="1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B83" i="2"/>
  <c r="C83" i="2"/>
  <c r="D83" i="2"/>
  <c r="AF83" i="2" s="1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B84" i="2"/>
  <c r="C84" i="2"/>
  <c r="D84" i="2"/>
  <c r="AF84" i="2" s="1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B85" i="2"/>
  <c r="C85" i="2"/>
  <c r="D85" i="2"/>
  <c r="AF85" i="2" s="1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B86" i="2"/>
  <c r="C86" i="2"/>
  <c r="D86" i="2"/>
  <c r="AF86" i="2" s="1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B87" i="2"/>
  <c r="C87" i="2"/>
  <c r="D87" i="2"/>
  <c r="AF87" i="2" s="1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B88" i="2"/>
  <c r="C88" i="2"/>
  <c r="D88" i="2"/>
  <c r="AF88" i="2" s="1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B89" i="2"/>
  <c r="C89" i="2"/>
  <c r="D89" i="2"/>
  <c r="AF89" i="2" s="1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B90" i="2"/>
  <c r="C90" i="2"/>
  <c r="D90" i="2"/>
  <c r="AF90" i="2" s="1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B91" i="2"/>
  <c r="C91" i="2"/>
  <c r="D91" i="2"/>
  <c r="AF91" i="2" s="1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B92" i="2"/>
  <c r="C92" i="2"/>
  <c r="D92" i="2"/>
  <c r="AF92" i="2" s="1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B93" i="2"/>
  <c r="C93" i="2"/>
  <c r="D93" i="2"/>
  <c r="AF93" i="2" s="1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B94" i="2"/>
  <c r="C94" i="2"/>
  <c r="D94" i="2"/>
  <c r="AC94" i="2" s="1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B95" i="2"/>
  <c r="C95" i="2"/>
  <c r="D95" i="2"/>
  <c r="AF95" i="2" s="1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B96" i="2"/>
  <c r="C96" i="2"/>
  <c r="D96" i="2"/>
  <c r="AF96" i="2" s="1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B97" i="2"/>
  <c r="C97" i="2"/>
  <c r="D97" i="2"/>
  <c r="AF97" i="2" s="1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B98" i="2"/>
  <c r="C98" i="2"/>
  <c r="D98" i="2"/>
  <c r="AF98" i="2" s="1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B99" i="2"/>
  <c r="C99" i="2"/>
  <c r="D99" i="2"/>
  <c r="AF99" i="2" s="1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B100" i="2"/>
  <c r="C100" i="2"/>
  <c r="D100" i="2"/>
  <c r="AA100" i="2" s="1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B101" i="2"/>
  <c r="C101" i="2"/>
  <c r="D101" i="2"/>
  <c r="AF101" i="2" s="1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B102" i="2"/>
  <c r="C102" i="2"/>
  <c r="D102" i="2"/>
  <c r="AF102" i="2" s="1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B103" i="2"/>
  <c r="C103" i="2"/>
  <c r="D103" i="2"/>
  <c r="AF103" i="2" s="1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B104" i="2"/>
  <c r="C104" i="2"/>
  <c r="D104" i="2"/>
  <c r="AF104" i="2" s="1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B105" i="2"/>
  <c r="C105" i="2"/>
  <c r="D105" i="2"/>
  <c r="AF105" i="2" s="1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B106" i="2"/>
  <c r="C106" i="2"/>
  <c r="D106" i="2"/>
  <c r="AF106" i="2" s="1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B107" i="2"/>
  <c r="C107" i="2"/>
  <c r="D107" i="2"/>
  <c r="AF107" i="2" s="1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B108" i="2"/>
  <c r="C108" i="2"/>
  <c r="D108" i="2"/>
  <c r="AF108" i="2" s="1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B109" i="2"/>
  <c r="C109" i="2"/>
  <c r="D109" i="2"/>
  <c r="AF109" i="2" s="1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B110" i="2"/>
  <c r="C110" i="2"/>
  <c r="D110" i="2"/>
  <c r="AF110" i="2" s="1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B111" i="2"/>
  <c r="C111" i="2"/>
  <c r="D111" i="2"/>
  <c r="AF111" i="2" s="1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B112" i="2"/>
  <c r="C112" i="2"/>
  <c r="D112" i="2"/>
  <c r="AF112" i="2" s="1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B113" i="2"/>
  <c r="C113" i="2"/>
  <c r="D113" i="2"/>
  <c r="AF113" i="2" s="1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B114" i="2"/>
  <c r="C114" i="2"/>
  <c r="D114" i="2"/>
  <c r="AF114" i="2" s="1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B115" i="2"/>
  <c r="C115" i="2"/>
  <c r="D115" i="2"/>
  <c r="AF115" i="2" s="1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B116" i="2"/>
  <c r="C116" i="2"/>
  <c r="D116" i="2"/>
  <c r="AE116" i="2" s="1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B117" i="2"/>
  <c r="C117" i="2"/>
  <c r="D117" i="2"/>
  <c r="AF117" i="2" s="1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B118" i="2"/>
  <c r="C118" i="2"/>
  <c r="D118" i="2"/>
  <c r="AF118" i="2" s="1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B119" i="2"/>
  <c r="C119" i="2"/>
  <c r="D119" i="2"/>
  <c r="AF119" i="2" s="1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B120" i="2"/>
  <c r="C120" i="2"/>
  <c r="D120" i="2"/>
  <c r="AF120" i="2" s="1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B121" i="2"/>
  <c r="C121" i="2"/>
  <c r="D121" i="2"/>
  <c r="AF121" i="2" s="1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B122" i="2"/>
  <c r="C122" i="2"/>
  <c r="D122" i="2"/>
  <c r="AB122" i="2" s="1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B123" i="2"/>
  <c r="C123" i="2"/>
  <c r="D123" i="2"/>
  <c r="AF123" i="2" s="1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B124" i="2"/>
  <c r="C124" i="2"/>
  <c r="D124" i="2"/>
  <c r="AF124" i="2" s="1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B125" i="2"/>
  <c r="C125" i="2"/>
  <c r="D125" i="2"/>
  <c r="AF125" i="2" s="1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B126" i="2"/>
  <c r="C126" i="2"/>
  <c r="D126" i="2"/>
  <c r="AF126" i="2" s="1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B127" i="2"/>
  <c r="C127" i="2"/>
  <c r="D127" i="2"/>
  <c r="AF127" i="2" s="1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B128" i="2"/>
  <c r="C128" i="2"/>
  <c r="D128" i="2"/>
  <c r="AA128" i="2" s="1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B129" i="2"/>
  <c r="C129" i="2"/>
  <c r="D129" i="2"/>
  <c r="AF129" i="2" s="1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B130" i="2"/>
  <c r="C130" i="2"/>
  <c r="D130" i="2"/>
  <c r="AF130" i="2" s="1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B131" i="2"/>
  <c r="C131" i="2"/>
  <c r="D131" i="2"/>
  <c r="AF131" i="2" s="1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B132" i="2"/>
  <c r="C132" i="2"/>
  <c r="D132" i="2"/>
  <c r="AF132" i="2" s="1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B133" i="2"/>
  <c r="C133" i="2"/>
  <c r="D133" i="2"/>
  <c r="AF133" i="2" s="1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B134" i="2"/>
  <c r="C134" i="2"/>
  <c r="D134" i="2"/>
  <c r="AB134" i="2" s="1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B135" i="2"/>
  <c r="C135" i="2"/>
  <c r="D135" i="2"/>
  <c r="AF135" i="2" s="1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B136" i="2"/>
  <c r="C136" i="2"/>
  <c r="D136" i="2"/>
  <c r="AF136" i="2" s="1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B137" i="2"/>
  <c r="C137" i="2"/>
  <c r="D137" i="2"/>
  <c r="AF137" i="2" s="1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B138" i="2"/>
  <c r="C138" i="2"/>
  <c r="D138" i="2"/>
  <c r="AF138" i="2" s="1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B139" i="2"/>
  <c r="C139" i="2"/>
  <c r="D139" i="2"/>
  <c r="AF139" i="2" s="1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B140" i="2"/>
  <c r="C140" i="2"/>
  <c r="D140" i="2"/>
  <c r="AB140" i="2" s="1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B141" i="2"/>
  <c r="C141" i="2"/>
  <c r="D141" i="2"/>
  <c r="AF141" i="2" s="1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B142" i="2"/>
  <c r="C142" i="2"/>
  <c r="D142" i="2"/>
  <c r="AF142" i="2" s="1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B143" i="2"/>
  <c r="C143" i="2"/>
  <c r="D143" i="2"/>
  <c r="AF143" i="2" s="1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B144" i="2"/>
  <c r="C144" i="2"/>
  <c r="D144" i="2"/>
  <c r="AF144" i="2" s="1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B145" i="2"/>
  <c r="C145" i="2"/>
  <c r="D145" i="2"/>
  <c r="AF145" i="2" s="1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B146" i="2"/>
  <c r="C146" i="2"/>
  <c r="D146" i="2"/>
  <c r="AC146" i="2" s="1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B147" i="2"/>
  <c r="C147" i="2"/>
  <c r="D147" i="2"/>
  <c r="AF147" i="2" s="1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B148" i="2"/>
  <c r="C148" i="2"/>
  <c r="D148" i="2"/>
  <c r="AF148" i="2" s="1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B149" i="2"/>
  <c r="C149" i="2"/>
  <c r="D149" i="2"/>
  <c r="AF149" i="2" s="1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B150" i="2"/>
  <c r="C150" i="2"/>
  <c r="D150" i="2"/>
  <c r="AF150" i="2" s="1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B151" i="2"/>
  <c r="C151" i="2"/>
  <c r="D151" i="2"/>
  <c r="AF151" i="2" s="1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B152" i="2"/>
  <c r="C152" i="2"/>
  <c r="D152" i="2"/>
  <c r="AF152" i="2" s="1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B153" i="2"/>
  <c r="C153" i="2"/>
  <c r="D153" i="2"/>
  <c r="AF153" i="2" s="1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B154" i="2"/>
  <c r="C154" i="2"/>
  <c r="D154" i="2"/>
  <c r="AF154" i="2" s="1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B155" i="2"/>
  <c r="C155" i="2"/>
  <c r="D155" i="2"/>
  <c r="AF155" i="2" s="1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B156" i="2"/>
  <c r="C156" i="2"/>
  <c r="D156" i="2"/>
  <c r="AF156" i="2" s="1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B157" i="2"/>
  <c r="C157" i="2"/>
  <c r="D157" i="2"/>
  <c r="AF157" i="2" s="1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B158" i="2"/>
  <c r="C158" i="2"/>
  <c r="D158" i="2"/>
  <c r="AF158" i="2" s="1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B159" i="2"/>
  <c r="C159" i="2"/>
  <c r="D159" i="2"/>
  <c r="AF159" i="2" s="1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B160" i="2"/>
  <c r="C160" i="2"/>
  <c r="D160" i="2"/>
  <c r="AF160" i="2" s="1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B161" i="2"/>
  <c r="C161" i="2"/>
  <c r="D161" i="2"/>
  <c r="AF161" i="2" s="1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B162" i="2"/>
  <c r="C162" i="2"/>
  <c r="D162" i="2"/>
  <c r="AF162" i="2" s="1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B163" i="2"/>
  <c r="C163" i="2"/>
  <c r="D163" i="2"/>
  <c r="AF163" i="2" s="1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B164" i="2"/>
  <c r="C164" i="2"/>
  <c r="D164" i="2"/>
  <c r="AD164" i="2" s="1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B165" i="2"/>
  <c r="C165" i="2"/>
  <c r="D165" i="2"/>
  <c r="AF165" i="2" s="1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B166" i="2"/>
  <c r="C166" i="2"/>
  <c r="D166" i="2"/>
  <c r="AF166" i="2" s="1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B167" i="2"/>
  <c r="C167" i="2"/>
  <c r="D167" i="2"/>
  <c r="AF167" i="2" s="1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B168" i="2"/>
  <c r="C168" i="2"/>
  <c r="D168" i="2"/>
  <c r="AF168" i="2" s="1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B169" i="2"/>
  <c r="C169" i="2"/>
  <c r="D169" i="2"/>
  <c r="AF169" i="2" s="1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B170" i="2"/>
  <c r="C170" i="2"/>
  <c r="D170" i="2"/>
  <c r="AE170" i="2" s="1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B171" i="2"/>
  <c r="C171" i="2"/>
  <c r="D171" i="2"/>
  <c r="AF171" i="2" s="1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B172" i="2"/>
  <c r="C172" i="2"/>
  <c r="D172" i="2"/>
  <c r="AF172" i="2" s="1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B173" i="2"/>
  <c r="C173" i="2"/>
  <c r="D173" i="2"/>
  <c r="AF173" i="2" s="1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B174" i="2"/>
  <c r="C174" i="2"/>
  <c r="D174" i="2"/>
  <c r="AF174" i="2" s="1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B175" i="2"/>
  <c r="C175" i="2"/>
  <c r="D175" i="2"/>
  <c r="AF175" i="2" s="1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B176" i="2"/>
  <c r="C176" i="2"/>
  <c r="D176" i="2"/>
  <c r="AE176" i="2" s="1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B177" i="2"/>
  <c r="C177" i="2"/>
  <c r="D177" i="2"/>
  <c r="AF177" i="2" s="1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B178" i="2"/>
  <c r="C178" i="2"/>
  <c r="D178" i="2"/>
  <c r="AF178" i="2" s="1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B179" i="2"/>
  <c r="C179" i="2"/>
  <c r="D179" i="2"/>
  <c r="AF179" i="2" s="1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B180" i="2"/>
  <c r="C180" i="2"/>
  <c r="D180" i="2"/>
  <c r="AF180" i="2" s="1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B181" i="2"/>
  <c r="C181" i="2"/>
  <c r="D181" i="2"/>
  <c r="AF181" i="2" s="1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B182" i="2"/>
  <c r="C182" i="2"/>
  <c r="D182" i="2"/>
  <c r="AF182" i="2" s="1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B183" i="2"/>
  <c r="C183" i="2"/>
  <c r="D183" i="2"/>
  <c r="AF183" i="2" s="1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B184" i="2"/>
  <c r="C184" i="2"/>
  <c r="D184" i="2"/>
  <c r="AF184" i="2" s="1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B185" i="2"/>
  <c r="C185" i="2"/>
  <c r="D185" i="2"/>
  <c r="AF185" i="2" s="1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B186" i="2"/>
  <c r="C186" i="2"/>
  <c r="D186" i="2"/>
  <c r="AF186" i="2" s="1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B187" i="2"/>
  <c r="C187" i="2"/>
  <c r="D187" i="2"/>
  <c r="AA187" i="2" s="1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B188" i="2"/>
  <c r="C188" i="2"/>
  <c r="D188" i="2"/>
  <c r="AD188" i="2" s="1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B189" i="2"/>
  <c r="C189" i="2"/>
  <c r="D189" i="2"/>
  <c r="AF189" i="2" s="1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B190" i="2"/>
  <c r="C190" i="2"/>
  <c r="D190" i="2"/>
  <c r="AF190" i="2" s="1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B191" i="2"/>
  <c r="C191" i="2"/>
  <c r="D191" i="2"/>
  <c r="AF191" i="2" s="1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B192" i="2"/>
  <c r="C192" i="2"/>
  <c r="D192" i="2"/>
  <c r="AF192" i="2" s="1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B193" i="2"/>
  <c r="C193" i="2"/>
  <c r="D193" i="2"/>
  <c r="AB193" i="2" s="1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B194" i="2"/>
  <c r="C194" i="2"/>
  <c r="D194" i="2"/>
  <c r="AE194" i="2" s="1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B195" i="2"/>
  <c r="C195" i="2"/>
  <c r="D195" i="2"/>
  <c r="AF195" i="2" s="1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B196" i="2"/>
  <c r="C196" i="2"/>
  <c r="D196" i="2"/>
  <c r="AF196" i="2" s="1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B197" i="2"/>
  <c r="C197" i="2"/>
  <c r="D197" i="2"/>
  <c r="AF197" i="2" s="1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B198" i="2"/>
  <c r="C198" i="2"/>
  <c r="D198" i="2"/>
  <c r="AF198" i="2" s="1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B199" i="2"/>
  <c r="C199" i="2"/>
  <c r="D199" i="2"/>
  <c r="AF199" i="2" s="1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B200" i="2"/>
  <c r="C200" i="2"/>
  <c r="D200" i="2"/>
  <c r="AF200" i="2" s="1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B201" i="2"/>
  <c r="C201" i="2"/>
  <c r="D201" i="2"/>
  <c r="AF201" i="2" s="1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B202" i="2"/>
  <c r="C202" i="2"/>
  <c r="D202" i="2"/>
  <c r="AF202" i="2" s="1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B203" i="2"/>
  <c r="C203" i="2"/>
  <c r="D203" i="2"/>
  <c r="AF203" i="2" s="1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B204" i="2"/>
  <c r="C204" i="2"/>
  <c r="D204" i="2"/>
  <c r="AF204" i="2" s="1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B205" i="2"/>
  <c r="C205" i="2"/>
  <c r="D205" i="2"/>
  <c r="AF205" i="2" s="1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B206" i="2"/>
  <c r="C206" i="2"/>
  <c r="D206" i="2"/>
  <c r="AF206" i="2" s="1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B207" i="2"/>
  <c r="C207" i="2"/>
  <c r="D207" i="2"/>
  <c r="AF207" i="2" s="1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B208" i="2"/>
  <c r="C208" i="2"/>
  <c r="D208" i="2"/>
  <c r="AF208" i="2" s="1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B209" i="2"/>
  <c r="C209" i="2"/>
  <c r="D209" i="2"/>
  <c r="AF209" i="2" s="1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B210" i="2"/>
  <c r="C210" i="2"/>
  <c r="D210" i="2"/>
  <c r="AF210" i="2" s="1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B211" i="2"/>
  <c r="C211" i="2"/>
  <c r="D211" i="2"/>
  <c r="AF211" i="2" s="1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B212" i="2"/>
  <c r="C212" i="2"/>
  <c r="D212" i="2"/>
  <c r="AF212" i="2" s="1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B213" i="2"/>
  <c r="C213" i="2"/>
  <c r="D213" i="2"/>
  <c r="AF213" i="2" s="1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B214" i="2"/>
  <c r="C214" i="2"/>
  <c r="D214" i="2"/>
  <c r="AF214" i="2" s="1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B215" i="2"/>
  <c r="C215" i="2"/>
  <c r="D215" i="2"/>
  <c r="AF215" i="2" s="1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B216" i="2"/>
  <c r="C216" i="2"/>
  <c r="D216" i="2"/>
  <c r="AF216" i="2" s="1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B217" i="2"/>
  <c r="C217" i="2"/>
  <c r="D217" i="2"/>
  <c r="AF217" i="2" s="1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B218" i="2"/>
  <c r="C218" i="2"/>
  <c r="D218" i="2"/>
  <c r="AF218" i="2" s="1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B219" i="2"/>
  <c r="C219" i="2"/>
  <c r="D219" i="2"/>
  <c r="AF219" i="2" s="1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B220" i="2"/>
  <c r="C220" i="2"/>
  <c r="D220" i="2"/>
  <c r="AF220" i="2" s="1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B221" i="2"/>
  <c r="C221" i="2"/>
  <c r="D221" i="2"/>
  <c r="AF221" i="2" s="1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B222" i="2"/>
  <c r="C222" i="2"/>
  <c r="D222" i="2"/>
  <c r="AF222" i="2" s="1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B223" i="2"/>
  <c r="C223" i="2"/>
  <c r="D223" i="2"/>
  <c r="AF223" i="2" s="1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B224" i="2"/>
  <c r="C224" i="2"/>
  <c r="D224" i="2"/>
  <c r="AF224" i="2" s="1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B225" i="2"/>
  <c r="C225" i="2"/>
  <c r="D225" i="2"/>
  <c r="AF225" i="2" s="1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B226" i="2"/>
  <c r="C226" i="2"/>
  <c r="D226" i="2"/>
  <c r="AF226" i="2" s="1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B227" i="2"/>
  <c r="C227" i="2"/>
  <c r="D227" i="2"/>
  <c r="AF227" i="2" s="1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B228" i="2"/>
  <c r="C228" i="2"/>
  <c r="D228" i="2"/>
  <c r="AF228" i="2" s="1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B229" i="2"/>
  <c r="C229" i="2"/>
  <c r="D229" i="2"/>
  <c r="AF229" i="2" s="1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B230" i="2"/>
  <c r="C230" i="2"/>
  <c r="D230" i="2"/>
  <c r="AF230" i="2" s="1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B231" i="2"/>
  <c r="C231" i="2"/>
  <c r="D231" i="2"/>
  <c r="AF231" i="2" s="1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B232" i="2"/>
  <c r="C232" i="2"/>
  <c r="D232" i="2"/>
  <c r="AF232" i="2" s="1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B233" i="2"/>
  <c r="C233" i="2"/>
  <c r="D233" i="2"/>
  <c r="AF233" i="2" s="1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B234" i="2"/>
  <c r="C234" i="2"/>
  <c r="D234" i="2"/>
  <c r="AF234" i="2" s="1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B235" i="2"/>
  <c r="C235" i="2"/>
  <c r="D235" i="2"/>
  <c r="AF235" i="2" s="1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B236" i="2"/>
  <c r="C236" i="2"/>
  <c r="D236" i="2"/>
  <c r="AF236" i="2" s="1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B237" i="2"/>
  <c r="C237" i="2"/>
  <c r="D237" i="2"/>
  <c r="AF237" i="2" s="1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B238" i="2"/>
  <c r="C238" i="2"/>
  <c r="D238" i="2"/>
  <c r="AF238" i="2" s="1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B239" i="2"/>
  <c r="C239" i="2"/>
  <c r="D239" i="2"/>
  <c r="AF239" i="2" s="1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B240" i="2"/>
  <c r="C240" i="2"/>
  <c r="D240" i="2"/>
  <c r="AF240" i="2" s="1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B241" i="2"/>
  <c r="C241" i="2"/>
  <c r="D241" i="2"/>
  <c r="AF241" i="2" s="1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B242" i="2"/>
  <c r="C242" i="2"/>
  <c r="D242" i="2"/>
  <c r="AF242" i="2" s="1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B243" i="2"/>
  <c r="C243" i="2"/>
  <c r="D243" i="2"/>
  <c r="AF243" i="2" s="1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B244" i="2"/>
  <c r="C244" i="2"/>
  <c r="D244" i="2"/>
  <c r="AF244" i="2" s="1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B245" i="2"/>
  <c r="C245" i="2"/>
  <c r="D245" i="2"/>
  <c r="AF245" i="2" s="1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B246" i="2"/>
  <c r="C246" i="2"/>
  <c r="D246" i="2"/>
  <c r="AF246" i="2" s="1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B247" i="2"/>
  <c r="C247" i="2"/>
  <c r="D247" i="2"/>
  <c r="AF247" i="2" s="1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B248" i="2"/>
  <c r="C248" i="2"/>
  <c r="D248" i="2"/>
  <c r="AF248" i="2" s="1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B249" i="2"/>
  <c r="C249" i="2"/>
  <c r="D249" i="2"/>
  <c r="AF249" i="2" s="1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B250" i="2"/>
  <c r="C250" i="2"/>
  <c r="D250" i="2"/>
  <c r="AF250" i="2" s="1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B251" i="2"/>
  <c r="C251" i="2"/>
  <c r="D251" i="2"/>
  <c r="AF251" i="2" s="1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B252" i="2"/>
  <c r="C252" i="2"/>
  <c r="D252" i="2"/>
  <c r="AF252" i="2" s="1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B253" i="2"/>
  <c r="C253" i="2"/>
  <c r="D253" i="2"/>
  <c r="AF253" i="2" s="1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B254" i="2"/>
  <c r="C254" i="2"/>
  <c r="D254" i="2"/>
  <c r="AF254" i="2" s="1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B255" i="2"/>
  <c r="C255" i="2"/>
  <c r="D255" i="2"/>
  <c r="AF255" i="2" s="1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B256" i="2"/>
  <c r="C256" i="2"/>
  <c r="D256" i="2"/>
  <c r="AF256" i="2" s="1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B257" i="2"/>
  <c r="C257" i="2"/>
  <c r="D257" i="2"/>
  <c r="AF257" i="2" s="1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B258" i="2"/>
  <c r="C258" i="2"/>
  <c r="D258" i="2"/>
  <c r="AF258" i="2" s="1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B259" i="2"/>
  <c r="C259" i="2"/>
  <c r="D259" i="2"/>
  <c r="AF259" i="2" s="1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B260" i="2"/>
  <c r="C260" i="2"/>
  <c r="D260" i="2"/>
  <c r="AF260" i="2" s="1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B261" i="2"/>
  <c r="C261" i="2"/>
  <c r="D261" i="2"/>
  <c r="AF261" i="2" s="1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B262" i="2"/>
  <c r="C262" i="2"/>
  <c r="D262" i="2"/>
  <c r="AF262" i="2" s="1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B263" i="2"/>
  <c r="C263" i="2"/>
  <c r="D263" i="2"/>
  <c r="AF263" i="2" s="1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B264" i="2"/>
  <c r="C264" i="2"/>
  <c r="D264" i="2"/>
  <c r="AF264" i="2" s="1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B265" i="2"/>
  <c r="C265" i="2"/>
  <c r="D265" i="2"/>
  <c r="AF265" i="2" s="1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B266" i="2"/>
  <c r="C266" i="2"/>
  <c r="D266" i="2"/>
  <c r="AF266" i="2" s="1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B267" i="2"/>
  <c r="C267" i="2"/>
  <c r="D267" i="2"/>
  <c r="AF267" i="2" s="1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B268" i="2"/>
  <c r="C268" i="2"/>
  <c r="D268" i="2"/>
  <c r="AF268" i="2" s="1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B269" i="2"/>
  <c r="C269" i="2"/>
  <c r="D269" i="2"/>
  <c r="AF269" i="2" s="1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B270" i="2"/>
  <c r="C270" i="2"/>
  <c r="D270" i="2"/>
  <c r="AF270" i="2" s="1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B271" i="2"/>
  <c r="C271" i="2"/>
  <c r="D271" i="2"/>
  <c r="AF271" i="2" s="1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B272" i="2"/>
  <c r="C272" i="2"/>
  <c r="D272" i="2"/>
  <c r="AF272" i="2" s="1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B273" i="2"/>
  <c r="C273" i="2"/>
  <c r="D273" i="2"/>
  <c r="AF273" i="2" s="1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B274" i="2"/>
  <c r="C274" i="2"/>
  <c r="D274" i="2"/>
  <c r="AF274" i="2" s="1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B275" i="2"/>
  <c r="C275" i="2"/>
  <c r="D275" i="2"/>
  <c r="AF275" i="2" s="1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B276" i="2"/>
  <c r="C276" i="2"/>
  <c r="D276" i="2"/>
  <c r="AF276" i="2" s="1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B277" i="2"/>
  <c r="C277" i="2"/>
  <c r="D277" i="2"/>
  <c r="AF277" i="2" s="1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B278" i="2"/>
  <c r="C278" i="2"/>
  <c r="D278" i="2"/>
  <c r="AF278" i="2" s="1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B279" i="2"/>
  <c r="C279" i="2"/>
  <c r="D279" i="2"/>
  <c r="AF279" i="2" s="1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B280" i="2"/>
  <c r="C280" i="2"/>
  <c r="D280" i="2"/>
  <c r="AF280" i="2" s="1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B281" i="2"/>
  <c r="C281" i="2"/>
  <c r="D281" i="2"/>
  <c r="AF281" i="2" s="1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B282" i="2"/>
  <c r="C282" i="2"/>
  <c r="D282" i="2"/>
  <c r="AF282" i="2" s="1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B283" i="2"/>
  <c r="C283" i="2"/>
  <c r="D283" i="2"/>
  <c r="AF283" i="2" s="1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B284" i="2"/>
  <c r="C284" i="2"/>
  <c r="D284" i="2"/>
  <c r="AF284" i="2" s="1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B285" i="2"/>
  <c r="C285" i="2"/>
  <c r="D285" i="2"/>
  <c r="AF285" i="2" s="1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B286" i="2"/>
  <c r="C286" i="2"/>
  <c r="D286" i="2"/>
  <c r="AF286" i="2" s="1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B287" i="2"/>
  <c r="C287" i="2"/>
  <c r="D287" i="2"/>
  <c r="AF287" i="2" s="1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B288" i="2"/>
  <c r="C288" i="2"/>
  <c r="D288" i="2"/>
  <c r="AF288" i="2" s="1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B289" i="2"/>
  <c r="C289" i="2"/>
  <c r="D289" i="2"/>
  <c r="AF289" i="2" s="1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B11" i="2"/>
  <c r="C11" i="2"/>
  <c r="D11" i="2"/>
  <c r="AF11" i="2" s="1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B12" i="2"/>
  <c r="C12" i="2"/>
  <c r="D12" i="2"/>
  <c r="AF12" i="2" s="1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B13" i="2"/>
  <c r="C13" i="2"/>
  <c r="D13" i="2"/>
  <c r="AF13" i="2" s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K10" i="2"/>
  <c r="L10" i="2"/>
  <c r="M10" i="2"/>
  <c r="N10" i="2"/>
  <c r="AF176" i="2" l="1"/>
  <c r="AF128" i="2"/>
  <c r="AH128" i="2" s="1"/>
  <c r="AF134" i="2"/>
  <c r="AF94" i="2"/>
  <c r="AF38" i="2"/>
  <c r="AF188" i="2"/>
  <c r="AF164" i="2"/>
  <c r="AF140" i="2"/>
  <c r="AF116" i="2"/>
  <c r="AF100" i="2"/>
  <c r="AI100" i="2" s="1"/>
  <c r="AF60" i="2"/>
  <c r="AF187" i="2"/>
  <c r="AJ187" i="2" s="1"/>
  <c r="AF194" i="2"/>
  <c r="AF170" i="2"/>
  <c r="AF146" i="2"/>
  <c r="AF122" i="2"/>
  <c r="AF82" i="2"/>
  <c r="AF193" i="2"/>
  <c r="AE15" i="2"/>
  <c r="AF15" i="2"/>
  <c r="AB13" i="2"/>
  <c r="AC13" i="2"/>
  <c r="AD13" i="2"/>
  <c r="AE13" i="2"/>
  <c r="AA13" i="2"/>
  <c r="AH13" i="2" s="1"/>
  <c r="AA12" i="2"/>
  <c r="AB12" i="2"/>
  <c r="AC12" i="2"/>
  <c r="AD12" i="2"/>
  <c r="AE12" i="2"/>
  <c r="AB11" i="2"/>
  <c r="AC11" i="2"/>
  <c r="AE11" i="2"/>
  <c r="AA11" i="2"/>
  <c r="AD11" i="2"/>
  <c r="AC289" i="2"/>
  <c r="AD289" i="2"/>
  <c r="AE289" i="2"/>
  <c r="AA289" i="2"/>
  <c r="AB289" i="2"/>
  <c r="AA288" i="2"/>
  <c r="AB288" i="2"/>
  <c r="AC288" i="2"/>
  <c r="AD288" i="2"/>
  <c r="AE288" i="2"/>
  <c r="AE287" i="2"/>
  <c r="AA287" i="2"/>
  <c r="AB287" i="2"/>
  <c r="AC287" i="2"/>
  <c r="AD287" i="2"/>
  <c r="AC286" i="2"/>
  <c r="AD286" i="2"/>
  <c r="AE286" i="2"/>
  <c r="AB286" i="2"/>
  <c r="AA286" i="2"/>
  <c r="AA285" i="2"/>
  <c r="AB285" i="2"/>
  <c r="AC285" i="2"/>
  <c r="AD285" i="2"/>
  <c r="AE285" i="2"/>
  <c r="AE284" i="2"/>
  <c r="AA284" i="2"/>
  <c r="AB284" i="2"/>
  <c r="AC284" i="2"/>
  <c r="AD284" i="2"/>
  <c r="AB283" i="2"/>
  <c r="AC283" i="2"/>
  <c r="AD283" i="2"/>
  <c r="AE283" i="2"/>
  <c r="AA283" i="2"/>
  <c r="AI283" i="2" s="1"/>
  <c r="AA282" i="2"/>
  <c r="AI282" i="2" s="1"/>
  <c r="AB282" i="2"/>
  <c r="AC282" i="2"/>
  <c r="AD282" i="2"/>
  <c r="AE282" i="2"/>
  <c r="AE281" i="2"/>
  <c r="AA281" i="2"/>
  <c r="AB281" i="2"/>
  <c r="AC281" i="2"/>
  <c r="AD281" i="2"/>
  <c r="AB280" i="2"/>
  <c r="AC280" i="2"/>
  <c r="AD280" i="2"/>
  <c r="AE280" i="2"/>
  <c r="AA280" i="2"/>
  <c r="AA279" i="2"/>
  <c r="AB279" i="2"/>
  <c r="AC279" i="2"/>
  <c r="AD279" i="2"/>
  <c r="AE279" i="2"/>
  <c r="AE278" i="2"/>
  <c r="AA278" i="2"/>
  <c r="AB278" i="2"/>
  <c r="AC278" i="2"/>
  <c r="AD278" i="2"/>
  <c r="AB277" i="2"/>
  <c r="AC277" i="2"/>
  <c r="AD277" i="2"/>
  <c r="AE277" i="2"/>
  <c r="AA277" i="2"/>
  <c r="AH277" i="2" s="1"/>
  <c r="AA276" i="2"/>
  <c r="AB276" i="2"/>
  <c r="AC276" i="2"/>
  <c r="AD276" i="2"/>
  <c r="AE276" i="2"/>
  <c r="AD275" i="2"/>
  <c r="AE275" i="2"/>
  <c r="AA275" i="2"/>
  <c r="AI275" i="2" s="1"/>
  <c r="AB275" i="2"/>
  <c r="AC275" i="2"/>
  <c r="AB274" i="2"/>
  <c r="AC274" i="2"/>
  <c r="AD274" i="2"/>
  <c r="AE274" i="2"/>
  <c r="AA274" i="2"/>
  <c r="AA273" i="2"/>
  <c r="AB273" i="2"/>
  <c r="AC273" i="2"/>
  <c r="AD273" i="2"/>
  <c r="AE273" i="2"/>
  <c r="AD272" i="2"/>
  <c r="AE272" i="2"/>
  <c r="AA272" i="2"/>
  <c r="AB272" i="2"/>
  <c r="AC272" i="2"/>
  <c r="AA271" i="2"/>
  <c r="AB271" i="2"/>
  <c r="AC271" i="2"/>
  <c r="AD271" i="2"/>
  <c r="AE271" i="2"/>
  <c r="AA270" i="2"/>
  <c r="AB270" i="2"/>
  <c r="AC270" i="2"/>
  <c r="AD270" i="2"/>
  <c r="AE270" i="2"/>
  <c r="AD269" i="2"/>
  <c r="AE269" i="2"/>
  <c r="AA269" i="2"/>
  <c r="AB269" i="2"/>
  <c r="AC269" i="2"/>
  <c r="AA268" i="2"/>
  <c r="AB268" i="2"/>
  <c r="AC268" i="2"/>
  <c r="AD268" i="2"/>
  <c r="AE268" i="2"/>
  <c r="AA267" i="2"/>
  <c r="AJ267" i="2" s="1"/>
  <c r="AB267" i="2"/>
  <c r="AC267" i="2"/>
  <c r="AD267" i="2"/>
  <c r="AE267" i="2"/>
  <c r="AD266" i="2"/>
  <c r="AE266" i="2"/>
  <c r="AA266" i="2"/>
  <c r="AB266" i="2"/>
  <c r="AC266" i="2"/>
  <c r="AA265" i="2"/>
  <c r="AB265" i="2"/>
  <c r="AC265" i="2"/>
  <c r="AD265" i="2"/>
  <c r="AE265" i="2"/>
  <c r="AA264" i="2"/>
  <c r="AH264" i="2" s="1"/>
  <c r="AB264" i="2"/>
  <c r="AC264" i="2"/>
  <c r="AD264" i="2"/>
  <c r="AE264" i="2"/>
  <c r="AC263" i="2"/>
  <c r="AD263" i="2"/>
  <c r="AE263" i="2"/>
  <c r="AA263" i="2"/>
  <c r="AB263" i="2"/>
  <c r="AA262" i="2"/>
  <c r="AH262" i="2" s="1"/>
  <c r="AB262" i="2"/>
  <c r="AC262" i="2"/>
  <c r="AD262" i="2"/>
  <c r="AE262" i="2"/>
  <c r="AA261" i="2"/>
  <c r="AB261" i="2"/>
  <c r="AC261" i="2"/>
  <c r="AD261" i="2"/>
  <c r="AE261" i="2"/>
  <c r="AC260" i="2"/>
  <c r="AD260" i="2"/>
  <c r="AE260" i="2"/>
  <c r="AA260" i="2"/>
  <c r="AB260" i="2"/>
  <c r="AA259" i="2"/>
  <c r="AI259" i="2" s="1"/>
  <c r="AB259" i="2"/>
  <c r="AC259" i="2"/>
  <c r="AD259" i="2"/>
  <c r="AE259" i="2"/>
  <c r="AA258" i="2"/>
  <c r="AB258" i="2"/>
  <c r="AC258" i="2"/>
  <c r="AD258" i="2"/>
  <c r="AE258" i="2"/>
  <c r="AC257" i="2"/>
  <c r="AD257" i="2"/>
  <c r="AE257" i="2"/>
  <c r="AA257" i="2"/>
  <c r="AB257" i="2"/>
  <c r="AA256" i="2"/>
  <c r="AB256" i="2"/>
  <c r="AC256" i="2"/>
  <c r="AD256" i="2"/>
  <c r="AE256" i="2"/>
  <c r="AE255" i="2"/>
  <c r="AA255" i="2"/>
  <c r="AB255" i="2"/>
  <c r="AC255" i="2"/>
  <c r="AD255" i="2"/>
  <c r="AC254" i="2"/>
  <c r="AD254" i="2"/>
  <c r="AE254" i="2"/>
  <c r="AA254" i="2"/>
  <c r="AB254" i="2"/>
  <c r="AA253" i="2"/>
  <c r="AB253" i="2"/>
  <c r="AC253" i="2"/>
  <c r="AD253" i="2"/>
  <c r="AE253" i="2"/>
  <c r="AE252" i="2"/>
  <c r="AA252" i="2"/>
  <c r="AB252" i="2"/>
  <c r="AC252" i="2"/>
  <c r="AD252" i="2"/>
  <c r="AB251" i="2"/>
  <c r="AC251" i="2"/>
  <c r="AD251" i="2"/>
  <c r="AE251" i="2"/>
  <c r="AA251" i="2"/>
  <c r="AI251" i="2" s="1"/>
  <c r="AA250" i="2"/>
  <c r="AB250" i="2"/>
  <c r="AC250" i="2"/>
  <c r="AD250" i="2"/>
  <c r="AE250" i="2"/>
  <c r="AE249" i="2"/>
  <c r="AA249" i="2"/>
  <c r="AB249" i="2"/>
  <c r="AC249" i="2"/>
  <c r="AD249" i="2"/>
  <c r="AB248" i="2"/>
  <c r="AC248" i="2"/>
  <c r="AD248" i="2"/>
  <c r="AE248" i="2"/>
  <c r="AA248" i="2"/>
  <c r="AJ248" i="2" s="1"/>
  <c r="AA247" i="2"/>
  <c r="AB247" i="2"/>
  <c r="AC247" i="2"/>
  <c r="AD247" i="2"/>
  <c r="AE247" i="2"/>
  <c r="AE246" i="2"/>
  <c r="AA246" i="2"/>
  <c r="AB246" i="2"/>
  <c r="AC246" i="2"/>
  <c r="AD246" i="2"/>
  <c r="AB245" i="2"/>
  <c r="AC245" i="2"/>
  <c r="AD245" i="2"/>
  <c r="AE245" i="2"/>
  <c r="AA245" i="2"/>
  <c r="AA244" i="2"/>
  <c r="AJ244" i="2" s="1"/>
  <c r="AB244" i="2"/>
  <c r="AC244" i="2"/>
  <c r="AD244" i="2"/>
  <c r="AE244" i="2"/>
  <c r="AD243" i="2"/>
  <c r="AE243" i="2"/>
  <c r="AA243" i="2"/>
  <c r="AI243" i="2" s="1"/>
  <c r="AB243" i="2"/>
  <c r="AC243" i="2"/>
  <c r="AB242" i="2"/>
  <c r="AC242" i="2"/>
  <c r="AD242" i="2"/>
  <c r="AE242" i="2"/>
  <c r="AA242" i="2"/>
  <c r="AA241" i="2"/>
  <c r="AB241" i="2"/>
  <c r="AC241" i="2"/>
  <c r="AD241" i="2"/>
  <c r="AE241" i="2"/>
  <c r="AD240" i="2"/>
  <c r="AE240" i="2"/>
  <c r="AA240" i="2"/>
  <c r="AH240" i="2" s="1"/>
  <c r="AB240" i="2"/>
  <c r="AC240" i="2"/>
  <c r="AA239" i="2"/>
  <c r="AI239" i="2" s="1"/>
  <c r="AB239" i="2"/>
  <c r="AC239" i="2"/>
  <c r="AD239" i="2"/>
  <c r="AE239" i="2"/>
  <c r="AA238" i="2"/>
  <c r="AJ238" i="2" s="1"/>
  <c r="AB238" i="2"/>
  <c r="AC238" i="2"/>
  <c r="AD238" i="2"/>
  <c r="AE238" i="2"/>
  <c r="AD237" i="2"/>
  <c r="AE237" i="2"/>
  <c r="AA237" i="2"/>
  <c r="AH237" i="2" s="1"/>
  <c r="AB237" i="2"/>
  <c r="AC237" i="2"/>
  <c r="AA236" i="2"/>
  <c r="AB236" i="2"/>
  <c r="AC236" i="2"/>
  <c r="AD236" i="2"/>
  <c r="AE236" i="2"/>
  <c r="AA235" i="2"/>
  <c r="AI235" i="2" s="1"/>
  <c r="AB235" i="2"/>
  <c r="AC235" i="2"/>
  <c r="AD235" i="2"/>
  <c r="AE235" i="2"/>
  <c r="AD234" i="2"/>
  <c r="AE234" i="2"/>
  <c r="AA234" i="2"/>
  <c r="AH234" i="2" s="1"/>
  <c r="AB234" i="2"/>
  <c r="AC234" i="2"/>
  <c r="AA233" i="2"/>
  <c r="AB233" i="2"/>
  <c r="AC233" i="2"/>
  <c r="AD233" i="2"/>
  <c r="AE233" i="2"/>
  <c r="AA232" i="2"/>
  <c r="AI232" i="2" s="1"/>
  <c r="AB232" i="2"/>
  <c r="AC232" i="2"/>
  <c r="AD232" i="2"/>
  <c r="AE232" i="2"/>
  <c r="AC231" i="2"/>
  <c r="AD231" i="2"/>
  <c r="AE231" i="2"/>
  <c r="AA231" i="2"/>
  <c r="AH231" i="2" s="1"/>
  <c r="AB231" i="2"/>
  <c r="AA230" i="2"/>
  <c r="AB230" i="2"/>
  <c r="AC230" i="2"/>
  <c r="AD230" i="2"/>
  <c r="AE230" i="2"/>
  <c r="AA229" i="2"/>
  <c r="AB229" i="2"/>
  <c r="AC229" i="2"/>
  <c r="AD229" i="2"/>
  <c r="AE229" i="2"/>
  <c r="AC228" i="2"/>
  <c r="AD228" i="2"/>
  <c r="AE228" i="2"/>
  <c r="AA228" i="2"/>
  <c r="AB228" i="2"/>
  <c r="AA227" i="2"/>
  <c r="AI227" i="2" s="1"/>
  <c r="AB227" i="2"/>
  <c r="AC227" i="2"/>
  <c r="AD227" i="2"/>
  <c r="AE227" i="2"/>
  <c r="AA226" i="2"/>
  <c r="AJ226" i="2" s="1"/>
  <c r="AB226" i="2"/>
  <c r="AC226" i="2"/>
  <c r="AD226" i="2"/>
  <c r="AE226" i="2"/>
  <c r="AC225" i="2"/>
  <c r="AD225" i="2"/>
  <c r="AE225" i="2"/>
  <c r="AA225" i="2"/>
  <c r="AB225" i="2"/>
  <c r="AA224" i="2"/>
  <c r="AH224" i="2" s="1"/>
  <c r="AB224" i="2"/>
  <c r="AC224" i="2"/>
  <c r="AD224" i="2"/>
  <c r="AE224" i="2"/>
  <c r="AE223" i="2"/>
  <c r="AA223" i="2"/>
  <c r="AB223" i="2"/>
  <c r="AC223" i="2"/>
  <c r="AD223" i="2"/>
  <c r="AC222" i="2"/>
  <c r="AD222" i="2"/>
  <c r="AE222" i="2"/>
  <c r="AA222" i="2"/>
  <c r="AB222" i="2"/>
  <c r="AA221" i="2"/>
  <c r="AJ221" i="2" s="1"/>
  <c r="AB221" i="2"/>
  <c r="AC221" i="2"/>
  <c r="AD221" i="2"/>
  <c r="AE221" i="2"/>
  <c r="AE220" i="2"/>
  <c r="AA220" i="2"/>
  <c r="AB220" i="2"/>
  <c r="AC220" i="2"/>
  <c r="AD220" i="2"/>
  <c r="AB219" i="2"/>
  <c r="AC219" i="2"/>
  <c r="AD219" i="2"/>
  <c r="AE219" i="2"/>
  <c r="AA219" i="2"/>
  <c r="AI219" i="2" s="1"/>
  <c r="AA218" i="2"/>
  <c r="AB218" i="2"/>
  <c r="AC218" i="2"/>
  <c r="AD218" i="2"/>
  <c r="AE218" i="2"/>
  <c r="AE217" i="2"/>
  <c r="AA217" i="2"/>
  <c r="AB217" i="2"/>
  <c r="AC217" i="2"/>
  <c r="AD217" i="2"/>
  <c r="AB216" i="2"/>
  <c r="AC216" i="2"/>
  <c r="AD216" i="2"/>
  <c r="AE216" i="2"/>
  <c r="AA216" i="2"/>
  <c r="AA215" i="2"/>
  <c r="AI215" i="2" s="1"/>
  <c r="AB215" i="2"/>
  <c r="AC215" i="2"/>
  <c r="AD215" i="2"/>
  <c r="AE215" i="2"/>
  <c r="AE214" i="2"/>
  <c r="AA214" i="2"/>
  <c r="AI214" i="2" s="1"/>
  <c r="AB214" i="2"/>
  <c r="AC214" i="2"/>
  <c r="AD214" i="2"/>
  <c r="AB213" i="2"/>
  <c r="AC213" i="2"/>
  <c r="AD213" i="2"/>
  <c r="AE213" i="2"/>
  <c r="AA213" i="2"/>
  <c r="AH213" i="2" s="1"/>
  <c r="AA212" i="2"/>
  <c r="AI212" i="2" s="1"/>
  <c r="AB212" i="2"/>
  <c r="AC212" i="2"/>
  <c r="AD212" i="2"/>
  <c r="AE212" i="2"/>
  <c r="AD211" i="2"/>
  <c r="AE211" i="2"/>
  <c r="AA211" i="2"/>
  <c r="AI211" i="2" s="1"/>
  <c r="AB211" i="2"/>
  <c r="AC211" i="2"/>
  <c r="AB210" i="2"/>
  <c r="AC210" i="2"/>
  <c r="AD210" i="2"/>
  <c r="AE210" i="2"/>
  <c r="AA210" i="2"/>
  <c r="AA209" i="2"/>
  <c r="AB209" i="2"/>
  <c r="AC209" i="2"/>
  <c r="AD209" i="2"/>
  <c r="AE209" i="2"/>
  <c r="AD208" i="2"/>
  <c r="AE208" i="2"/>
  <c r="AA208" i="2"/>
  <c r="AI208" i="2" s="1"/>
  <c r="AB208" i="2"/>
  <c r="AC208" i="2"/>
  <c r="AA207" i="2"/>
  <c r="AB207" i="2"/>
  <c r="AC207" i="2"/>
  <c r="AD207" i="2"/>
  <c r="AE207" i="2"/>
  <c r="AA206" i="2"/>
  <c r="AB206" i="2"/>
  <c r="AC206" i="2"/>
  <c r="AD206" i="2"/>
  <c r="AE206" i="2"/>
  <c r="AD205" i="2"/>
  <c r="AE205" i="2"/>
  <c r="AA205" i="2"/>
  <c r="AJ205" i="2" s="1"/>
  <c r="AB205" i="2"/>
  <c r="AC205" i="2"/>
  <c r="AA204" i="2"/>
  <c r="AB204" i="2"/>
  <c r="AC204" i="2"/>
  <c r="AD204" i="2"/>
  <c r="AE204" i="2"/>
  <c r="AA203" i="2"/>
  <c r="AJ203" i="2" s="1"/>
  <c r="AB203" i="2"/>
  <c r="AC203" i="2"/>
  <c r="AD203" i="2"/>
  <c r="AE203" i="2"/>
  <c r="AD202" i="2"/>
  <c r="AE202" i="2"/>
  <c r="AA202" i="2"/>
  <c r="AB202" i="2"/>
  <c r="AC202" i="2"/>
  <c r="AA201" i="2"/>
  <c r="AB201" i="2"/>
  <c r="AC201" i="2"/>
  <c r="AD201" i="2"/>
  <c r="AE201" i="2"/>
  <c r="AA200" i="2"/>
  <c r="AB200" i="2"/>
  <c r="AC200" i="2"/>
  <c r="AD200" i="2"/>
  <c r="AE200" i="2"/>
  <c r="AC199" i="2"/>
  <c r="AD199" i="2"/>
  <c r="AE199" i="2"/>
  <c r="AA199" i="2"/>
  <c r="AH199" i="2" s="1"/>
  <c r="AB199" i="2"/>
  <c r="AA198" i="2"/>
  <c r="AB198" i="2"/>
  <c r="AC198" i="2"/>
  <c r="AD198" i="2"/>
  <c r="AE198" i="2"/>
  <c r="AA197" i="2"/>
  <c r="AB197" i="2"/>
  <c r="AC197" i="2"/>
  <c r="AD197" i="2"/>
  <c r="AE197" i="2"/>
  <c r="AC196" i="2"/>
  <c r="AD196" i="2"/>
  <c r="AE196" i="2"/>
  <c r="AA196" i="2"/>
  <c r="AB196" i="2"/>
  <c r="AA195" i="2"/>
  <c r="AI195" i="2" s="1"/>
  <c r="AB195" i="2"/>
  <c r="AC195" i="2"/>
  <c r="AD195" i="2"/>
  <c r="AE195" i="2"/>
  <c r="AA194" i="2"/>
  <c r="AB194" i="2"/>
  <c r="AC194" i="2"/>
  <c r="AD194" i="2"/>
  <c r="AC193" i="2"/>
  <c r="AD193" i="2"/>
  <c r="AE193" i="2"/>
  <c r="AA193" i="2"/>
  <c r="AA192" i="2"/>
  <c r="AH192" i="2" s="1"/>
  <c r="AB192" i="2"/>
  <c r="AC192" i="2"/>
  <c r="AD192" i="2"/>
  <c r="AE192" i="2"/>
  <c r="AE191" i="2"/>
  <c r="AA191" i="2"/>
  <c r="AB191" i="2"/>
  <c r="AC191" i="2"/>
  <c r="AC190" i="2"/>
  <c r="AD190" i="2"/>
  <c r="AE190" i="2"/>
  <c r="AA190" i="2"/>
  <c r="AA189" i="2"/>
  <c r="AJ189" i="2" s="1"/>
  <c r="AB189" i="2"/>
  <c r="AC189" i="2"/>
  <c r="AD189" i="2"/>
  <c r="AE189" i="2"/>
  <c r="AE188" i="2"/>
  <c r="AA188" i="2"/>
  <c r="AB188" i="2"/>
  <c r="AC188" i="2"/>
  <c r="AB187" i="2"/>
  <c r="AC187" i="2"/>
  <c r="AD187" i="2"/>
  <c r="AE187" i="2"/>
  <c r="AB186" i="2"/>
  <c r="AC186" i="2"/>
  <c r="AD186" i="2"/>
  <c r="AA186" i="2"/>
  <c r="AJ186" i="2" s="1"/>
  <c r="AE186" i="2"/>
  <c r="AA185" i="2"/>
  <c r="AB185" i="2"/>
  <c r="AC185" i="2"/>
  <c r="AD185" i="2"/>
  <c r="AE185" i="2"/>
  <c r="AD184" i="2"/>
  <c r="AE184" i="2"/>
  <c r="AA184" i="2"/>
  <c r="AB184" i="2"/>
  <c r="AC184" i="2"/>
  <c r="AA183" i="2"/>
  <c r="AB183" i="2"/>
  <c r="AC183" i="2"/>
  <c r="AD183" i="2"/>
  <c r="AE183" i="2"/>
  <c r="AA182" i="2"/>
  <c r="AB182" i="2"/>
  <c r="AC182" i="2"/>
  <c r="AD182" i="2"/>
  <c r="AE182" i="2"/>
  <c r="AD181" i="2"/>
  <c r="AE181" i="2"/>
  <c r="AA181" i="2"/>
  <c r="AB181" i="2"/>
  <c r="AC181" i="2"/>
  <c r="AA180" i="2"/>
  <c r="AJ180" i="2" s="1"/>
  <c r="AB180" i="2"/>
  <c r="AC180" i="2"/>
  <c r="AD180" i="2"/>
  <c r="AE180" i="2"/>
  <c r="AA179" i="2"/>
  <c r="AI179" i="2" s="1"/>
  <c r="AB179" i="2"/>
  <c r="AC179" i="2"/>
  <c r="AD179" i="2"/>
  <c r="AE179" i="2"/>
  <c r="AD178" i="2"/>
  <c r="AE178" i="2"/>
  <c r="AA178" i="2"/>
  <c r="AB178" i="2"/>
  <c r="AC178" i="2"/>
  <c r="AA177" i="2"/>
  <c r="AJ177" i="2" s="1"/>
  <c r="AB177" i="2"/>
  <c r="AC177" i="2"/>
  <c r="AD177" i="2"/>
  <c r="AE177" i="2"/>
  <c r="AA176" i="2"/>
  <c r="AB176" i="2"/>
  <c r="AC176" i="2"/>
  <c r="AD176" i="2"/>
  <c r="AC175" i="2"/>
  <c r="AD175" i="2"/>
  <c r="AE175" i="2"/>
  <c r="AA175" i="2"/>
  <c r="AH175" i="2" s="1"/>
  <c r="AB175" i="2"/>
  <c r="AA174" i="2"/>
  <c r="AB174" i="2"/>
  <c r="AC174" i="2"/>
  <c r="AD174" i="2"/>
  <c r="AE174" i="2"/>
  <c r="AA173" i="2"/>
  <c r="AB173" i="2"/>
  <c r="AC173" i="2"/>
  <c r="AD173" i="2"/>
  <c r="AE173" i="2"/>
  <c r="AC172" i="2"/>
  <c r="AD172" i="2"/>
  <c r="AE172" i="2"/>
  <c r="AA172" i="2"/>
  <c r="AI172" i="2" s="1"/>
  <c r="AB172" i="2"/>
  <c r="AA171" i="2"/>
  <c r="AI171" i="2" s="1"/>
  <c r="AB171" i="2"/>
  <c r="AC171" i="2"/>
  <c r="AD171" i="2"/>
  <c r="AE171" i="2"/>
  <c r="AA170" i="2"/>
  <c r="AB170" i="2"/>
  <c r="AC170" i="2"/>
  <c r="AD170" i="2"/>
  <c r="AC169" i="2"/>
  <c r="AD169" i="2"/>
  <c r="AE169" i="2"/>
  <c r="AA169" i="2"/>
  <c r="AB169" i="2"/>
  <c r="AA168" i="2"/>
  <c r="AB168" i="2"/>
  <c r="AC168" i="2"/>
  <c r="AD168" i="2"/>
  <c r="AE168" i="2"/>
  <c r="AE167" i="2"/>
  <c r="AA167" i="2"/>
  <c r="AJ167" i="2" s="1"/>
  <c r="AB167" i="2"/>
  <c r="AC167" i="2"/>
  <c r="AD167" i="2"/>
  <c r="AC166" i="2"/>
  <c r="AD166" i="2"/>
  <c r="AE166" i="2"/>
  <c r="AA166" i="2"/>
  <c r="AB166" i="2"/>
  <c r="AA165" i="2"/>
  <c r="AB165" i="2"/>
  <c r="AC165" i="2"/>
  <c r="AD165" i="2"/>
  <c r="AE165" i="2"/>
  <c r="AE164" i="2"/>
  <c r="AA164" i="2"/>
  <c r="AB164" i="2"/>
  <c r="AC164" i="2"/>
  <c r="AB163" i="2"/>
  <c r="AC163" i="2"/>
  <c r="AD163" i="2"/>
  <c r="AE163" i="2"/>
  <c r="AA163" i="2"/>
  <c r="AI163" i="2" s="1"/>
  <c r="AA162" i="2"/>
  <c r="AJ162" i="2" s="1"/>
  <c r="AB162" i="2"/>
  <c r="AC162" i="2"/>
  <c r="AD162" i="2"/>
  <c r="AE162" i="2"/>
  <c r="AE161" i="2"/>
  <c r="AA161" i="2"/>
  <c r="AB161" i="2"/>
  <c r="AC161" i="2"/>
  <c r="AD161" i="2"/>
  <c r="AB160" i="2"/>
  <c r="AC160" i="2"/>
  <c r="AD160" i="2"/>
  <c r="AE160" i="2"/>
  <c r="AA160" i="2"/>
  <c r="AH160" i="2" s="1"/>
  <c r="AA159" i="2"/>
  <c r="AB159" i="2"/>
  <c r="AC159" i="2"/>
  <c r="AD159" i="2"/>
  <c r="AE159" i="2"/>
  <c r="AE158" i="2"/>
  <c r="AA158" i="2"/>
  <c r="AB158" i="2"/>
  <c r="AC158" i="2"/>
  <c r="AB157" i="2"/>
  <c r="AC157" i="2"/>
  <c r="AD157" i="2"/>
  <c r="AE157" i="2"/>
  <c r="AA157" i="2"/>
  <c r="AA156" i="2"/>
  <c r="AB156" i="2"/>
  <c r="AC156" i="2"/>
  <c r="AD156" i="2"/>
  <c r="AE156" i="2"/>
  <c r="AD155" i="2"/>
  <c r="AE155" i="2"/>
  <c r="AA155" i="2"/>
  <c r="AI155" i="2" s="1"/>
  <c r="AB155" i="2"/>
  <c r="AC155" i="2"/>
  <c r="AB154" i="2"/>
  <c r="AC154" i="2"/>
  <c r="AD154" i="2"/>
  <c r="AE154" i="2"/>
  <c r="AA154" i="2"/>
  <c r="AA153" i="2"/>
  <c r="AH153" i="2" s="1"/>
  <c r="AB153" i="2"/>
  <c r="AC153" i="2"/>
  <c r="AD153" i="2"/>
  <c r="AE153" i="2"/>
  <c r="AD152" i="2"/>
  <c r="AE152" i="2"/>
  <c r="AA152" i="2"/>
  <c r="AI152" i="2" s="1"/>
  <c r="AB152" i="2"/>
  <c r="AA151" i="2"/>
  <c r="AH151" i="2" s="1"/>
  <c r="AB151" i="2"/>
  <c r="AC151" i="2"/>
  <c r="AD151" i="2"/>
  <c r="AE151" i="2"/>
  <c r="AA150" i="2"/>
  <c r="AB150" i="2"/>
  <c r="AC150" i="2"/>
  <c r="AD150" i="2"/>
  <c r="AE150" i="2"/>
  <c r="AD149" i="2"/>
  <c r="AE149" i="2"/>
  <c r="AA149" i="2"/>
  <c r="AJ149" i="2" s="1"/>
  <c r="AB149" i="2"/>
  <c r="AC149" i="2"/>
  <c r="AA148" i="2"/>
  <c r="AI148" i="2" s="1"/>
  <c r="AB148" i="2"/>
  <c r="AC148" i="2"/>
  <c r="AD148" i="2"/>
  <c r="AE148" i="2"/>
  <c r="AA147" i="2"/>
  <c r="AI147" i="2" s="1"/>
  <c r="AB147" i="2"/>
  <c r="AC147" i="2"/>
  <c r="AD147" i="2"/>
  <c r="AE147" i="2"/>
  <c r="AD146" i="2"/>
  <c r="AE146" i="2"/>
  <c r="AA146" i="2"/>
  <c r="AB146" i="2"/>
  <c r="AA145" i="2"/>
  <c r="AB145" i="2"/>
  <c r="AC145" i="2"/>
  <c r="AD145" i="2"/>
  <c r="AE145" i="2"/>
  <c r="AA144" i="2"/>
  <c r="AB144" i="2"/>
  <c r="AC144" i="2"/>
  <c r="AD144" i="2"/>
  <c r="AE144" i="2"/>
  <c r="AC143" i="2"/>
  <c r="AD143" i="2"/>
  <c r="AE143" i="2"/>
  <c r="AA143" i="2"/>
  <c r="AI143" i="2" s="1"/>
  <c r="AB143" i="2"/>
  <c r="AA142" i="2"/>
  <c r="AB142" i="2"/>
  <c r="AC142" i="2"/>
  <c r="AD142" i="2"/>
  <c r="AE142" i="2"/>
  <c r="AA141" i="2"/>
  <c r="AB141" i="2"/>
  <c r="AC141" i="2"/>
  <c r="AD141" i="2"/>
  <c r="AE141" i="2"/>
  <c r="AC140" i="2"/>
  <c r="AD140" i="2"/>
  <c r="AE140" i="2"/>
  <c r="AA140" i="2"/>
  <c r="AA139" i="2"/>
  <c r="AI139" i="2" s="1"/>
  <c r="AB139" i="2"/>
  <c r="AC139" i="2"/>
  <c r="AD139" i="2"/>
  <c r="AE139" i="2"/>
  <c r="AA138" i="2"/>
  <c r="AB138" i="2"/>
  <c r="AC138" i="2"/>
  <c r="AD138" i="2"/>
  <c r="AE138" i="2"/>
  <c r="AC137" i="2"/>
  <c r="AD137" i="2"/>
  <c r="AE137" i="2"/>
  <c r="AA137" i="2"/>
  <c r="AI137" i="2" s="1"/>
  <c r="AB137" i="2"/>
  <c r="AA136" i="2"/>
  <c r="AI136" i="2" s="1"/>
  <c r="AB136" i="2"/>
  <c r="AC136" i="2"/>
  <c r="AD136" i="2"/>
  <c r="AE136" i="2"/>
  <c r="AE135" i="2"/>
  <c r="AA135" i="2"/>
  <c r="AH135" i="2" s="1"/>
  <c r="AB135" i="2"/>
  <c r="AC135" i="2"/>
  <c r="AD135" i="2"/>
  <c r="AC134" i="2"/>
  <c r="AD134" i="2"/>
  <c r="AE134" i="2"/>
  <c r="AA134" i="2"/>
  <c r="AA133" i="2"/>
  <c r="AB133" i="2"/>
  <c r="AC133" i="2"/>
  <c r="AD133" i="2"/>
  <c r="AE133" i="2"/>
  <c r="AE132" i="2"/>
  <c r="AA132" i="2"/>
  <c r="AB132" i="2"/>
  <c r="AC132" i="2"/>
  <c r="AD132" i="2"/>
  <c r="AB131" i="2"/>
  <c r="AC131" i="2"/>
  <c r="AD131" i="2"/>
  <c r="AE131" i="2"/>
  <c r="AA131" i="2"/>
  <c r="AI131" i="2" s="1"/>
  <c r="AA130" i="2"/>
  <c r="AB130" i="2"/>
  <c r="AC130" i="2"/>
  <c r="AD130" i="2"/>
  <c r="AE130" i="2"/>
  <c r="AE129" i="2"/>
  <c r="AA129" i="2"/>
  <c r="AB129" i="2"/>
  <c r="AC129" i="2"/>
  <c r="AD129" i="2"/>
  <c r="AB128" i="2"/>
  <c r="AC128" i="2"/>
  <c r="AD128" i="2"/>
  <c r="AE128" i="2"/>
  <c r="AA127" i="2"/>
  <c r="AJ127" i="2" s="1"/>
  <c r="AB127" i="2"/>
  <c r="AC127" i="2"/>
  <c r="AD127" i="2"/>
  <c r="AE127" i="2"/>
  <c r="AE126" i="2"/>
  <c r="AA126" i="2"/>
  <c r="AB126" i="2"/>
  <c r="AC126" i="2"/>
  <c r="AD126" i="2"/>
  <c r="AB125" i="2"/>
  <c r="AC125" i="2"/>
  <c r="AD125" i="2"/>
  <c r="AE125" i="2"/>
  <c r="AA125" i="2"/>
  <c r="AA124" i="2"/>
  <c r="AI124" i="2" s="1"/>
  <c r="AB124" i="2"/>
  <c r="AC124" i="2"/>
  <c r="AD124" i="2"/>
  <c r="AE124" i="2"/>
  <c r="AE123" i="2"/>
  <c r="AA123" i="2"/>
  <c r="AI123" i="2" s="1"/>
  <c r="AB123" i="2"/>
  <c r="AC123" i="2"/>
  <c r="AD123" i="2"/>
  <c r="AC122" i="2"/>
  <c r="AD122" i="2"/>
  <c r="AE122" i="2"/>
  <c r="AA122" i="2"/>
  <c r="AA121" i="2"/>
  <c r="AB121" i="2"/>
  <c r="AC121" i="2"/>
  <c r="AD121" i="2"/>
  <c r="AE121" i="2"/>
  <c r="AA120" i="2"/>
  <c r="AB120" i="2"/>
  <c r="AC120" i="2"/>
  <c r="AD120" i="2"/>
  <c r="AE120" i="2"/>
  <c r="AD119" i="2"/>
  <c r="AE119" i="2"/>
  <c r="AA119" i="2"/>
  <c r="AB119" i="2"/>
  <c r="AC119" i="2"/>
  <c r="AB118" i="2"/>
  <c r="AC118" i="2"/>
  <c r="AD118" i="2"/>
  <c r="AE118" i="2"/>
  <c r="AA118" i="2"/>
  <c r="AA117" i="2"/>
  <c r="AB117" i="2"/>
  <c r="AC117" i="2"/>
  <c r="AD117" i="2"/>
  <c r="AE117" i="2"/>
  <c r="AA116" i="2"/>
  <c r="AI116" i="2" s="1"/>
  <c r="AB116" i="2"/>
  <c r="AC116" i="2"/>
  <c r="AD116" i="2"/>
  <c r="AC115" i="2"/>
  <c r="AD115" i="2"/>
  <c r="AE115" i="2"/>
  <c r="AA115" i="2"/>
  <c r="AI115" i="2" s="1"/>
  <c r="AB115" i="2"/>
  <c r="AA114" i="2"/>
  <c r="AJ114" i="2" s="1"/>
  <c r="AB114" i="2"/>
  <c r="AC114" i="2"/>
  <c r="AD114" i="2"/>
  <c r="AE114" i="2"/>
  <c r="AA113" i="2"/>
  <c r="AB113" i="2"/>
  <c r="AC113" i="2"/>
  <c r="AD113" i="2"/>
  <c r="AE113" i="2"/>
  <c r="AE112" i="2"/>
  <c r="AA112" i="2"/>
  <c r="AB112" i="2"/>
  <c r="AC112" i="2"/>
  <c r="AD112" i="2"/>
  <c r="AB111" i="2"/>
  <c r="AC111" i="2"/>
  <c r="AD111" i="2"/>
  <c r="AE111" i="2"/>
  <c r="AA110" i="2"/>
  <c r="AJ110" i="2" s="1"/>
  <c r="AB110" i="2"/>
  <c r="AC110" i="2"/>
  <c r="AD110" i="2"/>
  <c r="AE110" i="2"/>
  <c r="AA109" i="2"/>
  <c r="AH109" i="2" s="1"/>
  <c r="AB109" i="2"/>
  <c r="AC109" i="2"/>
  <c r="AD109" i="2"/>
  <c r="AE109" i="2"/>
  <c r="AD108" i="2"/>
  <c r="AE108" i="2"/>
  <c r="AA108" i="2"/>
  <c r="AB108" i="2"/>
  <c r="AC108" i="2"/>
  <c r="AA107" i="2"/>
  <c r="AJ107" i="2" s="1"/>
  <c r="AB107" i="2"/>
  <c r="AC107" i="2"/>
  <c r="AD107" i="2"/>
  <c r="AE107" i="2"/>
  <c r="AA106" i="2"/>
  <c r="AB106" i="2"/>
  <c r="AC106" i="2"/>
  <c r="AD106" i="2"/>
  <c r="AE106" i="2"/>
  <c r="AE105" i="2"/>
  <c r="AA105" i="2"/>
  <c r="AB105" i="2"/>
  <c r="AC105" i="2"/>
  <c r="AC104" i="2"/>
  <c r="AD104" i="2"/>
  <c r="AE104" i="2"/>
  <c r="AA104" i="2"/>
  <c r="AB104" i="2"/>
  <c r="AA103" i="2"/>
  <c r="AB103" i="2"/>
  <c r="AC103" i="2"/>
  <c r="AD103" i="2"/>
  <c r="AE103" i="2"/>
  <c r="AA102" i="2"/>
  <c r="AB102" i="2"/>
  <c r="AC102" i="2"/>
  <c r="AD102" i="2"/>
  <c r="AE102" i="2"/>
  <c r="AD101" i="2"/>
  <c r="AE101" i="2"/>
  <c r="AA101" i="2"/>
  <c r="AB101" i="2"/>
  <c r="AC101" i="2"/>
  <c r="AB100" i="2"/>
  <c r="AC100" i="2"/>
  <c r="AD100" i="2"/>
  <c r="AE100" i="2"/>
  <c r="AA99" i="2"/>
  <c r="AI99" i="2" s="1"/>
  <c r="AB99" i="2"/>
  <c r="AC99" i="2"/>
  <c r="AD99" i="2"/>
  <c r="AE99" i="2"/>
  <c r="AE98" i="2"/>
  <c r="AA98" i="2"/>
  <c r="AH98" i="2" s="1"/>
  <c r="AB98" i="2"/>
  <c r="AC98" i="2"/>
  <c r="AD98" i="2"/>
  <c r="AC97" i="2"/>
  <c r="AD97" i="2"/>
  <c r="AE97" i="2"/>
  <c r="AA97" i="2"/>
  <c r="AB97" i="2"/>
  <c r="AA96" i="2"/>
  <c r="AH96" i="2" s="1"/>
  <c r="AB96" i="2"/>
  <c r="AC96" i="2"/>
  <c r="AD96" i="2"/>
  <c r="AE96" i="2"/>
  <c r="AA95" i="2"/>
  <c r="AB95" i="2"/>
  <c r="AC95" i="2"/>
  <c r="AD95" i="2"/>
  <c r="AE95" i="2"/>
  <c r="AD94" i="2"/>
  <c r="AE94" i="2"/>
  <c r="AA94" i="2"/>
  <c r="AB94" i="2"/>
  <c r="AB93" i="2"/>
  <c r="AC93" i="2"/>
  <c r="AD93" i="2"/>
  <c r="AE93" i="2"/>
  <c r="AA93" i="2"/>
  <c r="AA92" i="2"/>
  <c r="AH92" i="2" s="1"/>
  <c r="AB92" i="2"/>
  <c r="AC92" i="2"/>
  <c r="AD92" i="2"/>
  <c r="AE92" i="2"/>
  <c r="AB91" i="2"/>
  <c r="AE91" i="2"/>
  <c r="AA91" i="2"/>
  <c r="AI91" i="2" s="1"/>
  <c r="AC91" i="2"/>
  <c r="AD91" i="2"/>
  <c r="AA90" i="2"/>
  <c r="AB90" i="2"/>
  <c r="AC90" i="2"/>
  <c r="AD90" i="2"/>
  <c r="AE90" i="2"/>
  <c r="AA89" i="2"/>
  <c r="AJ89" i="2" s="1"/>
  <c r="AB89" i="2"/>
  <c r="AC89" i="2"/>
  <c r="AD89" i="2"/>
  <c r="AE89" i="2"/>
  <c r="AD88" i="2"/>
  <c r="AE88" i="2"/>
  <c r="AA88" i="2"/>
  <c r="AI88" i="2" s="1"/>
  <c r="AB88" i="2"/>
  <c r="AC88" i="2"/>
  <c r="AA87" i="2"/>
  <c r="AI87" i="2" s="1"/>
  <c r="AB87" i="2"/>
  <c r="AC87" i="2"/>
  <c r="AD87" i="2"/>
  <c r="AE87" i="2"/>
  <c r="AA86" i="2"/>
  <c r="AI86" i="2" s="1"/>
  <c r="AB86" i="2"/>
  <c r="AC86" i="2"/>
  <c r="AD86" i="2"/>
  <c r="AE86" i="2"/>
  <c r="AE85" i="2"/>
  <c r="AA85" i="2"/>
  <c r="AI85" i="2" s="1"/>
  <c r="AB85" i="2"/>
  <c r="AC85" i="2"/>
  <c r="AD85" i="2"/>
  <c r="AC84" i="2"/>
  <c r="AD84" i="2"/>
  <c r="AE84" i="2"/>
  <c r="AA84" i="2"/>
  <c r="AB84" i="2"/>
  <c r="AA83" i="2"/>
  <c r="AI83" i="2" s="1"/>
  <c r="AB83" i="2"/>
  <c r="AC83" i="2"/>
  <c r="AD83" i="2"/>
  <c r="AE83" i="2"/>
  <c r="AA82" i="2"/>
  <c r="AB82" i="2"/>
  <c r="AC82" i="2"/>
  <c r="AD82" i="2"/>
  <c r="AD81" i="2"/>
  <c r="AE81" i="2"/>
  <c r="AA81" i="2"/>
  <c r="AB81" i="2"/>
  <c r="AC81" i="2"/>
  <c r="AB80" i="2"/>
  <c r="AC80" i="2"/>
  <c r="AD80" i="2"/>
  <c r="AE80" i="2"/>
  <c r="AA80" i="2"/>
  <c r="AA79" i="2"/>
  <c r="AB79" i="2"/>
  <c r="AC79" i="2"/>
  <c r="AD79" i="2"/>
  <c r="AE79" i="2"/>
  <c r="AE78" i="2"/>
  <c r="AA78" i="2"/>
  <c r="AB78" i="2"/>
  <c r="AC78" i="2"/>
  <c r="AD78" i="2"/>
  <c r="AC77" i="2"/>
  <c r="AD77" i="2"/>
  <c r="AE77" i="2"/>
  <c r="AA77" i="2"/>
  <c r="AB77" i="2"/>
  <c r="AA76" i="2"/>
  <c r="AI76" i="2" s="1"/>
  <c r="AB76" i="2"/>
  <c r="AC76" i="2"/>
  <c r="AD76" i="2"/>
  <c r="AE76" i="2"/>
  <c r="AA75" i="2"/>
  <c r="AJ75" i="2" s="1"/>
  <c r="AB75" i="2"/>
  <c r="AC75" i="2"/>
  <c r="AD75" i="2"/>
  <c r="AE75" i="2"/>
  <c r="AD74" i="2"/>
  <c r="AE74" i="2"/>
  <c r="AA74" i="2"/>
  <c r="AH74" i="2" s="1"/>
  <c r="AB74" i="2"/>
  <c r="AC74" i="2"/>
  <c r="AB73" i="2"/>
  <c r="AC73" i="2"/>
  <c r="AD73" i="2"/>
  <c r="AE73" i="2"/>
  <c r="AA73" i="2"/>
  <c r="AJ73" i="2" s="1"/>
  <c r="AA72" i="2"/>
  <c r="AB72" i="2"/>
  <c r="AC72" i="2"/>
  <c r="AD72" i="2"/>
  <c r="AE72" i="2"/>
  <c r="AE71" i="2"/>
  <c r="AA71" i="2"/>
  <c r="AJ71" i="2" s="1"/>
  <c r="AB71" i="2"/>
  <c r="AC71" i="2"/>
  <c r="AD71" i="2"/>
  <c r="AC70" i="2"/>
  <c r="AD70" i="2"/>
  <c r="AE70" i="2"/>
  <c r="AA70" i="2"/>
  <c r="AH70" i="2" s="1"/>
  <c r="AB70" i="2"/>
  <c r="AA69" i="2"/>
  <c r="AB69" i="2"/>
  <c r="AC69" i="2"/>
  <c r="AD69" i="2"/>
  <c r="AE69" i="2"/>
  <c r="AA68" i="2"/>
  <c r="AI68" i="2" s="1"/>
  <c r="AB68" i="2"/>
  <c r="AC68" i="2"/>
  <c r="AD68" i="2"/>
  <c r="AE68" i="2"/>
  <c r="AD67" i="2"/>
  <c r="AE67" i="2"/>
  <c r="AA67" i="2"/>
  <c r="AI67" i="2" s="1"/>
  <c r="AB67" i="2"/>
  <c r="AC67" i="2"/>
  <c r="AB66" i="2"/>
  <c r="AC66" i="2"/>
  <c r="AD66" i="2"/>
  <c r="AE66" i="2"/>
  <c r="AA66" i="2"/>
  <c r="AA65" i="2"/>
  <c r="AB65" i="2"/>
  <c r="AC65" i="2"/>
  <c r="AD65" i="2"/>
  <c r="AE65" i="2"/>
  <c r="AA64" i="2"/>
  <c r="AH64" i="2" s="1"/>
  <c r="AB64" i="2"/>
  <c r="AC64" i="2"/>
  <c r="AD64" i="2"/>
  <c r="AE64" i="2"/>
  <c r="AC63" i="2"/>
  <c r="AD63" i="2"/>
  <c r="AE63" i="2"/>
  <c r="AA63" i="2"/>
  <c r="AB63" i="2"/>
  <c r="AA62" i="2"/>
  <c r="AB62" i="2"/>
  <c r="AC62" i="2"/>
  <c r="AD62" i="2"/>
  <c r="AE62" i="2"/>
  <c r="AA61" i="2"/>
  <c r="AI61" i="2" s="1"/>
  <c r="AB61" i="2"/>
  <c r="AC61" i="2"/>
  <c r="AD61" i="2"/>
  <c r="AE61" i="2"/>
  <c r="AE60" i="2"/>
  <c r="AA60" i="2"/>
  <c r="AI60" i="2" s="1"/>
  <c r="AB60" i="2"/>
  <c r="AC60" i="2"/>
  <c r="AB59" i="2"/>
  <c r="AC59" i="2"/>
  <c r="AD59" i="2"/>
  <c r="AE59" i="2"/>
  <c r="AA59" i="2"/>
  <c r="AH59" i="2" s="1"/>
  <c r="AA58" i="2"/>
  <c r="AI58" i="2" s="1"/>
  <c r="AB58" i="2"/>
  <c r="AC58" i="2"/>
  <c r="AD58" i="2"/>
  <c r="AE58" i="2"/>
  <c r="AA57" i="2"/>
  <c r="AJ57" i="2" s="1"/>
  <c r="AB57" i="2"/>
  <c r="AC57" i="2"/>
  <c r="AD57" i="2"/>
  <c r="AE57" i="2"/>
  <c r="AD56" i="2"/>
  <c r="AE56" i="2"/>
  <c r="AA56" i="2"/>
  <c r="AB56" i="2"/>
  <c r="AC56" i="2"/>
  <c r="AA55" i="2"/>
  <c r="AI55" i="2" s="1"/>
  <c r="AB55" i="2"/>
  <c r="AC55" i="2"/>
  <c r="AD55" i="2"/>
  <c r="AE55" i="2"/>
  <c r="AA54" i="2"/>
  <c r="AB54" i="2"/>
  <c r="AC54" i="2"/>
  <c r="AD54" i="2"/>
  <c r="AE54" i="2"/>
  <c r="AE53" i="2"/>
  <c r="AA53" i="2"/>
  <c r="AJ53" i="2" s="1"/>
  <c r="AB53" i="2"/>
  <c r="AC53" i="2"/>
  <c r="AD53" i="2"/>
  <c r="AC52" i="2"/>
  <c r="AD52" i="2"/>
  <c r="AE52" i="2"/>
  <c r="AA52" i="2"/>
  <c r="AI52" i="2" s="1"/>
  <c r="AB52" i="2"/>
  <c r="AA51" i="2"/>
  <c r="AI51" i="2" s="1"/>
  <c r="AB51" i="2"/>
  <c r="AC51" i="2"/>
  <c r="AD51" i="2"/>
  <c r="AE51" i="2"/>
  <c r="AA50" i="2"/>
  <c r="AJ50" i="2" s="1"/>
  <c r="AB50" i="2"/>
  <c r="AC50" i="2"/>
  <c r="AD50" i="2"/>
  <c r="AE50" i="2"/>
  <c r="AD49" i="2"/>
  <c r="AE49" i="2"/>
  <c r="AA49" i="2"/>
  <c r="AH49" i="2" s="1"/>
  <c r="AB49" i="2"/>
  <c r="AC49" i="2"/>
  <c r="AB48" i="2"/>
  <c r="AC48" i="2"/>
  <c r="AD48" i="2"/>
  <c r="AE48" i="2"/>
  <c r="AA48" i="2"/>
  <c r="AA47" i="2"/>
  <c r="AJ47" i="2" s="1"/>
  <c r="AB47" i="2"/>
  <c r="AC47" i="2"/>
  <c r="AD47" i="2"/>
  <c r="AE47" i="2"/>
  <c r="AE46" i="2"/>
  <c r="AA46" i="2"/>
  <c r="AB46" i="2"/>
  <c r="AC46" i="2"/>
  <c r="AD46" i="2"/>
  <c r="AC45" i="2"/>
  <c r="AD45" i="2"/>
  <c r="AE45" i="2"/>
  <c r="AA45" i="2"/>
  <c r="AI45" i="2" s="1"/>
  <c r="AB45" i="2"/>
  <c r="AA44" i="2"/>
  <c r="AI44" i="2" s="1"/>
  <c r="AB44" i="2"/>
  <c r="AC44" i="2"/>
  <c r="AD44" i="2"/>
  <c r="AE44" i="2"/>
  <c r="AA43" i="2"/>
  <c r="AI43" i="2" s="1"/>
  <c r="AB43" i="2"/>
  <c r="AC43" i="2"/>
  <c r="AD43" i="2"/>
  <c r="AE43" i="2"/>
  <c r="AD42" i="2"/>
  <c r="AE42" i="2"/>
  <c r="AA42" i="2"/>
  <c r="AH42" i="2" s="1"/>
  <c r="AB42" i="2"/>
  <c r="AC42" i="2"/>
  <c r="AB41" i="2"/>
  <c r="AC41" i="2"/>
  <c r="AD41" i="2"/>
  <c r="AE41" i="2"/>
  <c r="AA41" i="2"/>
  <c r="AA40" i="2"/>
  <c r="AB40" i="2"/>
  <c r="AC40" i="2"/>
  <c r="AD40" i="2"/>
  <c r="AE40" i="2"/>
  <c r="AE39" i="2"/>
  <c r="AA39" i="2"/>
  <c r="AI39" i="2" s="1"/>
  <c r="AB39" i="2"/>
  <c r="AC39" i="2"/>
  <c r="AD39" i="2"/>
  <c r="AC38" i="2"/>
  <c r="AD38" i="2"/>
  <c r="AE38" i="2"/>
  <c r="AA38" i="2"/>
  <c r="AH38" i="2" s="1"/>
  <c r="AA37" i="2"/>
  <c r="AI37" i="2" s="1"/>
  <c r="AB37" i="2"/>
  <c r="AC37" i="2"/>
  <c r="AD37" i="2"/>
  <c r="AE37" i="2"/>
  <c r="AA36" i="2"/>
  <c r="AJ36" i="2" s="1"/>
  <c r="AB36" i="2"/>
  <c r="AC36" i="2"/>
  <c r="AD36" i="2"/>
  <c r="AE36" i="2"/>
  <c r="AD35" i="2"/>
  <c r="AE35" i="2"/>
  <c r="AA35" i="2"/>
  <c r="AI35" i="2" s="1"/>
  <c r="AB35" i="2"/>
  <c r="AC35" i="2"/>
  <c r="AB34" i="2"/>
  <c r="AC34" i="2"/>
  <c r="AD34" i="2"/>
  <c r="AE34" i="2"/>
  <c r="AA34" i="2"/>
  <c r="AH34" i="2" s="1"/>
  <c r="AA33" i="2"/>
  <c r="AJ33" i="2" s="1"/>
  <c r="AB33" i="2"/>
  <c r="AC33" i="2"/>
  <c r="AD33" i="2"/>
  <c r="AE33" i="2"/>
  <c r="AA32" i="2"/>
  <c r="AH32" i="2" s="1"/>
  <c r="AB32" i="2"/>
  <c r="AC32" i="2"/>
  <c r="AD32" i="2"/>
  <c r="AE32" i="2"/>
  <c r="AC31" i="2"/>
  <c r="AD31" i="2"/>
  <c r="AE31" i="2"/>
  <c r="AA31" i="2"/>
  <c r="AB31" i="2"/>
  <c r="AA30" i="2"/>
  <c r="AJ30" i="2" s="1"/>
  <c r="AB30" i="2"/>
  <c r="AC30" i="2"/>
  <c r="AD30" i="2"/>
  <c r="AE30" i="2"/>
  <c r="AA29" i="2"/>
  <c r="AB29" i="2"/>
  <c r="AC29" i="2"/>
  <c r="AD29" i="2"/>
  <c r="AE29" i="2"/>
  <c r="AE28" i="2"/>
  <c r="AA28" i="2"/>
  <c r="AB28" i="2"/>
  <c r="AC28" i="2"/>
  <c r="AD28" i="2"/>
  <c r="AB27" i="2"/>
  <c r="AC27" i="2"/>
  <c r="AD27" i="2"/>
  <c r="AE27" i="2"/>
  <c r="AA27" i="2"/>
  <c r="AA26" i="2"/>
  <c r="AB26" i="2"/>
  <c r="AC26" i="2"/>
  <c r="AD26" i="2"/>
  <c r="AE26" i="2"/>
  <c r="AA25" i="2"/>
  <c r="AB25" i="2"/>
  <c r="AC25" i="2"/>
  <c r="AD25" i="2"/>
  <c r="AE25" i="2"/>
  <c r="AD24" i="2"/>
  <c r="AE24" i="2"/>
  <c r="AA24" i="2"/>
  <c r="AB24" i="2"/>
  <c r="AC24" i="2"/>
  <c r="AA23" i="2"/>
  <c r="AJ23" i="2" s="1"/>
  <c r="AB23" i="2"/>
  <c r="AC23" i="2"/>
  <c r="AD23" i="2"/>
  <c r="AE23" i="2"/>
  <c r="AD191" i="2"/>
  <c r="AD158" i="2"/>
  <c r="AA111" i="2"/>
  <c r="AB190" i="2"/>
  <c r="AC152" i="2"/>
  <c r="AD105" i="2"/>
  <c r="AA22" i="2"/>
  <c r="AH22" i="2" s="1"/>
  <c r="AB22" i="2"/>
  <c r="AC22" i="2"/>
  <c r="AD22" i="2"/>
  <c r="AE22" i="2"/>
  <c r="AE21" i="2"/>
  <c r="AA21" i="2"/>
  <c r="AB21" i="2"/>
  <c r="AC20" i="2"/>
  <c r="AD20" i="2"/>
  <c r="AE20" i="2"/>
  <c r="AA20" i="2"/>
  <c r="AB20" i="2"/>
  <c r="AA19" i="2"/>
  <c r="AB19" i="2"/>
  <c r="AC19" i="2"/>
  <c r="AD19" i="2"/>
  <c r="AE19" i="2"/>
  <c r="AA18" i="2"/>
  <c r="AB18" i="2"/>
  <c r="AC18" i="2"/>
  <c r="AD18" i="2"/>
  <c r="AE18" i="2"/>
  <c r="AD17" i="2"/>
  <c r="AE17" i="2"/>
  <c r="AA17" i="2"/>
  <c r="AB17" i="2"/>
  <c r="AC17" i="2"/>
  <c r="AA16" i="2"/>
  <c r="AB16" i="2"/>
  <c r="AC16" i="2"/>
  <c r="AD16" i="2"/>
  <c r="AE16" i="2"/>
  <c r="AA15" i="2"/>
  <c r="AB15" i="2"/>
  <c r="AC15" i="2"/>
  <c r="AD14" i="2"/>
  <c r="AE14" i="2"/>
  <c r="AA14" i="2"/>
  <c r="AH14" i="2" s="1"/>
  <c r="AB14" i="2"/>
  <c r="AC14" i="2"/>
  <c r="AD21" i="2"/>
  <c r="AC21" i="2"/>
  <c r="C10" i="2"/>
  <c r="D10" i="2"/>
  <c r="AF10" i="2" s="1"/>
  <c r="E10" i="2"/>
  <c r="F10" i="2"/>
  <c r="G10" i="2"/>
  <c r="H10" i="2"/>
  <c r="I10" i="2"/>
  <c r="J10" i="2"/>
  <c r="AI128" i="2" l="1"/>
  <c r="AJ128" i="2"/>
  <c r="AH188" i="2"/>
  <c r="AH100" i="2"/>
  <c r="AJ100" i="2"/>
  <c r="AN100" i="2" s="1"/>
  <c r="AI140" i="2"/>
  <c r="AH122" i="2"/>
  <c r="AH187" i="2"/>
  <c r="AI187" i="2"/>
  <c r="AN187" i="2"/>
  <c r="AJ16" i="2"/>
  <c r="AN16" i="2" s="1"/>
  <c r="AH16" i="2"/>
  <c r="AI16" i="2"/>
  <c r="AI111" i="2"/>
  <c r="AH111" i="2"/>
  <c r="AI46" i="2"/>
  <c r="AJ46" i="2"/>
  <c r="AN46" i="2" s="1"/>
  <c r="AJ62" i="2"/>
  <c r="AN62" i="2" s="1"/>
  <c r="AH62" i="2"/>
  <c r="AI62" i="2"/>
  <c r="AI66" i="2"/>
  <c r="AH66" i="2"/>
  <c r="AJ77" i="2"/>
  <c r="AH77" i="2"/>
  <c r="AJ106" i="2"/>
  <c r="AN106" i="2" s="1"/>
  <c r="AI106" i="2"/>
  <c r="AH106" i="2"/>
  <c r="AI108" i="2"/>
  <c r="AJ108" i="2"/>
  <c r="AN108" i="2" s="1"/>
  <c r="AH108" i="2"/>
  <c r="AH125" i="2"/>
  <c r="AI125" i="2"/>
  <c r="AI126" i="2"/>
  <c r="AH126" i="2"/>
  <c r="AJ126" i="2"/>
  <c r="AN126" i="2" s="1"/>
  <c r="AJ144" i="2"/>
  <c r="AN144" i="2" s="1"/>
  <c r="AH144" i="2"/>
  <c r="AJ159" i="2"/>
  <c r="AN159" i="2" s="1"/>
  <c r="AH159" i="2"/>
  <c r="AI182" i="2"/>
  <c r="AH182" i="2"/>
  <c r="AJ182" i="2"/>
  <c r="AN182" i="2" s="1"/>
  <c r="AJ184" i="2"/>
  <c r="AN184" i="2" s="1"/>
  <c r="AH184" i="2"/>
  <c r="AJ191" i="2"/>
  <c r="AN191" i="2" s="1"/>
  <c r="AH191" i="2"/>
  <c r="AI191" i="2"/>
  <c r="AJ207" i="2"/>
  <c r="AN207" i="2" s="1"/>
  <c r="AI207" i="2"/>
  <c r="AH207" i="2"/>
  <c r="AI220" i="2"/>
  <c r="AJ220" i="2"/>
  <c r="AI222" i="2"/>
  <c r="AH222" i="2"/>
  <c r="AJ222" i="2"/>
  <c r="AJ247" i="2"/>
  <c r="AN247" i="2" s="1"/>
  <c r="AH247" i="2"/>
  <c r="AJ252" i="2"/>
  <c r="AN252" i="2" s="1"/>
  <c r="AI252" i="2"/>
  <c r="AI254" i="2"/>
  <c r="AJ254" i="2"/>
  <c r="AN254" i="2" s="1"/>
  <c r="AH254" i="2"/>
  <c r="AJ271" i="2"/>
  <c r="AN271" i="2" s="1"/>
  <c r="AI271" i="2"/>
  <c r="AH279" i="2"/>
  <c r="AI279" i="2"/>
  <c r="AJ279" i="2"/>
  <c r="AN279" i="2" s="1"/>
  <c r="AI284" i="2"/>
  <c r="AJ284" i="2"/>
  <c r="AN284" i="2" s="1"/>
  <c r="AH85" i="2"/>
  <c r="AI247" i="2"/>
  <c r="AJ59" i="2"/>
  <c r="AN59" i="2" s="1"/>
  <c r="AJ91" i="2"/>
  <c r="AN91" i="2" s="1"/>
  <c r="AJ123" i="2"/>
  <c r="AN123" i="2" s="1"/>
  <c r="AJ155" i="2"/>
  <c r="AN155" i="2" s="1"/>
  <c r="AJ219" i="2"/>
  <c r="AJ251" i="2"/>
  <c r="AN251" i="2" s="1"/>
  <c r="AJ283" i="2"/>
  <c r="AN283" i="2" s="1"/>
  <c r="AI36" i="2"/>
  <c r="AJ140" i="2"/>
  <c r="AN140" i="2" s="1"/>
  <c r="AH252" i="2"/>
  <c r="AI109" i="2"/>
  <c r="AH143" i="2"/>
  <c r="AJ64" i="2"/>
  <c r="AH57" i="2"/>
  <c r="AI203" i="2"/>
  <c r="AH46" i="2"/>
  <c r="AI167" i="2"/>
  <c r="AH20" i="2"/>
  <c r="AI20" i="2"/>
  <c r="AJ25" i="2"/>
  <c r="AN25" i="2" s="1"/>
  <c r="AH25" i="2"/>
  <c r="AJ54" i="2"/>
  <c r="AN54" i="2" s="1"/>
  <c r="AI54" i="2"/>
  <c r="AH54" i="2"/>
  <c r="AJ56" i="2"/>
  <c r="AN56" i="2" s="1"/>
  <c r="AH56" i="2"/>
  <c r="AJ121" i="2"/>
  <c r="AN121" i="2" s="1"/>
  <c r="AI121" i="2"/>
  <c r="AH121" i="2"/>
  <c r="AJ136" i="2"/>
  <c r="AN136" i="2" s="1"/>
  <c r="AH136" i="2"/>
  <c r="AH141" i="2"/>
  <c r="AI141" i="2"/>
  <c r="AJ141" i="2"/>
  <c r="AN141" i="2" s="1"/>
  <c r="AH161" i="2"/>
  <c r="AJ161" i="2"/>
  <c r="AN161" i="2" s="1"/>
  <c r="AI161" i="2"/>
  <c r="AJ174" i="2"/>
  <c r="AN174" i="2" s="1"/>
  <c r="AH174" i="2"/>
  <c r="AJ181" i="2"/>
  <c r="AN181" i="2" s="1"/>
  <c r="AH181" i="2"/>
  <c r="AI181" i="2"/>
  <c r="AI186" i="2"/>
  <c r="AH186" i="2"/>
  <c r="AH189" i="2"/>
  <c r="AI189" i="2"/>
  <c r="AI204" i="2"/>
  <c r="AJ204" i="2"/>
  <c r="AN204" i="2" s="1"/>
  <c r="AJ216" i="2"/>
  <c r="AN216" i="2" s="1"/>
  <c r="AH216" i="2"/>
  <c r="AI217" i="2"/>
  <c r="AJ217" i="2"/>
  <c r="AN217" i="2" s="1"/>
  <c r="AI236" i="2"/>
  <c r="AJ236" i="2"/>
  <c r="AN236" i="2" s="1"/>
  <c r="AJ249" i="2"/>
  <c r="AN249" i="2" s="1"/>
  <c r="AH249" i="2"/>
  <c r="AI249" i="2"/>
  <c r="AI268" i="2"/>
  <c r="AJ268" i="2"/>
  <c r="AN268" i="2" s="1"/>
  <c r="AJ276" i="2"/>
  <c r="AN276" i="2" s="1"/>
  <c r="AH276" i="2"/>
  <c r="AI276" i="2"/>
  <c r="AH280" i="2"/>
  <c r="AI280" i="2"/>
  <c r="AI281" i="2"/>
  <c r="AJ281" i="2"/>
  <c r="AN281" i="2" s="1"/>
  <c r="AJ58" i="2"/>
  <c r="AN58" i="2" s="1"/>
  <c r="AJ199" i="2"/>
  <c r="AN199" i="2" s="1"/>
  <c r="AI75" i="2"/>
  <c r="AH35" i="2"/>
  <c r="AH67" i="2"/>
  <c r="AH99" i="2"/>
  <c r="AH131" i="2"/>
  <c r="AL131" i="2" s="1"/>
  <c r="AH163" i="2"/>
  <c r="AH195" i="2"/>
  <c r="AL195" i="2" s="1"/>
  <c r="AH227" i="2"/>
  <c r="AL227" i="2" s="1"/>
  <c r="AH259" i="2"/>
  <c r="AH215" i="2"/>
  <c r="AI144" i="2"/>
  <c r="AI216" i="2"/>
  <c r="AH44" i="2"/>
  <c r="AH76" i="2"/>
  <c r="AH148" i="2"/>
  <c r="AH204" i="2"/>
  <c r="AH268" i="2"/>
  <c r="AJ96" i="2"/>
  <c r="AN96" i="2" s="1"/>
  <c r="AI267" i="2"/>
  <c r="AI231" i="2"/>
  <c r="AM231" i="2" s="1"/>
  <c r="AH63" i="2"/>
  <c r="AI63" i="2"/>
  <c r="AJ63" i="2"/>
  <c r="AN63" i="2" s="1"/>
  <c r="AI72" i="2"/>
  <c r="AJ72" i="2"/>
  <c r="AH72" i="2"/>
  <c r="AI84" i="2"/>
  <c r="AJ84" i="2"/>
  <c r="AN84" i="2" s="1"/>
  <c r="AH97" i="2"/>
  <c r="AJ97" i="2"/>
  <c r="AN97" i="2" s="1"/>
  <c r="AI97" i="2"/>
  <c r="AH103" i="2"/>
  <c r="AI103" i="2"/>
  <c r="AH105" i="2"/>
  <c r="AJ105" i="2"/>
  <c r="AN105" i="2" s="1"/>
  <c r="AI105" i="2"/>
  <c r="AI113" i="2"/>
  <c r="AH113" i="2"/>
  <c r="AJ151" i="2"/>
  <c r="AN151" i="2" s="1"/>
  <c r="AI151" i="2"/>
  <c r="AI156" i="2"/>
  <c r="AJ156" i="2"/>
  <c r="AI158" i="2"/>
  <c r="AH158" i="2"/>
  <c r="AJ158" i="2"/>
  <c r="AN158" i="2" s="1"/>
  <c r="AI176" i="2"/>
  <c r="AJ176" i="2"/>
  <c r="AN176" i="2" s="1"/>
  <c r="AH176" i="2"/>
  <c r="AI178" i="2"/>
  <c r="AJ178" i="2"/>
  <c r="AN178" i="2" s="1"/>
  <c r="AH178" i="2"/>
  <c r="AI190" i="2"/>
  <c r="AH190" i="2"/>
  <c r="AJ190" i="2"/>
  <c r="AN190" i="2" s="1"/>
  <c r="AH201" i="2"/>
  <c r="AJ201" i="2"/>
  <c r="AN201" i="2" s="1"/>
  <c r="AI209" i="2"/>
  <c r="AH209" i="2"/>
  <c r="AJ209" i="2"/>
  <c r="AN209" i="2" s="1"/>
  <c r="AH214" i="2"/>
  <c r="AM214" i="2" s="1"/>
  <c r="AJ214" i="2"/>
  <c r="AN214" i="2" s="1"/>
  <c r="AI233" i="2"/>
  <c r="AJ233" i="2"/>
  <c r="AN233" i="2" s="1"/>
  <c r="AH233" i="2"/>
  <c r="AH241" i="2"/>
  <c r="AJ241" i="2"/>
  <c r="AN241" i="2" s="1"/>
  <c r="AH245" i="2"/>
  <c r="AJ245" i="2"/>
  <c r="AN245" i="2" s="1"/>
  <c r="AI245" i="2"/>
  <c r="AI246" i="2"/>
  <c r="AJ246" i="2"/>
  <c r="AN246" i="2" s="1"/>
  <c r="AH246" i="2"/>
  <c r="AJ265" i="2"/>
  <c r="AI265" i="2"/>
  <c r="AI273" i="2"/>
  <c r="AH273" i="2"/>
  <c r="AJ273" i="2"/>
  <c r="AN273" i="2" s="1"/>
  <c r="AJ278" i="2"/>
  <c r="AN278" i="2" s="1"/>
  <c r="AH278" i="2"/>
  <c r="AJ15" i="2"/>
  <c r="AN15" i="2" s="1"/>
  <c r="AI15" i="2"/>
  <c r="AH15" i="2"/>
  <c r="AI32" i="2"/>
  <c r="AJ45" i="2"/>
  <c r="AN45" i="2" s="1"/>
  <c r="AJ213" i="2"/>
  <c r="AN213" i="2" s="1"/>
  <c r="AI107" i="2"/>
  <c r="AJ35" i="2"/>
  <c r="AN35" i="2" s="1"/>
  <c r="AJ67" i="2"/>
  <c r="AN67" i="2" s="1"/>
  <c r="AJ99" i="2"/>
  <c r="AN99" i="2" s="1"/>
  <c r="AJ131" i="2"/>
  <c r="AN131" i="2" s="1"/>
  <c r="AJ163" i="2"/>
  <c r="AN163" i="2" s="1"/>
  <c r="AJ195" i="2"/>
  <c r="AN195" i="2" s="1"/>
  <c r="AJ227" i="2"/>
  <c r="AN227" i="2" s="1"/>
  <c r="AJ259" i="2"/>
  <c r="AN259" i="2" s="1"/>
  <c r="AJ239" i="2"/>
  <c r="AN239" i="2" s="1"/>
  <c r="AH239" i="2"/>
  <c r="AL239" i="2" s="1"/>
  <c r="AI224" i="2"/>
  <c r="AL224" i="2" s="1"/>
  <c r="AJ44" i="2"/>
  <c r="AN44" i="2" s="1"/>
  <c r="AJ76" i="2"/>
  <c r="AN76" i="2" s="1"/>
  <c r="AH116" i="2"/>
  <c r="AJ148" i="2"/>
  <c r="AN148" i="2" s="1"/>
  <c r="AH212" i="2"/>
  <c r="AL212" i="2" s="1"/>
  <c r="AJ61" i="2"/>
  <c r="AN61" i="2" s="1"/>
  <c r="AI47" i="2"/>
  <c r="AI122" i="2"/>
  <c r="AI149" i="2"/>
  <c r="AH45" i="2"/>
  <c r="AH271" i="2"/>
  <c r="AJ17" i="2"/>
  <c r="AN17" i="2" s="1"/>
  <c r="AI17" i="2"/>
  <c r="AH17" i="2"/>
  <c r="AJ40" i="2"/>
  <c r="AN40" i="2" s="1"/>
  <c r="AH40" i="2"/>
  <c r="AI40" i="2"/>
  <c r="AH53" i="2"/>
  <c r="AI53" i="2"/>
  <c r="AJ69" i="2"/>
  <c r="AN69" i="2" s="1"/>
  <c r="AH69" i="2"/>
  <c r="AH73" i="2"/>
  <c r="AI73" i="2"/>
  <c r="AI82" i="2"/>
  <c r="AJ82" i="2"/>
  <c r="AN82" i="2" s="1"/>
  <c r="AH82" i="2"/>
  <c r="AH90" i="2"/>
  <c r="AI90" i="2"/>
  <c r="AJ90" i="2"/>
  <c r="AN90" i="2" s="1"/>
  <c r="AJ95" i="2"/>
  <c r="AN95" i="2" s="1"/>
  <c r="AI95" i="2"/>
  <c r="AH95" i="2"/>
  <c r="AH133" i="2"/>
  <c r="AI133" i="2"/>
  <c r="AJ133" i="2"/>
  <c r="AN133" i="2" s="1"/>
  <c r="AH137" i="2"/>
  <c r="AJ137" i="2"/>
  <c r="AN137" i="2" s="1"/>
  <c r="AI138" i="2"/>
  <c r="AJ138" i="2"/>
  <c r="AN138" i="2" s="1"/>
  <c r="AH138" i="2"/>
  <c r="AI153" i="2"/>
  <c r="AJ153" i="2"/>
  <c r="AN153" i="2" s="1"/>
  <c r="AJ157" i="2"/>
  <c r="AN157" i="2" s="1"/>
  <c r="AH157" i="2"/>
  <c r="AI157" i="2"/>
  <c r="AJ188" i="2"/>
  <c r="AN188" i="2" s="1"/>
  <c r="AI188" i="2"/>
  <c r="AJ198" i="2"/>
  <c r="AN198" i="2" s="1"/>
  <c r="AI198" i="2"/>
  <c r="AI206" i="2"/>
  <c r="AH206" i="2"/>
  <c r="AJ206" i="2"/>
  <c r="AN206" i="2" s="1"/>
  <c r="AJ208" i="2"/>
  <c r="AN208" i="2" s="1"/>
  <c r="AH208" i="2"/>
  <c r="AL208" i="2" s="1"/>
  <c r="AI210" i="2"/>
  <c r="AH210" i="2"/>
  <c r="AJ210" i="2"/>
  <c r="AN210" i="2" s="1"/>
  <c r="AI230" i="2"/>
  <c r="AH230" i="2"/>
  <c r="AJ230" i="2"/>
  <c r="AN230" i="2" s="1"/>
  <c r="AH238" i="2"/>
  <c r="AI238" i="2"/>
  <c r="AI240" i="2"/>
  <c r="AM240" i="2" s="1"/>
  <c r="AJ240" i="2"/>
  <c r="AN240" i="2" s="1"/>
  <c r="AH242" i="2"/>
  <c r="AJ242" i="2"/>
  <c r="AN242" i="2" s="1"/>
  <c r="AJ262" i="2"/>
  <c r="AN262" i="2" s="1"/>
  <c r="AI262" i="2"/>
  <c r="AL262" i="2" s="1"/>
  <c r="AI270" i="2"/>
  <c r="AH270" i="2"/>
  <c r="AJ270" i="2"/>
  <c r="AN270" i="2" s="1"/>
  <c r="AJ272" i="2"/>
  <c r="AN272" i="2" s="1"/>
  <c r="AI272" i="2"/>
  <c r="AH272" i="2"/>
  <c r="AH274" i="2"/>
  <c r="AJ274" i="2"/>
  <c r="AN274" i="2" s="1"/>
  <c r="AI42" i="2"/>
  <c r="AH47" i="2"/>
  <c r="AI135" i="2"/>
  <c r="AH43" i="2"/>
  <c r="AH75" i="2"/>
  <c r="AH107" i="2"/>
  <c r="AH139" i="2"/>
  <c r="AH171" i="2"/>
  <c r="AH203" i="2"/>
  <c r="AH235" i="2"/>
  <c r="AL235" i="2" s="1"/>
  <c r="AH267" i="2"/>
  <c r="AJ98" i="2"/>
  <c r="AN98" i="2" s="1"/>
  <c r="AH37" i="2"/>
  <c r="AI34" i="2"/>
  <c r="AI160" i="2"/>
  <c r="AH52" i="2"/>
  <c r="AJ116" i="2"/>
  <c r="AN116" i="2" s="1"/>
  <c r="AH156" i="2"/>
  <c r="AJ212" i="2"/>
  <c r="AN212" i="2" s="1"/>
  <c r="AJ74" i="2"/>
  <c r="AN74" i="2" s="1"/>
  <c r="AI57" i="2"/>
  <c r="AJ66" i="2"/>
  <c r="AN66" i="2" s="1"/>
  <c r="AI213" i="2"/>
  <c r="AM213" i="2" s="1"/>
  <c r="AH149" i="2"/>
  <c r="AI278" i="2"/>
  <c r="AI74" i="2"/>
  <c r="AI201" i="2"/>
  <c r="AJ22" i="2"/>
  <c r="AN22" i="2" s="1"/>
  <c r="AI22" i="2"/>
  <c r="AJ31" i="2"/>
  <c r="AN31" i="2" s="1"/>
  <c r="AH31" i="2"/>
  <c r="AI31" i="2"/>
  <c r="AJ41" i="2"/>
  <c r="AN41" i="2" s="1"/>
  <c r="AI41" i="2"/>
  <c r="AH41" i="2"/>
  <c r="AH71" i="2"/>
  <c r="AI71" i="2"/>
  <c r="AH94" i="2"/>
  <c r="AI94" i="2"/>
  <c r="AJ94" i="2"/>
  <c r="AN94" i="2" s="1"/>
  <c r="AI104" i="2"/>
  <c r="AJ104" i="2"/>
  <c r="AN104" i="2" s="1"/>
  <c r="AH104" i="2"/>
  <c r="AI110" i="2"/>
  <c r="AH110" i="2"/>
  <c r="AI112" i="2"/>
  <c r="AJ112" i="2"/>
  <c r="AN112" i="2" s="1"/>
  <c r="AH112" i="2"/>
  <c r="AJ120" i="2"/>
  <c r="AN120" i="2" s="1"/>
  <c r="AI120" i="2"/>
  <c r="AH120" i="2"/>
  <c r="AI130" i="2"/>
  <c r="AH130" i="2"/>
  <c r="AJ130" i="2"/>
  <c r="AN130" i="2" s="1"/>
  <c r="AJ134" i="2"/>
  <c r="AN134" i="2" s="1"/>
  <c r="AI134" i="2"/>
  <c r="AJ152" i="2"/>
  <c r="AN152" i="2" s="1"/>
  <c r="AH152" i="2"/>
  <c r="AI154" i="2"/>
  <c r="AH154" i="2"/>
  <c r="AJ168" i="2"/>
  <c r="AN168" i="2" s="1"/>
  <c r="AH168" i="2"/>
  <c r="AH173" i="2"/>
  <c r="AJ173" i="2"/>
  <c r="AN173" i="2" s="1"/>
  <c r="AI173" i="2"/>
  <c r="AH205" i="2"/>
  <c r="AI205" i="2"/>
  <c r="AJ237" i="2"/>
  <c r="AN237" i="2" s="1"/>
  <c r="AI237" i="2"/>
  <c r="AM237" i="2" s="1"/>
  <c r="AH269" i="2"/>
  <c r="AI269" i="2"/>
  <c r="AJ269" i="2"/>
  <c r="AN269" i="2" s="1"/>
  <c r="AH11" i="2"/>
  <c r="AI11" i="2"/>
  <c r="AI12" i="2"/>
  <c r="AJ12" i="2"/>
  <c r="AN12" i="2" s="1"/>
  <c r="AJ37" i="2"/>
  <c r="AN37" i="2" s="1"/>
  <c r="AI64" i="2"/>
  <c r="AJ85" i="2"/>
  <c r="AN85" i="2" s="1"/>
  <c r="AH61" i="2"/>
  <c r="AI159" i="2"/>
  <c r="AJ43" i="2"/>
  <c r="AN43" i="2" s="1"/>
  <c r="AJ139" i="2"/>
  <c r="AN139" i="2" s="1"/>
  <c r="AJ171" i="2"/>
  <c r="AN171" i="2" s="1"/>
  <c r="AJ235" i="2"/>
  <c r="AN235" i="2" s="1"/>
  <c r="AJ111" i="2"/>
  <c r="AN111" i="2" s="1"/>
  <c r="AI56" i="2"/>
  <c r="AI168" i="2"/>
  <c r="AI248" i="2"/>
  <c r="AJ52" i="2"/>
  <c r="AN52" i="2" s="1"/>
  <c r="AH84" i="2"/>
  <c r="AH172" i="2"/>
  <c r="AH220" i="2"/>
  <c r="AJ87" i="2"/>
  <c r="AN87" i="2" s="1"/>
  <c r="AI89" i="2"/>
  <c r="AH167" i="2"/>
  <c r="AJ143" i="2"/>
  <c r="AN143" i="2" s="1"/>
  <c r="AJ160" i="2"/>
  <c r="AN160" i="2" s="1"/>
  <c r="AI277" i="2"/>
  <c r="AM277" i="2" s="1"/>
  <c r="AH134" i="2"/>
  <c r="AJ20" i="2"/>
  <c r="AN20" i="2" s="1"/>
  <c r="AH217" i="2"/>
  <c r="AJ18" i="2"/>
  <c r="AN18" i="2" s="1"/>
  <c r="AI18" i="2"/>
  <c r="AH18" i="2"/>
  <c r="AJ24" i="2"/>
  <c r="AN24" i="2" s="1"/>
  <c r="AH24" i="2"/>
  <c r="AI24" i="2"/>
  <c r="AI29" i="2"/>
  <c r="AH29" i="2"/>
  <c r="AJ29" i="2"/>
  <c r="AN29" i="2" s="1"/>
  <c r="AH39" i="2"/>
  <c r="AL39" i="2" s="1"/>
  <c r="AJ39" i="2"/>
  <c r="AN39" i="2" s="1"/>
  <c r="AH50" i="2"/>
  <c r="AI50" i="2"/>
  <c r="AJ70" i="2"/>
  <c r="AN70" i="2" s="1"/>
  <c r="AI70" i="2"/>
  <c r="AI79" i="2"/>
  <c r="AH79" i="2"/>
  <c r="AJ79" i="2"/>
  <c r="AN79" i="2" s="1"/>
  <c r="AI81" i="2"/>
  <c r="AJ81" i="2"/>
  <c r="AN81" i="2" s="1"/>
  <c r="AH81" i="2"/>
  <c r="AH102" i="2"/>
  <c r="AJ102" i="2"/>
  <c r="AN102" i="2" s="1"/>
  <c r="AI102" i="2"/>
  <c r="AH117" i="2"/>
  <c r="AI117" i="2"/>
  <c r="AJ117" i="2"/>
  <c r="AN117" i="2" s="1"/>
  <c r="AH119" i="2"/>
  <c r="AI119" i="2"/>
  <c r="AJ132" i="2"/>
  <c r="AN132" i="2" s="1"/>
  <c r="AH132" i="2"/>
  <c r="AI132" i="2"/>
  <c r="AI145" i="2"/>
  <c r="AH145" i="2"/>
  <c r="AJ145" i="2"/>
  <c r="AN145" i="2" s="1"/>
  <c r="AH150" i="2"/>
  <c r="AJ150" i="2"/>
  <c r="AN150" i="2" s="1"/>
  <c r="AH165" i="2"/>
  <c r="AI165" i="2"/>
  <c r="AI170" i="2"/>
  <c r="AH170" i="2"/>
  <c r="AJ170" i="2"/>
  <c r="AN170" i="2" s="1"/>
  <c r="AH183" i="2"/>
  <c r="AJ183" i="2"/>
  <c r="AN183" i="2" s="1"/>
  <c r="AI183" i="2"/>
  <c r="AJ200" i="2"/>
  <c r="AN200" i="2" s="1"/>
  <c r="AH200" i="2"/>
  <c r="AI202" i="2"/>
  <c r="AH202" i="2"/>
  <c r="AJ202" i="2"/>
  <c r="AN202" i="2" s="1"/>
  <c r="AH232" i="2"/>
  <c r="AL232" i="2" s="1"/>
  <c r="AJ232" i="2"/>
  <c r="AN232" i="2" s="1"/>
  <c r="AI234" i="2"/>
  <c r="AM234" i="2" s="1"/>
  <c r="AJ234" i="2"/>
  <c r="AN234" i="2" s="1"/>
  <c r="AH256" i="2"/>
  <c r="AJ256" i="2"/>
  <c r="AN256" i="2" s="1"/>
  <c r="AJ263" i="2"/>
  <c r="AN263" i="2" s="1"/>
  <c r="AI263" i="2"/>
  <c r="AH263" i="2"/>
  <c r="AJ264" i="2"/>
  <c r="AN264" i="2" s="1"/>
  <c r="AI264" i="2"/>
  <c r="AM264" i="2" s="1"/>
  <c r="AJ266" i="2"/>
  <c r="AN266" i="2" s="1"/>
  <c r="AI266" i="2"/>
  <c r="AH266" i="2"/>
  <c r="AJ288" i="2"/>
  <c r="AN288" i="2" s="1"/>
  <c r="AI288" i="2"/>
  <c r="AH288" i="2"/>
  <c r="AJ13" i="2"/>
  <c r="AN13" i="2" s="1"/>
  <c r="AI13" i="2"/>
  <c r="AL13" i="2" s="1"/>
  <c r="AJ109" i="2"/>
  <c r="AN109" i="2" s="1"/>
  <c r="AI96" i="2"/>
  <c r="AJ122" i="2"/>
  <c r="AN122" i="2" s="1"/>
  <c r="AH248" i="2"/>
  <c r="AI175" i="2"/>
  <c r="AH51" i="2"/>
  <c r="AH83" i="2"/>
  <c r="AH115" i="2"/>
  <c r="AH147" i="2"/>
  <c r="AH179" i="2"/>
  <c r="AH211" i="2"/>
  <c r="AM211" i="2" s="1"/>
  <c r="AH243" i="2"/>
  <c r="AL243" i="2" s="1"/>
  <c r="AH275" i="2"/>
  <c r="AL275" i="2" s="1"/>
  <c r="AJ125" i="2"/>
  <c r="AN125" i="2" s="1"/>
  <c r="AI184" i="2"/>
  <c r="AI256" i="2"/>
  <c r="AJ92" i="2"/>
  <c r="AN92" i="2" s="1"/>
  <c r="AH124" i="2"/>
  <c r="AJ172" i="2"/>
  <c r="AN172" i="2" s="1"/>
  <c r="AH236" i="2"/>
  <c r="AL236" i="2" s="1"/>
  <c r="AJ165" i="2"/>
  <c r="AN165" i="2" s="1"/>
  <c r="AI242" i="2"/>
  <c r="AJ192" i="2"/>
  <c r="AN192" i="2" s="1"/>
  <c r="AI59" i="2"/>
  <c r="AI180" i="2"/>
  <c r="AJ277" i="2"/>
  <c r="AN277" i="2" s="1"/>
  <c r="AI150" i="2"/>
  <c r="AH12" i="2"/>
  <c r="AJ280" i="2"/>
  <c r="AN280" i="2" s="1"/>
  <c r="AI241" i="2"/>
  <c r="AI21" i="2"/>
  <c r="AH21" i="2"/>
  <c r="AJ21" i="2"/>
  <c r="AN21" i="2" s="1"/>
  <c r="AJ26" i="2"/>
  <c r="AN26" i="2" s="1"/>
  <c r="AH26" i="2"/>
  <c r="AI26" i="2"/>
  <c r="AI38" i="2"/>
  <c r="AJ38" i="2"/>
  <c r="AN38" i="2" s="1"/>
  <c r="AJ49" i="2"/>
  <c r="AN49" i="2" s="1"/>
  <c r="AI49" i="2"/>
  <c r="AJ55" i="2"/>
  <c r="AN55" i="2" s="1"/>
  <c r="AH55" i="2"/>
  <c r="AJ68" i="2"/>
  <c r="AN68" i="2" s="1"/>
  <c r="AH68" i="2"/>
  <c r="AI80" i="2"/>
  <c r="AJ80" i="2"/>
  <c r="AN80" i="2" s="1"/>
  <c r="AH80" i="2"/>
  <c r="AI93" i="2"/>
  <c r="AH93" i="2"/>
  <c r="AJ93" i="2"/>
  <c r="AN93" i="2" s="1"/>
  <c r="AI101" i="2"/>
  <c r="AJ101" i="2"/>
  <c r="AN101" i="2" s="1"/>
  <c r="AI118" i="2"/>
  <c r="AH118" i="2"/>
  <c r="AJ118" i="2"/>
  <c r="AN118" i="2" s="1"/>
  <c r="AH127" i="2"/>
  <c r="AI127" i="2"/>
  <c r="AI129" i="2"/>
  <c r="AH129" i="2"/>
  <c r="AJ129" i="2"/>
  <c r="AN129" i="2" s="1"/>
  <c r="AI142" i="2"/>
  <c r="AH142" i="2"/>
  <c r="AJ142" i="2"/>
  <c r="AN142" i="2" s="1"/>
  <c r="AI169" i="2"/>
  <c r="AH169" i="2"/>
  <c r="AJ169" i="2"/>
  <c r="AN169" i="2" s="1"/>
  <c r="AI194" i="2"/>
  <c r="AH194" i="2"/>
  <c r="AJ194" i="2"/>
  <c r="AN194" i="2" s="1"/>
  <c r="AJ196" i="2"/>
  <c r="AN196" i="2" s="1"/>
  <c r="AH196" i="2"/>
  <c r="AI196" i="2"/>
  <c r="AH197" i="2"/>
  <c r="AI197" i="2"/>
  <c r="AJ197" i="2"/>
  <c r="AN197" i="2" s="1"/>
  <c r="AH221" i="2"/>
  <c r="AI221" i="2"/>
  <c r="AJ228" i="2"/>
  <c r="AN228" i="2" s="1"/>
  <c r="AI228" i="2"/>
  <c r="AH228" i="2"/>
  <c r="AH229" i="2"/>
  <c r="AI229" i="2"/>
  <c r="AH253" i="2"/>
  <c r="AJ253" i="2"/>
  <c r="AN253" i="2" s="1"/>
  <c r="AI253" i="2"/>
  <c r="AJ260" i="2"/>
  <c r="AN260" i="2" s="1"/>
  <c r="AH260" i="2"/>
  <c r="AI260" i="2"/>
  <c r="AJ261" i="2"/>
  <c r="AN261" i="2" s="1"/>
  <c r="AH261" i="2"/>
  <c r="AI261" i="2"/>
  <c r="AH285" i="2"/>
  <c r="AI285" i="2"/>
  <c r="AJ285" i="2"/>
  <c r="AN285" i="2" s="1"/>
  <c r="AH33" i="2"/>
  <c r="AJ34" i="2"/>
  <c r="AN34" i="2" s="1"/>
  <c r="AJ135" i="2"/>
  <c r="AN135" i="2" s="1"/>
  <c r="AI33" i="2"/>
  <c r="AI199" i="2"/>
  <c r="AL199" i="2" s="1"/>
  <c r="AJ51" i="2"/>
  <c r="AN51" i="2" s="1"/>
  <c r="AJ83" i="2"/>
  <c r="AN83" i="2" s="1"/>
  <c r="AJ115" i="2"/>
  <c r="AN115" i="2" s="1"/>
  <c r="AJ147" i="2"/>
  <c r="AN147" i="2" s="1"/>
  <c r="AJ179" i="2"/>
  <c r="AN179" i="2" s="1"/>
  <c r="AJ211" i="2"/>
  <c r="AN211" i="2" s="1"/>
  <c r="AJ243" i="2"/>
  <c r="AN243" i="2" s="1"/>
  <c r="AJ275" i="2"/>
  <c r="AN275" i="2" s="1"/>
  <c r="AH87" i="2"/>
  <c r="AI98" i="2"/>
  <c r="AI192" i="2"/>
  <c r="AH36" i="2"/>
  <c r="AH60" i="2"/>
  <c r="AI92" i="2"/>
  <c r="AL92" i="2" s="1"/>
  <c r="AJ124" i="2"/>
  <c r="AN124" i="2" s="1"/>
  <c r="AH180" i="2"/>
  <c r="AH244" i="2"/>
  <c r="AJ215" i="2"/>
  <c r="AN215" i="2" s="1"/>
  <c r="AI69" i="2"/>
  <c r="AJ154" i="2"/>
  <c r="AN154" i="2" s="1"/>
  <c r="AJ224" i="2"/>
  <c r="AN224" i="2" s="1"/>
  <c r="AI244" i="2"/>
  <c r="AI25" i="2"/>
  <c r="AI174" i="2"/>
  <c r="AI274" i="2"/>
  <c r="AL274" i="2" s="1"/>
  <c r="AH89" i="2"/>
  <c r="AH265" i="2"/>
  <c r="AH30" i="2"/>
  <c r="AI30" i="2"/>
  <c r="AJ14" i="2"/>
  <c r="AN14" i="2" s="1"/>
  <c r="AI14" i="2"/>
  <c r="AJ19" i="2"/>
  <c r="AN19" i="2" s="1"/>
  <c r="AH19" i="2"/>
  <c r="AI19" i="2"/>
  <c r="AI23" i="2"/>
  <c r="AH23" i="2"/>
  <c r="AJ27" i="2"/>
  <c r="AN27" i="2" s="1"/>
  <c r="AH27" i="2"/>
  <c r="AI27" i="2"/>
  <c r="AI28" i="2"/>
  <c r="AJ28" i="2"/>
  <c r="AN28" i="2" s="1"/>
  <c r="AH28" i="2"/>
  <c r="AI48" i="2"/>
  <c r="AJ48" i="2"/>
  <c r="AN48" i="2" s="1"/>
  <c r="AH48" i="2"/>
  <c r="AI65" i="2"/>
  <c r="AH65" i="2"/>
  <c r="AJ65" i="2"/>
  <c r="AN65" i="2" s="1"/>
  <c r="AI78" i="2"/>
  <c r="AH78" i="2"/>
  <c r="AJ78" i="2"/>
  <c r="AN78" i="2" s="1"/>
  <c r="AH86" i="2"/>
  <c r="AJ86" i="2"/>
  <c r="AN86" i="2" s="1"/>
  <c r="AJ88" i="2"/>
  <c r="AN88" i="2" s="1"/>
  <c r="AH88" i="2"/>
  <c r="AI114" i="2"/>
  <c r="AH114" i="2"/>
  <c r="AI146" i="2"/>
  <c r="AJ146" i="2"/>
  <c r="AN146" i="2" s="1"/>
  <c r="AH146" i="2"/>
  <c r="AI162" i="2"/>
  <c r="AH162" i="2"/>
  <c r="AJ164" i="2"/>
  <c r="AN164" i="2" s="1"/>
  <c r="AI164" i="2"/>
  <c r="AH164" i="2"/>
  <c r="AI166" i="2"/>
  <c r="AH166" i="2"/>
  <c r="AJ166" i="2"/>
  <c r="AN166" i="2" s="1"/>
  <c r="AI177" i="2"/>
  <c r="AH177" i="2"/>
  <c r="AJ185" i="2"/>
  <c r="AN185" i="2" s="1"/>
  <c r="AI185" i="2"/>
  <c r="AH185" i="2"/>
  <c r="AI193" i="2"/>
  <c r="AH193" i="2"/>
  <c r="AJ193" i="2"/>
  <c r="AN193" i="2" s="1"/>
  <c r="AI218" i="2"/>
  <c r="AJ218" i="2"/>
  <c r="AN218" i="2" s="1"/>
  <c r="AH218" i="2"/>
  <c r="AJ223" i="2"/>
  <c r="AN223" i="2" s="1"/>
  <c r="AH223" i="2"/>
  <c r="AH225" i="2"/>
  <c r="AJ225" i="2"/>
  <c r="AN225" i="2" s="1"/>
  <c r="AI225" i="2"/>
  <c r="AI226" i="2"/>
  <c r="AH226" i="2"/>
  <c r="AJ250" i="2"/>
  <c r="AN250" i="2" s="1"/>
  <c r="AI250" i="2"/>
  <c r="AH250" i="2"/>
  <c r="AH255" i="2"/>
  <c r="AI255" i="2"/>
  <c r="AJ255" i="2"/>
  <c r="AN255" i="2" s="1"/>
  <c r="AH257" i="2"/>
  <c r="AI257" i="2"/>
  <c r="AJ257" i="2"/>
  <c r="AN257" i="2" s="1"/>
  <c r="AH258" i="2"/>
  <c r="AI258" i="2"/>
  <c r="AJ258" i="2"/>
  <c r="AN258" i="2" s="1"/>
  <c r="AJ282" i="2"/>
  <c r="AN282" i="2" s="1"/>
  <c r="AH282" i="2"/>
  <c r="AI286" i="2"/>
  <c r="AH286" i="2"/>
  <c r="AJ286" i="2"/>
  <c r="AN286" i="2" s="1"/>
  <c r="AJ287" i="2"/>
  <c r="AN287" i="2" s="1"/>
  <c r="AI287" i="2"/>
  <c r="AH287" i="2"/>
  <c r="AH289" i="2"/>
  <c r="AJ289" i="2"/>
  <c r="AN289" i="2" s="1"/>
  <c r="AI289" i="2"/>
  <c r="AH58" i="2"/>
  <c r="AJ42" i="2"/>
  <c r="AN42" i="2" s="1"/>
  <c r="AI223" i="2"/>
  <c r="AH91" i="2"/>
  <c r="AH123" i="2"/>
  <c r="AH155" i="2"/>
  <c r="AH219" i="2"/>
  <c r="AM219" i="2" s="1"/>
  <c r="AH251" i="2"/>
  <c r="AM251" i="2" s="1"/>
  <c r="AH283" i="2"/>
  <c r="AL283" i="2" s="1"/>
  <c r="AJ175" i="2"/>
  <c r="AN175" i="2" s="1"/>
  <c r="AH101" i="2"/>
  <c r="AI200" i="2"/>
  <c r="AJ60" i="2"/>
  <c r="AN60" i="2" s="1"/>
  <c r="AH140" i="2"/>
  <c r="AJ229" i="2"/>
  <c r="AN229" i="2" s="1"/>
  <c r="AI77" i="2"/>
  <c r="AJ231" i="2"/>
  <c r="AN231" i="2" s="1"/>
  <c r="AJ32" i="2"/>
  <c r="AN32" i="2" s="1"/>
  <c r="AJ119" i="2"/>
  <c r="AN119" i="2" s="1"/>
  <c r="AH284" i="2"/>
  <c r="AJ11" i="2"/>
  <c r="AN11" i="2" s="1"/>
  <c r="AH198" i="2"/>
  <c r="AJ103" i="2"/>
  <c r="AN103" i="2" s="1"/>
  <c r="AJ113" i="2"/>
  <c r="AN113" i="2" s="1"/>
  <c r="AH281" i="2"/>
  <c r="AN226" i="2"/>
  <c r="AN33" i="2"/>
  <c r="AN128" i="2"/>
  <c r="AN23" i="2"/>
  <c r="AN267" i="2"/>
  <c r="AN221" i="2"/>
  <c r="AN244" i="2"/>
  <c r="AN205" i="2"/>
  <c r="AN36" i="2"/>
  <c r="AN30" i="2"/>
  <c r="AN203" i="2"/>
  <c r="AN219" i="2"/>
  <c r="AN265" i="2"/>
  <c r="AN220" i="2"/>
  <c r="AN47" i="2"/>
  <c r="AN222" i="2"/>
  <c r="AN238" i="2"/>
  <c r="AN248" i="2"/>
  <c r="AN71" i="2"/>
  <c r="AN110" i="2"/>
  <c r="AN50" i="2"/>
  <c r="AN107" i="2"/>
  <c r="AN89" i="2"/>
  <c r="AN127" i="2"/>
  <c r="AN149" i="2"/>
  <c r="AN167" i="2"/>
  <c r="AN180" i="2"/>
  <c r="AN114" i="2"/>
  <c r="AN162" i="2"/>
  <c r="AN177" i="2"/>
  <c r="AN57" i="2"/>
  <c r="AN77" i="2"/>
  <c r="AA10" i="2"/>
  <c r="AB10" i="2"/>
  <c r="AC10" i="2"/>
  <c r="AD10" i="2"/>
  <c r="AE10" i="2"/>
  <c r="AN75" i="2"/>
  <c r="AM128" i="2"/>
  <c r="AN186" i="2"/>
  <c r="AN189" i="2"/>
  <c r="AN64" i="2"/>
  <c r="AN72" i="2"/>
  <c r="AM100" i="2"/>
  <c r="AN156" i="2"/>
  <c r="AN53" i="2"/>
  <c r="AN73" i="2"/>
  <c r="AL128" i="2"/>
  <c r="AM259" i="2"/>
  <c r="AL100" i="2"/>
  <c r="AL215" i="2"/>
  <c r="AT215" i="2" l="1"/>
  <c r="AR215" i="2"/>
  <c r="AS215" i="2"/>
  <c r="AS100" i="2"/>
  <c r="AT100" i="2"/>
  <c r="AR100" i="2"/>
  <c r="AT236" i="2"/>
  <c r="AS236" i="2"/>
  <c r="AR236" i="2"/>
  <c r="AT128" i="2"/>
  <c r="AS128" i="2"/>
  <c r="AR128" i="2"/>
  <c r="AT224" i="2"/>
  <c r="AR224" i="2"/>
  <c r="AS224" i="2"/>
  <c r="AT239" i="2"/>
  <c r="AS239" i="2"/>
  <c r="AS92" i="2"/>
  <c r="AT92" i="2"/>
  <c r="AR92" i="2"/>
  <c r="AS235" i="2"/>
  <c r="AR235" i="2"/>
  <c r="AL229" i="2"/>
  <c r="AM221" i="2"/>
  <c r="AL31" i="2"/>
  <c r="AL258" i="2"/>
  <c r="AL271" i="2"/>
  <c r="AL244" i="2"/>
  <c r="AM198" i="2"/>
  <c r="AM223" i="2"/>
  <c r="AL249" i="2"/>
  <c r="AL12" i="2"/>
  <c r="AM187" i="2"/>
  <c r="AL187" i="2"/>
  <c r="AM287" i="2"/>
  <c r="AM263" i="2"/>
  <c r="AL253" i="2"/>
  <c r="AL281" i="2"/>
  <c r="AL47" i="2"/>
  <c r="AM250" i="2"/>
  <c r="AM267" i="2"/>
  <c r="AL241" i="2"/>
  <c r="AM270" i="2"/>
  <c r="AM238" i="2"/>
  <c r="AM17" i="2"/>
  <c r="AL218" i="2"/>
  <c r="AM257" i="2"/>
  <c r="AM226" i="2"/>
  <c r="AL25" i="2"/>
  <c r="AM197" i="2"/>
  <c r="AM15" i="2"/>
  <c r="AL209" i="2"/>
  <c r="AM276" i="2"/>
  <c r="AL23" i="2"/>
  <c r="AM228" i="2"/>
  <c r="AL41" i="2"/>
  <c r="AL210" i="2"/>
  <c r="AL268" i="2"/>
  <c r="AL216" i="2"/>
  <c r="AL252" i="2"/>
  <c r="AM247" i="2"/>
  <c r="AM207" i="2"/>
  <c r="AM248" i="2"/>
  <c r="AL225" i="2"/>
  <c r="AM196" i="2"/>
  <c r="AL246" i="2"/>
  <c r="AM233" i="2"/>
  <c r="AM255" i="2"/>
  <c r="AL193" i="2"/>
  <c r="AL260" i="2"/>
  <c r="AL150" i="2"/>
  <c r="AL205" i="2"/>
  <c r="AL17" i="2"/>
  <c r="AM278" i="2"/>
  <c r="AL201" i="2"/>
  <c r="AM279" i="2"/>
  <c r="AL194" i="2"/>
  <c r="AL202" i="2"/>
  <c r="AL217" i="2"/>
  <c r="AM269" i="2"/>
  <c r="AL230" i="2"/>
  <c r="AL206" i="2"/>
  <c r="AM273" i="2"/>
  <c r="AM245" i="2"/>
  <c r="AL280" i="2"/>
  <c r="AL33" i="2"/>
  <c r="AL196" i="2"/>
  <c r="AM14" i="2"/>
  <c r="AL261" i="2"/>
  <c r="AL256" i="2"/>
  <c r="AM200" i="2"/>
  <c r="AM220" i="2"/>
  <c r="AL242" i="2"/>
  <c r="AM265" i="2"/>
  <c r="AL16" i="2"/>
  <c r="AL266" i="2"/>
  <c r="AL272" i="2"/>
  <c r="AL204" i="2"/>
  <c r="AL203" i="2"/>
  <c r="AL254" i="2"/>
  <c r="AL222" i="2"/>
  <c r="AM199" i="2"/>
  <c r="AP199" i="2" s="1"/>
  <c r="AM206" i="2"/>
  <c r="AM203" i="2"/>
  <c r="AM284" i="2"/>
  <c r="AM16" i="2"/>
  <c r="AM80" i="2"/>
  <c r="AM204" i="2"/>
  <c r="AM33" i="2"/>
  <c r="AL20" i="2"/>
  <c r="AM61" i="2"/>
  <c r="AM85" i="2"/>
  <c r="AL63" i="2"/>
  <c r="AL34" i="2"/>
  <c r="AL126" i="2"/>
  <c r="AM46" i="2"/>
  <c r="AL88" i="2"/>
  <c r="AL19" i="2"/>
  <c r="AL118" i="2"/>
  <c r="AL91" i="2"/>
  <c r="AM208" i="2"/>
  <c r="AO208" i="2" s="1"/>
  <c r="AM201" i="2"/>
  <c r="AM209" i="2"/>
  <c r="AM151" i="2"/>
  <c r="AM97" i="2"/>
  <c r="AL163" i="2"/>
  <c r="AM143" i="2"/>
  <c r="AM108" i="2"/>
  <c r="AM83" i="2"/>
  <c r="AL145" i="2"/>
  <c r="AM94" i="2"/>
  <c r="AL198" i="2"/>
  <c r="AL14" i="2"/>
  <c r="AL286" i="2"/>
  <c r="AL174" i="2"/>
  <c r="AL285" i="2"/>
  <c r="AM38" i="2"/>
  <c r="AL71" i="2"/>
  <c r="AL69" i="2"/>
  <c r="AL81" i="2"/>
  <c r="AL173" i="2"/>
  <c r="AM134" i="2"/>
  <c r="AM112" i="2"/>
  <c r="AM54" i="2"/>
  <c r="AM182" i="2"/>
  <c r="AL57" i="2"/>
  <c r="AL124" i="2"/>
  <c r="AL99" i="2"/>
  <c r="AL68" i="2"/>
  <c r="AL49" i="2"/>
  <c r="AM37" i="2"/>
  <c r="AM172" i="2"/>
  <c r="AL52" i="2"/>
  <c r="AL178" i="2"/>
  <c r="AM184" i="2"/>
  <c r="AL175" i="2"/>
  <c r="AM42" i="2"/>
  <c r="AM280" i="2"/>
  <c r="AL51" i="2"/>
  <c r="AL159" i="2"/>
  <c r="AL125" i="2"/>
  <c r="AL106" i="2"/>
  <c r="AM36" i="2"/>
  <c r="AL147" i="2"/>
  <c r="AL101" i="2"/>
  <c r="AL89" i="2"/>
  <c r="AM249" i="2"/>
  <c r="AO249" i="2" s="1"/>
  <c r="AM239" i="2"/>
  <c r="AO239" i="2" s="1"/>
  <c r="AL158" i="2"/>
  <c r="AM122" i="2"/>
  <c r="AM24" i="2"/>
  <c r="AM186" i="2"/>
  <c r="AM136" i="2"/>
  <c r="AM164" i="2"/>
  <c r="AL86" i="2"/>
  <c r="AM65" i="2"/>
  <c r="AM28" i="2"/>
  <c r="AM162" i="2"/>
  <c r="AM78" i="2"/>
  <c r="AM119" i="2"/>
  <c r="AL155" i="2"/>
  <c r="AL90" i="2"/>
  <c r="AL141" i="2"/>
  <c r="AM115" i="2"/>
  <c r="AL75" i="2"/>
  <c r="AM191" i="2"/>
  <c r="AL66" i="2"/>
  <c r="AL114" i="2"/>
  <c r="AL48" i="2"/>
  <c r="AM180" i="2"/>
  <c r="AL165" i="2"/>
  <c r="AL102" i="2"/>
  <c r="AL79" i="2"/>
  <c r="AL152" i="2"/>
  <c r="AL110" i="2"/>
  <c r="AL87" i="2"/>
  <c r="AM70" i="2"/>
  <c r="AL15" i="2"/>
  <c r="AM244" i="2"/>
  <c r="AM157" i="2"/>
  <c r="AM137" i="2"/>
  <c r="AL95" i="2"/>
  <c r="AM40" i="2"/>
  <c r="AL179" i="2"/>
  <c r="AM121" i="2"/>
  <c r="AL139" i="2"/>
  <c r="AM77" i="2"/>
  <c r="AL111" i="2"/>
  <c r="AM109" i="2"/>
  <c r="AM192" i="2"/>
  <c r="AL127" i="2"/>
  <c r="AM21" i="2"/>
  <c r="AM170" i="2"/>
  <c r="AL107" i="2"/>
  <c r="AL50" i="2"/>
  <c r="AL22" i="2"/>
  <c r="AL288" i="2"/>
  <c r="AL188" i="2"/>
  <c r="AL148" i="2"/>
  <c r="AL135" i="2"/>
  <c r="AM73" i="2"/>
  <c r="AM53" i="2"/>
  <c r="AM176" i="2"/>
  <c r="AL156" i="2"/>
  <c r="AM103" i="2"/>
  <c r="AM84" i="2"/>
  <c r="AM64" i="2"/>
  <c r="AL43" i="2"/>
  <c r="AL18" i="2"/>
  <c r="AM174" i="2"/>
  <c r="AL115" i="2"/>
  <c r="AM20" i="2"/>
  <c r="AL144" i="2"/>
  <c r="AL116" i="2"/>
  <c r="AL96" i="2"/>
  <c r="AL177" i="2"/>
  <c r="AL27" i="2"/>
  <c r="AM154" i="2"/>
  <c r="AL130" i="2"/>
  <c r="AM160" i="2"/>
  <c r="AM167" i="2"/>
  <c r="AL93" i="2"/>
  <c r="AM289" i="2"/>
  <c r="AM11" i="2"/>
  <c r="AL190" i="2"/>
  <c r="AL171" i="2"/>
  <c r="AM113" i="2"/>
  <c r="AM74" i="2"/>
  <c r="AM142" i="2"/>
  <c r="AM59" i="2"/>
  <c r="AM60" i="2"/>
  <c r="AM282" i="2"/>
  <c r="AM138" i="2"/>
  <c r="AM189" i="2"/>
  <c r="AL181" i="2"/>
  <c r="AM161" i="2"/>
  <c r="AM123" i="2"/>
  <c r="AL98" i="2"/>
  <c r="AL45" i="2"/>
  <c r="AM166" i="2"/>
  <c r="AL146" i="2"/>
  <c r="AL67" i="2"/>
  <c r="AL149" i="2"/>
  <c r="AL129" i="2"/>
  <c r="AL132" i="2"/>
  <c r="AL58" i="2"/>
  <c r="AM29" i="2"/>
  <c r="AL120" i="2"/>
  <c r="AL32" i="2"/>
  <c r="AL153" i="2"/>
  <c r="AL133" i="2"/>
  <c r="AL82" i="2"/>
  <c r="AL105" i="2"/>
  <c r="AL72" i="2"/>
  <c r="AM30" i="2"/>
  <c r="AL140" i="2"/>
  <c r="AL56" i="2"/>
  <c r="AL35" i="2"/>
  <c r="AM62" i="2"/>
  <c r="AM185" i="2"/>
  <c r="AL44" i="2"/>
  <c r="AM169" i="2"/>
  <c r="AL76" i="2"/>
  <c r="AL55" i="2"/>
  <c r="AL26" i="2"/>
  <c r="AM183" i="2"/>
  <c r="AL117" i="2"/>
  <c r="AL168" i="2"/>
  <c r="AL104" i="2"/>
  <c r="AM216" i="2"/>
  <c r="AM175" i="2"/>
  <c r="AL42" i="2"/>
  <c r="AM252" i="2"/>
  <c r="AL207" i="2"/>
  <c r="AL103" i="2"/>
  <c r="AL84" i="2"/>
  <c r="AL64" i="2"/>
  <c r="AL250" i="2"/>
  <c r="AL186" i="2"/>
  <c r="AL136" i="2"/>
  <c r="AL197" i="2"/>
  <c r="AL36" i="2"/>
  <c r="AL264" i="2"/>
  <c r="AL200" i="2"/>
  <c r="AL164" i="2"/>
  <c r="AL65" i="2"/>
  <c r="AL28" i="2"/>
  <c r="AM12" i="2"/>
  <c r="AO12" i="2" s="1"/>
  <c r="AL142" i="2"/>
  <c r="AL59" i="2"/>
  <c r="AL238" i="2"/>
  <c r="AL60" i="2"/>
  <c r="AM39" i="2"/>
  <c r="AO39" i="2" s="1"/>
  <c r="AL273" i="2"/>
  <c r="AL213" i="2"/>
  <c r="AL154" i="2"/>
  <c r="AM22" i="2"/>
  <c r="AL276" i="2"/>
  <c r="AM212" i="2"/>
  <c r="AP212" i="2" s="1"/>
  <c r="AL251" i="2"/>
  <c r="AL226" i="2"/>
  <c r="AM25" i="2"/>
  <c r="AL263" i="2"/>
  <c r="AL269" i="2"/>
  <c r="AM47" i="2"/>
  <c r="AM230" i="2"/>
  <c r="AL265" i="2"/>
  <c r="AL211" i="2"/>
  <c r="AO100" i="2"/>
  <c r="AP100" i="2"/>
  <c r="AM268" i="2"/>
  <c r="AM153" i="2"/>
  <c r="AL137" i="2"/>
  <c r="AM133" i="2"/>
  <c r="AM82" i="2"/>
  <c r="AL40" i="2"/>
  <c r="AL247" i="2"/>
  <c r="AM190" i="2"/>
  <c r="AL176" i="2"/>
  <c r="AM156" i="2"/>
  <c r="AL113" i="2"/>
  <c r="AL74" i="2"/>
  <c r="AM43" i="2"/>
  <c r="AM18" i="2"/>
  <c r="AM225" i="2"/>
  <c r="AL85" i="2"/>
  <c r="AM261" i="2"/>
  <c r="AL184" i="2"/>
  <c r="AM159" i="2"/>
  <c r="AM125" i="2"/>
  <c r="AM106" i="2"/>
  <c r="AL62" i="2"/>
  <c r="AM256" i="2"/>
  <c r="AM124" i="2"/>
  <c r="AM99" i="2"/>
  <c r="AL267" i="2"/>
  <c r="AM195" i="2"/>
  <c r="AO195" i="2" s="1"/>
  <c r="AL180" i="2"/>
  <c r="AM118" i="2"/>
  <c r="AM91" i="2"/>
  <c r="AM274" i="2"/>
  <c r="AO274" i="2" s="1"/>
  <c r="AM210" i="2"/>
  <c r="AM165" i="2"/>
  <c r="AM102" i="2"/>
  <c r="AM79" i="2"/>
  <c r="AL37" i="2"/>
  <c r="AM246" i="2"/>
  <c r="AM130" i="2"/>
  <c r="AL94" i="2"/>
  <c r="AL223" i="2"/>
  <c r="AL54" i="2"/>
  <c r="AM260" i="2"/>
  <c r="AM139" i="2"/>
  <c r="AM111" i="2"/>
  <c r="AL234" i="2"/>
  <c r="AM177" i="2"/>
  <c r="AM27" i="2"/>
  <c r="AL259" i="2"/>
  <c r="AM149" i="2"/>
  <c r="AM129" i="2"/>
  <c r="AL38" i="2"/>
  <c r="AM272" i="2"/>
  <c r="AM132" i="2"/>
  <c r="AM58" i="2"/>
  <c r="AL245" i="2"/>
  <c r="AL172" i="2"/>
  <c r="AM52" i="2"/>
  <c r="AM286" i="2"/>
  <c r="AM288" i="2"/>
  <c r="AL11" i="2"/>
  <c r="AL284" i="2"/>
  <c r="AO128" i="2"/>
  <c r="AP128" i="2"/>
  <c r="AL248" i="2"/>
  <c r="AL157" i="2"/>
  <c r="AM95" i="2"/>
  <c r="AL73" i="2"/>
  <c r="AL61" i="2"/>
  <c r="AM283" i="2"/>
  <c r="AO283" i="2" s="1"/>
  <c r="AM222" i="2"/>
  <c r="AL151" i="2"/>
  <c r="AL97" i="2"/>
  <c r="AM63" i="2"/>
  <c r="AM34" i="2"/>
  <c r="AL287" i="2"/>
  <c r="AM218" i="2"/>
  <c r="AM181" i="2"/>
  <c r="AM141" i="2"/>
  <c r="AL123" i="2"/>
  <c r="AM75" i="2"/>
  <c r="AM45" i="2"/>
  <c r="AM253" i="2"/>
  <c r="AL77" i="2"/>
  <c r="AM57" i="2"/>
  <c r="AM232" i="2"/>
  <c r="AO232" i="2" s="1"/>
  <c r="AM193" i="2"/>
  <c r="AL162" i="2"/>
  <c r="AM114" i="2"/>
  <c r="AL78" i="2"/>
  <c r="AM48" i="2"/>
  <c r="AM23" i="2"/>
  <c r="AL237" i="2"/>
  <c r="AM194" i="2"/>
  <c r="AL169" i="2"/>
  <c r="AM76" i="2"/>
  <c r="AM55" i="2"/>
  <c r="AL270" i="2"/>
  <c r="AL183" i="2"/>
  <c r="AM117" i="2"/>
  <c r="AL29" i="2"/>
  <c r="AM243" i="2"/>
  <c r="AP243" i="2" s="1"/>
  <c r="AM152" i="2"/>
  <c r="AM110" i="2"/>
  <c r="AM87" i="2"/>
  <c r="AM41" i="2"/>
  <c r="AM285" i="2"/>
  <c r="AL279" i="2"/>
  <c r="AL220" i="2"/>
  <c r="AM171" i="2"/>
  <c r="AM258" i="2"/>
  <c r="AM229" i="2"/>
  <c r="AO229" i="2" s="1"/>
  <c r="AL182" i="2"/>
  <c r="AM144" i="2"/>
  <c r="AM116" i="2"/>
  <c r="AM96" i="2"/>
  <c r="AL231" i="2"/>
  <c r="AM88" i="2"/>
  <c r="AM235" i="2"/>
  <c r="AO235" i="2" s="1"/>
  <c r="AM147" i="2"/>
  <c r="AM101" i="2"/>
  <c r="AM89" i="2"/>
  <c r="AM26" i="2"/>
  <c r="AM262" i="2"/>
  <c r="AO262" i="2" s="1"/>
  <c r="AM150" i="2"/>
  <c r="AM131" i="2"/>
  <c r="AO131" i="2" s="1"/>
  <c r="AM92" i="2"/>
  <c r="AO92" i="2" s="1"/>
  <c r="AL278" i="2"/>
  <c r="AM241" i="2"/>
  <c r="AP241" i="2" s="1"/>
  <c r="AM120" i="2"/>
  <c r="AM236" i="2"/>
  <c r="AP236" i="2" s="1"/>
  <c r="AM188" i="2"/>
  <c r="AM148" i="2"/>
  <c r="AM135" i="2"/>
  <c r="AM271" i="2"/>
  <c r="AL219" i="2"/>
  <c r="AM105" i="2"/>
  <c r="AM72" i="2"/>
  <c r="AL30" i="2"/>
  <c r="AL257" i="2"/>
  <c r="AL161" i="2"/>
  <c r="AM98" i="2"/>
  <c r="AL228" i="2"/>
  <c r="AL191" i="2"/>
  <c r="AM66" i="2"/>
  <c r="AM13" i="2"/>
  <c r="AO13" i="2" s="1"/>
  <c r="AM224" i="2"/>
  <c r="AO224" i="2" s="1"/>
  <c r="AL166" i="2"/>
  <c r="AM146" i="2"/>
  <c r="AM67" i="2"/>
  <c r="AM19" i="2"/>
  <c r="AM227" i="2"/>
  <c r="AO227" i="2" s="1"/>
  <c r="AL167" i="2"/>
  <c r="AM127" i="2"/>
  <c r="AM93" i="2"/>
  <c r="AM242" i="2"/>
  <c r="AL170" i="2"/>
  <c r="AM107" i="2"/>
  <c r="AL70" i="2"/>
  <c r="AM50" i="2"/>
  <c r="AL277" i="2"/>
  <c r="AL233" i="2"/>
  <c r="AM104" i="2"/>
  <c r="AM32" i="2"/>
  <c r="AL289" i="2"/>
  <c r="AL282" i="2"/>
  <c r="AM281" i="2"/>
  <c r="AM217" i="2"/>
  <c r="AM155" i="2"/>
  <c r="AL138" i="2"/>
  <c r="AM90" i="2"/>
  <c r="AM69" i="2"/>
  <c r="AL53" i="2"/>
  <c r="AM254" i="2"/>
  <c r="AM215" i="2"/>
  <c r="AO215" i="2" s="1"/>
  <c r="AM178" i="2"/>
  <c r="AM158" i="2"/>
  <c r="AL122" i="2"/>
  <c r="AM51" i="2"/>
  <c r="AL24" i="2"/>
  <c r="AL255" i="2"/>
  <c r="AL189" i="2"/>
  <c r="AM179" i="2"/>
  <c r="AL160" i="2"/>
  <c r="AM140" i="2"/>
  <c r="AL121" i="2"/>
  <c r="AM56" i="2"/>
  <c r="AM35" i="2"/>
  <c r="AL221" i="2"/>
  <c r="AM163" i="2"/>
  <c r="AL143" i="2"/>
  <c r="AM126" i="2"/>
  <c r="AL108" i="2"/>
  <c r="AL83" i="2"/>
  <c r="AL46" i="2"/>
  <c r="AM266" i="2"/>
  <c r="AM202" i="2"/>
  <c r="AL185" i="2"/>
  <c r="AL109" i="2"/>
  <c r="AM86" i="2"/>
  <c r="AM44" i="2"/>
  <c r="AM205" i="2"/>
  <c r="AL192" i="2"/>
  <c r="AL80" i="2"/>
  <c r="AM68" i="2"/>
  <c r="AM49" i="2"/>
  <c r="AL21" i="2"/>
  <c r="AL240" i="2"/>
  <c r="AM145" i="2"/>
  <c r="AL119" i="2"/>
  <c r="AM81" i="2"/>
  <c r="AM275" i="2"/>
  <c r="AO275" i="2" s="1"/>
  <c r="AL214" i="2"/>
  <c r="AM173" i="2"/>
  <c r="AM168" i="2"/>
  <c r="AL134" i="2"/>
  <c r="AL112" i="2"/>
  <c r="AM71" i="2"/>
  <c r="AM31" i="2"/>
  <c r="AS185" i="2" l="1"/>
  <c r="AT185" i="2"/>
  <c r="AR185" i="2"/>
  <c r="AT255" i="2"/>
  <c r="AR255" i="2"/>
  <c r="AS255" i="2"/>
  <c r="AS53" i="2"/>
  <c r="AT53" i="2"/>
  <c r="AR53" i="2"/>
  <c r="AS29" i="2"/>
  <c r="AT29" i="2"/>
  <c r="AR29" i="2"/>
  <c r="AT11" i="2"/>
  <c r="AR11" i="2"/>
  <c r="AS11" i="2"/>
  <c r="AT180" i="2"/>
  <c r="AS180" i="2"/>
  <c r="AR180" i="2"/>
  <c r="AT59" i="2"/>
  <c r="AR59" i="2"/>
  <c r="AS59" i="2"/>
  <c r="AT171" i="2"/>
  <c r="AS171" i="2"/>
  <c r="AR171" i="2"/>
  <c r="AT80" i="2"/>
  <c r="AS80" i="2"/>
  <c r="AR80" i="2"/>
  <c r="AS257" i="2"/>
  <c r="AT257" i="2"/>
  <c r="AR257" i="2"/>
  <c r="AT287" i="2"/>
  <c r="AS287" i="2"/>
  <c r="AR287" i="2"/>
  <c r="AS113" i="2"/>
  <c r="AT113" i="2"/>
  <c r="AR113" i="2"/>
  <c r="AS142" i="2"/>
  <c r="AT142" i="2"/>
  <c r="AR142" i="2"/>
  <c r="AS197" i="2"/>
  <c r="AT197" i="2"/>
  <c r="AR197" i="2"/>
  <c r="AR26" i="2"/>
  <c r="AS26" i="2"/>
  <c r="AT26" i="2"/>
  <c r="AT56" i="2"/>
  <c r="AS56" i="2"/>
  <c r="AR56" i="2"/>
  <c r="AS146" i="2"/>
  <c r="AT146" i="2"/>
  <c r="AR146" i="2"/>
  <c r="AT27" i="2"/>
  <c r="AR27" i="2"/>
  <c r="AS27" i="2"/>
  <c r="AR18" i="2"/>
  <c r="AS18" i="2"/>
  <c r="AT18" i="2"/>
  <c r="AT48" i="2"/>
  <c r="AR48" i="2"/>
  <c r="AS48" i="2"/>
  <c r="AT155" i="2"/>
  <c r="AS155" i="2"/>
  <c r="AR155" i="2"/>
  <c r="AS68" i="2"/>
  <c r="AT68" i="2"/>
  <c r="AR68" i="2"/>
  <c r="AS173" i="2"/>
  <c r="AT173" i="2"/>
  <c r="AR173" i="2"/>
  <c r="AR14" i="2"/>
  <c r="AS14" i="2"/>
  <c r="AT14" i="2"/>
  <c r="AT88" i="2"/>
  <c r="AR88" i="2"/>
  <c r="AS88" i="2"/>
  <c r="AS222" i="2"/>
  <c r="AT222" i="2"/>
  <c r="AR222" i="2"/>
  <c r="AS242" i="2"/>
  <c r="AT242" i="2"/>
  <c r="AR242" i="2"/>
  <c r="AT280" i="2"/>
  <c r="AR280" i="2"/>
  <c r="AS280" i="2"/>
  <c r="AS194" i="2"/>
  <c r="AT194" i="2"/>
  <c r="AR194" i="2"/>
  <c r="AS253" i="2"/>
  <c r="AT253" i="2"/>
  <c r="AR253" i="2"/>
  <c r="AS212" i="2"/>
  <c r="AR208" i="2"/>
  <c r="AT13" i="2"/>
  <c r="AS243" i="2"/>
  <c r="AT39" i="2"/>
  <c r="AT192" i="2"/>
  <c r="AS192" i="2"/>
  <c r="AR192" i="2"/>
  <c r="AR46" i="2"/>
  <c r="AS46" i="2"/>
  <c r="AT46" i="2"/>
  <c r="AR30" i="2"/>
  <c r="AS30" i="2"/>
  <c r="AT30" i="2"/>
  <c r="AR183" i="2"/>
  <c r="AT183" i="2"/>
  <c r="AS183" i="2"/>
  <c r="AT267" i="2"/>
  <c r="AS267" i="2"/>
  <c r="AR267" i="2"/>
  <c r="AT184" i="2"/>
  <c r="AS184" i="2"/>
  <c r="AR184" i="2"/>
  <c r="AS269" i="2"/>
  <c r="AT269" i="2"/>
  <c r="AR269" i="2"/>
  <c r="AS154" i="2"/>
  <c r="AT154" i="2"/>
  <c r="AR154" i="2"/>
  <c r="AT136" i="2"/>
  <c r="AS136" i="2"/>
  <c r="AR136" i="2"/>
  <c r="AR42" i="2"/>
  <c r="AS42" i="2"/>
  <c r="AT42" i="2"/>
  <c r="AR55" i="2"/>
  <c r="AS55" i="2"/>
  <c r="AT55" i="2"/>
  <c r="AS140" i="2"/>
  <c r="AT140" i="2"/>
  <c r="AR140" i="2"/>
  <c r="AT120" i="2"/>
  <c r="AR120" i="2"/>
  <c r="AS120" i="2"/>
  <c r="AS177" i="2"/>
  <c r="AT177" i="2"/>
  <c r="AR177" i="2"/>
  <c r="AT43" i="2"/>
  <c r="AR43" i="2"/>
  <c r="AS43" i="2"/>
  <c r="AS135" i="2"/>
  <c r="AR135" i="2"/>
  <c r="AT135" i="2"/>
  <c r="AT179" i="2"/>
  <c r="AS179" i="2"/>
  <c r="AR179" i="2"/>
  <c r="AR87" i="2"/>
  <c r="AS87" i="2"/>
  <c r="AT87" i="2"/>
  <c r="AS114" i="2"/>
  <c r="AT114" i="2"/>
  <c r="AR114" i="2"/>
  <c r="AT147" i="2"/>
  <c r="AS147" i="2"/>
  <c r="AR147" i="2"/>
  <c r="AT175" i="2"/>
  <c r="AR175" i="2"/>
  <c r="AS175" i="2"/>
  <c r="AT99" i="2"/>
  <c r="AR99" i="2"/>
  <c r="AS99" i="2"/>
  <c r="AS81" i="2"/>
  <c r="AT81" i="2"/>
  <c r="AR81" i="2"/>
  <c r="AS198" i="2"/>
  <c r="AR198" i="2"/>
  <c r="AT198" i="2"/>
  <c r="AT254" i="2"/>
  <c r="AS254" i="2"/>
  <c r="AR254" i="2"/>
  <c r="AT252" i="2"/>
  <c r="AS252" i="2"/>
  <c r="AR252" i="2"/>
  <c r="AS209" i="2"/>
  <c r="AT209" i="2"/>
  <c r="AR209" i="2"/>
  <c r="AT244" i="2"/>
  <c r="AS244" i="2"/>
  <c r="AR244" i="2"/>
  <c r="AT212" i="2"/>
  <c r="AS208" i="2"/>
  <c r="AR227" i="2"/>
  <c r="AS13" i="2"/>
  <c r="AR274" i="2"/>
  <c r="AT243" i="2"/>
  <c r="AR39" i="2"/>
  <c r="AS282" i="2"/>
  <c r="AT282" i="2"/>
  <c r="AR282" i="2"/>
  <c r="AS121" i="2"/>
  <c r="AT121" i="2"/>
  <c r="AR121" i="2"/>
  <c r="AR78" i="2"/>
  <c r="AS78" i="2"/>
  <c r="AT78" i="2"/>
  <c r="AR54" i="2"/>
  <c r="AS54" i="2"/>
  <c r="AT54" i="2"/>
  <c r="AT176" i="2"/>
  <c r="AS176" i="2"/>
  <c r="AR176" i="2"/>
  <c r="AR263" i="2"/>
  <c r="AS263" i="2"/>
  <c r="AT263" i="2"/>
  <c r="AS213" i="2"/>
  <c r="AT213" i="2"/>
  <c r="AR213" i="2"/>
  <c r="AS28" i="2"/>
  <c r="AT28" i="2"/>
  <c r="AR28" i="2"/>
  <c r="AS186" i="2"/>
  <c r="AT186" i="2"/>
  <c r="AR186" i="2"/>
  <c r="AS76" i="2"/>
  <c r="AT76" i="2"/>
  <c r="AR76" i="2"/>
  <c r="AS45" i="2"/>
  <c r="AT45" i="2"/>
  <c r="AR45" i="2"/>
  <c r="AT96" i="2"/>
  <c r="AR96" i="2"/>
  <c r="AS96" i="2"/>
  <c r="AS148" i="2"/>
  <c r="AT148" i="2"/>
  <c r="AR148" i="2"/>
  <c r="AT127" i="2"/>
  <c r="AR127" i="2"/>
  <c r="AS127" i="2"/>
  <c r="AR110" i="2"/>
  <c r="AS110" i="2"/>
  <c r="AT110" i="2"/>
  <c r="AS66" i="2"/>
  <c r="AT66" i="2"/>
  <c r="AR66" i="2"/>
  <c r="AS124" i="2"/>
  <c r="AT124" i="2"/>
  <c r="AR124" i="2"/>
  <c r="AS69" i="2"/>
  <c r="AT69" i="2"/>
  <c r="AR69" i="2"/>
  <c r="AR126" i="2"/>
  <c r="AS126" i="2"/>
  <c r="AT126" i="2"/>
  <c r="AT203" i="2"/>
  <c r="AS203" i="2"/>
  <c r="AR203" i="2"/>
  <c r="AS201" i="2"/>
  <c r="AT201" i="2"/>
  <c r="AR201" i="2"/>
  <c r="AT216" i="2"/>
  <c r="AR216" i="2"/>
  <c r="AS216" i="2"/>
  <c r="AT271" i="2"/>
  <c r="AS271" i="2"/>
  <c r="AR271" i="2"/>
  <c r="AR232" i="2"/>
  <c r="AT208" i="2"/>
  <c r="AS227" i="2"/>
  <c r="AT274" i="2"/>
  <c r="AS131" i="2"/>
  <c r="AS39" i="2"/>
  <c r="AS233" i="2"/>
  <c r="AT233" i="2"/>
  <c r="AR233" i="2"/>
  <c r="AS157" i="2"/>
  <c r="AT157" i="2"/>
  <c r="AR157" i="2"/>
  <c r="AS108" i="2"/>
  <c r="AT108" i="2"/>
  <c r="AR108" i="2"/>
  <c r="AS97" i="2"/>
  <c r="AT97" i="2"/>
  <c r="AR97" i="2"/>
  <c r="AT259" i="2"/>
  <c r="AS259" i="2"/>
  <c r="AR259" i="2"/>
  <c r="AS65" i="2"/>
  <c r="AT65" i="2"/>
  <c r="AR65" i="2"/>
  <c r="AT72" i="2"/>
  <c r="AS72" i="2"/>
  <c r="AR72" i="2"/>
  <c r="AR58" i="2"/>
  <c r="AS58" i="2"/>
  <c r="AT58" i="2"/>
  <c r="AS93" i="2"/>
  <c r="AT93" i="2"/>
  <c r="AR93" i="2"/>
  <c r="AS116" i="2"/>
  <c r="AT116" i="2"/>
  <c r="AR116" i="2"/>
  <c r="AT188" i="2"/>
  <c r="AS188" i="2"/>
  <c r="AR188" i="2"/>
  <c r="AT95" i="2"/>
  <c r="AS95" i="2"/>
  <c r="AR95" i="2"/>
  <c r="AT152" i="2"/>
  <c r="AS152" i="2"/>
  <c r="AR152" i="2"/>
  <c r="AS106" i="2"/>
  <c r="AT106" i="2"/>
  <c r="AR106" i="2"/>
  <c r="AS178" i="2"/>
  <c r="AT178" i="2"/>
  <c r="AR178" i="2"/>
  <c r="AS57" i="2"/>
  <c r="AT57" i="2"/>
  <c r="AR57" i="2"/>
  <c r="AS71" i="2"/>
  <c r="AR71" i="2"/>
  <c r="AT71" i="2"/>
  <c r="AS145" i="2"/>
  <c r="AT145" i="2"/>
  <c r="AR145" i="2"/>
  <c r="AR34" i="2"/>
  <c r="AS34" i="2"/>
  <c r="AT34" i="2"/>
  <c r="AT204" i="2"/>
  <c r="AR204" i="2"/>
  <c r="AS204" i="2"/>
  <c r="AT256" i="2"/>
  <c r="AR256" i="2"/>
  <c r="AS256" i="2"/>
  <c r="AS206" i="2"/>
  <c r="AT206" i="2"/>
  <c r="AR206" i="2"/>
  <c r="AS246" i="2"/>
  <c r="AR246" i="2"/>
  <c r="AT246" i="2"/>
  <c r="AT268" i="2"/>
  <c r="AS268" i="2"/>
  <c r="AR268" i="2"/>
  <c r="AS241" i="2"/>
  <c r="AT241" i="2"/>
  <c r="AR241" i="2"/>
  <c r="AT187" i="2"/>
  <c r="AS187" i="2"/>
  <c r="AR187" i="2"/>
  <c r="AS258" i="2"/>
  <c r="AT258" i="2"/>
  <c r="AR258" i="2"/>
  <c r="AS232" i="2"/>
  <c r="AT227" i="2"/>
  <c r="AR199" i="2"/>
  <c r="AS274" i="2"/>
  <c r="AR131" i="2"/>
  <c r="AR275" i="2"/>
  <c r="AT83" i="2"/>
  <c r="AR83" i="2"/>
  <c r="AS83" i="2"/>
  <c r="AS138" i="2"/>
  <c r="AT138" i="2"/>
  <c r="AR138" i="2"/>
  <c r="AT112" i="2"/>
  <c r="AS112" i="2"/>
  <c r="AR112" i="2"/>
  <c r="AS167" i="2"/>
  <c r="AR167" i="2"/>
  <c r="AT167" i="2"/>
  <c r="AT248" i="2"/>
  <c r="AR248" i="2"/>
  <c r="AS248" i="2"/>
  <c r="AT223" i="2"/>
  <c r="AS223" i="2"/>
  <c r="AR223" i="2"/>
  <c r="AS85" i="2"/>
  <c r="AT85" i="2"/>
  <c r="AR85" i="2"/>
  <c r="AS250" i="2"/>
  <c r="AT250" i="2"/>
  <c r="AR250" i="2"/>
  <c r="AT240" i="2"/>
  <c r="AS240" i="2"/>
  <c r="AR240" i="2"/>
  <c r="AT219" i="2"/>
  <c r="AS219" i="2"/>
  <c r="AR219" i="2"/>
  <c r="AT123" i="2"/>
  <c r="AR123" i="2"/>
  <c r="AS123" i="2"/>
  <c r="AS247" i="2"/>
  <c r="AT247" i="2"/>
  <c r="AR247" i="2"/>
  <c r="AT64" i="2"/>
  <c r="AS64" i="2"/>
  <c r="AR64" i="2"/>
  <c r="AS44" i="2"/>
  <c r="AT44" i="2"/>
  <c r="AR44" i="2"/>
  <c r="AS132" i="2"/>
  <c r="AT132" i="2"/>
  <c r="AR132" i="2"/>
  <c r="AT79" i="2"/>
  <c r="AS79" i="2"/>
  <c r="AR79" i="2"/>
  <c r="AS125" i="2"/>
  <c r="AT125" i="2"/>
  <c r="AR125" i="2"/>
  <c r="AR119" i="2"/>
  <c r="AS119" i="2"/>
  <c r="AT119" i="2"/>
  <c r="AS122" i="2"/>
  <c r="AT122" i="2"/>
  <c r="AR122" i="2"/>
  <c r="AS270" i="2"/>
  <c r="AT270" i="2"/>
  <c r="AR270" i="2"/>
  <c r="AS277" i="2"/>
  <c r="AT277" i="2"/>
  <c r="AR277" i="2"/>
  <c r="AS182" i="2"/>
  <c r="AR182" i="2"/>
  <c r="AT182" i="2"/>
  <c r="AT172" i="2"/>
  <c r="AR172" i="2"/>
  <c r="AS172" i="2"/>
  <c r="AS273" i="2"/>
  <c r="AT273" i="2"/>
  <c r="AR273" i="2"/>
  <c r="AS98" i="2"/>
  <c r="AT98" i="2"/>
  <c r="AR98" i="2"/>
  <c r="AS134" i="2"/>
  <c r="AT134" i="2"/>
  <c r="AR134" i="2"/>
  <c r="AT160" i="2"/>
  <c r="AR160" i="2"/>
  <c r="AS160" i="2"/>
  <c r="AT191" i="2"/>
  <c r="AS191" i="2"/>
  <c r="AR191" i="2"/>
  <c r="AR278" i="2"/>
  <c r="AS278" i="2"/>
  <c r="AT278" i="2"/>
  <c r="AS162" i="2"/>
  <c r="AT162" i="2"/>
  <c r="AR162" i="2"/>
  <c r="AS151" i="2"/>
  <c r="AR151" i="2"/>
  <c r="AT151" i="2"/>
  <c r="AS245" i="2"/>
  <c r="AT245" i="2"/>
  <c r="AR245" i="2"/>
  <c r="AR94" i="2"/>
  <c r="AS94" i="2"/>
  <c r="AT94" i="2"/>
  <c r="AS226" i="2"/>
  <c r="AT226" i="2"/>
  <c r="AR226" i="2"/>
  <c r="AS164" i="2"/>
  <c r="AT164" i="2"/>
  <c r="AR164" i="2"/>
  <c r="AT104" i="2"/>
  <c r="AS104" i="2"/>
  <c r="AR104" i="2"/>
  <c r="AS105" i="2"/>
  <c r="AT105" i="2"/>
  <c r="AR105" i="2"/>
  <c r="AT144" i="2"/>
  <c r="AS144" i="2"/>
  <c r="AR144" i="2"/>
  <c r="AT288" i="2"/>
  <c r="AR288" i="2"/>
  <c r="AS288" i="2"/>
  <c r="AT75" i="2"/>
  <c r="AR75" i="2"/>
  <c r="AS75" i="2"/>
  <c r="AS158" i="2"/>
  <c r="AT158" i="2"/>
  <c r="AR158" i="2"/>
  <c r="AS52" i="2"/>
  <c r="AT52" i="2"/>
  <c r="AR52" i="2"/>
  <c r="AT63" i="2"/>
  <c r="AR63" i="2"/>
  <c r="AS63" i="2"/>
  <c r="AT272" i="2"/>
  <c r="AS272" i="2"/>
  <c r="AR272" i="2"/>
  <c r="AS261" i="2"/>
  <c r="AT261" i="2"/>
  <c r="AR261" i="2"/>
  <c r="AS230" i="2"/>
  <c r="AT230" i="2"/>
  <c r="AR230" i="2"/>
  <c r="AS17" i="2"/>
  <c r="AT17" i="2"/>
  <c r="AR17" i="2"/>
  <c r="AS210" i="2"/>
  <c r="AT210" i="2"/>
  <c r="AR210" i="2"/>
  <c r="AS25" i="2"/>
  <c r="AT25" i="2"/>
  <c r="AR25" i="2"/>
  <c r="AT31" i="2"/>
  <c r="AR31" i="2"/>
  <c r="AS31" i="2"/>
  <c r="AT232" i="2"/>
  <c r="AT199" i="2"/>
  <c r="AT131" i="2"/>
  <c r="AS275" i="2"/>
  <c r="AS21" i="2"/>
  <c r="AT21" i="2"/>
  <c r="AR21" i="2"/>
  <c r="AS109" i="2"/>
  <c r="AT109" i="2"/>
  <c r="AR109" i="2"/>
  <c r="AT143" i="2"/>
  <c r="AR143" i="2"/>
  <c r="AS143" i="2"/>
  <c r="AR70" i="2"/>
  <c r="AS70" i="2"/>
  <c r="AT70" i="2"/>
  <c r="AT228" i="2"/>
  <c r="AS228" i="2"/>
  <c r="AR228" i="2"/>
  <c r="AO258" i="2"/>
  <c r="AS169" i="2"/>
  <c r="AT169" i="2"/>
  <c r="AR169" i="2"/>
  <c r="AR62" i="2"/>
  <c r="AS62" i="2"/>
  <c r="AT62" i="2"/>
  <c r="AT40" i="2"/>
  <c r="AS40" i="2"/>
  <c r="AR40" i="2"/>
  <c r="AT211" i="2"/>
  <c r="AS211" i="2"/>
  <c r="AR211" i="2"/>
  <c r="AT251" i="2"/>
  <c r="AS251" i="2"/>
  <c r="AR251" i="2"/>
  <c r="AS60" i="2"/>
  <c r="AT60" i="2"/>
  <c r="AR60" i="2"/>
  <c r="AT200" i="2"/>
  <c r="AS200" i="2"/>
  <c r="AR200" i="2"/>
  <c r="AS84" i="2"/>
  <c r="AT84" i="2"/>
  <c r="AR84" i="2"/>
  <c r="AT168" i="2"/>
  <c r="AS168" i="2"/>
  <c r="AR168" i="2"/>
  <c r="AS82" i="2"/>
  <c r="AT82" i="2"/>
  <c r="AR82" i="2"/>
  <c r="AS129" i="2"/>
  <c r="AT129" i="2"/>
  <c r="AR129" i="2"/>
  <c r="AS156" i="2"/>
  <c r="AT156" i="2"/>
  <c r="AR156" i="2"/>
  <c r="AR22" i="2"/>
  <c r="AS22" i="2"/>
  <c r="AT22" i="2"/>
  <c r="AT111" i="2"/>
  <c r="AS111" i="2"/>
  <c r="AR111" i="2"/>
  <c r="AR102" i="2"/>
  <c r="AS102" i="2"/>
  <c r="AT102" i="2"/>
  <c r="AT159" i="2"/>
  <c r="AR159" i="2"/>
  <c r="AS159" i="2"/>
  <c r="AS285" i="2"/>
  <c r="AT285" i="2"/>
  <c r="AR285" i="2"/>
  <c r="AT91" i="2"/>
  <c r="AR91" i="2"/>
  <c r="AS91" i="2"/>
  <c r="AS266" i="2"/>
  <c r="AT266" i="2"/>
  <c r="AR266" i="2"/>
  <c r="AS205" i="2"/>
  <c r="AT205" i="2"/>
  <c r="AR205" i="2"/>
  <c r="AS225" i="2"/>
  <c r="AT225" i="2"/>
  <c r="AR225" i="2"/>
  <c r="AS41" i="2"/>
  <c r="AT41" i="2"/>
  <c r="AR41" i="2"/>
  <c r="AS12" i="2"/>
  <c r="AT12" i="2"/>
  <c r="AR12" i="2"/>
  <c r="AR195" i="2"/>
  <c r="AT235" i="2"/>
  <c r="AR239" i="2"/>
  <c r="AR283" i="2"/>
  <c r="AS199" i="2"/>
  <c r="AS262" i="2"/>
  <c r="AT275" i="2"/>
  <c r="AS189" i="2"/>
  <c r="AT189" i="2"/>
  <c r="AR189" i="2"/>
  <c r="AS234" i="2"/>
  <c r="AT234" i="2"/>
  <c r="AR234" i="2"/>
  <c r="AS265" i="2"/>
  <c r="AT265" i="2"/>
  <c r="AR265" i="2"/>
  <c r="AS238" i="2"/>
  <c r="AT238" i="2"/>
  <c r="AR238" i="2"/>
  <c r="AT264" i="2"/>
  <c r="AS264" i="2"/>
  <c r="AR264" i="2"/>
  <c r="AS103" i="2"/>
  <c r="AR103" i="2"/>
  <c r="AT103" i="2"/>
  <c r="AS117" i="2"/>
  <c r="AT117" i="2"/>
  <c r="AR117" i="2"/>
  <c r="AS133" i="2"/>
  <c r="AT133" i="2"/>
  <c r="AR133" i="2"/>
  <c r="AS149" i="2"/>
  <c r="AT149" i="2"/>
  <c r="AR149" i="2"/>
  <c r="AS181" i="2"/>
  <c r="AT181" i="2"/>
  <c r="AR181" i="2"/>
  <c r="AS130" i="2"/>
  <c r="AT130" i="2"/>
  <c r="AR130" i="2"/>
  <c r="AT115" i="2"/>
  <c r="AR115" i="2"/>
  <c r="AS115" i="2"/>
  <c r="AR50" i="2"/>
  <c r="AS50" i="2"/>
  <c r="AT50" i="2"/>
  <c r="AS165" i="2"/>
  <c r="AT165" i="2"/>
  <c r="AR165" i="2"/>
  <c r="AS141" i="2"/>
  <c r="AT141" i="2"/>
  <c r="AR141" i="2"/>
  <c r="AR86" i="2"/>
  <c r="AS86" i="2"/>
  <c r="AT86" i="2"/>
  <c r="AT51" i="2"/>
  <c r="AR51" i="2"/>
  <c r="AS51" i="2"/>
  <c r="AS174" i="2"/>
  <c r="AT174" i="2"/>
  <c r="AR174" i="2"/>
  <c r="AR118" i="2"/>
  <c r="AS118" i="2"/>
  <c r="AT118" i="2"/>
  <c r="AT16" i="2"/>
  <c r="AS16" i="2"/>
  <c r="AR16" i="2"/>
  <c r="AT196" i="2"/>
  <c r="AS196" i="2"/>
  <c r="AR196" i="2"/>
  <c r="AS217" i="2"/>
  <c r="AT217" i="2"/>
  <c r="AR217" i="2"/>
  <c r="AS150" i="2"/>
  <c r="AR150" i="2"/>
  <c r="AT150" i="2"/>
  <c r="AT47" i="2"/>
  <c r="AR47" i="2"/>
  <c r="AS47" i="2"/>
  <c r="AS249" i="2"/>
  <c r="AT249" i="2"/>
  <c r="AR249" i="2"/>
  <c r="AS229" i="2"/>
  <c r="AT229" i="2"/>
  <c r="AR229" i="2"/>
  <c r="AS195" i="2"/>
  <c r="AS283" i="2"/>
  <c r="AR262" i="2"/>
  <c r="AS170" i="2"/>
  <c r="AT170" i="2"/>
  <c r="AR170" i="2"/>
  <c r="AT220" i="2"/>
  <c r="AS220" i="2"/>
  <c r="AR220" i="2"/>
  <c r="AS37" i="2"/>
  <c r="AT37" i="2"/>
  <c r="AR37" i="2"/>
  <c r="AS74" i="2"/>
  <c r="AT74" i="2"/>
  <c r="AR74" i="2"/>
  <c r="AT276" i="2"/>
  <c r="AS276" i="2"/>
  <c r="AR276" i="2"/>
  <c r="AS36" i="2"/>
  <c r="AT36" i="2"/>
  <c r="AR36" i="2"/>
  <c r="AT35" i="2"/>
  <c r="AR35" i="2"/>
  <c r="AS35" i="2"/>
  <c r="AS153" i="2"/>
  <c r="AT153" i="2"/>
  <c r="AR153" i="2"/>
  <c r="AT107" i="2"/>
  <c r="AR107" i="2"/>
  <c r="AS107" i="2"/>
  <c r="AT139" i="2"/>
  <c r="AS139" i="2"/>
  <c r="AR139" i="2"/>
  <c r="AT15" i="2"/>
  <c r="AR15" i="2"/>
  <c r="AS15" i="2"/>
  <c r="AS90" i="2"/>
  <c r="AT90" i="2"/>
  <c r="AR90" i="2"/>
  <c r="AS89" i="2"/>
  <c r="AT89" i="2"/>
  <c r="AR89" i="2"/>
  <c r="AS49" i="2"/>
  <c r="AT49" i="2"/>
  <c r="AR49" i="2"/>
  <c r="AT286" i="2"/>
  <c r="AS286" i="2"/>
  <c r="AR286" i="2"/>
  <c r="AT163" i="2"/>
  <c r="AS163" i="2"/>
  <c r="AR163" i="2"/>
  <c r="AT19" i="2"/>
  <c r="AR19" i="2"/>
  <c r="AS19" i="2"/>
  <c r="AS20" i="2"/>
  <c r="AT20" i="2"/>
  <c r="AR20" i="2"/>
  <c r="AS33" i="2"/>
  <c r="AT33" i="2"/>
  <c r="AR33" i="2"/>
  <c r="AS202" i="2"/>
  <c r="AT202" i="2"/>
  <c r="AR202" i="2"/>
  <c r="AT260" i="2"/>
  <c r="AS260" i="2"/>
  <c r="AR260" i="2"/>
  <c r="AT23" i="2"/>
  <c r="AR23" i="2"/>
  <c r="AS23" i="2"/>
  <c r="AS218" i="2"/>
  <c r="AT218" i="2"/>
  <c r="AR218" i="2"/>
  <c r="AS281" i="2"/>
  <c r="AT281" i="2"/>
  <c r="AR281" i="2"/>
  <c r="AR212" i="2"/>
  <c r="AT195" i="2"/>
  <c r="AR13" i="2"/>
  <c r="AT283" i="2"/>
  <c r="AR243" i="2"/>
  <c r="AT262" i="2"/>
  <c r="AT284" i="2"/>
  <c r="AS284" i="2"/>
  <c r="AR284" i="2"/>
  <c r="AS214" i="2"/>
  <c r="AR214" i="2"/>
  <c r="AT214" i="2"/>
  <c r="AS221" i="2"/>
  <c r="AT221" i="2"/>
  <c r="AR221" i="2"/>
  <c r="AS289" i="2"/>
  <c r="AT289" i="2"/>
  <c r="AR289" i="2"/>
  <c r="AS161" i="2"/>
  <c r="AT161" i="2"/>
  <c r="AR161" i="2"/>
  <c r="AS231" i="2"/>
  <c r="AT231" i="2"/>
  <c r="AR231" i="2"/>
  <c r="AS237" i="2"/>
  <c r="AT237" i="2"/>
  <c r="AR237" i="2"/>
  <c r="AS61" i="2"/>
  <c r="AT61" i="2"/>
  <c r="AR61" i="2"/>
  <c r="AT207" i="2"/>
  <c r="AS207" i="2"/>
  <c r="AR207" i="2"/>
  <c r="AT67" i="2"/>
  <c r="AR67" i="2"/>
  <c r="AS67" i="2"/>
  <c r="AT24" i="2"/>
  <c r="AS24" i="2"/>
  <c r="AR24" i="2"/>
  <c r="AS166" i="2"/>
  <c r="AT166" i="2"/>
  <c r="AR166" i="2"/>
  <c r="AT279" i="2"/>
  <c r="AS279" i="2"/>
  <c r="AR279" i="2"/>
  <c r="AS77" i="2"/>
  <c r="AT77" i="2"/>
  <c r="AR77" i="2"/>
  <c r="AS73" i="2"/>
  <c r="AT73" i="2"/>
  <c r="AR73" i="2"/>
  <c r="AR38" i="2"/>
  <c r="AS38" i="2"/>
  <c r="AT38" i="2"/>
  <c r="AS137" i="2"/>
  <c r="AT137" i="2"/>
  <c r="AR137" i="2"/>
  <c r="AT32" i="2"/>
  <c r="AR32" i="2"/>
  <c r="AS32" i="2"/>
  <c r="AS190" i="2"/>
  <c r="AT190" i="2"/>
  <c r="AR190" i="2"/>
  <c r="AS101" i="2"/>
  <c r="AT101" i="2"/>
  <c r="AR101" i="2"/>
  <c r="AS193" i="2"/>
  <c r="AT193" i="2"/>
  <c r="AR193" i="2"/>
  <c r="AO31" i="2"/>
  <c r="AP25" i="2"/>
  <c r="AO244" i="2"/>
  <c r="AO217" i="2"/>
  <c r="AO150" i="2"/>
  <c r="AO187" i="2"/>
  <c r="AO271" i="2"/>
  <c r="AP253" i="2"/>
  <c r="AO198" i="2"/>
  <c r="AP201" i="2"/>
  <c r="AP17" i="2"/>
  <c r="AP216" i="2"/>
  <c r="AO256" i="2"/>
  <c r="AP88" i="2"/>
  <c r="AO193" i="2"/>
  <c r="AO17" i="2"/>
  <c r="AP194" i="2"/>
  <c r="AO242" i="2"/>
  <c r="AP196" i="2"/>
  <c r="AO205" i="2"/>
  <c r="AO47" i="2"/>
  <c r="AP41" i="2"/>
  <c r="AO225" i="2"/>
  <c r="AP206" i="2"/>
  <c r="AO246" i="2"/>
  <c r="AP230" i="2"/>
  <c r="AO202" i="2"/>
  <c r="AP187" i="2"/>
  <c r="AO281" i="2"/>
  <c r="AP268" i="2"/>
  <c r="AO210" i="2"/>
  <c r="AP222" i="2"/>
  <c r="AO199" i="2"/>
  <c r="AP23" i="2"/>
  <c r="AO260" i="2"/>
  <c r="AO196" i="2"/>
  <c r="AP33" i="2"/>
  <c r="AO218" i="2"/>
  <c r="AO266" i="2"/>
  <c r="AO254" i="2"/>
  <c r="AO252" i="2"/>
  <c r="AO15" i="2"/>
  <c r="AO209" i="2"/>
  <c r="AO206" i="2"/>
  <c r="AO33" i="2"/>
  <c r="AO201" i="2"/>
  <c r="AO14" i="2"/>
  <c r="AO261" i="2"/>
  <c r="AP147" i="2"/>
  <c r="AP81" i="2"/>
  <c r="AO280" i="2"/>
  <c r="AP16" i="2"/>
  <c r="AP203" i="2"/>
  <c r="AO145" i="2"/>
  <c r="AP204" i="2"/>
  <c r="AP272" i="2"/>
  <c r="AO63" i="2"/>
  <c r="AO99" i="2"/>
  <c r="AO203" i="2"/>
  <c r="AO114" i="2"/>
  <c r="AP174" i="2"/>
  <c r="AO89" i="2"/>
  <c r="AP48" i="2"/>
  <c r="AO16" i="2"/>
  <c r="AP209" i="2"/>
  <c r="AO91" i="2"/>
  <c r="AO216" i="2"/>
  <c r="AP246" i="2"/>
  <c r="AO86" i="2"/>
  <c r="AP155" i="2"/>
  <c r="AP208" i="2"/>
  <c r="AO69" i="2"/>
  <c r="AP249" i="2"/>
  <c r="AP14" i="2"/>
  <c r="AP239" i="2"/>
  <c r="AO118" i="2"/>
  <c r="AP132" i="2"/>
  <c r="AO105" i="2"/>
  <c r="AP44" i="2"/>
  <c r="AO204" i="2"/>
  <c r="AO72" i="2"/>
  <c r="AO212" i="2"/>
  <c r="AP135" i="2"/>
  <c r="AO75" i="2"/>
  <c r="AO125" i="2"/>
  <c r="AO168" i="2"/>
  <c r="AO32" i="2"/>
  <c r="AO68" i="2"/>
  <c r="AO156" i="2"/>
  <c r="AO171" i="2"/>
  <c r="AP177" i="2"/>
  <c r="AO111" i="2"/>
  <c r="AO56" i="2"/>
  <c r="AP126" i="2"/>
  <c r="AO124" i="2"/>
  <c r="AP140" i="2"/>
  <c r="AO34" i="2"/>
  <c r="AO173" i="2"/>
  <c r="AP178" i="2"/>
  <c r="AO222" i="2"/>
  <c r="AO55" i="2"/>
  <c r="AO146" i="2"/>
  <c r="AO20" i="2"/>
  <c r="AP20" i="2"/>
  <c r="AP225" i="2"/>
  <c r="AO19" i="2"/>
  <c r="AO120" i="2"/>
  <c r="AP79" i="2"/>
  <c r="AO159" i="2"/>
  <c r="AP66" i="2"/>
  <c r="AO286" i="2"/>
  <c r="AO90" i="2"/>
  <c r="AO25" i="2"/>
  <c r="AP260" i="2"/>
  <c r="AO93" i="2"/>
  <c r="AO152" i="2"/>
  <c r="AO76" i="2"/>
  <c r="AP210" i="2"/>
  <c r="AP190" i="2"/>
  <c r="AO174" i="2"/>
  <c r="AP280" i="2"/>
  <c r="AO51" i="2"/>
  <c r="AO110" i="2"/>
  <c r="AO115" i="2"/>
  <c r="AO141" i="2"/>
  <c r="AO165" i="2"/>
  <c r="AO49" i="2"/>
  <c r="AO163" i="2"/>
  <c r="AP244" i="2"/>
  <c r="AO52" i="2"/>
  <c r="AP198" i="2"/>
  <c r="AO272" i="2"/>
  <c r="AO253" i="2"/>
  <c r="AO57" i="2"/>
  <c r="AO66" i="2"/>
  <c r="AO50" i="2"/>
  <c r="AP274" i="2"/>
  <c r="AO45" i="2"/>
  <c r="AP96" i="2"/>
  <c r="AO102" i="2"/>
  <c r="AO285" i="2"/>
  <c r="AO71" i="2"/>
  <c r="AP15" i="2"/>
  <c r="AP115" i="2"/>
  <c r="AO48" i="2"/>
  <c r="AO106" i="2"/>
  <c r="AP175" i="2"/>
  <c r="AO230" i="2"/>
  <c r="AO130" i="2"/>
  <c r="AO158" i="2"/>
  <c r="AP89" i="2"/>
  <c r="AO149" i="2"/>
  <c r="AO181" i="2"/>
  <c r="AO116" i="2"/>
  <c r="AO127" i="2"/>
  <c r="AP110" i="2"/>
  <c r="AO140" i="2"/>
  <c r="AP50" i="2"/>
  <c r="AO101" i="2"/>
  <c r="AO179" i="2"/>
  <c r="AO148" i="2"/>
  <c r="AP63" i="2"/>
  <c r="AO117" i="2"/>
  <c r="AO175" i="2"/>
  <c r="AO129" i="2"/>
  <c r="AO241" i="2"/>
  <c r="AP87" i="2"/>
  <c r="AP43" i="2"/>
  <c r="AO82" i="2"/>
  <c r="AO22" i="2"/>
  <c r="AO177" i="2"/>
  <c r="AO268" i="2"/>
  <c r="AO190" i="2"/>
  <c r="AP107" i="2"/>
  <c r="AP149" i="2"/>
  <c r="AO79" i="2"/>
  <c r="AO98" i="2"/>
  <c r="AP32" i="2"/>
  <c r="AO243" i="2"/>
  <c r="AO58" i="2"/>
  <c r="AP27" i="2"/>
  <c r="AP75" i="2"/>
  <c r="AO132" i="2"/>
  <c r="AO104" i="2"/>
  <c r="AO43" i="2"/>
  <c r="AO26" i="2"/>
  <c r="AO288" i="2"/>
  <c r="AO95" i="2"/>
  <c r="AP116" i="2"/>
  <c r="AO18" i="2"/>
  <c r="AO87" i="2"/>
  <c r="AO126" i="2"/>
  <c r="AP72" i="2"/>
  <c r="AO139" i="2"/>
  <c r="AP127" i="2"/>
  <c r="AO35" i="2"/>
  <c r="AP261" i="2"/>
  <c r="AP145" i="2"/>
  <c r="AO155" i="2"/>
  <c r="AP281" i="2"/>
  <c r="AP288" i="2"/>
  <c r="AO41" i="2"/>
  <c r="AO133" i="2"/>
  <c r="AP82" i="2"/>
  <c r="AP188" i="2"/>
  <c r="AO144" i="2"/>
  <c r="AP256" i="2"/>
  <c r="AP39" i="2"/>
  <c r="AP95" i="2"/>
  <c r="AP252" i="2"/>
  <c r="AP286" i="2"/>
  <c r="AO44" i="2"/>
  <c r="AP168" i="2"/>
  <c r="AO153" i="2"/>
  <c r="AO135" i="2"/>
  <c r="AP68" i="2"/>
  <c r="AO67" i="2"/>
  <c r="AP19" i="2"/>
  <c r="AO178" i="2"/>
  <c r="AP120" i="2"/>
  <c r="AP57" i="2"/>
  <c r="AP139" i="2"/>
  <c r="AP91" i="2"/>
  <c r="AP18" i="2"/>
  <c r="AP26" i="2"/>
  <c r="AP45" i="2"/>
  <c r="AP34" i="2"/>
  <c r="AP129" i="2"/>
  <c r="AO96" i="2"/>
  <c r="AP181" i="2"/>
  <c r="AP232" i="2"/>
  <c r="AO80" i="2"/>
  <c r="AP80" i="2"/>
  <c r="AO189" i="2"/>
  <c r="AP189" i="2"/>
  <c r="AO81" i="2"/>
  <c r="AO107" i="2"/>
  <c r="AO188" i="2"/>
  <c r="AP205" i="2"/>
  <c r="AO147" i="2"/>
  <c r="AO88" i="2"/>
  <c r="AO123" i="2"/>
  <c r="AP123" i="2"/>
  <c r="AO151" i="2"/>
  <c r="AP151" i="2"/>
  <c r="AO284" i="2"/>
  <c r="AP284" i="2"/>
  <c r="AO245" i="2"/>
  <c r="AP245" i="2"/>
  <c r="AP55" i="2"/>
  <c r="AO259" i="2"/>
  <c r="AP259" i="2"/>
  <c r="AO223" i="2"/>
  <c r="AP223" i="2"/>
  <c r="AO194" i="2"/>
  <c r="AO94" i="2"/>
  <c r="AP94" i="2"/>
  <c r="AO27" i="2"/>
  <c r="AO62" i="2"/>
  <c r="AP62" i="2"/>
  <c r="AO74" i="2"/>
  <c r="AP74" i="2"/>
  <c r="AO236" i="2"/>
  <c r="AO265" i="2"/>
  <c r="AP265" i="2"/>
  <c r="AP86" i="2"/>
  <c r="AP106" i="2"/>
  <c r="AO226" i="2"/>
  <c r="AP226" i="2"/>
  <c r="AO23" i="2"/>
  <c r="AP153" i="2"/>
  <c r="AP163" i="2"/>
  <c r="AO64" i="2"/>
  <c r="AP64" i="2"/>
  <c r="AO192" i="2"/>
  <c r="AP192" i="2"/>
  <c r="AO46" i="2"/>
  <c r="AP46" i="2"/>
  <c r="AO221" i="2"/>
  <c r="AP221" i="2"/>
  <c r="AO255" i="2"/>
  <c r="AP255" i="2"/>
  <c r="AO53" i="2"/>
  <c r="AP53" i="2"/>
  <c r="AP31" i="2"/>
  <c r="AO191" i="2"/>
  <c r="AP191" i="2"/>
  <c r="AO219" i="2"/>
  <c r="AP219" i="2"/>
  <c r="AP146" i="2"/>
  <c r="AO182" i="2"/>
  <c r="AP182" i="2"/>
  <c r="AO220" i="2"/>
  <c r="AP220" i="2"/>
  <c r="AP131" i="2"/>
  <c r="AO169" i="2"/>
  <c r="AP169" i="2"/>
  <c r="AO248" i="2"/>
  <c r="AP248" i="2"/>
  <c r="AO234" i="2"/>
  <c r="AP234" i="2"/>
  <c r="AO54" i="2"/>
  <c r="AP54" i="2"/>
  <c r="AO113" i="2"/>
  <c r="AP113" i="2"/>
  <c r="AO137" i="2"/>
  <c r="AP137" i="2"/>
  <c r="AP202" i="2"/>
  <c r="AP283" i="2"/>
  <c r="AP285" i="2"/>
  <c r="AO251" i="2"/>
  <c r="AP251" i="2"/>
  <c r="AO154" i="2"/>
  <c r="AP154" i="2"/>
  <c r="AO238" i="2"/>
  <c r="AP238" i="2"/>
  <c r="AO84" i="2"/>
  <c r="AP84" i="2"/>
  <c r="AO119" i="2"/>
  <c r="AP119" i="2"/>
  <c r="AO83" i="2"/>
  <c r="AP83" i="2"/>
  <c r="AO24" i="2"/>
  <c r="AP24" i="2"/>
  <c r="AP275" i="2"/>
  <c r="AO282" i="2"/>
  <c r="AP282" i="2"/>
  <c r="AO228" i="2"/>
  <c r="AP228" i="2"/>
  <c r="AO161" i="2"/>
  <c r="AP161" i="2"/>
  <c r="AO279" i="2"/>
  <c r="AP279" i="2"/>
  <c r="AO162" i="2"/>
  <c r="AP162" i="2"/>
  <c r="AP117" i="2"/>
  <c r="AP76" i="2"/>
  <c r="AO85" i="2"/>
  <c r="AP85" i="2"/>
  <c r="AP99" i="2"/>
  <c r="AP125" i="2"/>
  <c r="AP69" i="2"/>
  <c r="AP173" i="2"/>
  <c r="AO28" i="2"/>
  <c r="AP28" i="2"/>
  <c r="AO197" i="2"/>
  <c r="AP197" i="2"/>
  <c r="AO103" i="2"/>
  <c r="AP103" i="2"/>
  <c r="AP271" i="2"/>
  <c r="AO112" i="2"/>
  <c r="AP112" i="2"/>
  <c r="AO108" i="2"/>
  <c r="AP108" i="2"/>
  <c r="AO289" i="2"/>
  <c r="AP289" i="2"/>
  <c r="AO233" i="2"/>
  <c r="AP233" i="2"/>
  <c r="AO166" i="2"/>
  <c r="AP166" i="2"/>
  <c r="AP35" i="2"/>
  <c r="AO257" i="2"/>
  <c r="AP257" i="2"/>
  <c r="AP90" i="2"/>
  <c r="AO278" i="2"/>
  <c r="AP278" i="2"/>
  <c r="AO231" i="2"/>
  <c r="AP231" i="2"/>
  <c r="AP150" i="2"/>
  <c r="AO237" i="2"/>
  <c r="AP237" i="2"/>
  <c r="AP144" i="2"/>
  <c r="AO61" i="2"/>
  <c r="AP61" i="2"/>
  <c r="AP262" i="2"/>
  <c r="AP215" i="2"/>
  <c r="AO176" i="2"/>
  <c r="AP176" i="2"/>
  <c r="AP13" i="2"/>
  <c r="AP22" i="2"/>
  <c r="AP102" i="2"/>
  <c r="AO276" i="2"/>
  <c r="AP276" i="2"/>
  <c r="AO65" i="2"/>
  <c r="AP65" i="2"/>
  <c r="AO136" i="2"/>
  <c r="AP136" i="2"/>
  <c r="AP158" i="2"/>
  <c r="AO134" i="2"/>
  <c r="AP134" i="2"/>
  <c r="AO240" i="2"/>
  <c r="AP240" i="2"/>
  <c r="AO121" i="2"/>
  <c r="AP121" i="2"/>
  <c r="AO122" i="2"/>
  <c r="AP122" i="2"/>
  <c r="AO138" i="2"/>
  <c r="AP138" i="2"/>
  <c r="AO277" i="2"/>
  <c r="AP277" i="2"/>
  <c r="AO170" i="2"/>
  <c r="AP170" i="2"/>
  <c r="AO167" i="2"/>
  <c r="AP167" i="2"/>
  <c r="AO30" i="2"/>
  <c r="AP30" i="2"/>
  <c r="AP105" i="2"/>
  <c r="AO287" i="2"/>
  <c r="AP287" i="2"/>
  <c r="AO73" i="2"/>
  <c r="AP73" i="2"/>
  <c r="AP193" i="2"/>
  <c r="AP114" i="2"/>
  <c r="AP141" i="2"/>
  <c r="AO37" i="2"/>
  <c r="AP37" i="2"/>
  <c r="AO180" i="2"/>
  <c r="AP180" i="2"/>
  <c r="AP124" i="2"/>
  <c r="AP159" i="2"/>
  <c r="AP235" i="2"/>
  <c r="AO213" i="2"/>
  <c r="AP213" i="2"/>
  <c r="AO59" i="2"/>
  <c r="AP59" i="2"/>
  <c r="AO164" i="2"/>
  <c r="AP164" i="2"/>
  <c r="AP179" i="2"/>
  <c r="AP242" i="2"/>
  <c r="AO21" i="2"/>
  <c r="AP21" i="2"/>
  <c r="AO109" i="2"/>
  <c r="AP109" i="2"/>
  <c r="AO143" i="2"/>
  <c r="AP143" i="2"/>
  <c r="AP56" i="2"/>
  <c r="AP51" i="2"/>
  <c r="AP227" i="2"/>
  <c r="AP254" i="2"/>
  <c r="AP104" i="2"/>
  <c r="AP98" i="2"/>
  <c r="AP148" i="2"/>
  <c r="AP229" i="2"/>
  <c r="AO29" i="2"/>
  <c r="AP29" i="2"/>
  <c r="AO183" i="2"/>
  <c r="AP183" i="2"/>
  <c r="AP101" i="2"/>
  <c r="AO11" i="2"/>
  <c r="AP11" i="2"/>
  <c r="AP152" i="2"/>
  <c r="AP171" i="2"/>
  <c r="AP217" i="2"/>
  <c r="AP58" i="2"/>
  <c r="AO247" i="2"/>
  <c r="AP247" i="2"/>
  <c r="AP12" i="2"/>
  <c r="AP224" i="2"/>
  <c r="AP266" i="2"/>
  <c r="AP130" i="2"/>
  <c r="AP165" i="2"/>
  <c r="AP118" i="2"/>
  <c r="AP156" i="2"/>
  <c r="AO273" i="2"/>
  <c r="AP273" i="2"/>
  <c r="AP93" i="2"/>
  <c r="AO200" i="2"/>
  <c r="AP200" i="2"/>
  <c r="AO207" i="2"/>
  <c r="AP207" i="2"/>
  <c r="AO185" i="2"/>
  <c r="AP185" i="2"/>
  <c r="AO160" i="2"/>
  <c r="AP160" i="2"/>
  <c r="AP71" i="2"/>
  <c r="AO70" i="2"/>
  <c r="AP70" i="2"/>
  <c r="AP49" i="2"/>
  <c r="AP67" i="2"/>
  <c r="AP92" i="2"/>
  <c r="AO270" i="2"/>
  <c r="AP270" i="2"/>
  <c r="AO78" i="2"/>
  <c r="AP78" i="2"/>
  <c r="AO77" i="2"/>
  <c r="AP77" i="2"/>
  <c r="AO157" i="2"/>
  <c r="AP157" i="2"/>
  <c r="AP258" i="2"/>
  <c r="AP47" i="2"/>
  <c r="AP52" i="2"/>
  <c r="AO267" i="2"/>
  <c r="AP267" i="2"/>
  <c r="AP111" i="2"/>
  <c r="AO184" i="2"/>
  <c r="AP184" i="2"/>
  <c r="AO40" i="2"/>
  <c r="AP40" i="2"/>
  <c r="AP133" i="2"/>
  <c r="AP195" i="2"/>
  <c r="AO264" i="2"/>
  <c r="AP264" i="2"/>
  <c r="AO186" i="2"/>
  <c r="AP186" i="2"/>
  <c r="AP218" i="2"/>
  <c r="AO214" i="2"/>
  <c r="AP214" i="2"/>
  <c r="AO97" i="2"/>
  <c r="AP97" i="2"/>
  <c r="AO172" i="2"/>
  <c r="AP172" i="2"/>
  <c r="AO38" i="2"/>
  <c r="AP38" i="2"/>
  <c r="AO211" i="2"/>
  <c r="AP211" i="2"/>
  <c r="AO269" i="2"/>
  <c r="AP269" i="2"/>
  <c r="AO263" i="2"/>
  <c r="AP263" i="2"/>
  <c r="AO60" i="2"/>
  <c r="AP60" i="2"/>
  <c r="AO142" i="2"/>
  <c r="AP142" i="2"/>
  <c r="AO36" i="2"/>
  <c r="AP36" i="2"/>
  <c r="AO250" i="2"/>
  <c r="AP250" i="2"/>
  <c r="AO42" i="2"/>
  <c r="AP42" i="2"/>
  <c r="P10" i="2" l="1"/>
  <c r="Q10" i="2"/>
  <c r="R10" i="2"/>
  <c r="S10" i="2"/>
  <c r="T10" i="2"/>
  <c r="U10" i="2"/>
  <c r="V10" i="2"/>
  <c r="W10" i="2"/>
  <c r="X10" i="2"/>
  <c r="Y10" i="2"/>
  <c r="O10" i="2"/>
  <c r="AI10" i="2" l="1"/>
  <c r="AJ10" i="2"/>
  <c r="AN10" i="2" s="1"/>
  <c r="AH10" i="2"/>
  <c r="AL10" i="2" l="1"/>
  <c r="AM10" i="2"/>
  <c r="AT10" i="2" l="1"/>
  <c r="AS10" i="2"/>
  <c r="AR10" i="2"/>
  <c r="AO10" i="2"/>
  <c r="AP10" i="2"/>
</calcChain>
</file>

<file path=xl/sharedStrings.xml><?xml version="1.0" encoding="utf-8"?>
<sst xmlns="http://schemas.openxmlformats.org/spreadsheetml/2006/main" count="7576" uniqueCount="3172">
  <si>
    <t>DDP</t>
  </si>
  <si>
    <t>elementid</t>
  </si>
  <si>
    <t>Component Name</t>
  </si>
  <si>
    <t>elem 1 id</t>
  </si>
  <si>
    <t>elem 1 Node id</t>
  </si>
  <si>
    <t>elem 2 id</t>
  </si>
  <si>
    <t>elem 2 Node id</t>
  </si>
  <si>
    <t>box dimension</t>
  </si>
  <si>
    <t>loadcase</t>
  </si>
  <si>
    <t>file Name</t>
  </si>
  <si>
    <t>LoadCase Name</t>
  </si>
  <si>
    <t>Time Step Name</t>
  </si>
  <si>
    <t>pierced location</t>
  </si>
  <si>
    <t>Fx</t>
  </si>
  <si>
    <t>Fy</t>
  </si>
  <si>
    <t>Fz</t>
  </si>
  <si>
    <t>MaxFz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</si>
  <si>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</si>
  <si>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</si>
  <si>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</si>
  <si>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</si>
  <si>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</si>
  <si>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</si>
  <si>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</si>
  <si>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</si>
  <si>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</si>
  <si>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</si>
  <si>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</si>
  <si>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</si>
  <si>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</si>
  <si>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</si>
  <si>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</si>
  <si>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</si>
  <si>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</si>
  <si>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</si>
  <si>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</si>
  <si>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</si>
  <si>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Fxx p1</t>
  </si>
  <si>
    <t>Fxx p2</t>
  </si>
  <si>
    <t>Fxx p3</t>
  </si>
  <si>
    <t>Fxx p4</t>
  </si>
  <si>
    <t>Fxx p5</t>
  </si>
  <si>
    <t>Fxx p6</t>
  </si>
  <si>
    <t>Fxx p7</t>
  </si>
  <si>
    <t>Fxx p8</t>
  </si>
  <si>
    <t>Fxx p9</t>
  </si>
  <si>
    <t>Fxx p10</t>
  </si>
  <si>
    <t>Fxx p11</t>
  </si>
  <si>
    <t>Fxx p12</t>
  </si>
  <si>
    <t>Fxx p13</t>
  </si>
  <si>
    <t>Fxx p14</t>
  </si>
  <si>
    <t>Fxx p15</t>
  </si>
  <si>
    <t>Fxx p16</t>
  </si>
  <si>
    <t>Fxx p17</t>
  </si>
  <si>
    <t>Fxx p18</t>
  </si>
  <si>
    <t>Fxx p19</t>
  </si>
  <si>
    <t>Fxx p20</t>
  </si>
  <si>
    <t>Fyy p1</t>
  </si>
  <si>
    <t>Fyy p2</t>
  </si>
  <si>
    <t>Fyy p3</t>
  </si>
  <si>
    <t>Fyy p4</t>
  </si>
  <si>
    <t>Fyy p5</t>
  </si>
  <si>
    <t>Fyy p6</t>
  </si>
  <si>
    <t>Fyy p7</t>
  </si>
  <si>
    <t>Fyy p8</t>
  </si>
  <si>
    <t>Fyy p9</t>
  </si>
  <si>
    <t>Fyy p10</t>
  </si>
  <si>
    <t>Fyy p11</t>
  </si>
  <si>
    <t>Fyy p12</t>
  </si>
  <si>
    <t>Fyy p13</t>
  </si>
  <si>
    <t>Fyy p14</t>
  </si>
  <si>
    <t>Fyy p15</t>
  </si>
  <si>
    <t>Fyy p16</t>
  </si>
  <si>
    <t>Fyy p17</t>
  </si>
  <si>
    <t>Fyy p18</t>
  </si>
  <si>
    <t>Fyy p19</t>
  </si>
  <si>
    <t>Fyy p20</t>
  </si>
  <si>
    <t>Fxy p1</t>
  </si>
  <si>
    <t>Fxy p2</t>
  </si>
  <si>
    <t>Fxy p3</t>
  </si>
  <si>
    <t>Fxy p4</t>
  </si>
  <si>
    <t>Fxy p5</t>
  </si>
  <si>
    <t>Fxy p6</t>
  </si>
  <si>
    <t>Fxy p7</t>
  </si>
  <si>
    <t>Fxy p8</t>
  </si>
  <si>
    <t>Fxy p9</t>
  </si>
  <si>
    <t>Fxy p10</t>
  </si>
  <si>
    <t>Fxy p11</t>
  </si>
  <si>
    <t>Fxy p12</t>
  </si>
  <si>
    <t>Fxy p13</t>
  </si>
  <si>
    <t>Fxy p14</t>
  </si>
  <si>
    <t>Fxy p15</t>
  </si>
  <si>
    <t>Fxy p16</t>
  </si>
  <si>
    <t>Fxy p17</t>
  </si>
  <si>
    <t>Fxy p18</t>
  </si>
  <si>
    <t>Fxy p19</t>
  </si>
  <si>
    <t>Fxy p20</t>
  </si>
  <si>
    <t>Mxx p1</t>
  </si>
  <si>
    <t>Mxx p2</t>
  </si>
  <si>
    <t>Mxx p3</t>
  </si>
  <si>
    <t>Mxx p4</t>
  </si>
  <si>
    <t>Mxx p5</t>
  </si>
  <si>
    <t>Mxx p6</t>
  </si>
  <si>
    <t>Mxx p7</t>
  </si>
  <si>
    <t>Mxx p8</t>
  </si>
  <si>
    <t>Mxx p9</t>
  </si>
  <si>
    <t>Mxx p10</t>
  </si>
  <si>
    <t>Mxx p11</t>
  </si>
  <si>
    <t>Mxx p12</t>
  </si>
  <si>
    <t>Mxx p13</t>
  </si>
  <si>
    <t>Mxx p14</t>
  </si>
  <si>
    <t>Mxx p15</t>
  </si>
  <si>
    <t>Mxx p16</t>
  </si>
  <si>
    <t>Mxx p17</t>
  </si>
  <si>
    <t>Mxx p18</t>
  </si>
  <si>
    <t>Mxx p19</t>
  </si>
  <si>
    <t>Mxx p20</t>
  </si>
  <si>
    <t>Myy p1</t>
  </si>
  <si>
    <t>Myy p2</t>
  </si>
  <si>
    <t>Myy p3</t>
  </si>
  <si>
    <t>Myy p4</t>
  </si>
  <si>
    <t>Myy p5</t>
  </si>
  <si>
    <t>Myy p6</t>
  </si>
  <si>
    <t>Myy p7</t>
  </si>
  <si>
    <t>Myy p8</t>
  </si>
  <si>
    <t>Myy p9</t>
  </si>
  <si>
    <t>Myy p10</t>
  </si>
  <si>
    <t>Myy p11</t>
  </si>
  <si>
    <t>Myy p12</t>
  </si>
  <si>
    <t>Myy p13</t>
  </si>
  <si>
    <t>Myy p14</t>
  </si>
  <si>
    <t>Myy p15</t>
  </si>
  <si>
    <t>Myy p16</t>
  </si>
  <si>
    <t>Myy p17</t>
  </si>
  <si>
    <t>Myy p18</t>
  </si>
  <si>
    <t>Myy p19</t>
  </si>
  <si>
    <t>Myy p20</t>
  </si>
  <si>
    <t>Mxy p1</t>
  </si>
  <si>
    <t>Mxy p2</t>
  </si>
  <si>
    <t>Mxy p3</t>
  </si>
  <si>
    <t>Mxy p4</t>
  </si>
  <si>
    <t>Mxy p5</t>
  </si>
  <si>
    <t>Mxy p6</t>
  </si>
  <si>
    <t>Mxy p7</t>
  </si>
  <si>
    <t>Mxy p8</t>
  </si>
  <si>
    <t>Mxy p9</t>
  </si>
  <si>
    <t>Mxy p10</t>
  </si>
  <si>
    <t>Mxy p11</t>
  </si>
  <si>
    <t>Mxy p12</t>
  </si>
  <si>
    <t>Mxy p13</t>
  </si>
  <si>
    <t>Mxy p14</t>
  </si>
  <si>
    <t>Mxy p15</t>
  </si>
  <si>
    <t>Mxy p16</t>
  </si>
  <si>
    <t>Mxy p17</t>
  </si>
  <si>
    <t>Mxy p18</t>
  </si>
  <si>
    <t>Mxy p19</t>
  </si>
  <si>
    <t>Mxy p20</t>
  </si>
  <si>
    <t>Nx bypass</t>
  </si>
  <si>
    <t>Nx total</t>
  </si>
  <si>
    <t>Ny bypass</t>
  </si>
  <si>
    <t>Ny total</t>
  </si>
  <si>
    <t>Nxy bypass</t>
  </si>
  <si>
    <t>Nxy total</t>
  </si>
  <si>
    <t>Mx total</t>
  </si>
  <si>
    <t>My total</t>
  </si>
  <si>
    <t>Mxy total</t>
  </si>
  <si>
    <t>DLS Ratio</t>
  </si>
  <si>
    <t>Remark</t>
  </si>
  <si>
    <t>SpliceOutbRH</t>
  </si>
  <si>
    <t>2_101_0</t>
  </si>
  <si>
    <t>CDR_Pivot_V161_rightdown_all</t>
  </si>
  <si>
    <t xml:space="preserve">SUBCASE 101 = STLN ULT (INTACT) :STLN ULT (INTACT) </t>
  </si>
  <si>
    <t>Simulation 1</t>
  </si>
  <si>
    <t>28859.525904303933 171.7761413261218 4078.5102502192385</t>
  </si>
  <si>
    <t>28823.728019846505 173.045528096482 4084.990630269816</t>
  </si>
  <si>
    <t>28832.174954996284 172.53777338833794 4090.8557038185277</t>
  </si>
  <si>
    <t>28840.621890146063 172.03001868019385 4096.72077736724</t>
  </si>
  <si>
    <t>28849.06882529584 171.52226397204976 4102.585850915952</t>
  </si>
  <si>
    <t>28857.515760445618 171.01450926390567 4108.450924464663</t>
  </si>
  <si>
    <t>28865.962695595397 170.5067545557616 4114.315998013376</t>
  </si>
  <si>
    <t>28871.83491422859 170.5067545557616 4105.858772444433</t>
  </si>
  <si>
    <t>28877.707132861782 170.5067545557616 4097.40154687549</t>
  </si>
  <si>
    <t>28883.579351494976 170.5067545557616 4088.944321306547</t>
  </si>
  <si>
    <t>28889.451570128167 170.5067545557616 4080.487095737604</t>
  </si>
  <si>
    <t>28895.32378876136 170.5067545557616 4072.0298701686606</t>
  </si>
  <si>
    <t>28886.876853611582 171.01450926390567 4066.164796619949</t>
  </si>
  <si>
    <t>28878.429918461803 171.52226397204976 4060.2997230712367</t>
  </si>
  <si>
    <t>28869.982983312027 172.03001868019385 4054.434649522525</t>
  </si>
  <si>
    <t>28861.53604816225 172.53777338833794 4048.569575973813</t>
  </si>
  <si>
    <t>28853.08911301247 173.045528096482 4042.704502425101</t>
  </si>
  <si>
    <t>28847.216894379275 173.045528096482 4051.161727994044</t>
  </si>
  <si>
    <t>28841.344675746084 173.045528096482 4059.6189535629874</t>
  </si>
  <si>
    <t>28835.47245711289 173.045528096482 4068.07617913193</t>
  </si>
  <si>
    <t>28829.6002384797 173.045528096482 4076.5334047008732</t>
  </si>
  <si>
    <t>3_102_0</t>
  </si>
  <si>
    <t>CDR_Pivot_V161_leftdown_all</t>
  </si>
  <si>
    <t xml:space="preserve">SUBCASE 102 = STLP ULT (INTACT) :STLP ULT (INTACT) </t>
  </si>
  <si>
    <t>SkinRH</t>
  </si>
  <si>
    <t>28859.525904303933 161.59140378988127 4078.5102502192385</t>
  </si>
  <si>
    <t>28818.64423300476 163.35019707006083 4076.8764783612655</t>
  </si>
  <si>
    <t>28826.47870437506 162.646679757989 4085.3789492221144</t>
  </si>
  <si>
    <t>28834.31317574536 161.94316244591718 4093.881420082963</t>
  </si>
  <si>
    <t>28842.147647115657 161.23964513384536 4102.383890943812</t>
  </si>
  <si>
    <t>28849.982118485957 160.53612782177353 4110.886361804661</t>
  </si>
  <si>
    <t>28857.816589856255 159.8326105097017 4119.388832665509</t>
  </si>
  <si>
    <t>28866.334787005624 159.8326105097017 4111.539870547849</t>
  </si>
  <si>
    <t>28874.852984154993 159.8326105097017 4103.69090843019</t>
  </si>
  <si>
    <t>28883.371181304366 159.8326105097017 4095.8419463125306</t>
  </si>
  <si>
    <t>28891.889378453736 159.8326105097017 4087.992984194871</t>
  </si>
  <si>
    <t>28900.407575603105 159.8326105097017 4080.1440220772115</t>
  </si>
  <si>
    <t>28892.573104232808 160.53612782177353 4071.6415512163626</t>
  </si>
  <si>
    <t>28884.738632862507 161.23964513384536 4063.139080355514</t>
  </si>
  <si>
    <t>28876.90416149221 161.94316244591718 4054.636609494665</t>
  </si>
  <si>
    <t>28869.06969012191 162.646679757989 4046.1341386338167</t>
  </si>
  <si>
    <t>28861.23521875161 163.35019707006083 4037.631667772968</t>
  </si>
  <si>
    <t>28852.717021602242 163.35019707006083 4045.4806298906274</t>
  </si>
  <si>
    <t>28844.198824452873 163.35019707006083 4053.329592008287</t>
  </si>
  <si>
    <t>28835.6806273035 163.35019707006083 4061.1785541259464</t>
  </si>
  <si>
    <t>28827.16243015413 163.35019707006083 4069.027516243606</t>
  </si>
  <si>
    <t>SpliceInbRH</t>
  </si>
  <si>
    <t>28859.525904303933 151.3403652336483 4078.510250219238</t>
  </si>
  <si>
    <t>28823.743177159224 152.9538442307419 4072.0226987848973</t>
  </si>
  <si>
    <t>28829.588127213978 152.30845263190446 4080.474186496629</t>
  </si>
  <si>
    <t>28835.433077268735 151.663061033067 4088.9256742083603</t>
  </si>
  <si>
    <t>28841.278027323493 151.0176694342296 4097.377161920092</t>
  </si>
  <si>
    <t>28847.12297737825 150.37227783539214 4105.828649631823</t>
  </si>
  <si>
    <t>28852.967927433005 149.7268862365547 4114.280137343555</t>
  </si>
  <si>
    <t>28861.436068236133 149.7268862365547 4108.42367020556</t>
  </si>
  <si>
    <t>28869.90420903926 149.7268862365547 4102.567203067564</t>
  </si>
  <si>
    <t>28878.372349842386 149.7268862365547 4096.710735929569</t>
  </si>
  <si>
    <t>28886.840490645514 149.7268862365547 4090.854268791574</t>
  </si>
  <si>
    <t>28895.308631448643 149.7268862365547 4084.997801653579</t>
  </si>
  <si>
    <t>28889.46368139389 150.37227783539214 4076.546313941847</t>
  </si>
  <si>
    <t>28883.61873133913 151.0176694342296 4068.094826230116</t>
  </si>
  <si>
    <t>28877.773781284373 151.663061033067 4059.643338518384</t>
  </si>
  <si>
    <t>28871.928831229616 152.30845263190446 4051.191850806653</t>
  </si>
  <si>
    <t>28866.08388117486 152.9538442307419 4042.740363094921</t>
  </si>
  <si>
    <t>28857.615740371733 152.9538442307419 4048.5968302329165</t>
  </si>
  <si>
    <t>28849.147599568605 152.9538442307419 4054.4532973709115</t>
  </si>
  <si>
    <t>28840.67945876548 152.9538442307419 4060.309764508907</t>
  </si>
  <si>
    <t>28832.211317962352 152.9538442307419 4066.166231646902</t>
  </si>
  <si>
    <t>SpliceOutbLH</t>
  </si>
  <si>
    <t>28852.61859534529 -177.25256712851655 3918.433981082009</t>
  </si>
  <si>
    <t>28816.390556136725 -178.76567858189 3915.2191920015052</t>
  </si>
  <si>
    <t>28824.26658016535 -178.16043400054062 3908.615440000008</t>
  </si>
  <si>
    <t>28832.142604193974 -177.55518941919124 3902.011687998511</t>
  </si>
  <si>
    <t>28840.018628222595 -176.94994483784185 3895.407935997014</t>
  </si>
  <si>
    <t>28847.89465225122 -176.34470025649247 3888.804183995517</t>
  </si>
  <si>
    <t>28855.770676279844 -175.7394556751431 3882.20043199402</t>
  </si>
  <si>
    <t>28862.38586793465 -175.7394556751431 3890.0900996277187</t>
  </si>
  <si>
    <t>28869.00105958945 -175.7394556751431 3897.9797672614172</t>
  </si>
  <si>
    <t>28875.616251244253 -175.7394556751431 3905.8694348951153</t>
  </si>
  <si>
    <t>28882.231442899054 -175.7394556751431 3913.759102528814</t>
  </si>
  <si>
    <t>28888.846634553858 -175.7394556751431 3921.6487701625124</t>
  </si>
  <si>
    <t>28880.970610525233 -176.34470025649247 3928.2525221640094</t>
  </si>
  <si>
    <t>28873.09458649661 -176.94994483784185 3934.8562741655064</t>
  </si>
  <si>
    <t>28865.218562467988 -177.55518941919124 3941.4600261670034</t>
  </si>
  <si>
    <t>28857.342538439363 -178.16043400054062 3948.0637781685004</t>
  </si>
  <si>
    <t>28849.46651441074 -178.76567858189 3954.6675301699975</t>
  </si>
  <si>
    <t>28842.851322755934 -178.76567858189 3946.777862536299</t>
  </si>
  <si>
    <t>28836.236131101134 -178.76567858189 3938.8881949026004</t>
  </si>
  <si>
    <t>28829.62093944633 -178.76567858189 3930.9985272689023</t>
  </si>
  <si>
    <t>28823.00574779153 -178.76567858189 3923.1088596352038</t>
  </si>
  <si>
    <t>SkinLH</t>
  </si>
  <si>
    <t>28852.61859534529 -167.8821762210271 3918.433981082009</t>
  </si>
  <si>
    <t>28854.456133776413 -169.56765807719276 3877.557872951137</t>
  </si>
  <si>
    <t>28862.264459536942 -168.8934653347265 3886.0867299650317</t>
  </si>
  <si>
    <t>28870.07278529747 -168.21927259226024 3894.6155869789263</t>
  </si>
  <si>
    <t>28877.881111058003 -167.54507984979395 3903.144443992821</t>
  </si>
  <si>
    <t>28885.68943681853 -166.8708871073277 3911.6733010067155</t>
  </si>
  <si>
    <t>28893.49776257906 -166.19669436486143 3920.20215802061</t>
  </si>
  <si>
    <t>28884.95442144608 -166.19669436486143 3928.023744259064</t>
  </si>
  <si>
    <t>28876.411080313104 -166.19669436486143 3935.8453304975183</t>
  </si>
  <si>
    <t>28867.867739180125 -166.19669436486143 3943.6669167359723</t>
  </si>
  <si>
    <t>28859.32439804715 -166.19669436486143 3951.4885029744264</t>
  </si>
  <si>
    <t>28850.78105691417 -166.19669436486143 3959.3100892128805</t>
  </si>
  <si>
    <t>28842.97273115364 -166.8708871073277 3950.781232198986</t>
  </si>
  <si>
    <t>28835.164405393112 -167.54507984979395 3942.2523751850913</t>
  </si>
  <si>
    <t>28827.35607963258 -168.21927259226024 3933.7235181711967</t>
  </si>
  <si>
    <t>28819.54775387205 -168.8934653347265 3925.194661157302</t>
  </si>
  <si>
    <t>28811.739428111523 -169.56765807719276 3916.6658041434075</t>
  </si>
  <si>
    <t>28820.282769244503 -169.56765807719276 3908.8442179049534</t>
  </si>
  <si>
    <t>28828.82611037748 -169.56765807719276 3901.0226316664994</t>
  </si>
  <si>
    <t>28837.369451510458 -169.56765807719276 3893.2010454280453</t>
  </si>
  <si>
    <t>28845.912792643434 -169.56765807719276 3885.379459189591</t>
  </si>
  <si>
    <t>SpliceInbLH</t>
  </si>
  <si>
    <t>28852.61859534529 -158.1810207933401 3918.433981082009</t>
  </si>
  <si>
    <t>28888.446187447833 -156.7918424016929 3924.7227828383166</t>
  </si>
  <si>
    <t>28882.548878840567 -157.34751375835177 3916.301346112076</t>
  </si>
  <si>
    <t>28876.651570233305 -157.90318511501067 3907.8799093858347</t>
  </si>
  <si>
    <t>28870.75426162604 -158.45885647166955 3899.4584726595936</t>
  </si>
  <si>
    <t>28864.856953018778 -159.01452782832845 3891.0370359333524</t>
  </si>
  <si>
    <t>28858.959644411512 -159.57019918498733 3882.6155992071117</t>
  </si>
  <si>
    <t>28850.52591617776 -159.57019918498733 3888.5215152308297</t>
  </si>
  <si>
    <t>28842.092187944007 -159.57019918498733 3894.4274312545476</t>
  </si>
  <si>
    <t>28833.658459710256 -159.57019918498733 3900.333347278265</t>
  </si>
  <si>
    <t>28825.2247314765 -159.57019918498733 3906.239263301983</t>
  </si>
  <si>
    <t>28816.79100324275 -159.57019918498733 3912.145179325701</t>
  </si>
  <si>
    <t>28822.688311850015 -159.01452782832845 3920.5666160519418</t>
  </si>
  <si>
    <t>28828.585620457277 -158.45885647166955 3928.988052778183</t>
  </si>
  <si>
    <t>28834.482929064543 -157.90318511501067 3937.409489504424</t>
  </si>
  <si>
    <t>28840.380237671805 -157.34751375835177 3945.830926230665</t>
  </si>
  <si>
    <t>28846.27754627907 -156.7918424016929 3954.252362956906</t>
  </si>
  <si>
    <t>28854.71127451282 -156.7918424016929 3948.346446933188</t>
  </si>
  <si>
    <t>28863.145002746576 -156.7918424016929 3942.44053090947</t>
  </si>
  <si>
    <t>28871.578730980327 -156.7918424016929 3936.5346148857525</t>
  </si>
  <si>
    <t>28880.012459214082 -156.7918424016929 3930.6286988620345</t>
  </si>
  <si>
    <t>RearSpar2</t>
  </si>
  <si>
    <t>28852.61859534529 -151.54900000000004 3918.433981082009</t>
  </si>
  <si>
    <t>28811.725561383424 -152.85176460768366 3916.663051870927</t>
  </si>
  <si>
    <t>28819.541697394725 -152.3306587646102 3925.1954815104355</t>
  </si>
  <si>
    <t>28827.357833406026 -151.80955292153675 3933.7279111499442</t>
  </si>
  <si>
    <t>28835.173969417327 -151.28844707846332 3942.2603407894526</t>
  </si>
  <si>
    <t>28842.990105428627 -150.76734123538986 3950.7927704289614</t>
  </si>
  <si>
    <t>28850.80624143993 -150.2462353923164 3959.3252000684697</t>
  </si>
  <si>
    <t>28859.347319013374 -150.2462353923164 3951.5011421133936</t>
  </si>
  <si>
    <t>28867.88839658682 -150.2462353923164 3943.677084158318</t>
  </si>
  <si>
    <t>28876.429474160268 -150.2462353923164 3935.8530262032423</t>
  </si>
  <si>
    <t>28884.970551733713 -150.2462353923164 3928.0289682481666</t>
  </si>
  <si>
    <t>28893.51162930716 -150.2462353923164 3920.2049102930905</t>
  </si>
  <si>
    <t>28885.695493295858 -150.76734123538986 3911.672480653582</t>
  </si>
  <si>
    <t>28877.879357284557 -151.28844707846332 3903.1400510140734</t>
  </si>
  <si>
    <t>28870.063221273256 -151.80955292153675 3894.607621374565</t>
  </si>
  <si>
    <t>28862.247085261955 -152.3306587646102 3886.0751917350563</t>
  </si>
  <si>
    <t>28854.430949250655 -152.85176460768366 3877.542762095548</t>
  </si>
  <si>
    <t>28845.88987167721 -152.85176460768366 3885.366820050624</t>
  </si>
  <si>
    <t>28837.348794103764 -152.85176460768366 3893.1908780056997</t>
  </si>
  <si>
    <t>28828.807716530315 -152.85176460768366 3901.0149359607753</t>
  </si>
  <si>
    <t>28820.26663895687 -152.85176460768366 3908.838993915851</t>
  </si>
  <si>
    <t>28840.88004609182 -156.20169441644327 4009.699686880686</t>
  </si>
  <si>
    <t>28835.90593447773 -154.24837689019708 4045.7071578317573</t>
  </si>
  <si>
    <t>28829.69641989543 -155.02970390069555 4037.5316411658305</t>
  </si>
  <si>
    <t>28823.48690531313 -155.81103091119402 4029.3561244999037</t>
  </si>
  <si>
    <t>28817.277390730826 -156.59235792169252 4021.180607833977</t>
  </si>
  <si>
    <t>28811.067876148525 -157.373684932191 4013.00509116805</t>
  </si>
  <si>
    <t>28804.858361566225 -158.15501194268947 4004.8295745021233</t>
  </si>
  <si>
    <t>28813.057520794162 -158.15501194268947 3998.6021027876213</t>
  </si>
  <si>
    <t>28821.2566800221 -158.15501194268947 3992.37463107312</t>
  </si>
  <si>
    <t>28829.455839250037 -158.15501194268947 3986.147159358618</t>
  </si>
  <si>
    <t>28837.654998477974 -158.15501194268947 3979.9196876441165</t>
  </si>
  <si>
    <t>28845.85415770591 -158.15501194268947 3973.6922159296146</t>
  </si>
  <si>
    <t>28852.063672288212 -157.373684932191 3981.8677325955414</t>
  </si>
  <si>
    <t>28858.273186870512 -156.59235792169252 3990.043249261468</t>
  </si>
  <si>
    <t>28864.482701452816 -155.81103091119402 3998.218765927395</t>
  </si>
  <si>
    <t>28870.692216035117 -155.02970390069555 4006.394282593322</t>
  </si>
  <si>
    <t>28876.901730617417 -154.24837689019708 4014.5697992592486</t>
  </si>
  <si>
    <t>28868.70257138948 -154.24837689019708 4020.7972709737505</t>
  </si>
  <si>
    <t>28860.503412161543 -154.24837689019708 4027.024742688252</t>
  </si>
  <si>
    <t>28852.304252933605 -154.24837689019708 4033.252214402754</t>
  </si>
  <si>
    <t>28844.105093705668 -154.24837689019708 4039.4796861172554</t>
  </si>
  <si>
    <t>28840.88004609182 -166.07442178987293 4009.699686880686</t>
  </si>
  <si>
    <t>28842.64623482141 -168.22372683309942 3968.8421945726323</t>
  </si>
  <si>
    <t>28850.465440049316 -167.3640048158088 3977.3443588063355</t>
  </si>
  <si>
    <t>28858.284645277225 -166.50428279851823 3985.846523040039</t>
  </si>
  <si>
    <t>28866.10385050513 -165.64456078122763 3994.348687273742</t>
  </si>
  <si>
    <t>28873.923055733037 -164.78483876393705 4002.8508515074454</t>
  </si>
  <si>
    <t>28881.742260960942 -163.92511674664644 4011.3530157411487</t>
  </si>
  <si>
    <t>28873.2165802412 -163.92511674664644 4019.193848430667</t>
  </si>
  <si>
    <t>28864.690899521458 -163.92511674664644 4027.0346811201853</t>
  </si>
  <si>
    <t>28856.165218801714 -163.92511674664644 4034.875513809703</t>
  </si>
  <si>
    <t>28847.639538081974 -163.92511674664644 4042.7163464992213</t>
  </si>
  <si>
    <t>28839.11385736223 -163.92511674664644 4050.5571791887396</t>
  </si>
  <si>
    <t>28831.294652134326 -164.78483876393705 4042.0550149550363</t>
  </si>
  <si>
    <t>28823.475446906417 -165.64456078122763 4033.552850721333</t>
  </si>
  <si>
    <t>28815.656241678513 -166.50428279851823 4025.0506864876297</t>
  </si>
  <si>
    <t>28807.837036450605 -167.3640048158088 4016.5485222539264</t>
  </si>
  <si>
    <t>28800.0178312227 -168.22372683309942 4008.046358020223</t>
  </si>
  <si>
    <t>28808.543511942444 -168.22372683309942 4000.205525330705</t>
  </si>
  <si>
    <t>28817.069192662184 -168.22372683309942 3992.3646926411866</t>
  </si>
  <si>
    <t>28825.594873381928 -168.22372683309942 3984.523859951669</t>
  </si>
  <si>
    <t>28834.120554101668 -168.22372683309942 3976.6830272621505</t>
  </si>
  <si>
    <t>28840.88004609182 -175.72258125429033 4009.699686880686</t>
  </si>
  <si>
    <t>28804.978976061593 -175.53829915274517 4015.7142035521756</t>
  </si>
  <si>
    <t>28810.956102712582 -175.61201199336324 4007.331117043307</t>
  </si>
  <si>
    <t>28816.93322936357 -175.6857248339813 3998.948030534439</t>
  </si>
  <si>
    <t>28822.910356014556 -175.75943767459935 3990.5649440255706</t>
  </si>
  <si>
    <t>28828.887482665545 -175.83315051521743 3982.1818575167026</t>
  </si>
  <si>
    <t>28834.864609316533 -175.9068633558355 3973.798771007834</t>
  </si>
  <si>
    <t>28843.247910677637 -175.9068633558355 3979.7760508481065</t>
  </si>
  <si>
    <t>28851.63121203874 -175.9068633558355 3985.753330688379</t>
  </si>
  <si>
    <t>28860.01451339984 -175.9068633558355 3991.7306105286516</t>
  </si>
  <si>
    <t>28868.397814760945 -175.9068633558355 3997.707890368924</t>
  </si>
  <si>
    <t>28876.78111612205 -175.9068633558355 4003.6851702091963</t>
  </si>
  <si>
    <t>28870.80398947106 -175.83315051521743 4012.0682567180647</t>
  </si>
  <si>
    <t>28864.82686282007 -175.75943767459935 4020.4513432269327</t>
  </si>
  <si>
    <t>28858.849736169086 -175.6857248339813 4028.834429735801</t>
  </si>
  <si>
    <t>28852.872609518097 -175.61201199336324 4037.2175162446692</t>
  </si>
  <si>
    <t>28846.89548286711 -175.53829915274517 4045.6006027535377</t>
  </si>
  <si>
    <t>28838.512181506005 -175.53829915274517 4039.6233229132654</t>
  </si>
  <si>
    <t>28830.1288801449 -175.53829915274517 4033.646043072993</t>
  </si>
  <si>
    <t>28821.7455787838 -175.53829915274517 4027.6687632327203</t>
  </si>
  <si>
    <t>28813.362277422697 -175.53829915274517 4021.691483392448</t>
  </si>
  <si>
    <t>28930.540203413275 -168.18207355767314 4177.205939486914</t>
  </si>
  <si>
    <t>28895.06495703145 -168.08169195683598 4185.366332717817</t>
  </si>
  <si>
    <t>28900.52787370815 -168.12184459717085 4176.639217206441</t>
  </si>
  <si>
    <t>28905.99079038485 -168.16199723750572 4167.912101695065</t>
  </si>
  <si>
    <t>28911.453707061548 -168.20214987784055 4159.184986183689</t>
  </si>
  <si>
    <t>28916.91662373825 -168.24230251817542 4150.457870672313</t>
  </si>
  <si>
    <t>28922.37954041495 -168.2824551585103 4141.7307551609365</t>
  </si>
  <si>
    <t>28931.10672229098 -168.2824551585103 4147.193713379951</t>
  </si>
  <si>
    <t>28939.83390416701 -168.2824551585103 4152.656671598966</t>
  </si>
  <si>
    <t>28948.56108604304 -168.2824551585103 4158.119629817981</t>
  </si>
  <si>
    <t>28957.28826791907 -168.2824551585103 4163.582588036996</t>
  </si>
  <si>
    <t>28966.0154497951 -168.2824551585103 4169.04554625601</t>
  </si>
  <si>
    <t>28960.5525331184 -168.24230251817542 4177.772661767387</t>
  </si>
  <si>
    <t>28955.0896164417 -168.20214987784055 4186.499777278763</t>
  </si>
  <si>
    <t>28949.626699765002 -168.16199723750572 4195.226892790139</t>
  </si>
  <si>
    <t>28944.1637830883 -168.12184459717085 4203.9540083015145</t>
  </si>
  <si>
    <t>28938.7008664116 -168.08169195683598 4212.681123812891</t>
  </si>
  <si>
    <t>28929.97368453557 -168.08169195683598 4207.218165593877</t>
  </si>
  <si>
    <t>28921.24650265954 -168.08169195683598 4201.755207374862</t>
  </si>
  <si>
    <t>28912.51932078351 -168.08169195683598 4196.292249155847</t>
  </si>
  <si>
    <t>28903.79213890748 -168.08169195683598 4190.829290936832</t>
  </si>
  <si>
    <t>28930.540203413275 -157.78466528037646 4177.205939486914</t>
  </si>
  <si>
    <t>28932.23996544488 -158.16493826752603 4136.290907848271</t>
  </si>
  <si>
    <t>28940.083048651166 -158.0128290726662 4144.813160931354</t>
  </si>
  <si>
    <t>28947.92613185745 -157.86071987780636 4153.335414014437</t>
  </si>
  <si>
    <t>28955.769215063738 -157.70861068294656 4161.857667097521</t>
  </si>
  <si>
    <t>28963.61229827002 -157.55650148808672 4170.379920180604</t>
  </si>
  <si>
    <t>28971.455381476306 -157.4043922932269 4178.9021732636875</t>
  </si>
  <si>
    <t>28962.93239345738 -157.4043922932269 4186.745932836062</t>
  </si>
  <si>
    <t>28954.40940543845 -157.4043922932269 4194.589692408435</t>
  </si>
  <si>
    <t>28945.886417419522 -157.4043922932269 4202.433451980809</t>
  </si>
  <si>
    <t>28937.363429400593 -157.4043922932269 4210.2772115531825</t>
  </si>
  <si>
    <t>28928.840441381668 -157.4043922932269 4218.120971125557</t>
  </si>
  <si>
    <t>28920.997358175384 -157.55650148808672 4209.598718042474</t>
  </si>
  <si>
    <t>28913.1542749691 -157.70861068294656 4201.07646495939</t>
  </si>
  <si>
    <t>28905.311191762812 -157.86071987780636 4192.554211876307</t>
  </si>
  <si>
    <t>28897.468108556528 -158.0128290726662 4184.031958793224</t>
  </si>
  <si>
    <t>28889.625025350244 -158.16493826752603 4175.50970571014</t>
  </si>
  <si>
    <t>28898.14801336917 -158.16493826752603 4167.665946137766</t>
  </si>
  <si>
    <t>28906.6710013881 -158.16493826752603 4159.822186565392</t>
  </si>
  <si>
    <t>28915.193989407027 -158.16493826752603 4151.978426993019</t>
  </si>
  <si>
    <t>28923.716977425956 -158.16493826752603 4144.134667420645</t>
  </si>
  <si>
    <t>28930.540203413275 -147.08678660787172 4177.205939486914</t>
  </si>
  <si>
    <t>28965.529722817828 -147.19908690246922 4167.165216381361</t>
  </si>
  <si>
    <t>28960.540030159867 -147.15416678463023 4176.171245770726</t>
  </si>
  <si>
    <t>28955.550337501907 -147.10924666679122 4185.177275160091</t>
  </si>
  <si>
    <t>28950.560644843947 -147.0643265489522 4194.183304549457</t>
  </si>
  <si>
    <t>28945.570952185986 -147.0194064311132 4203.189333938822</t>
  </si>
  <si>
    <t>28940.581259528026 -146.9744863132742 4212.195363328187</t>
  </si>
  <si>
    <t>28931.575144424165 -146.9744863132742 4207.205623181044</t>
  </si>
  <si>
    <t>28922.569029320304 -146.9744863132742 4202.215883033899</t>
  </si>
  <si>
    <t>28913.562914216443 -146.9744863132742 4197.226142886755</t>
  </si>
  <si>
    <t>28904.556799112583 -146.9744863132742 4192.236402739611</t>
  </si>
  <si>
    <t>28895.550684008722 -146.9744863132742 4187.246662592467</t>
  </si>
  <si>
    <t>28900.540376666682 -147.0194064311132 4178.240633203101</t>
  </si>
  <si>
    <t>28905.530069324643 -147.0643265489522 4169.234603813737</t>
  </si>
  <si>
    <t>28910.519761982603 -147.10924666679122 4160.228574424371</t>
  </si>
  <si>
    <t>28915.509454640563 -147.15416678463023 4151.222545035006</t>
  </si>
  <si>
    <t>28920.499147298524 -147.19908690246922 4142.21651564564</t>
  </si>
  <si>
    <t>28929.505262402385 -147.19908690246922 4147.206255792784</t>
  </si>
  <si>
    <t>28938.511377506245 -147.19908690246922 4152.195995939928</t>
  </si>
  <si>
    <t>28947.517492610106 -147.19908690246922 4157.185736087073</t>
  </si>
  <si>
    <t>28956.523607713967 -147.19908690246922 4162.175476234217</t>
  </si>
  <si>
    <t>28901.79903954942 -173.48252061929185 3972.3867144859933</t>
  </si>
  <si>
    <t>28865.40671793489 -174.3092697167013 3972.4897360100226</t>
  </si>
  <si>
    <t>28872.660821621637 -173.97857007773752 3965.190678985263</t>
  </si>
  <si>
    <t>28879.914925308385 -173.64787043877374 3957.891621960503</t>
  </si>
  <si>
    <t>28887.169028995133 -173.31717079980996 3950.5925649357437</t>
  </si>
  <si>
    <t>28894.42313268188 -172.98647116084618 3943.293507910984</t>
  </si>
  <si>
    <t>28901.67723636863 -172.6557715218824 3935.994450886224</t>
  </si>
  <si>
    <t>28908.980061327693 -172.6557715218824 3943.252299301372</t>
  </si>
  <si>
    <t>28916.282886286757 -172.6557715218824 3950.51014771652</t>
  </si>
  <si>
    <t>28923.58571124582 -172.6557715218824 3957.767996131668</t>
  </si>
  <si>
    <t>28930.888536204886 -172.6557715218824 3965.0258445468157</t>
  </si>
  <si>
    <t>28938.19136116395 -172.6557715218824 3972.283692961964</t>
  </si>
  <si>
    <t>28930.937257477202 -172.98647116084618 3979.5827499867237</t>
  </si>
  <si>
    <t>28923.683153790455 -173.31717079980996 3986.8818070114835</t>
  </si>
  <si>
    <t>28916.429050103707 -173.64787043877374 3994.180864036243</t>
  </si>
  <si>
    <t>28909.17494641696 -173.97857007773752 4001.4799210610026</t>
  </si>
  <si>
    <t>28901.92084273021 -174.3092697167013 4008.7789780857624</t>
  </si>
  <si>
    <t>28894.618017771147 -174.3092697167013 4001.5211296706143</t>
  </si>
  <si>
    <t>28887.315192812082 -174.3092697167013 3994.2632812554666</t>
  </si>
  <si>
    <t>28880.012367853018 -174.3092697167013 3987.0054328403185</t>
  </si>
  <si>
    <t>28872.709542893954 -174.3092697167013 3979.7475844251708</t>
  </si>
  <si>
    <t>28901.79903954942 -163.72831759690766 3972.3867144859933</t>
  </si>
  <si>
    <t>28903.566057949796 -165.20779555715535 3931.4995232956235</t>
  </si>
  <si>
    <t>28911.39054737697 -164.61600437305626 3940.019678071124</t>
  </si>
  <si>
    <t>28919.215036804144 -164.0242131889572 3948.539832846625</t>
  </si>
  <si>
    <t>28927.039526231314 -163.43242200485813 3957.0599876221254</t>
  </si>
  <si>
    <t>28934.864015658488 -162.84063082075906 3965.5801423976263</t>
  </si>
  <si>
    <t>28942.68850508566 -162.24883963665997 3974.100297173127</t>
  </si>
  <si>
    <t>28934.15720829834 -162.24883963665997 3981.935018873774</t>
  </si>
  <si>
    <t>28925.625911511015 -162.24883963665997 3989.769740574421</t>
  </si>
  <si>
    <t>28917.09461472369 -162.24883963665997 3997.6044622750687</t>
  </si>
  <si>
    <t>28908.563317936365 -162.24883963665997 4005.439183975716</t>
  </si>
  <si>
    <t>28900.032021149043 -162.24883963665997 4013.273905676363</t>
  </si>
  <si>
    <t>28892.20753172187 -162.84063082075906 4004.7537509008625</t>
  </si>
  <si>
    <t>28884.383042294696 -163.43242200485813 3996.2335961253616</t>
  </si>
  <si>
    <t>28876.558552867526 -164.0242131889572 3987.713441349861</t>
  </si>
  <si>
    <t>28868.73406344035 -164.61600437305626 3979.19328657436</t>
  </si>
  <si>
    <t>28860.909574013178 -165.20779555715535 3970.6731317988597</t>
  </si>
  <si>
    <t>28869.4408708005 -165.20779555715535 3962.8384100982125</t>
  </si>
  <si>
    <t>28877.972167587825 -165.20779555715535 3955.0036883975654</t>
  </si>
  <si>
    <t>28886.50346437515 -165.20779555715535 3947.168966696918</t>
  </si>
  <si>
    <t>28895.034761162475 -165.20779555715535 3939.3342449962706</t>
  </si>
  <si>
    <t>28901.79903954942 -153.75120359794994 3972.3867144859933</t>
  </si>
  <si>
    <t>28926.956684909343 -153.20520292144388 3998.690515793136</t>
  </si>
  <si>
    <t>28927.187048201657 -153.4236031920463 3988.39941040667</t>
  </si>
  <si>
    <t>28927.41741149397 -153.64200346264872 3978.1083050202037</t>
  </si>
  <si>
    <t>28927.647774786285 -153.86040373325116 3967.8171996337373</t>
  </si>
  <si>
    <t>28927.8781380786 -154.07880400385358 3957.526094247271</t>
  </si>
  <si>
    <t>28928.108501370913 -154.297204274456 3947.234988860805</t>
  </si>
  <si>
    <t>28917.81507993463 -154.297204274456 3947.004573724414</t>
  </si>
  <si>
    <t>28907.521658498346 -154.297204274456 3946.774158588023</t>
  </si>
  <si>
    <t>28897.228237062063 -154.297204274456 3946.5437434516325</t>
  </si>
  <si>
    <t>28886.93481562578 -154.297204274456 3946.3133283152415</t>
  </si>
  <si>
    <t>28876.641394189497 -154.297204274456 3946.0829131788505</t>
  </si>
  <si>
    <t>28876.411030897183 -154.07880400385358 3956.3740185653164</t>
  </si>
  <si>
    <t>28876.18066760487 -153.86040373325116 3966.665123951783</t>
  </si>
  <si>
    <t>28875.950304312555 -153.64200346264872 3976.956229338249</t>
  </si>
  <si>
    <t>28875.71994102024 -153.4236031920463 3987.2473347247155</t>
  </si>
  <si>
    <t>28875.489577727927 -153.20520292144388 3997.5384401111814</t>
  </si>
  <si>
    <t>28885.78299916421 -153.20520292144388 3997.7688552475724</t>
  </si>
  <si>
    <t>28896.076420600493 -153.20520292144388 3997.9992703839634</t>
  </si>
  <si>
    <t>28906.369842036776 -153.20520292144388 3998.229685520354</t>
  </si>
  <si>
    <t>28916.66326347306 -153.20520292144388 3998.460100656745</t>
  </si>
  <si>
    <t>28901.79903954942 -148.127 3972.3867144859933</t>
  </si>
  <si>
    <t>28860.908177099216 -149.51095883006633 3970.6272718085615</t>
  </si>
  <si>
    <t>28868.725110526975 -148.9573752980398 3979.1569251461283</t>
  </si>
  <si>
    <t>28876.542043954734 -148.40379176601328 3987.6865784836955</t>
  </si>
  <si>
    <t>28884.35897738249 -147.85020823398673 3996.216231821262</t>
  </si>
  <si>
    <t>28892.17591081025 -147.2966247019602 4004.7458851588294</t>
  </si>
  <si>
    <t>28899.992844238008 -146.7430411699337 4013.275538496396</t>
  </si>
  <si>
    <t>28908.53225579033 -146.7430411699337 4005.449662229802</t>
  </si>
  <si>
    <t>28917.071667342654 -146.7430411699337 3997.623785963208</t>
  </si>
  <si>
    <t>28925.611078894977 -146.7430411699337 3989.7979096966133</t>
  </si>
  <si>
    <t>28934.1504904473 -146.7430411699337 3981.972033430019</t>
  </si>
  <si>
    <t>28942.689901999624 -146.7430411699337 3974.146157163425</t>
  </si>
  <si>
    <t>28934.872968571864 -147.2966247019602 3965.616503825858</t>
  </si>
  <si>
    <t>28927.056035144105 -147.85020823398673 3957.086850488291</t>
  </si>
  <si>
    <t>28919.23910171635 -148.40379176601328 3948.5571971507243</t>
  </si>
  <si>
    <t>28911.42216828859 -148.9573752980398 3940.027543813157</t>
  </si>
  <si>
    <t>28903.605234860832 -149.51095883006633 3931.4978904755903</t>
  </si>
  <si>
    <t>28895.06582330851 -149.51095883006633 3939.3237667421845</t>
  </si>
  <si>
    <t>28886.526411756186 -149.51095883006633 3947.1496430087786</t>
  </si>
  <si>
    <t>28877.987000203862 -149.51095883006633 3954.9755192753732</t>
  </si>
  <si>
    <t>28869.44758865154 -149.51095883006633 3962.8013955419674</t>
  </si>
  <si>
    <t>28910.19671926622 -146.897 3875.0115942784673</t>
  </si>
  <si>
    <t>28869.29638238861 -147.9664086564381 3873.2530662224826</t>
  </si>
  <si>
    <t>28877.119162253206 -147.53864519386286 3881.7845973048957</t>
  </si>
  <si>
    <t>28884.9419421178 -147.1108817312876 3890.3161283873087</t>
  </si>
  <si>
    <t>28892.764721982396 -146.68311826871238 3898.847659469722</t>
  </si>
  <si>
    <t>28900.58750184699 -146.25535480613712 3907.3791905521352</t>
  </si>
  <si>
    <t>28908.410281711585 -145.8275913435619 3915.9107216345483</t>
  </si>
  <si>
    <t>28916.947636598034 -145.8275913435619 3908.082601774529</t>
  </si>
  <si>
    <t>28925.48499148448 -145.8275913435619 3900.2544819145096</t>
  </si>
  <si>
    <t>28934.022346370934 -145.8275913435619 3892.4263620544907</t>
  </si>
  <si>
    <t>28942.277248346312 -144.84386598146492 3884.8158160206995</t>
  </si>
  <si>
    <t>28951.09705614383 -145.8275913435619 3876.770122334452</t>
  </si>
  <si>
    <t>28943.274276279233 -146.25535480613712 3868.238591252039</t>
  </si>
  <si>
    <t>28935.45149641464 -146.68311826871238 3859.707060169626</t>
  </si>
  <si>
    <t>28927.628716550043 -147.1108817312876 3851.1755290872125</t>
  </si>
  <si>
    <t>28919.80593668545 -147.53864519386286 3842.6439980047994</t>
  </si>
  <si>
    <t>28911.983156820854 -147.9664086564381 3834.1124669223864</t>
  </si>
  <si>
    <t>28903.043483942558 -146.79669175279253 3842.2631378076658</t>
  </si>
  <si>
    <t>28894.908447047957 -147.9664086564381 3849.768706642425</t>
  </si>
  <si>
    <t>28886.371092161506 -147.9664086564381 3857.596826502444</t>
  </si>
  <si>
    <t>28877.833737275058 -147.9664086564381 3865.4249463624633</t>
  </si>
  <si>
    <t>Pt10   17   modified</t>
  </si>
  <si>
    <t>28910.19671926622 -152.5984240114717 3875.0115942784673</t>
  </si>
  <si>
    <t>28944.62220421529 -152.31646669770896 3886.839598594263</t>
  </si>
  <si>
    <t>28940.103121184922 -152.42924962321405 3877.5890426879214</t>
  </si>
  <si>
    <t>28935.584038154553 -152.54203254871916 3868.3384867815803</t>
  </si>
  <si>
    <t>28931.064955124184 -152.65481547422425 3859.087930875239</t>
  </si>
  <si>
    <t>28926.545872093815 -152.76759839972937 3849.837374968898</t>
  </si>
  <si>
    <t>28922.026789063446 -152.88038132523445 3840.5868190625565</t>
  </si>
  <si>
    <t>28912.775678114187 -152.88038132523445 3845.1061732425796</t>
  </si>
  <si>
    <t>28903.524567164928 -152.88038132523445 3849.6255274226028</t>
  </si>
  <si>
    <t>28894.273456215666 -152.88038132523445 3854.1448816026254</t>
  </si>
  <si>
    <t>28885.022345266407 -152.88038132523445 3858.6642357826486</t>
  </si>
  <si>
    <t>28875.771234317148 -152.88038132523445 3863.1835899626717</t>
  </si>
  <si>
    <t>28880.290317347517 -152.76759839972937 3872.4341458690133</t>
  </si>
  <si>
    <t>28884.809400377886 -152.65481547422425 3881.6847017753544</t>
  </si>
  <si>
    <t>28889.328483408255 -152.54203254871916 3890.9352576816955</t>
  </si>
  <si>
    <t>28893.847566438624 -152.42924962321405 3900.1858135880366</t>
  </si>
  <si>
    <t>28898.366649468993 -152.31646669770896 3909.436369494378</t>
  </si>
  <si>
    <t>28907.617760418252 -152.31646669770896 3904.917015314355</t>
  </si>
  <si>
    <t>28916.86887136751 -152.31646669770896 3900.397661134332</t>
  </si>
  <si>
    <t>28926.119982316774 -152.31646669770896 3895.878306954309</t>
  </si>
  <si>
    <t>28935.371093266032 -152.31646669770896 3891.358952774286</t>
  </si>
  <si>
    <t>28910.19671926622 -162.77520246861 3875.0115942784673</t>
  </si>
  <si>
    <t>28869.29389874763 -163.6884414555797 3873.2230527841657</t>
  </si>
  <si>
    <t>28877.112684394033 -163.3231458607918 3881.761146198039</t>
  </si>
  <si>
    <t>28884.931470040436 -162.95785026600393 3890.2992396119125</t>
  </si>
  <si>
    <t>28892.750255686842 -162.59255467121605 3898.8373330257864</t>
  </si>
  <si>
    <t>28900.569041333245 -162.22725907642817 3907.37542643966</t>
  </si>
  <si>
    <t>28908.387826979648 -161.8619634816403 3915.913519853533</t>
  </si>
  <si>
    <t>28916.93016954068 -161.8619634816403 3908.0908430373806</t>
  </si>
  <si>
    <t>28925.47251210171 -161.8619634816403 3900.2681662212276</t>
  </si>
  <si>
    <t>28934.014854662746 -161.8619634816403 3892.4454894050746</t>
  </si>
  <si>
    <t>28942.557197223778 -161.8619634816403 3884.6228125889215</t>
  </si>
  <si>
    <t>28951.09953978481 -161.8619634816403 3876.800135772769</t>
  </si>
  <si>
    <t>28943.280754138406 -162.22725907642817 3868.2620423588955</t>
  </si>
  <si>
    <t>28935.461968492004 -162.59255467121605 3859.723948945022</t>
  </si>
  <si>
    <t>28927.643182845597 -162.95785026600393 3851.1858555311483</t>
  </si>
  <si>
    <t>28919.824397199194 -163.3231458607918 3842.647762117275</t>
  </si>
  <si>
    <t>28912.00561155279 -163.6884414555797 3834.1096687034014</t>
  </si>
  <si>
    <t>28903.46326899176 -163.6884414555797 3841.932345519554</t>
  </si>
  <si>
    <t>28894.92092643073 -163.6884414555797 3849.755022335707</t>
  </si>
  <si>
    <t>28886.378583869693 -163.6884414555797 3857.57769915186</t>
  </si>
  <si>
    <t>28877.83624130866 -163.6884414555797 3865.400375968013</t>
  </si>
  <si>
    <t>28910.19671926622 -172.27526482391312 3875.0115942784673</t>
  </si>
  <si>
    <t>28910.100754017814 -172.9846693977033 3838.6167768476603</t>
  </si>
  <si>
    <t>28917.39890273625 -172.70090756818723 3845.8737817744677</t>
  </si>
  <si>
    <t>28924.697051454685 -172.41714573867117 3853.130786701275</t>
  </si>
  <si>
    <t>28931.99520017312 -172.13338390915507 3860.387791628082</t>
  </si>
  <si>
    <t>28939.293348891555 -171.849622079639 3867.6447965548896</t>
  </si>
  <si>
    <t>28946.591497609992 -171.56586025012294 3874.901801481697</t>
  </si>
  <si>
    <t>28939.33173499092 -171.56586025012294 3882.2027235272126</t>
  </si>
  <si>
    <t>28932.071972371847 -171.56586025012294 3889.503645572728</t>
  </si>
  <si>
    <t>28924.81220975277 -171.56586025012294 3896.8045676182433</t>
  </si>
  <si>
    <t>28917.552447133698 -171.56586025012294 3904.105489663759</t>
  </si>
  <si>
    <t>28910.292684514625 -171.56586025012294 3911.4064117092744</t>
  </si>
  <si>
    <t>28902.994535796188 -171.849622079639 3904.149406782467</t>
  </si>
  <si>
    <t>28895.696387077754 -172.13338390915507 3896.8924018556595</t>
  </si>
  <si>
    <t>28888.398238359317 -172.41714573867117 3889.6353969288525</t>
  </si>
  <si>
    <t>28881.100089640884 -172.70090756818723 3882.378392002045</t>
  </si>
  <si>
    <t>28873.801940922447 -172.9846693977033 3875.1213870752376</t>
  </si>
  <si>
    <t>28881.06170354152 -172.9846693977033 3867.820465029722</t>
  </si>
  <si>
    <t>28888.321466160593 -172.9846693977033 3860.5195429842065</t>
  </si>
  <si>
    <t>28895.58122877967 -172.9846693977033 3853.2186209386914</t>
  </si>
  <si>
    <t>28902.84099139874 -172.9846693977033 3845.917698893176</t>
  </si>
  <si>
    <t>28863.12047944453 -169.16059470439117 4152.349247265998</t>
  </si>
  <si>
    <t>28880.467146905463 -168.5944110379965 4184.347181012659</t>
  </si>
  <si>
    <t>28870.599066347466 -168.82088450455436 4181.418476201685</t>
  </si>
  <si>
    <t>28860.73098578947 -169.04735797111223 4178.48977139071</t>
  </si>
  <si>
    <t>28850.862905231468 -169.2738314376701 4175.561066579736</t>
  </si>
  <si>
    <t>28840.99482467347 -169.500304904228 4172.632361768761</t>
  </si>
  <si>
    <t>28831.126744115474 -169.72677837078584 4169.703656957787</t>
  </si>
  <si>
    <t>28834.056157689098 -169.72677837078584 4159.833188270097</t>
  </si>
  <si>
    <t>28836.98557126272 -169.72677837078584 4149.962719582407</t>
  </si>
  <si>
    <t>28839.91498483635 -169.72677837078584 4140.092250894717</t>
  </si>
  <si>
    <t>28842.844398409972 -169.72677837078584 4130.221782207027</t>
  </si>
  <si>
    <t>28845.773811983596 -169.72677837078584 4120.351313519337</t>
  </si>
  <si>
    <t>28855.641892541593 -169.500304904228 4123.280018330312</t>
  </si>
  <si>
    <t>28865.50997309959 -169.2738314376701 4126.208723141286</t>
  </si>
  <si>
    <t>28875.37805365759 -169.04735797111223 4129.137427952261</t>
  </si>
  <si>
    <t>28885.246134215588 -168.82088450455436 4132.066132763235</t>
  </si>
  <si>
    <t>28895.114214773585 -168.5944110379965 4134.99483757421</t>
  </si>
  <si>
    <t>28892.18480119996 -168.5944110379965 4144.8653062619</t>
  </si>
  <si>
    <t>28889.255387626337 -168.5944110379965 4154.7357749495895</t>
  </si>
  <si>
    <t>28886.32597405271 -168.5944110379965 4164.6062436372795</t>
  </si>
  <si>
    <t>28883.396560479086 -168.5944110379965 4174.476712324969</t>
  </si>
  <si>
    <t>28863.12047944453 -159.46937042563272 4152.349247265998</t>
  </si>
  <si>
    <t>28864.79665536494 -160.42541942954077 4111.442646122834</t>
  </si>
  <si>
    <t>28872.642922000792 -160.04299982797755 4119.954740114763</t>
  </si>
  <si>
    <t>28880.489188636646 -159.66058022641434 4128.466834106693</t>
  </si>
  <si>
    <t>28888.3354552725 -159.2781606248511 4136.9789280986215</t>
  </si>
  <si>
    <t>28896.181721908353 -158.89574102328788 4145.491022090551</t>
  </si>
  <si>
    <t>28904.027988544207 -158.51332142172467 4154.00311608248</t>
  </si>
  <si>
    <t>28895.51125154019 -158.51332142172467 4161.853662547816</t>
  </si>
  <si>
    <t>28886.99451453617 -158.51332142172467 4169.704209013153</t>
  </si>
  <si>
    <t>28878.477777532156 -158.51332142172467 4177.55475547849</t>
  </si>
  <si>
    <t>28869.96104052814 -158.51332142172467 4185.405301943826</t>
  </si>
  <si>
    <t>28862.643461302898 -158.67754757251856 4191.864298706024</t>
  </si>
  <si>
    <t>28853.598036888267 -158.89574102328788 4184.7437544172335</t>
  </si>
  <si>
    <t>28845.751770252413 -159.2781606248511 4176.231660425304</t>
  </si>
  <si>
    <t>28837.90550361656 -159.66058022641434 4167.719566433375</t>
  </si>
  <si>
    <t>28830.059236980705 -160.04299982797755 4159.207472441445</t>
  </si>
  <si>
    <t>28822.21297034485 -160.42541942954077 4150.695378449516</t>
  </si>
  <si>
    <t>28830.72970734887 -160.42541942954077 4142.84483198418</t>
  </si>
  <si>
    <t>28839.246444352888 -160.42541942954077 4134.994285518844</t>
  </si>
  <si>
    <t>28847.763181356902 -160.42541942954077 4127.143739053507</t>
  </si>
  <si>
    <t>28856.27991836092 -160.42541942954077 4119.29319258817</t>
  </si>
  <si>
    <t>Pt11   modified</t>
  </si>
  <si>
    <t>28863.12047944453 -148.70391634708602 4152.349247265998</t>
  </si>
  <si>
    <t>28850.162549349363 -149.146700969927 4118.334674074107</t>
  </si>
  <si>
    <t>28845.950837302295 -148.9695871207906 4127.728168009647</t>
  </si>
  <si>
    <t>28841.739125255226 -148.79247327165422 4137.121661945186</t>
  </si>
  <si>
    <t>28837.527413208154 -148.61535942251783 4146.5151558807265</t>
  </si>
  <si>
    <t>28833.315701161086 -148.43824557338144 4155.908649816266</t>
  </si>
  <si>
    <t>28829.103989114017 -148.26113172424505 4165.3021437518055</t>
  </si>
  <si>
    <t>28838.498873199154 -148.26113172424505 4169.514479093023</t>
  </si>
  <si>
    <t>28847.893757284288 -148.26113172424505 4173.726814434239</t>
  </si>
  <si>
    <t>28857.288641369425 -148.26113172424505 4177.939149775456</t>
  </si>
  <si>
    <t>28866.68352545456 -148.26113172424505 4182.151485116672</t>
  </si>
  <si>
    <t>28876.078409539696 -148.26113172424505 4186.363820457889</t>
  </si>
  <si>
    <t>28880.290121586764 -148.43824557338144 4176.97032652235</t>
  </si>
  <si>
    <t>28884.501833633833 -148.61535942251783 4167.57683258681</t>
  </si>
  <si>
    <t>28888.713545680905 -148.79247327165422 4158.18333865127</t>
  </si>
  <si>
    <t>28892.925257727973 -148.9695871207906 4148.78984471573</t>
  </si>
  <si>
    <t>28897.13696977504 -149.146700969927 4139.396350780191</t>
  </si>
  <si>
    <t>28887.742085689904 -149.146700969927 4135.184015438974</t>
  </si>
  <si>
    <t>28878.34720160477 -149.146700969927 4130.971680097758</t>
  </si>
  <si>
    <t>28868.952317519634 -149.146700969927 4126.7593447565405</t>
  </si>
  <si>
    <t>28859.5574334345 -149.146700969927 4122.547009415324</t>
  </si>
  <si>
    <t>ClsRwd_WEB_RIGI_LH_Corner</t>
  </si>
  <si>
    <t>28863.12047944453 -145.04481495897562 4152.349247265998</t>
  </si>
  <si>
    <t>28857.57662132004 -146.3650470973453 4128.05189212017</t>
  </si>
  <si>
    <t>28853.83144401062 -146.57892084791527 4126.666710894267</t>
  </si>
  <si>
    <t>28847.895036437723 -145.1196141317436 4130.966314952345</t>
  </si>
  <si>
    <t>28840.842583274367 -144.97001578620765 4138.466190998902</t>
  </si>
  <si>
    <t>28833.790130111014 -144.8204174406717 4145.966067045459</t>
  </si>
  <si>
    <t>28826.73767694766 -144.67081909513573 4153.465943092016</t>
  </si>
  <si>
    <t>28834.238344783054 -144.67081909513573 4160.5191408081655</t>
  </si>
  <si>
    <t>28841.739012618447 -144.67081909513573 4167.5723385243155</t>
  </si>
  <si>
    <t>28849.239680453844 -144.67081909513573 4174.625536240465</t>
  </si>
  <si>
    <t>28856.740348289237 -144.67081909513573 4181.678733956615</t>
  </si>
  <si>
    <t>28865.777598172186 -143.75456030133626 4186.475004066055</t>
  </si>
  <si>
    <t>28871.293469287983 -144.8204174406717 4181.232055626208</t>
  </si>
  <si>
    <t>28878.345922451335 -144.97001578620765 4173.7321795796515</t>
  </si>
  <si>
    <t>28885.39837561469 -145.1196141317436 4166.232303533095</t>
  </si>
  <si>
    <t>28892.450828778045 -145.26921247727955 4158.732427486538</t>
  </si>
  <si>
    <t>28899.503281941397 -145.41881082281552 4151.232551439981</t>
  </si>
  <si>
    <t>28892.002614106004 -145.41881082281552 4144.179353723831</t>
  </si>
  <si>
    <t>28884.070769566788 -144.85181621129715 4137.850795058997</t>
  </si>
  <si>
    <t>28875.00092621663 -145.36984645316662 4134.49629889939</t>
  </si>
  <si>
    <t>28866.327825470296 -145.86521646182857 4131.288538769155</t>
  </si>
  <si>
    <t>Pt1   2   11   18   19   20   modified</t>
  </si>
  <si>
    <t>28913.029530734762 -169.7503343599716 4092.260160683839</t>
  </si>
  <si>
    <t>28903.18365669609 -170.57830951821083 4057.2249152650916</t>
  </si>
  <si>
    <t>28912.158860361724 -170.24711945491512 4062.259162805919</t>
  </si>
  <si>
    <t>28921.13406402736 -169.91592939161944 4067.293410346747</t>
  </si>
  <si>
    <t>28930.109267692995 -169.58473932832374 4072.327657887575</t>
  </si>
  <si>
    <t>28939.08447135863 -169.25354926502806 4077.3619054284027</t>
  </si>
  <si>
    <t>28948.059675024266 -168.92235920173235 4082.39615296923</t>
  </si>
  <si>
    <t>28943.0228209741 -168.92235920173235 4091.3760035959012</t>
  </si>
  <si>
    <t>28937.985966923934 -168.92235920173235 4100.355854222573</t>
  </si>
  <si>
    <t>28932.949112873768 -168.92235920173235 4109.3357048492435</t>
  </si>
  <si>
    <t>28927.912258823602 -168.92235920173235 4118.315555475915</t>
  </si>
  <si>
    <t>28922.875404773436 -168.92235920173235 4127.295406102587</t>
  </si>
  <si>
    <t>28913.9002011078 -169.25354926502806 4122.261158561759</t>
  </si>
  <si>
    <t>28904.924997442165 -169.58473932832374 4117.226911020931</t>
  </si>
  <si>
    <t>28895.94979377653 -169.91592939161944 4112.192663480104</t>
  </si>
  <si>
    <t>28886.974590110894 -170.24711945491512 4107.158415939276</t>
  </si>
  <si>
    <t>28877.99938644526 -170.57830951821083 4102.124168398448</t>
  </si>
  <si>
    <t>28883.036240495425 -170.57830951821083 4093.1443177717765</t>
  </si>
  <si>
    <t>28888.07309454559 -170.57830951821083 4084.164467145105</t>
  </si>
  <si>
    <t>28893.109948595757 -170.57830951821083 4075.184616518434</t>
  </si>
  <si>
    <t>28898.146802645922 -170.57830951821083 4066.2047658917627</t>
  </si>
  <si>
    <t>28913.029530734762 -159.54470489091307 4092.260160683839</t>
  </si>
  <si>
    <t>28914.72833431432 -160.62093059627415 4051.3574784108</t>
  </si>
  <si>
    <t>28922.56934291537 -160.19044031412972 4059.872121752438</t>
  </si>
  <si>
    <t>28930.410351516413 -159.75995003198528 4068.386765094076</t>
  </si>
  <si>
    <t>28938.25136011746 -159.32945974984085 4076.9014084357136</t>
  </si>
  <si>
    <t>28946.092368718506 -158.89896946769642 4085.4160517773516</t>
  </si>
  <si>
    <t>28953.933377319554 -158.46847918555198 4093.9306951189897</t>
  </si>
  <si>
    <t>28945.412847286683 -158.46847918555198 4101.777124686568</t>
  </si>
  <si>
    <t>28936.892317253813 -158.46847918555198 4109.623554254145</t>
  </si>
  <si>
    <t>28928.371787220945 -158.46847918555198 4117.469983821723</t>
  </si>
  <si>
    <t>28919.851257188075 -158.46847918555198 4125.316413389301</t>
  </si>
  <si>
    <t>28911.330727155204 -158.46847918555198 4133.162842956878</t>
  </si>
  <si>
    <t>28903.489718554156 -158.89896946769642 4124.648199615241</t>
  </si>
  <si>
    <t>28895.64870995311 -159.32945974984085 4116.133556273602</t>
  </si>
  <si>
    <t>28887.807701352063 -159.75995003198528 4107.618912931965</t>
  </si>
  <si>
    <t>28879.96669275102 -160.19044031412972 4099.104269590326</t>
  </si>
  <si>
    <t>28872.12568414997 -160.62093059627415 4090.5896262486885</t>
  </si>
  <si>
    <t>28880.64621418284 -160.62093059627415 4082.743196681111</t>
  </si>
  <si>
    <t>28889.166744215712 -160.62093059627415 4074.8967671135333</t>
  </si>
  <si>
    <t>28897.68727424858 -160.62093059627415 4067.0503375459552</t>
  </si>
  <si>
    <t>28906.20780428145 -160.62093059627415 4059.2039079783776</t>
  </si>
  <si>
    <t>28913.029530734762 -149.21250202444992 4092.260160683839</t>
  </si>
  <si>
    <t>28916.709823129248 -149.05818721281696 4128.475169103415</t>
  </si>
  <si>
    <t>28923.216779560917 -149.11991313747015 4120.496239105816</t>
  </si>
  <si>
    <t>28929.723735992586 -149.18163906212334 4112.517309108217</t>
  </si>
  <si>
    <t>28936.23069242425 -149.2433649867765 4104.538379110619</t>
  </si>
  <si>
    <t>28942.73764885592 -149.3050909114297 4096.55944911302</t>
  </si>
  <si>
    <t>28949.24460528759 -149.36681683608288 4088.58051911542</t>
  </si>
  <si>
    <t>28941.265531898127 -149.36681683608288 4082.0734457451886</t>
  </si>
  <si>
    <t>28933.286458508665 -149.36681683608288 4075.5663723749567</t>
  </si>
  <si>
    <t>28925.307385119202 -149.36681683608288 4069.0592990047253</t>
  </si>
  <si>
    <t>28917.32831172974 -149.36681683608288 4062.5522256344934</t>
  </si>
  <si>
    <t>28909.349238340277 -149.36681683608288 4056.045152264262</t>
  </si>
  <si>
    <t>28902.842281908608 -149.3050909114297 4064.024082261861</t>
  </si>
  <si>
    <t>28896.33532547694 -149.2433649867765 4072.0030122594603</t>
  </si>
  <si>
    <t>28889.828369045274 -149.18163906212334 4079.9819422570595</t>
  </si>
  <si>
    <t>28883.321412613604 -149.11991313747015 4087.9608722546586</t>
  </si>
  <si>
    <t>28876.814456181935 -149.05818721281696 4095.939802252258</t>
  </si>
  <si>
    <t>28884.793529571398 -149.05818721281696 4102.446875622489</t>
  </si>
  <si>
    <t>28892.77260296086 -149.05818721281696 4108.953948992721</t>
  </si>
  <si>
    <t>28900.751676350323 -149.05818721281696 4115.4610223629525</t>
  </si>
  <si>
    <t>28908.730749739785 -149.05818721281696 4121.968095733184</t>
  </si>
  <si>
    <t>Rib09_new</t>
  </si>
  <si>
    <t>28913.029530734762 -140.50553752987076 4092.260160683839</t>
  </si>
  <si>
    <t>28918.61786179032 -140.602037726038 4128.230376748322</t>
  </si>
  <si>
    <t>28924.694246646533 -140.5634376475711 4119.91871788182</t>
  </si>
  <si>
    <t>28930.77063150275 -140.52483756910422 4111.607059015318</t>
  </si>
  <si>
    <t>28936.847016358963 -140.4862374906373 4103.295400148816</t>
  </si>
  <si>
    <t>28942.92340121518 -140.44763741217042 4094.9837412823135</t>
  </si>
  <si>
    <t>28948.999786071392 -140.40903733370354 4086.6720824158115</t>
  </si>
  <si>
    <t>28940.688068792955 -140.40903733370354 4080.5956548565205</t>
  </si>
  <si>
    <t>28932.37635151452 -140.40903733370354 4074.519227297229</t>
  </si>
  <si>
    <t>28924.064634236078 -140.40903733370354 4068.442799737938</t>
  </si>
  <si>
    <t>28915.75291695764 -140.40903733370354 4062.3663721786465</t>
  </si>
  <si>
    <t>28908.207297496538 -140.97653972762964 4056.904222351531</t>
  </si>
  <si>
    <t>28901.720313703758 -141.02408463590143 4064.883751458846</t>
  </si>
  <si>
    <t>28895.288429966775 -140.4862374906373 4072.913262352359</t>
  </si>
  <si>
    <t>28889.212045110562 -140.52483756910422 4081.2249212188617</t>
  </si>
  <si>
    <t>28883.135660254346 -140.5634376475711 4089.5365800853638</t>
  </si>
  <si>
    <t>28877.059275398133 -140.602037726038 4097.848238951866</t>
  </si>
  <si>
    <t>28885.37099267657 -140.602037726038 4103.924666511157</t>
  </si>
  <si>
    <t>28893.682709955006 -140.602037726038 4110.001094070449</t>
  </si>
  <si>
    <t>28901.994427233447 -140.602037726038 4116.07752162974</t>
  </si>
  <si>
    <t>28910.306144511884 -140.602037726038 4122.153949189031</t>
  </si>
  <si>
    <t>Pt11   12   modified</t>
  </si>
  <si>
    <t>28958.659432458808 -149.33887198048694 4036.523864355774</t>
  </si>
  <si>
    <t>28958.89531735435 -149.5164308177591 4072.9245241186873</t>
  </si>
  <si>
    <t>28966.12827344824 -149.44540728285025 4065.5973884026434</t>
  </si>
  <si>
    <t>28973.361229542134 -149.37438374794138 4058.2702526866</t>
  </si>
  <si>
    <t>28980.594185636022 -149.3033602130325 4050.9431169705563</t>
  </si>
  <si>
    <t>28987.827141729915 -149.23233667812363 4043.615981254513</t>
  </si>
  <si>
    <t>28995.060097823807 -149.16131314321478 4036.288845538469</t>
  </si>
  <si>
    <t>28987.7327877717 -149.16131314321478 4029.0557173493476</t>
  </si>
  <si>
    <t>28980.405477719592 -149.16131314321478 4021.822589160226</t>
  </si>
  <si>
    <t>28973.07816766748 -149.16131314321478 4014.589460971104</t>
  </si>
  <si>
    <t>28965.750857615374 -149.16131314321478 4007.3563327819825</t>
  </si>
  <si>
    <t>28958.423547563267 -149.16131314321478 4000.123204592861</t>
  </si>
  <si>
    <t>28951.190591469374 -149.23233667812363 4007.4503403089047</t>
  </si>
  <si>
    <t>28943.957635375482 -149.3033602130325 4014.777476024948</t>
  </si>
  <si>
    <t>28936.724679281593 -149.37438374794138 4022.104611740992</t>
  </si>
  <si>
    <t>28929.4917231877 -149.44540728285025 4029.4317474570353</t>
  </si>
  <si>
    <t>28922.25876709381 -149.5164308177591 4036.758883173079</t>
  </si>
  <si>
    <t>28929.586077145916 -149.5164308177591 4043.9920113622006</t>
  </si>
  <si>
    <t>28936.913387198023 -149.5164308177591 4051.225139551322</t>
  </si>
  <si>
    <t>28944.240697250134 -149.5164308177591 4058.458267740444</t>
  </si>
  <si>
    <t>28951.56800730224 -149.5164308177591 4065.6913959295657</t>
  </si>
  <si>
    <t>28958.659432458808 -159.69656664434865 4036.523864355774</t>
  </si>
  <si>
    <t>28917.753435413448 -160.67399567663597 4034.845278429573</t>
  </si>
  <si>
    <t>28925.594254505217 -160.28302406372103 4043.362002340093</t>
  </si>
  <si>
    <t>28933.43507359699 -159.89205245080612 4051.8787262506125</t>
  </si>
  <si>
    <t>28941.275892688758 -159.50108083789118 4060.395450161132</t>
  </si>
  <si>
    <t>28949.11671178053 -159.11010922497627 4068.9121740716514</t>
  </si>
  <si>
    <t>28956.9575308723 -158.71913761206133 4077.4288979821713</t>
  </si>
  <si>
    <t>28965.479110598673 -158.71913761206133 4069.583608442132</t>
  </si>
  <si>
    <t>28974.000690325047 -158.71913761206133 4061.738318902093</t>
  </si>
  <si>
    <t>28982.52227005142 -158.71913761206133 4053.8930293620533</t>
  </si>
  <si>
    <t>28991.043849777794 -158.71913761206133 4046.047739822014</t>
  </si>
  <si>
    <t>28999.565429504168 -158.71913761206133 4038.202450281975</t>
  </si>
  <si>
    <t>28991.7246104124 -159.11010922497627 4029.685726371455</t>
  </si>
  <si>
    <t>28983.883791320626 -159.50108083789118 4021.1690024609356</t>
  </si>
  <si>
    <t>28976.042972228857 -159.89205245080612 4012.652278550416</t>
  </si>
  <si>
    <t>28968.202153137085 -160.28302406372103 4004.135554639897</t>
  </si>
  <si>
    <t>28960.361334045316 -160.67399567663597 3995.618830729377</t>
  </si>
  <si>
    <t>28951.839754318942 -160.67399567663597 4003.464120269416</t>
  </si>
  <si>
    <t>28943.31817459257 -160.67399567663597 4011.3094098094552</t>
  </si>
  <si>
    <t>28934.796594866195 -160.67399567663597 4019.154699349495</t>
  </si>
  <si>
    <t>28926.27501513982 -160.67399567663597 4026.999988889534</t>
  </si>
  <si>
    <t>28958.659432458808 -169.8734985308767 4036.523864355774</t>
  </si>
  <si>
    <t>28922.563578741676 -169.94615458733847 4041.2333511143247</t>
  </si>
  <si>
    <t>28928.840823373615 -169.91709216475377 4033.072286771583</t>
  </si>
  <si>
    <t>28935.118068005555 -169.88802974216907 4024.9112224288415</t>
  </si>
  <si>
    <t>28941.395312637498 -169.85896731958434 4016.7501580860994</t>
  </si>
  <si>
    <t>28947.672557269438 -169.82990489699964 4008.589093743358</t>
  </si>
  <si>
    <t>28953.949801901377 -169.80084247441494 4000.428029400616</t>
  </si>
  <si>
    <t>28962.11089875629 -169.80084247441494 4006.705299039938</t>
  </si>
  <si>
    <t>28970.2719956112 -169.80084247441494 4012.982568679259</t>
  </si>
  <si>
    <t>28978.433092466115 -169.80084247441494 4019.2598383185805</t>
  </si>
  <si>
    <t>28986.594189321026 -169.80084247441494 4025.5371079579018</t>
  </si>
  <si>
    <t>28994.75528617594 -169.80084247441494 4031.8143775972235</t>
  </si>
  <si>
    <t>28988.478041544 -169.82990489699964 4039.975441939965</t>
  </si>
  <si>
    <t>28982.20079691206 -169.85896731958434 4048.1365062827067</t>
  </si>
  <si>
    <t>28975.923552280117 -169.88802974216907 4056.2975706254488</t>
  </si>
  <si>
    <t>28969.646307648178 -169.91709216475377 4064.4586349681904</t>
  </si>
  <si>
    <t>28963.36906301624 -169.94615458733847 4072.619699310932</t>
  </si>
  <si>
    <t>28955.207966161324 -169.94615458733847 4066.3424296716103</t>
  </si>
  <si>
    <t>28947.046869306414 -169.94615458733847 4060.065160032289</t>
  </si>
  <si>
    <t>28938.8857724515 -169.94615458733847 4053.7878903929677</t>
  </si>
  <si>
    <t>28930.72467559659 -169.94615458733847 4047.5106207536464</t>
  </si>
  <si>
    <t>GFEMUpperStructre</t>
  </si>
  <si>
    <t>29068.40569745387 156.08690725244628 3945.1911892640883</t>
  </si>
  <si>
    <t>29043.147998598073 159.83821800180962 3966.7983811543654</t>
  </si>
  <si>
    <t>29052.711401278277 156.62284325220182 3970.7737336284963</t>
  </si>
  <si>
    <t>29063.000673563463 156.26555258569812 3970.877825995841</t>
  </si>
  <si>
    <t>29073.289945848646 155.90826191919444 3970.9819183631853</t>
  </si>
  <si>
    <t>29083.579218133833 155.55097125269074 3971.08601073053</t>
  </si>
  <si>
    <t>29093.86849041902 155.19368058618704 3971.1901030978747</t>
  </si>
  <si>
    <t>29093.972645518144 155.19368058618704 3960.894629931705</t>
  </si>
  <si>
    <t>29094.07680061727 155.19368058618704 3950.599156765535</t>
  </si>
  <si>
    <t>29094.180955716398 155.19368058618704 3940.303683599365</t>
  </si>
  <si>
    <t>29094.285110815523 155.19368058618704 3930.008210433195</t>
  </si>
  <si>
    <t>29094.389265914648 155.19368058618704 3919.712737267025</t>
  </si>
  <si>
    <t>29084.09999362946 155.55097125269074 3919.6086448996803</t>
  </si>
  <si>
    <t>29073.810721344274 155.90826191919444 3919.5045525323358</t>
  </si>
  <si>
    <t>29063.52144905909 156.26555258569812 3919.4004601649913</t>
  </si>
  <si>
    <t>29053.232176773905 156.62284325220182 3919.296367797647</t>
  </si>
  <si>
    <t>29042.94290448872 156.98013391870552 3919.192275430302</t>
  </si>
  <si>
    <t>29042.838749389593 156.98013391870552 3929.4877485964716</t>
  </si>
  <si>
    <t>29042.73459429047 156.98013391870552 3939.7832217626415</t>
  </si>
  <si>
    <t>29042.63043919134 156.98013391870552 3950.0786949288117</t>
  </si>
  <si>
    <t>29042.526284092215 156.98013391870552 3960.3741680949815</t>
  </si>
  <si>
    <t>Pt1   modified</t>
  </si>
  <si>
    <t>29068.405697453865 164.83000237406463 3945.1911892640887</t>
  </si>
  <si>
    <t>29075.012352740592 162.14341237407447 3909.4948373483217</t>
  </si>
  <si>
    <t>29066.559095054417 163.21804837407052 3915.273696055595</t>
  </si>
  <si>
    <t>29058.105837368243 164.2926843740666 3921.0525547628686</t>
  </si>
  <si>
    <t>29049.652579682068 165.36732037406267 3926.8314134701423</t>
  </si>
  <si>
    <t>29041.199321995893 166.44195637405875 3932.610272177416</t>
  </si>
  <si>
    <t>29032.74606430972 167.5165923740548 3938.389130884689</t>
  </si>
  <si>
    <t>29038.556659881204 167.5165923740548 3946.8888129437223</t>
  </si>
  <si>
    <t>29044.367255452686 167.5165923740548 3955.388495002756</t>
  </si>
  <si>
    <t>29050.17785102417 167.5165923740548 3963.888177061789</t>
  </si>
  <si>
    <t>29055.988446595653 167.5165923740548 3972.3878591208227</t>
  </si>
  <si>
    <t>29061.79904216714 167.5165923740548 3980.887541179856</t>
  </si>
  <si>
    <t>29070.252299853313 166.44195637405875 3975.1086824725826</t>
  </si>
  <si>
    <t>29078.705557539488 165.36732037406267 3969.329823765309</t>
  </si>
  <si>
    <t>29087.158815225663 164.2926843740666 3963.550965058035</t>
  </si>
  <si>
    <t>29095.612072911837 163.21804837407052 3957.7721063507615</t>
  </si>
  <si>
    <t>29104.065330598012 162.14341237407447 3951.9932476434883</t>
  </si>
  <si>
    <t>29098.254735026527 162.14341237407447 3943.493565584455</t>
  </si>
  <si>
    <t>29092.444139455045 162.14341237407447 3934.9938835254216</t>
  </si>
  <si>
    <t>29086.63354388356 162.14341237407447 3926.4942014663884</t>
  </si>
  <si>
    <t>29080.822948312078 162.14341237407447 3917.994519407355</t>
  </si>
  <si>
    <t>29003.850996545425 -169.26003461609096 3980.4206105257726</t>
  </si>
  <si>
    <t>28967.642485241267 -169.7235434407978 3984.1386837776413</t>
  </si>
  <si>
    <t>28974.139398558917 -169.53813991091508 3976.1534875449825</t>
  </si>
  <si>
    <t>28980.636311876566 -169.35273638103234 3968.1682913123236</t>
  </si>
  <si>
    <t>28987.133225194215 -169.16733285114958 3960.1830950796652</t>
  </si>
  <si>
    <t>28993.630138511864 -168.98192932126685 3952.1978988470064</t>
  </si>
  <si>
    <t>29000.127051829513 -168.7965257913841 3944.2127026143476</t>
  </si>
  <si>
    <t>29008.113543033527 -168.7965257913841 3950.710669546259</t>
  </si>
  <si>
    <t>29016.10003423754 -168.7965257913841 3957.2086364781703</t>
  </si>
  <si>
    <t>29024.086525441555 -168.7965257913841 3963.7066034100817</t>
  </si>
  <si>
    <t>29032.07301664557 -168.7965257913841 3970.204570341993</t>
  </si>
  <si>
    <t>29040.059507849583 -168.7965257913841 3976.702537273904</t>
  </si>
  <si>
    <t>29033.562594531933 -168.98192932126685 3984.687733506563</t>
  </si>
  <si>
    <t>29027.065681214284 -169.16733285114958 3992.6729297392217</t>
  </si>
  <si>
    <t>29020.568767896635 -169.35273638103234 4000.65812597188</t>
  </si>
  <si>
    <t>29014.071854578986 -169.53813991091508 4008.643322204539</t>
  </si>
  <si>
    <t>29007.574941261337 -169.7235434407978 4016.6285184371977</t>
  </si>
  <si>
    <t>28999.588450057323 -169.7235434407978 4010.1305515052863</t>
  </si>
  <si>
    <t>28991.60195885331 -169.7235434407978 4003.632584573375</t>
  </si>
  <si>
    <t>28983.615467649295 -169.7235434407978 3997.1346176414636</t>
  </si>
  <si>
    <t>28975.62897644528 -169.7235434407978 3990.636650709552</t>
  </si>
  <si>
    <t>29003.850996545425 -158.6356531511283 3980.4206105257726</t>
  </si>
  <si>
    <t>29005.569578359904 -159.29881107378532 3939.5099724151714</t>
  </si>
  <si>
    <t>29013.408079493925 -159.0335479047225 3948.033670229095</t>
  </si>
  <si>
    <t>29021.246580627947 -158.7682847356597 3956.557368043019</t>
  </si>
  <si>
    <t>29029.08508176197 -158.5030215665969 3965.0810658569426</t>
  </si>
  <si>
    <t>29036.92358289599 -158.23775839753412 3973.6047636708663</t>
  </si>
  <si>
    <t>29044.76208403001 -157.9724952284713 3982.12846148479</t>
  </si>
  <si>
    <t>29036.2361501702 -157.9724952284713 3989.969018915107</t>
  </si>
  <si>
    <t>29027.710216310385 -157.9724952284713 3997.8095763454235</t>
  </si>
  <si>
    <t>29019.184282450573 -157.9724952284713 4005.6501337757404</t>
  </si>
  <si>
    <t>29010.658348590758 -157.9724952284713 4013.490691206057</t>
  </si>
  <si>
    <t>29002.132414730946 -157.9724952284713 4021.331248636374</t>
  </si>
  <si>
    <t>28994.293913596925 -158.23775839753412 4012.80755082245</t>
  </si>
  <si>
    <t>28986.455412462903 -158.5030215665969 4004.2838530085264</t>
  </si>
  <si>
    <t>28978.61691132888 -158.7682847356597 3995.7601551946027</t>
  </si>
  <si>
    <t>28970.77841019486 -159.0335479047225 3987.236457380679</t>
  </si>
  <si>
    <t>28962.93990906084 -159.29881107378532 3978.7127595667553</t>
  </si>
  <si>
    <t>28971.46584292065 -159.29881107378532 3970.8722021364383</t>
  </si>
  <si>
    <t>28979.991776780465 -159.29881107378532 3963.031644706122</t>
  </si>
  <si>
    <t>28988.517710640277 -159.29881107378532 3955.191087275805</t>
  </si>
  <si>
    <t>28997.043644500092 -159.29881107378532 3947.3505298454884</t>
  </si>
  <si>
    <t>28912.994482317765 169.75730870977048 4092.1988255118936</t>
  </si>
  <si>
    <t>28909.509037036805 169.9081408732097 4055.9645306953544</t>
  </si>
  <si>
    <t>28902.959255162343 169.84780800783403 4063.908354292486</t>
  </si>
  <si>
    <t>28896.409473287884 169.78747514245833 4071.8521778896175</t>
  </si>
  <si>
    <t>28889.85969141342 169.72714227708263 4079.7960014867494</t>
  </si>
  <si>
    <t>28883.309909538963 169.66680941170694 4087.739825083881</t>
  </si>
  <si>
    <t>28876.7601276645 169.60647654633127 4095.6836486810125</t>
  </si>
  <si>
    <t>28884.704087651346 169.60647654633127 4102.233543010497</t>
  </si>
  <si>
    <t>28892.64804763819 169.60647654633127 4108.783437339981</t>
  </si>
  <si>
    <t>28900.592007625033 169.60647654633127 4115.333331669465</t>
  </si>
  <si>
    <t>28908.53596761188 169.60647654633127 4121.883225998949</t>
  </si>
  <si>
    <t>28916.479927598724 169.60647654633127 4128.433120328433</t>
  </si>
  <si>
    <t>28923.029709473187 169.66680941170694 4120.489296731301</t>
  </si>
  <si>
    <t>28929.579491347646 169.72714227708263 4112.54547313417</t>
  </si>
  <si>
    <t>28936.129273222108 169.78747514245833 4104.601649537038</t>
  </si>
  <si>
    <t>28942.679055096567 169.84780800783403 4096.657825939907</t>
  </si>
  <si>
    <t>28949.22883697103 169.9081408732097 4088.7140023427746</t>
  </si>
  <si>
    <t>28941.284876984184 169.9081408732097 4082.1641080132904</t>
  </si>
  <si>
    <t>28933.34091699734 169.9081408732097 4075.6142136838066</t>
  </si>
  <si>
    <t>28925.396957010496 169.9081408732097 4069.0643193543224</t>
  </si>
  <si>
    <t>28917.45299702365 169.9081408732097 4062.514425024838</t>
  </si>
  <si>
    <t>28912.994482317765 159.34803458400899 4092.1988255118936</t>
  </si>
  <si>
    <t>28872.094019163753 160.55788225529972 4090.536900453543</t>
  </si>
  <si>
    <t>28879.934581178186 160.07394318678342 4099.049084619534</t>
  </si>
  <si>
    <t>28887.775143192623 159.59000411826713 4107.561268785526</t>
  </si>
  <si>
    <t>28895.615705207056 159.10606504975084 4116.0734529515175</t>
  </si>
  <si>
    <t>28903.456267221492 158.62212598123455 4124.58563711751</t>
  </si>
  <si>
    <t>28911.296829235926 158.13818691271825 4133.097821283502</t>
  </si>
  <si>
    <t>28919.816452483097 158.13818691271825 4125.25040714085</t>
  </si>
  <si>
    <t>28928.336075730265 158.13818691271825 4117.402992998199</t>
  </si>
  <si>
    <t>28936.855698977437 158.13818691271825 4109.5555788555475</t>
  </si>
  <si>
    <t>28945.375322224605 158.13818691271825 4101.708164712896</t>
  </si>
  <si>
    <t>28953.894945471777 158.13818691271825 4093.8607505702444</t>
  </si>
  <si>
    <t>28946.054383457344 158.62212598123455 4085.348566404253</t>
  </si>
  <si>
    <t>28938.213821442907 159.10606504975084 4076.836382238261</t>
  </si>
  <si>
    <t>28930.373259428474 159.59000411826713 4068.324198072269</t>
  </si>
  <si>
    <t>28922.532697414037 160.07394318678342 4059.8120139062776</t>
  </si>
  <si>
    <t>28914.692135399604 160.55788225529972 4051.299829740286</t>
  </si>
  <si>
    <t>28906.172512152432 160.55788225529972 4059.1472438829373</t>
  </si>
  <si>
    <t>28897.652888905264 160.55788225529972 4066.9946580255887</t>
  </si>
  <si>
    <t>28889.133265658093 160.55788225529972 4074.84207216824</t>
  </si>
  <si>
    <t>28880.613642410925 160.55788225529972 4082.6894863108914</t>
  </si>
  <si>
    <t>28859.583372652523 -151.70104443394223 4078.592457122779</t>
  </si>
  <si>
    <t>28850.187828034264 -153.19959511954394 4043.4559620333566</t>
  </si>
  <si>
    <t>28859.09103589646 -152.60017484530326 4048.5922253733074</t>
  </si>
  <si>
    <t>28867.99424375866 -152.00075457106257 4053.7284887132582</t>
  </si>
  <si>
    <t>28876.89745162086 -151.4013342968219 4058.8647520532095</t>
  </si>
  <si>
    <t>28885.80065948306 -150.8019140225812 4064.0010153931603</t>
  </si>
  <si>
    <t>28894.703867345255 -150.20249374834052 4069.137278733111</t>
  </si>
  <si>
    <t>28889.55887733036 -150.20249374834052 4078.055613428929</t>
  </si>
  <si>
    <t>28884.413887315466 -150.20249374834052 4086.973948124747</t>
  </si>
  <si>
    <t>28879.26889730057 -150.20249374834052 4095.892282820565</t>
  </si>
  <si>
    <t>28874.123907285677 -150.20249374834052 4104.810617516383</t>
  </si>
  <si>
    <t>28868.978917270782 -150.20249374834052 4113.728952212201</t>
  </si>
  <si>
    <t>28860.075709408586 -150.8019140225812 4108.59268887225</t>
  </si>
  <si>
    <t>28851.172501546385 -151.4013342968219 4103.456425532299</t>
  </si>
  <si>
    <t>28842.26929368419 -152.00075457106257 4098.320162192348</t>
  </si>
  <si>
    <t>28833.36608582199 -152.60017484530326 4093.1838988523973</t>
  </si>
  <si>
    <t>28824.46287795979 -153.19959511954394 4088.0476355124465</t>
  </si>
  <si>
    <t>28829.607867974686 -153.19959511954394 4079.1293008166285</t>
  </si>
  <si>
    <t>28834.75285798958 -153.19959511954394 4070.2109661208106</t>
  </si>
  <si>
    <t>28839.897848004475 -153.19959511954394 4061.2926314249926</t>
  </si>
  <si>
    <t>28845.04283801937 -153.19959511954394 4052.3742967291746</t>
  </si>
  <si>
    <t>28859.583372652523 -161.8570364698336 4078.592457122779</t>
  </si>
  <si>
    <t>28861.29875623974 -163.51031384599185 4037.7097254923433</t>
  </si>
  <si>
    <t>28869.132775018858 -162.84900289552854 4046.21600003501</t>
  </si>
  <si>
    <t>28876.966793797976 -162.18769194506524 4054.7222745776767</t>
  </si>
  <si>
    <t>28884.800812577094 -161.52638099460194 4063.2285491203434</t>
  </si>
  <si>
    <t>28892.634831356212 -160.86507004413863 4071.73482366301</t>
  </si>
  <si>
    <t>28900.46885013533 -160.20375909367533 4080.2410982056767</t>
  </si>
  <si>
    <t>28891.948677921326 -160.20375909367533 4088.0879163151844</t>
  </si>
  <si>
    <t>28883.42850570732 -160.20375909367533 4095.9347344246917</t>
  </si>
  <si>
    <t>28874.908333493317 -160.20375909367533 4103.781552534199</t>
  </si>
  <si>
    <t>28866.388161279312 -160.20375909367533 4111.628370643706</t>
  </si>
  <si>
    <t>28857.867989065307 -160.20375909367533 4119.475188753214</t>
  </si>
  <si>
    <t>28850.03397028619 -160.86507004413863 4110.968914210547</t>
  </si>
  <si>
    <t>28842.19995150707 -161.52638099460194 4102.4626396678805</t>
  </si>
  <si>
    <t>28834.365932727953 -162.18769194506524 4093.9563651252142</t>
  </si>
  <si>
    <t>28826.531913948835 -162.84900289552854 4085.4500905825475</t>
  </si>
  <si>
    <t>28818.697895169717 -163.51031384599185 4076.943816039881</t>
  </si>
  <si>
    <t>28827.21806738372 -163.51031384599185 4069.096997930373</t>
  </si>
  <si>
    <t>28835.738239597726 -163.51031384599185 4061.250179820866</t>
  </si>
  <si>
    <t>28844.25841181173 -163.51031384599185 4053.4033617113582</t>
  </si>
  <si>
    <t>28852.778584025735 -163.51031384599185 4045.556543601851</t>
  </si>
  <si>
    <t>28859.583372652523 -171.7709418040873 4078.592457122779</t>
  </si>
  <si>
    <t>28866.504044784593 -170.39273983805688 4114.30380065087</t>
  </si>
  <si>
    <t>28857.979635929205 -170.94402062446906 4108.555917635293</t>
  </si>
  <si>
    <t>28849.45522707382 -171.4953014108812 4102.808034619717</t>
  </si>
  <si>
    <t>28840.930818218432 -172.0465821972934 4097.060151604141</t>
  </si>
  <si>
    <t>28832.406409363048 -172.59786298370554 4091.312268588564</t>
  </si>
  <si>
    <t>28823.88200050766 -173.14914377011772 4085.564385572988</t>
  </si>
  <si>
    <t>28829.63814051022 -173.14914377011772 4077.027731177328</t>
  </si>
  <si>
    <t>28835.394280512777 -173.14914377011772 4068.491076781668</t>
  </si>
  <si>
    <t>28841.150420515336 -173.14914377011772 4059.9544223860084</t>
  </si>
  <si>
    <t>28846.906560517895 -173.14914377011772 4051.4177679903487</t>
  </si>
  <si>
    <t>28852.662700520454 -173.14914377011772 4042.881113594689</t>
  </si>
  <si>
    <t>28861.187109375842 -172.59786298370554 4048.628996610265</t>
  </si>
  <si>
    <t>28869.711518231226 -172.0465821972934 4054.3768796258414</t>
  </si>
  <si>
    <t>28878.235927086615 -171.4953014108812 4060.1247626414174</t>
  </si>
  <si>
    <t>28886.760335942 -170.94402062446906 4065.872645656994</t>
  </si>
  <si>
    <t>28895.284744797387 -170.39273983805688 4071.62052867257</t>
  </si>
  <si>
    <t>28889.52860479483 -170.39273983805688 4080.1571830682296</t>
  </si>
  <si>
    <t>28883.77246479227 -170.39273983805688 4088.6938374638894</t>
  </si>
  <si>
    <t>28878.01632478971 -170.39273983805688 4097.230491859549</t>
  </si>
  <si>
    <t>28872.260184787152 -170.39273983805688 4105.767146255209</t>
  </si>
  <si>
    <t>29068.47230790158 -164.82051084937655 3945.13031535279</t>
  </si>
  <si>
    <t>29068.09593989647 -164.79926671100097 3908.73041019067</t>
  </si>
  <si>
    <t>29075.451194504276 -164.8077643663512 3915.935115142587</t>
  </si>
  <si>
    <t>29082.806449112086 -164.81626202170142 3923.139820094504</t>
  </si>
  <si>
    <t>29090.161703719892 -164.82475967705167 3930.344525046421</t>
  </si>
  <si>
    <t>29097.516958327702 -164.8332573324019 3937.549229998338</t>
  </si>
  <si>
    <t>29104.87221293551 -164.84175498775213 3944.753934950255</t>
  </si>
  <si>
    <t>29097.667505529746 -164.84175498775213 3952.109192063186</t>
  </si>
  <si>
    <t>29090.46279812398 -164.84175498775213 3959.464449176117</t>
  </si>
  <si>
    <t>29083.258090718216 -164.84175498775213 3966.819706289048</t>
  </si>
  <si>
    <t>29076.05338331245 -164.84175498775213 3974.174963401979</t>
  </si>
  <si>
    <t>29068.848675906687 -164.84175498775213 3981.53022051491</t>
  </si>
  <si>
    <t>29061.49342129888 -164.8332573324019 3974.325515562993</t>
  </si>
  <si>
    <t>29054.13816669107 -164.82475967705167 3967.120810611076</t>
  </si>
  <si>
    <t>29046.782912083265 -164.81626202170142 3959.9161056591593</t>
  </si>
  <si>
    <t>29039.427657475455 -164.8077643663512 3952.7114007072423</t>
  </si>
  <si>
    <t>29032.07240286765 -164.79926671100097 3945.5066957553254</t>
  </si>
  <si>
    <t>29039.27711027341 -164.79926671100097 3938.151438642394</t>
  </si>
  <si>
    <t>29046.481817679178 -164.79926671100097 3930.7961815294634</t>
  </si>
  <si>
    <t>29053.68652508494 -164.79926671100097 3923.440924416532</t>
  </si>
  <si>
    <t>29060.891232490707 -164.79926671100097 3916.0856673036014</t>
  </si>
  <si>
    <t>29068.47230790158 -156.08267559445642 3945.13031535279</t>
  </si>
  <si>
    <t>29043.009230190914 -156.97526163496315 3919.131658394001</t>
  </si>
  <si>
    <t>29053.298512420675 -156.61822721876047 3919.2356469602155</t>
  </si>
  <si>
    <t>29063.58779465044 -156.26119280255776 3919.3396355264294</t>
  </si>
  <si>
    <t>29073.877076880206 -155.90415838635508 3919.4436240926434</t>
  </si>
  <si>
    <t>29084.16635910997 -155.54712397015237 3919.5476126588574</t>
  </si>
  <si>
    <t>29094.455641339733 -155.1900895539497 3919.6516012250718</t>
  </si>
  <si>
    <t>29094.351590194234 -155.1900895539497 3929.9470754423733</t>
  </si>
  <si>
    <t>29094.247539048738 -155.1900895539497 3940.2425496596748</t>
  </si>
  <si>
    <t>29094.14348790324 -155.1900895539497 3950.5380238769762</t>
  </si>
  <si>
    <t>29094.039436757743 -155.1900895539497 3960.8334980942777</t>
  </si>
  <si>
    <t>29093.935385612243 -155.1900895539497 3971.128972311579</t>
  </si>
  <si>
    <t>29083.64610338248 -155.54712397015237 3971.024983745365</t>
  </si>
  <si>
    <t>29073.356821152716 -155.90415838635508 3970.920995179151</t>
  </si>
  <si>
    <t>29063.06753892295 -156.26119280255776 3970.817006612937</t>
  </si>
  <si>
    <t>29052.778256693186 -156.61822721876047 3970.713018046723</t>
  </si>
  <si>
    <t>29043.20290676397 -159.83585800584848 3966.858023528266</t>
  </si>
  <si>
    <t>29042.593025608923 -156.97526163496315 3960.313555263207</t>
  </si>
  <si>
    <t>29042.69707675442 -156.97526163496315 3950.0180810459055</t>
  </si>
  <si>
    <t>29042.80112789992 -156.97526163496315 3939.722606828604</t>
  </si>
  <si>
    <t>29042.905179045414 -156.97526163496315 3929.4271326113026</t>
  </si>
  <si>
    <t>Pt16   modified</t>
  </si>
  <si>
    <t>28795.69387421694 -171.6702683032772 4127.478003109183</t>
  </si>
  <si>
    <t>28760.766255621005 -172.3854318603044 4137.504255470661</t>
  </si>
  <si>
    <t>28765.693678293213 -171.2913112160044 4128.4316131260075</t>
  </si>
  <si>
    <t>28770.705052574012 -171.54394927418628 4119.4410671009155</t>
  </si>
  <si>
    <t>28775.716426854815 -171.79658733236812 4110.450521075823</t>
  </si>
  <si>
    <t>28780.727801135614 -172.04922539055 4101.459975050731</t>
  </si>
  <si>
    <t>28785.739175416413 -172.30186344873186 4092.469429025639</t>
  </si>
  <si>
    <t>28794.732429217423 -172.30186344873186 4097.482312633964</t>
  </si>
  <si>
    <t>28803.725683018434 -172.30186344873186 4102.495196242289</t>
  </si>
  <si>
    <t>28812.718936819445 -172.30186344873186 4107.508079850615</t>
  </si>
  <si>
    <t>28821.712190620456 -172.30186344873186 4112.52096345894</t>
  </si>
  <si>
    <t>28830.705444421466 -172.30186344873186 4117.533847067266</t>
  </si>
  <si>
    <t>28825.694070140667 -172.04922539055 4126.524393092359</t>
  </si>
  <si>
    <t>28820.68269585987 -171.79658733236812 4135.514939117451</t>
  </si>
  <si>
    <t>28815.671321579066 -171.54394927418628 4144.505485142543</t>
  </si>
  <si>
    <t>28810.659947298267 -171.2913112160044 4153.496031167635</t>
  </si>
  <si>
    <t>28805.648573017468 -171.03867315782253 4162.486577192728</t>
  </si>
  <si>
    <t>28796.655319216457 -171.03867315782253 4157.473693584402</t>
  </si>
  <si>
    <t>28787.662065415447 -171.03867315782253 4152.460809976077</t>
  </si>
  <si>
    <t>28778.668811614436 -171.03867315782253 4147.447926367751</t>
  </si>
  <si>
    <t>28769.675557813425 -171.03867315782253 4142.435042759426</t>
  </si>
  <si>
    <t>28795.69387421694 -162.01528471735404 4127.478003109183</t>
  </si>
  <si>
    <t>28797.395631017698 -163.59033081945455 4086.5916133680075</t>
  </si>
  <si>
    <t>28805.23305283514 -162.96031237861436 4095.097128344756</t>
  </si>
  <si>
    <t>28813.07047465258 -162.33029393777414 4103.602643321505</t>
  </si>
  <si>
    <t>28820.907896470024 -161.70027549693393 4112.108158298253</t>
  </si>
  <si>
    <t>28828.745318287463 -161.0702570560937 4120.613673275002</t>
  </si>
  <si>
    <t>28836.582740104906 -160.44023861525352 4129.1191882517505</t>
  </si>
  <si>
    <t>28828.064615567164 -160.44023861525352 4136.968229171472</t>
  </si>
  <si>
    <t>28819.546491029418 -160.44023861525352 4144.817270091194</t>
  </si>
  <si>
    <t>28811.02836649167 -160.44023861525352 4152.666311010916</t>
  </si>
  <si>
    <t>28802.510241953925 -160.44023861525352 4160.515351930638</t>
  </si>
  <si>
    <t>28794.676247643216 -160.67530033515408 4167.016312734279</t>
  </si>
  <si>
    <t>28786.15469559874 -161.0702570560937 4159.85887787361</t>
  </si>
  <si>
    <t>28778.3172737813 -161.70027549693393 4151.353362896862</t>
  </si>
  <si>
    <t>28770.479851963857 -162.33029393777414 4142.847847920113</t>
  </si>
  <si>
    <t>28762.642430146418 -162.96031237861436 4134.342332943364</t>
  </si>
  <si>
    <t>28754.805008328975 -163.59033081945455 4125.836817966616</t>
  </si>
  <si>
    <t>28763.323132866717 -163.59033081945455 4117.987777046895</t>
  </si>
  <si>
    <t>28771.841257404463 -163.59033081945455 4110.138736127173</t>
  </si>
  <si>
    <t>28780.35938194221 -163.59033081945455 4102.289695207451</t>
  </si>
  <si>
    <t>28788.877506479956 -163.59033081945455 4094.4406542877286</t>
  </si>
  <si>
    <t>28795.69387421694 -151.8548372109027 4127.478003109183</t>
  </si>
  <si>
    <t>28819.723374395926 -150.90775462183404 4100.150702552456</t>
  </si>
  <si>
    <t>28809.455270850714 -151.2865876574615 4100.806561619585</t>
  </si>
  <si>
    <t>28799.187167305503 -151.66542069308898 4101.462420686716</t>
  </si>
  <si>
    <t>28788.91906376029 -152.04425372871643 4102.118279753846</t>
  </si>
  <si>
    <t>28778.65096021508 -152.4230867643439 4102.774138820976</t>
  </si>
  <si>
    <t>28768.38285666987 -152.80191979997136 4103.429997888105</t>
  </si>
  <si>
    <t>28769.039160143486 -152.80191979997136 4113.705059043667</t>
  </si>
  <si>
    <t>28769.695463617103 -152.80191979997136 4123.980120199228</t>
  </si>
  <si>
    <t>28770.35176709072 -152.80191979997136 4134.255181354788</t>
  </si>
  <si>
    <t>28771.008070564338 -152.80191979997136 4144.530242510349</t>
  </si>
  <si>
    <t>28771.664374037955 -152.80191979997136 4154.80530366591</t>
  </si>
  <si>
    <t>28781.932477583166 -152.4230867643439 4154.149444598781</t>
  </si>
  <si>
    <t>28792.200581128378 -152.04425372871643 4153.493585531651</t>
  </si>
  <si>
    <t>28802.46868467359 -151.66542069308898 4152.8377264645205</t>
  </si>
  <si>
    <t>28812.7367882188 -151.2865876574615 4152.18186739739</t>
  </si>
  <si>
    <t>28823.004891764012 -150.90775462183404 4151.526008330261</t>
  </si>
  <si>
    <t>28822.348588290395 -150.90775462183404 4141.2509471747</t>
  </si>
  <si>
    <t>28821.692284816778 -150.90775462183404 4130.975886019139</t>
  </si>
  <si>
    <t>28821.03598134316 -150.90775462183404 4120.700824863578</t>
  </si>
  <si>
    <t>28820.379677869543 -150.90775462183404 4110.425763708017</t>
  </si>
  <si>
    <t>28795.69387421694 -148.47702945327063 4127.478003109183</t>
  </si>
  <si>
    <t>28826.791555737575 -148.00718815777262 4116.665779591467</t>
  </si>
  <si>
    <t>28816.779877273097 -148.47957959598074 4112.962675849831</t>
  </si>
  <si>
    <t>28807.229437124828 -148.96804177212138 4109.430073355681</t>
  </si>
  <si>
    <t>28797.89587855619 -149.4747521937162 4105.977577906682</t>
  </si>
  <si>
    <t>28788.36450118989 -149.97121674845735 4102.444789432104</t>
  </si>
  <si>
    <t>28778.743237558287 -149.65109368921554 4098.772428637406</t>
  </si>
  <si>
    <t>28776.839435592818 -149.7383532917582 4104.15453976551</t>
  </si>
  <si>
    <t>28773.30885466817 -149.7383532917582 4113.826282852177</t>
  </si>
  <si>
    <t>28769.77827374352 -149.7383532917582 4123.498025938846</t>
  </si>
  <si>
    <t>28766.24769281887 -149.7383532917582 4133.169769025513</t>
  </si>
  <si>
    <t>28762.71711189422 -149.7383532917582 4142.841512112181</t>
  </si>
  <si>
    <t>28772.377235898657 -149.23382375636317 4146.36785159765</t>
  </si>
  <si>
    <t>28782.037359903097 -148.72929422096814 4149.894191083118</t>
  </si>
  <si>
    <t>28791.697483907537 -148.22476468557312 4153.420530568586</t>
  </si>
  <si>
    <t>28801.357607911978 -147.7202351501781 4156.946870054055</t>
  </si>
  <si>
    <t>28811.017731916414 -147.21570561478308 4160.473209539524</t>
  </si>
  <si>
    <t>28814.548312841063 -147.21570561478308 4150.801466452856</t>
  </si>
  <si>
    <t>28818.078893765713 -147.21570561478308 4141.129723366189</t>
  </si>
  <si>
    <t>28821.609474690362 -147.21570561478308 4131.457980279521</t>
  </si>
  <si>
    <t>28825.14005561501 -147.21570561478308 4121.786237192853</t>
  </si>
  <si>
    <t>Pt1   2   3   4   5   6   modified</t>
  </si>
  <si>
    <t>29019.894715247276 164.66526309321506 3892.7504002891083</t>
  </si>
  <si>
    <t>29006.921218848736 167.45249761243448 3926.6475228061</t>
  </si>
  <si>
    <t>29016.27992300973 166.33760380474672 3922.5027327963912</t>
  </si>
  <si>
    <t>29025.638627170723 165.22270999705896 3918.3579427866825</t>
  </si>
  <si>
    <t>29034.997331331717 164.10781618937116 3914.2131527769743</t>
  </si>
  <si>
    <t>29044.35603549271 162.9929223816834 3910.0683627672656</t>
  </si>
  <si>
    <t>29053.714739653704 161.87802857399564 3905.923572757557</t>
  </si>
  <si>
    <t>29049.545434052125 161.87802857399564 3896.509513760469</t>
  </si>
  <si>
    <t>29045.37612845055 161.87802857399564 3887.095454763381</t>
  </si>
  <si>
    <t>29041.20682284897 161.87802857399564 3877.6813957662926</t>
  </si>
  <si>
    <t>29037.037517247394 161.87802857399564 3868.2673367692046</t>
  </si>
  <si>
    <t>29032.868211645815 161.87802857399564 3858.8532777721166</t>
  </si>
  <si>
    <t>29023.50950748482 162.9929223816834 3862.9980677818253</t>
  </si>
  <si>
    <t>29014.150803323828 164.10781618937116 3867.142857791534</t>
  </si>
  <si>
    <t>29004.792099162834 165.22270999705896 3871.287647801242</t>
  </si>
  <si>
    <t>28995.43339500184 166.33760380474672 3875.432437810951</t>
  </si>
  <si>
    <t>28986.074690840847 167.45249761243448 3879.5772278206596</t>
  </si>
  <si>
    <t>28990.243996442427 167.45249761243448 3888.9912868177476</t>
  </si>
  <si>
    <t>28994.413302044002 167.45249761243448 3898.4053458148355</t>
  </si>
  <si>
    <t>28998.58260764558 167.45249761243448 3907.819404811924</t>
  </si>
  <si>
    <t>29002.751913247157 167.45249761243448 3917.233463809012</t>
  </si>
  <si>
    <t>29019.894715247276 157.263155779736 3892.7504002891083</t>
  </si>
  <si>
    <t>28994.115206301634 160.4024204783699 3918.2583820923314</t>
  </si>
  <si>
    <t>29004.3339285053 159.14671459891633 3918.3507686096136</t>
  </si>
  <si>
    <t>29014.55265070897 157.89100871946277 3918.443155126896</t>
  </si>
  <si>
    <t>29024.771372912637 156.63530284000922 3918.5355416441785</t>
  </si>
  <si>
    <t>29034.990095116307 155.37959696055566 3918.6279281614607</t>
  </si>
  <si>
    <t>29045.208817319974 154.1238910811021 3918.720314678743</t>
  </si>
  <si>
    <t>29045.30189869456 154.1238910811021 3908.4247354401714</t>
  </si>
  <si>
    <t>29045.39498006915 154.1238910811021 3898.1291562016</t>
  </si>
  <si>
    <t>29045.48806144374 154.1238910811021 3887.833576963028</t>
  </si>
  <si>
    <t>29045.58114281833 154.1238910811021 3877.5379977244565</t>
  </si>
  <si>
    <t>29045.674224192917 154.1238910811021 3867.242418485885</t>
  </si>
  <si>
    <t>29035.45550198925 155.37959696055566 3867.150031968603</t>
  </si>
  <si>
    <t>29025.23677978558 156.63530284000922 3867.0576454513207</t>
  </si>
  <si>
    <t>29015.018057581914 157.89100871946277 3866.965258934038</t>
  </si>
  <si>
    <t>29004.799335378244 159.14671459891633 3866.872872416756</t>
  </si>
  <si>
    <t>28994.580613174578 160.4024204783699 3866.7804858994737</t>
  </si>
  <si>
    <t>28994.48753179999 160.4024204783699 3877.076065138045</t>
  </si>
  <si>
    <t>28994.3944504254 160.4024204783699 3887.3716443766166</t>
  </si>
  <si>
    <t>28994.301369050812 160.4024204783699 3897.6672236151885</t>
  </si>
  <si>
    <t>28994.20828767622 160.4024204783699 3907.96280285376</t>
  </si>
  <si>
    <t>29003.789282159123 169.2641716439229 3980.4453255271183</t>
  </si>
  <si>
    <t>28967.471199702086 169.745980670254 3982.866058206726</t>
  </si>
  <si>
    <t>28975.217690005178 169.55325705972155 3989.6456128819277</t>
  </si>
  <si>
    <t>28982.96418030827 169.36053344918912 3996.4251675571295</t>
  </si>
  <si>
    <t>28990.710670611363 169.1678098386567 4003.2047222323317</t>
  </si>
  <si>
    <t>28998.457160914455 168.97508622812427 4009.9842769075335</t>
  </si>
  <si>
    <t>29006.203651217547 168.78236261759182 4016.7638315827353</t>
  </si>
  <si>
    <t>29012.98439389727 168.78236261759182 4009.0159838356903</t>
  </si>
  <si>
    <t>29019.765136576993 168.78236261759182 4001.2681360886454</t>
  </si>
  <si>
    <t>29026.545879256715 168.78236261759182 3993.5202883416005</t>
  </si>
  <si>
    <t>29033.326621936438 168.78236261759182 3985.7724405945555</t>
  </si>
  <si>
    <t>29040.10736461616 168.78236261759182 3978.0245928475106</t>
  </si>
  <si>
    <t>29032.360874313068 168.97508622812427 3971.245038172309</t>
  </si>
  <si>
    <t>29024.614384009976 169.1678098386567 3964.465483497107</t>
  </si>
  <si>
    <t>29016.867893706883 169.36053344918912 3957.685928821905</t>
  </si>
  <si>
    <t>29009.12140340379 169.55325705972155 3950.906374146703</t>
  </si>
  <si>
    <t>29001.3749131007 169.745980670254 3944.126819471501</t>
  </si>
  <si>
    <t>28994.594170420976 169.745980670254 3951.874667218546</t>
  </si>
  <si>
    <t>28987.813427741254 169.745980670254 3959.622514965591</t>
  </si>
  <si>
    <t>28981.03268506153 169.745980670254 3967.370362712636</t>
  </si>
  <si>
    <t>28974.25194238181 169.745980670254 3975.118210459681</t>
  </si>
  <si>
    <t>29003.789282159123 158.96418710920335 3980.4453255271183</t>
  </si>
  <si>
    <t>28962.87690347454 159.55335807485434 3978.741283144308</t>
  </si>
  <si>
    <t>28970.716876774306 159.31768968859396 3987.264496626947</t>
  </si>
  <si>
    <t>28978.556850074074 159.08202130233354 3995.7877101095864</t>
  </si>
  <si>
    <t>28986.396823373845 158.84635291607316 4004.3109235922257</t>
  </si>
  <si>
    <t>28994.236796673613 158.61068452981274 4012.834137074865</t>
  </si>
  <si>
    <t>29002.07676997338 158.37501614355236 4021.357350557504</t>
  </si>
  <si>
    <t>29010.601748147445 158.37501614355236 4013.515754027989</t>
  </si>
  <si>
    <t>29019.126726321512 158.37501614355236 4005.674157498474</t>
  </si>
  <si>
    <t>29027.651704495576 158.37501614355236 3997.8325609689587</t>
  </si>
  <si>
    <t>29036.176682669644 158.37501614355236 3989.990964439444</t>
  </si>
  <si>
    <t>29044.701660843708 158.37501614355236 3982.1493679099285</t>
  </si>
  <si>
    <t>29036.86168754394 158.61068452981274 3973.6261544272893</t>
  </si>
  <si>
    <t>29029.021714244172 158.84635291607316 3965.10294094465</t>
  </si>
  <si>
    <t>29021.1817409444 159.08202130233354 3956.579727462011</t>
  </si>
  <si>
    <t>29013.341767644633 159.31768968859396 3948.0565139793716</t>
  </si>
  <si>
    <t>29005.501794344866 159.55335807485434 3939.5333004967324</t>
  </si>
  <si>
    <t>28996.9768161708 159.55335807485434 3947.3748970262477</t>
  </si>
  <si>
    <t>28988.451837996734 159.55335807485434 3955.2164935557626</t>
  </si>
  <si>
    <t>28979.92685982267 159.55335807485434 3963.058090085278</t>
  </si>
  <si>
    <t>28971.401881648602 159.55335807485434 3970.8996866147927</t>
  </si>
  <si>
    <t>29003.789282159123 148.2190509209853 3980.4453255271183</t>
  </si>
  <si>
    <t>29000.82324793243 148.89830989409788 3944.1708655281946</t>
  </si>
  <si>
    <t>29008.6711397133 148.62660630485286 3950.830023714883</t>
  </si>
  <si>
    <t>29016.519031494172 148.3549027156078 3957.4891819015706</t>
  </si>
  <si>
    <t>29024.36692327504 148.08319912636279 3964.1483400882585</t>
  </si>
  <si>
    <t>29032.21481505591 147.81149553711774 3970.8074982749463</t>
  </si>
  <si>
    <t>29040.062706836783 147.53979194787271 3977.4666564616346</t>
  </si>
  <si>
    <t>29033.40122874659 147.53979194787271 3985.317282274516</t>
  </si>
  <si>
    <t>29026.739750656398 147.53979194787271 3993.1679080873973</t>
  </si>
  <si>
    <t>29020.078272566203 147.53979194787271 4001.018533900279</t>
  </si>
  <si>
    <t>29013.416794476012 147.53979194787271 4008.8691597131606</t>
  </si>
  <si>
    <t>29006.755316385817 147.53979194787271 4016.719785526042</t>
  </si>
  <si>
    <t>28998.907424604946 147.81149553711774 4010.0606273393537</t>
  </si>
  <si>
    <t>28991.059532824074 148.08319912636279 4003.401469152666</t>
  </si>
  <si>
    <t>28983.211641043206 148.3549027156078 3996.742310965978</t>
  </si>
  <si>
    <t>28975.363749262335 148.62660630485286 3990.0831527792902</t>
  </si>
  <si>
    <t>28967.515857481463 148.89830989409788 3983.423994592602</t>
  </si>
  <si>
    <t>28974.177335571658 148.89830989409788 3975.5733687797206</t>
  </si>
  <si>
    <t>28980.83881366185 148.89830989409788 3967.722742966839</t>
  </si>
  <si>
    <t>28987.500291752043 148.89830989409788 3959.8721171539573</t>
  </si>
  <si>
    <t>28994.161769842234 148.89830989409788 3952.021491341076</t>
  </si>
  <si>
    <t>29003.789282159123 139.838334891454 3980.4453255271183</t>
  </si>
  <si>
    <t>28969.265808508713 139.82844459437078 3991.9876333245907</t>
  </si>
  <si>
    <t>28973.8620411696 139.83240071320407 3982.7744772054243</t>
  </si>
  <si>
    <t>28978.458273830485 139.83635683203735 3973.561321086258</t>
  </si>
  <si>
    <t>28983.259864386488 140.42695883083735 3964.5101738414387</t>
  </si>
  <si>
    <t>28989.538199220016 140.38064798062672 3956.7857321082006</t>
  </si>
  <si>
    <t>28995.667746933734 140.3354346281128 3949.2443480595384</t>
  </si>
  <si>
    <t>29001.46012861242 139.8482251885372 3950.518085728936</t>
  </si>
  <si>
    <t>29010.6732854117 139.8482251885372 3955.1143187291136</t>
  </si>
  <si>
    <t>29019.886442210976 139.8482251885372 3959.710551729291</t>
  </si>
  <si>
    <t>29029.099599010256 139.8482251885372 3964.3067847294687</t>
  </si>
  <si>
    <t>29038.312755809533 139.8482251885372 3968.903017729646</t>
  </si>
  <si>
    <t>29033.716523148647 139.84426906970393 3978.116173848812</t>
  </si>
  <si>
    <t>29029.12029048776 139.84031295087064 3987.3293299679785</t>
  </si>
  <si>
    <t>29024.524057826875 139.83635683203735 3996.542486087145</t>
  </si>
  <si>
    <t>29019.92782516599 139.83240071320407 4005.755642206311</t>
  </si>
  <si>
    <t>29015.331592505103 139.82844459437078 4014.9687983254776</t>
  </si>
  <si>
    <t>29006.118435705826 139.82844459437078 4010.3725653253005</t>
  </si>
  <si>
    <t>28996.905278906546 139.82844459437078 4005.776332325123</t>
  </si>
  <si>
    <t>28987.69212210727 139.82844459437078 4001.1800993249453</t>
  </si>
  <si>
    <t>28978.47896530799 139.82844459437078 3996.5838663247678</t>
  </si>
  <si>
    <t>Pt4   5   6   modified</t>
  </si>
  <si>
    <t>29019.99461896502 -143.8537426972418 3892.673838825799</t>
  </si>
  <si>
    <t>29056.36169194747 -143.41881619145138 3891.143465791633</t>
  </si>
  <si>
    <t>29048.78324119589 -143.59278679376754 3884.1760821768585</t>
  </si>
  <si>
    <t>29041.204790444313 -143.76675739608373 3877.208698562084</t>
  </si>
  <si>
    <t>29033.626339692735 -143.9407279983999 3870.24131494731</t>
  </si>
  <si>
    <t>29026.047888941157 -144.11469860071608 3863.2739313325355</t>
  </si>
  <si>
    <t>29018.46943818958 -144.28866920303224 3856.306547717761</t>
  </si>
  <si>
    <t>29011.501059748178 -144.28866920303224 3863.886080546202</t>
  </si>
  <si>
    <t>29004.532681306777 -144.28866920303224 3871.4656133746425</t>
  </si>
  <si>
    <t>28997.564302865376 -144.28866920303224 3879.0451462030837</t>
  </si>
  <si>
    <t>28990.595924423975 -144.28866920303224 3886.6246790315245</t>
  </si>
  <si>
    <t>28983.627545982574 -144.28866920303224 3894.204211859965</t>
  </si>
  <si>
    <t>28991.205996734152 -144.11469860071608 3901.1715954747397</t>
  </si>
  <si>
    <t>28998.78444748573 -143.9407279983999 3908.138979089514</t>
  </si>
  <si>
    <t>29006.36289823731 -143.76675739608373 3915.106362704288</t>
  </si>
  <si>
    <t>29013.941348988887 -143.59278679376754 3922.0737463190626</t>
  </si>
  <si>
    <t>29021.519799740465 -143.41881619145138 3929.041129933837</t>
  </si>
  <si>
    <t>29028.488178181866 -143.41881619145138 3921.4615971053963</t>
  </si>
  <si>
    <t>29035.456556623267 -143.41881619145138 3913.8820642769556</t>
  </si>
  <si>
    <t>29042.424935064668 -143.41881619145138 3906.3025314485144</t>
  </si>
  <si>
    <t>29049.39331350607 -143.41881619145138 3898.7229986200737</t>
  </si>
  <si>
    <t>BackSpar</t>
  </si>
  <si>
    <t>29019.99461896502 -137.13235404513532 3892.673838825799</t>
  </si>
  <si>
    <t>29025.61505378215 -134.10154169553292 3856.83642696378</t>
  </si>
  <si>
    <t>29017.331505869184 -135.31386663537387 3862.82981650676</t>
  </si>
  <si>
    <t>29009.047957956223 -136.52619157521482 3868.8232060497394</t>
  </si>
  <si>
    <t>29000.76441004326 -137.7385165150558 3874.816595592719</t>
  </si>
  <si>
    <t>28992.4808621303 -138.95084145489676 3880.8099851356983</t>
  </si>
  <si>
    <t>28984.197314217334 -140.16316639473771 3886.803374678678</t>
  </si>
  <si>
    <t>28990.232688203447 -140.16316639473771 3895.1449498805064</t>
  </si>
  <si>
    <t>28996.26806218956 -140.16316639473771 3903.486525082334</t>
  </si>
  <si>
    <t>29002.30343617567 -140.16316639473771 3911.8281002841622</t>
  </si>
  <si>
    <t>29008.338810161782 -140.16316639473771 3920.16967548599</t>
  </si>
  <si>
    <t>29014.374184147895 -140.16316639473771 3928.511250687818</t>
  </si>
  <si>
    <t>29022.65773206086 -138.95084145489676 3922.517861144838</t>
  </si>
  <si>
    <t>29030.94127997382 -137.7385165150558 3916.5244716018587</t>
  </si>
  <si>
    <t>29039.224827886785 -136.52619157521482 3910.5310820588793</t>
  </si>
  <si>
    <t>29047.508375799745 -135.31386663537387 3904.5376925159</t>
  </si>
  <si>
    <t>29055.79192371271 -134.10154169553292 3898.54430297292</t>
  </si>
  <si>
    <t>29049.756549726597 -134.10154169553292 3890.2027277710918</t>
  </si>
  <si>
    <t>29043.721175740484 -134.10154169553292 3881.861152569264</t>
  </si>
  <si>
    <t>29037.685801754375 -134.10154169553292 3873.519577367436</t>
  </si>
  <si>
    <t>29031.65042776826 -134.10154169553292 3865.178002165608</t>
  </si>
  <si>
    <t>28792.189204077065 -175.80686280526686 4053.7475068948766</t>
  </si>
  <si>
    <t>28805.658297440677 -174.14976721115326 4087.5252030589763</t>
  </si>
  <si>
    <t>28796.214548034455 -174.8126054487987 4083.4775051177794</t>
  </si>
  <si>
    <t>28786.77079862823 -175.47544368644415 4079.429807176583</t>
  </si>
  <si>
    <t>28777.327049222007 -176.13828192408957 4075.382109235386</t>
  </si>
  <si>
    <t>28767.88329981578 -176.801120161735 4071.3344112941895</t>
  </si>
  <si>
    <t>28758.43955040956 -177.46395839938046 4067.2867133529926</t>
  </si>
  <si>
    <t>28762.495662470337 -177.46395839938046 4057.8233328285496</t>
  </si>
  <si>
    <t>28766.551774531115 -177.46395839938046 4048.359952304106</t>
  </si>
  <si>
    <t>28770.607886591897 -177.46395839938046 4038.896571779663</t>
  </si>
  <si>
    <t>28774.663998652675 -177.46395839938046 4029.4331912552198</t>
  </si>
  <si>
    <t>28778.720110713453 -177.46395839938046 4019.9698107307768</t>
  </si>
  <si>
    <t>28788.163860119676 -176.801120161735 4024.0175086719737</t>
  </si>
  <si>
    <t>28797.6076095259 -176.13828192408957 4028.06520661317</t>
  </si>
  <si>
    <t>28807.051358932124 -175.47544368644415 4032.112904554367</t>
  </si>
  <si>
    <t>28816.49510833835 -174.8126054487987 4036.1606024955636</t>
  </si>
  <si>
    <t>28825.93885774457 -174.14976721115326 4040.2083004367605</t>
  </si>
  <si>
    <t>28821.882745683793 -174.14976721115326 4049.6716809612035</t>
  </si>
  <si>
    <t>28817.826633623015 -174.14976721115326 4059.135061485647</t>
  </si>
  <si>
    <t>28813.770521562234 -174.14976721115326 4068.59844201009</t>
  </si>
  <si>
    <t>28809.714409501456 -174.14976721115326 4078.0618225345333</t>
  </si>
  <si>
    <t>28792.189204077065 -166.3361867707179 4053.7475068948766</t>
  </si>
  <si>
    <t>28793.91935433211 -168.8166498422399 4012.907238830798</t>
  </si>
  <si>
    <t>28801.74259667797 -167.8244646136311 4021.3912435850434</t>
  </si>
  <si>
    <t>28809.56583902383 -166.8322793850223 4029.8752483392886</t>
  </si>
  <si>
    <t>28817.389081369693 -165.84009415641347 4038.3592530935343</t>
  </si>
  <si>
    <t>28825.212323715554 -164.84790892780467 4046.8432578477796</t>
  </si>
  <si>
    <t>28833.035566061415 -163.85572369919586 4055.327262602025</t>
  </si>
  <si>
    <t>28824.520263613536 -163.85572369919586 4063.1793650734107</t>
  </si>
  <si>
    <t>28816.004961165658 -163.85572369919586 4071.0314675447967</t>
  </si>
  <si>
    <t>28807.48965871778 -163.85572369919586 4078.883570016183</t>
  </si>
  <si>
    <t>28798.9743562699 -163.85572369919586 4086.735672487569</t>
  </si>
  <si>
    <t>28790.45905382202 -163.85572369919586 4094.587774958955</t>
  </si>
  <si>
    <t>28782.63581147616 -164.84790892780467 4086.1037702047097</t>
  </si>
  <si>
    <t>28774.8125691303 -165.84009415641347 4077.6197654504645</t>
  </si>
  <si>
    <t>28766.989326784438 -166.8322793850223 4069.1357606962188</t>
  </si>
  <si>
    <t>28759.166084438577 -167.8244646136311 4060.6517559419735</t>
  </si>
  <si>
    <t>28751.342842092716 -168.8166498422399 4052.1677511877283</t>
  </si>
  <si>
    <t>28759.858144540594 -168.8166498422399 4044.3156487163424</t>
  </si>
  <si>
    <t>28768.373446988473 -168.8166498422399 4036.4635462449564</t>
  </si>
  <si>
    <t>28776.88874943635 -168.8166498422399 4028.61144377357</t>
  </si>
  <si>
    <t>28785.40405188423 -168.8166498422399 4020.759341302184</t>
  </si>
  <si>
    <t>28792.189204077065 -156.36204443408798 4053.7475068948766</t>
  </si>
  <si>
    <t>28819.633159679248 -155.03552070947208 4077.625631522104</t>
  </si>
  <si>
    <t>28809.3760464085 -155.56613019931845 4078.3451431066223</t>
  </si>
  <si>
    <t>28799.118933137746 -156.0967396891648 4079.0646546911407</t>
  </si>
  <si>
    <t>28788.861819866994 -156.62734917901116 4079.7841662756587</t>
  </si>
  <si>
    <t>28778.60470659624 -157.1579586688575 4080.503677860177</t>
  </si>
  <si>
    <t>28768.347593325492 -157.68856815870387 4081.2231894446954</t>
  </si>
  <si>
    <t>28767.62712435537 -157.68856815870387 4070.9524280092865</t>
  </si>
  <si>
    <t>28766.90665538525 -157.68856815870387 4060.681666573877</t>
  </si>
  <si>
    <t>28766.186186415125 -157.68856815870387 4050.4109051384676</t>
  </si>
  <si>
    <t>28765.465717445004 -157.68856815870387 4040.140143703058</t>
  </si>
  <si>
    <t>28764.745248474883 -157.68856815870387 4029.869382267649</t>
  </si>
  <si>
    <t>28775.00236174563 -157.1579586688575 4029.1498706831308</t>
  </si>
  <si>
    <t>28785.259475016384 -156.62734917901116 4028.4303590986124</t>
  </si>
  <si>
    <t>28795.516588287137 -156.0967396891648 4027.7108475140944</t>
  </si>
  <si>
    <t>28805.77370155789 -155.56613019931845 4026.991335929576</t>
  </si>
  <si>
    <t>28816.03081482864 -155.03552070947208 4026.2718243450577</t>
  </si>
  <si>
    <t>28816.75128379876 -155.03552070947208 4036.5425857804667</t>
  </si>
  <si>
    <t>28817.47175276888 -155.03552070947208 4046.813347215876</t>
  </si>
  <si>
    <t>28818.192221739006 -155.03552070947208 4057.0841086512855</t>
  </si>
  <si>
    <t>28818.912690709127 -155.03552070947208 4067.354870086695</t>
  </si>
  <si>
    <t>28959.486966765293 -170.57479153810263 3928.8395127391377</t>
  </si>
  <si>
    <t>28923.16124065559 -172.03579102553965 3930.6840460406893</t>
  </si>
  <si>
    <t>28930.045757811477 -171.45139123056484 3923.0505988240025</t>
  </si>
  <si>
    <t>28936.930274967362 -170.86699143559002 3915.4171516073156</t>
  </si>
  <si>
    <t>28943.81479212325 -170.28259164061524 3907.7837043906284</t>
  </si>
  <si>
    <t>28950.699309279134 -169.69819184564042 3900.1502571739416</t>
  </si>
  <si>
    <t>28957.58382643502 -169.1137920506656 3892.5168099572547</t>
  </si>
  <si>
    <t>28965.229599723014 -169.1137920506656 3899.412443853321</t>
  </si>
  <si>
    <t>28972.87537301101 -169.1137920506656 3906.3080777493874</t>
  </si>
  <si>
    <t>28980.521146299005 -169.1137920506656 3913.2037116454535</t>
  </si>
  <si>
    <t>28988.166919587 -169.1137920506656 3920.09934554152</t>
  </si>
  <si>
    <t>28995.812692874995 -169.1137920506656 3926.994979437586</t>
  </si>
  <si>
    <t>28988.92817571911 -169.69819184564042 3934.628426654273</t>
  </si>
  <si>
    <t>28982.043658563223 -170.28259164061524 3942.26187387096</t>
  </si>
  <si>
    <t>28975.159141407337 -170.86699143559002 3949.895321087647</t>
  </si>
  <si>
    <t>28968.27462425145 -171.45139123056484 3957.528768304334</t>
  </si>
  <si>
    <t>28961.390107095565 -172.03579102553965 3965.1622155210207</t>
  </si>
  <si>
    <t>28953.744333807572 -172.03579102553965 3958.2665816249546</t>
  </si>
  <si>
    <t>28946.098560519575 -172.03579102553965 3951.370947728888</t>
  </si>
  <si>
    <t>28938.45278723158 -172.03579102553965 3944.475313832822</t>
  </si>
  <si>
    <t>28930.807013943584 -172.03579102553965 3937.5796799367554</t>
  </si>
  <si>
    <t>28959.486966765293 -160.36689524527205 3928.8395127391377</t>
  </si>
  <si>
    <t>28961.242388615574 -161.24338031710377 3887.934453387679</t>
  </si>
  <si>
    <t>28969.0724761535 -160.89278628837107 3896.4628003538537</t>
  </si>
  <si>
    <t>28976.902563691423 -160.5421922596384 3904.991147320029</t>
  </si>
  <si>
    <t>28984.732651229344 -160.1915982309057 3913.5194942862045</t>
  </si>
  <si>
    <t>28992.56273876727 -159.84100420217302 3922.04784125238</t>
  </si>
  <si>
    <t>29000.392826305193 -159.49041017344032 3930.5761882185548</t>
  </si>
  <si>
    <t>28991.86057002716 -159.49041017344032 3938.409864992963</t>
  </si>
  <si>
    <t>28983.32831374912 -159.49041017344032 3946.2435417673714</t>
  </si>
  <si>
    <t>28974.796057471085 -159.49041017344032 3954.07721854178</t>
  </si>
  <si>
    <t>28966.263801193047 -159.49041017344032 3961.9108953161885</t>
  </si>
  <si>
    <t>28957.731544915012 -159.49041017344032 3969.7445720905966</t>
  </si>
  <si>
    <t>28949.901457377087 -159.84100420217302 3961.2162251244217</t>
  </si>
  <si>
    <t>28942.071369839163 -160.1915982309057 3952.6878781582463</t>
  </si>
  <si>
    <t>28934.241282301242 -160.5421922596384 3944.159531192071</t>
  </si>
  <si>
    <t>28926.411194763317 -160.89278628837107 3935.6311842258956</t>
  </si>
  <si>
    <t>28918.581107225393 -161.24338031710377 3927.1028372597207</t>
  </si>
  <si>
    <t>28927.113363503428 -161.24338031710377 3919.2691604853126</t>
  </si>
  <si>
    <t>28935.645619781466 -161.24338031710377 3911.435483710904</t>
  </si>
  <si>
    <t>28944.1778760595 -161.24338031710377 3903.6018069364954</t>
  </si>
  <si>
    <t>28952.71013233754 -161.24338031710377 3895.768130162087</t>
  </si>
  <si>
    <t>29019.99461896502 -164.65546696490816 3892.673838825799</t>
  </si>
  <si>
    <t>29018.142034830227 -164.6050877912145 3929.028489064281</t>
  </si>
  <si>
    <t>29011.241620899822 -164.62523946069194 3921.3870561162485</t>
  </si>
  <si>
    <t>29004.341206969417 -164.64539113016943 3913.745623168216</t>
  </si>
  <si>
    <t>28997.440793039008 -164.6655427996469 3906.1041902201828</t>
  </si>
  <si>
    <t>28990.540379108603 -164.68569446912437 3898.46275727215</t>
  </si>
  <si>
    <t>28983.639965178198 -164.70584613860183 3890.8213243241175</t>
  </si>
  <si>
    <t>28991.28141276252 -164.70584613860183 3883.9208971767575</t>
  </si>
  <si>
    <t>28998.922860346844 -164.70584613860183 3877.0204700293975</t>
  </si>
  <si>
    <t>29006.56430793117 -164.70584613860183 3870.120042882037</t>
  </si>
  <si>
    <t>29014.205755515493 -164.70584613860183 3863.219615734677</t>
  </si>
  <si>
    <t>29021.847203099816 -164.70584613860183 3856.319188587317</t>
  </si>
  <si>
    <t>29028.74761703022 -164.68569446912437 3863.9606215353497</t>
  </si>
  <si>
    <t>29035.648030960627 -164.6655427996469 3871.6020544833823</t>
  </si>
  <si>
    <t>29042.548444891036 -164.64539113016943 3879.2434874314154</t>
  </si>
  <si>
    <t>29049.44885882144 -164.62523946069194 3886.884920379448</t>
  </si>
  <si>
    <t>29056.349272751846 -164.6050877912145 3894.5263533274806</t>
  </si>
  <si>
    <t>29048.707825167523 -164.6050877912145 3901.4267804748406</t>
  </si>
  <si>
    <t>29041.0663775832 -164.6050877912145 3908.3272076222006</t>
  </si>
  <si>
    <t>29033.424929998873 -164.6050877912145 3915.227634769561</t>
  </si>
  <si>
    <t>29025.78348241455 -164.6050877912145 3922.128061916921</t>
  </si>
  <si>
    <t>29019.99461896502 -157.24561522756036 3892.673838825799</t>
  </si>
  <si>
    <t>28994.680529331603 -160.38500434513085 3866.703927351175</t>
  </si>
  <si>
    <t>29004.8992454302 -159.12924869810266 3866.7963126922427</t>
  </si>
  <si>
    <t>29015.117961528795 -157.87349305107446 3866.8886980333104</t>
  </si>
  <si>
    <t>29025.336677627394 -156.61773740404627 3866.981083374378</t>
  </si>
  <si>
    <t>29035.55539372599 -155.36198175701807 3867.073468715446</t>
  </si>
  <si>
    <t>29045.774109824586 -154.10622610998988 3867.1658540565136</t>
  </si>
  <si>
    <t>29045.68102957936 -154.10622610998988 3877.4614333052955</t>
  </si>
  <si>
    <t>29045.587949334127 -154.10622610998988 3887.7570125540774</t>
  </si>
  <si>
    <t>29045.4948690889 -154.10622610998988 3898.0525918028593</t>
  </si>
  <si>
    <t>29045.40178884367 -154.10622610998988 3908.348171051641</t>
  </si>
  <si>
    <t>29045.30870859844 -154.10622610998988 3918.643750300423</t>
  </si>
  <si>
    <t>29035.089992499845 -155.36198175701807 3918.5513649593554</t>
  </si>
  <si>
    <t>29024.87127640125 -156.61773740404627 3918.4589796182877</t>
  </si>
  <si>
    <t>29014.65256030265 -157.87349305107446 3918.36659427722</t>
  </si>
  <si>
    <t>29004.433844204053 -159.12924869810266 3918.2742089361523</t>
  </si>
  <si>
    <t>28994.215128105458 -160.38500434513085 3918.1818235950846</t>
  </si>
  <si>
    <t>28994.308208350685 -160.38500434513085 3907.8862443463026</t>
  </si>
  <si>
    <t>28994.401288595916 -160.38500434513085 3897.5906650975207</t>
  </si>
  <si>
    <t>28994.494368841144 -160.38500434513085 3887.295085848739</t>
  </si>
  <si>
    <t>28994.587449086375 -160.38500434513085 3876.999506599957</t>
  </si>
  <si>
    <t>28901.7296045458 173.48303957903164 3972.367005129334</t>
  </si>
  <si>
    <t>28938.104941491234 172.1420005026125 3972.004132835862</t>
  </si>
  <si>
    <t>28930.767186666882 172.67841613318015 3964.80154799367</t>
  </si>
  <si>
    <t>28923.42943184253 173.2148317637478 3957.598963151477</t>
  </si>
  <si>
    <t>28916.09167701818 173.75124739431547 3950.3963783092845</t>
  </si>
  <si>
    <t>28908.753922193828 174.28766302488313 3943.193793467092</t>
  </si>
  <si>
    <t>28901.416167369476 174.8240786554508 3935.9912086248996</t>
  </si>
  <si>
    <t>28894.203787415656 174.8240786554508 3943.338942384481</t>
  </si>
  <si>
    <t>28886.991407461832 174.8240786554508 3950.686676144062</t>
  </si>
  <si>
    <t>28879.779027508008 174.8240786554508 3958.0344099036433</t>
  </si>
  <si>
    <t>28872.566647554184 174.8240786554508 3965.3821436632243</t>
  </si>
  <si>
    <t>28865.354267600364 174.8240786554508 3972.7298774228057</t>
  </si>
  <si>
    <t>28872.692022424715 174.28766302488313 3979.932462264998</t>
  </si>
  <si>
    <t>28880.029777249067 173.75124739431547 3987.1350471071905</t>
  </si>
  <si>
    <t>28887.36753207342 173.2148317637478 3994.337631949383</t>
  </si>
  <si>
    <t>28894.70528689777 172.67841613318015 4001.540216791576</t>
  </si>
  <si>
    <t>28902.04304172212 172.1420005026125 4008.742801633768</t>
  </si>
  <si>
    <t>28909.25542167594 172.1420005026125 4001.3950678741867</t>
  </si>
  <si>
    <t>28916.467801629766 172.1420005026125 3994.0473341146057</t>
  </si>
  <si>
    <t>28923.68018158359 172.1420005026125 3986.6996003550244</t>
  </si>
  <si>
    <t>28930.892561537414 172.1420005026125 3979.3518665954434</t>
  </si>
  <si>
    <t>28901.7296045458 163.6352589238926 3972.367005129334</t>
  </si>
  <si>
    <t>28860.84713817431 165.30106208328706 3970.657427486085</t>
  </si>
  <si>
    <t>28868.668165072584 164.63474081952927 3979.175258385437</t>
  </si>
  <si>
    <t>28876.489191970857 163.96841955577148 3987.6930892847886</t>
  </si>
  <si>
    <t>28884.31021886913 163.3020982920137 3996.2109201841404</t>
  </si>
  <si>
    <t>28892.131245767403 162.63577702825592 4004.728751083492</t>
  </si>
  <si>
    <t>28899.952272665676 161.96945576449812 4013.246581982844</t>
  </si>
  <si>
    <t>28908.484232315997 161.96945576449812 4005.4125821407915</t>
  </si>
  <si>
    <t>28917.01619196632 161.96945576449812 3997.5785822987395</t>
  </si>
  <si>
    <t>28925.548151616644 161.96945576449812 3989.744582456687</t>
  </si>
  <si>
    <t>28934.080111266965 161.96945576449812 3981.910582614635</t>
  </si>
  <si>
    <t>28942.612070917286 161.96945576449812 3974.0765827725827</t>
  </si>
  <si>
    <t>28934.791044019013 162.63577702825592 3965.558751873231</t>
  </si>
  <si>
    <t>28926.97001712074 163.3020982920137 3957.040920973879</t>
  </si>
  <si>
    <t>28919.148990222468 163.96841955577148 3948.5230900745273</t>
  </si>
  <si>
    <t>28911.327963324195 164.63474081952927 3940.0052591751755</t>
  </si>
  <si>
    <t>28903.50693642592 165.30106208328706 3931.4874282758237</t>
  </si>
  <si>
    <t>28894.9749767756 165.30106208328706 3939.321428117876</t>
  </si>
  <si>
    <t>28886.44301712528 165.30106208328706 3947.155427959928</t>
  </si>
  <si>
    <t>28877.911057474954 165.30106208328706 3954.9894278019806</t>
  </si>
  <si>
    <t>28869.379097824632 165.30106208328706 3962.8234276440326</t>
  </si>
  <si>
    <t>28901.7296045458 153.3855388025132 3972.367005129334</t>
  </si>
  <si>
    <t>28865.618982199103 154.37317355851872 3967.878939697205</t>
  </si>
  <si>
    <t>28873.73339928109 153.97811965611652 3961.5537690407127</t>
  </si>
  <si>
    <t>28881.847816363075 153.5830657537143 3955.2285983842203</t>
  </si>
  <si>
    <t>28889.962233445065 153.1880118513121 3948.903427727728</t>
  </si>
  <si>
    <t>28898.07665052705 152.79295794890987 3942.5782570712354</t>
  </si>
  <si>
    <t>28906.191067609037 152.39790404650768 3936.253086414743</t>
  </si>
  <si>
    <t>28912.52089946573 152.39790404650768 3944.373483244087</t>
  </si>
  <si>
    <t>28918.85073132242 152.39790404650768 3952.493880073431</t>
  </si>
  <si>
    <t>28925.18056317911 152.39790404650768 3960.6142769027747</t>
  </si>
  <si>
    <t>28931.510395035803 152.39790404650768 3968.7346737321186</t>
  </si>
  <si>
    <t>28937.840226892495 152.39790404650768 3976.8550705614625</t>
  </si>
  <si>
    <t>28929.72580981051 152.79295794890987 3983.180241217955</t>
  </si>
  <si>
    <t>28921.611392728522 153.1880118513121 3989.5054118744474</t>
  </si>
  <si>
    <t>28913.496975646533 153.5830657537143 3995.83058253094</t>
  </si>
  <si>
    <t>28905.382558564546 153.97811965611652 4002.1557531874323</t>
  </si>
  <si>
    <t>28897.26814148256 154.37317355851872 4008.4809238439248</t>
  </si>
  <si>
    <t>28890.938309625868 154.37317355851872 4000.360527014581</t>
  </si>
  <si>
    <t>28884.608477769176 154.37317355851872 3992.240130185237</t>
  </si>
  <si>
    <t>28878.278645912487 154.37317355851872 3984.119733355893</t>
  </si>
  <si>
    <t>28871.948814055795 154.37317355851872 3975.999336526549</t>
  </si>
  <si>
    <t>28901.7296045458 148.1028 3972.367005129334</t>
  </si>
  <si>
    <t>28903.539551280246 149.49851715432666 3931.4787466809285</t>
  </si>
  <si>
    <t>28911.355629055783 148.940230292596 3940.0088775701215</t>
  </si>
  <si>
    <t>28919.17170683132 148.38194343086533 3948.5390084593146</t>
  </si>
  <si>
    <t>28926.98778460686 147.82365656913467 3957.0691393485076</t>
  </si>
  <si>
    <t>28934.803862382396 147.265369707404 3965.5992702377007</t>
  </si>
  <si>
    <t>28942.619940157932 146.70708284567334 3974.1294011268938</t>
  </si>
  <si>
    <t>28934.079883688617 146.70708284567334 3981.954573617063</t>
  </si>
  <si>
    <t>28925.5398272193 146.70708284567334 3989.779746107232</t>
  </si>
  <si>
    <t>28916.999770749982 146.70708284567334 3997.604918597401</t>
  </si>
  <si>
    <t>28908.459714280667 146.70708284567334 4005.43009108757</t>
  </si>
  <si>
    <t>28899.91965781135 146.70708284567334 4013.2552635777392</t>
  </si>
  <si>
    <t>28892.103580035815 147.265369707404 4004.725132688546</t>
  </si>
  <si>
    <t>28884.28750226028 147.82365656913467 3996.195001799353</t>
  </si>
  <si>
    <t>28876.47142448474 148.38194343086533 3987.66487091016</t>
  </si>
  <si>
    <t>28868.6553467092 148.940230292596 3979.134740020967</t>
  </si>
  <si>
    <t>28860.839268933665 149.49851715432666 3970.604609131774</t>
  </si>
  <si>
    <t>28869.37932540298 149.49851715432666 3962.7794366416047</t>
  </si>
  <si>
    <t>28877.919381872296 149.49851715432666 3954.954264151436</t>
  </si>
  <si>
    <t>28886.459438341615 149.49851715432666 3947.1290916612666</t>
  </si>
  <si>
    <t>28894.99949481093 149.49851715432666 3939.3039191710977</t>
  </si>
  <si>
    <t>28795.64435884842 161.6995428857361 4127.418985620726</t>
  </si>
  <si>
    <t>28754.76272460142 163.45883759246763 4125.784826531469</t>
  </si>
  <si>
    <t>28762.59710249724 162.75511970977502 4134.287366924027</t>
  </si>
  <si>
    <t>28770.431480393057 162.0514018270824 4142.789907316585</t>
  </si>
  <si>
    <t>28778.265858288873 161.3476839443898 4151.292447709145</t>
  </si>
  <si>
    <t>28786.10023618469 160.64396606169717 4159.794988101703</t>
  </si>
  <si>
    <t>28795.659470842544 160.1324181147129 4167.35315137709</t>
  </si>
  <si>
    <t>28802.45288988349 159.94024817900456 4160.448651737406</t>
  </si>
  <si>
    <t>28810.971165686475 159.94024817900456 4152.59977498055</t>
  </si>
  <si>
    <t>28819.48944148946 159.94024817900456 4144.750898223694</t>
  </si>
  <si>
    <t>28828.007717292443 159.94024817900456 4136.902021466838</t>
  </si>
  <si>
    <t>28836.525993095423 159.94024817900456 4129.053144709983</t>
  </si>
  <si>
    <t>28828.691615199605 160.64396606169717 4120.550604317425</t>
  </si>
  <si>
    <t>28820.857237303786 161.3476839443898 4112.048063924866</t>
  </si>
  <si>
    <t>28813.02285940797 162.0514018270824 4103.545523532307</t>
  </si>
  <si>
    <t>28805.188481512152 162.75511970977502 4095.042983139749</t>
  </si>
  <si>
    <t>28797.354103616333 163.45883759246763 4086.540442747191</t>
  </si>
  <si>
    <t>28788.835827813353 163.45883759246763 4094.389319504046</t>
  </si>
  <si>
    <t>28780.31755201037 163.45883759246763 4102.2381962609015</t>
  </si>
  <si>
    <t>28771.799276207385 163.45883759246763 4110.087073017758</t>
  </si>
  <si>
    <t>28763.2810004044 163.45883759246763 4117.935949774614</t>
  </si>
  <si>
    <t>Pt6   modified</t>
  </si>
  <si>
    <t>28795.644358848425 171.67125830165128 4127.418985620729</t>
  </si>
  <si>
    <t>28830.984754188918 170.2621574915896 4118.8070118582855</t>
  </si>
  <si>
    <t>28822.204889237626 170.82579781561427 4113.458750736925</t>
  </si>
  <si>
    <t>28813.425024286338 171.38943813963894 4108.110489615566</t>
  </si>
  <si>
    <t>28804.645159335047 171.95307846366362 4102.762228494205</t>
  </si>
  <si>
    <t>28795.86529438376 172.5167187876883 4097.413967372846</t>
  </si>
  <si>
    <t>28787.085429432467 173.08035911171297 4092.0657062514856</t>
  </si>
  <si>
    <t>28781.72913624756 173.08035911171297 4100.858756877823</t>
  </si>
  <si>
    <t>28776.372843062654 173.08035911171297 4109.65180750416</t>
  </si>
  <si>
    <t>28771.016549877746 173.08035911171297 4118.444858130497</t>
  </si>
  <si>
    <t>28765.66025669284 173.08035911171297 4127.237908756834</t>
  </si>
  <si>
    <t>28760.652879941503 172.4559841425231 4136.079885749315</t>
  </si>
  <si>
    <t>28769.083828459225 172.5167187876883 4141.379220504532</t>
  </si>
  <si>
    <t>28777.863693410512 171.95307846366362 4146.727481625891</t>
  </si>
  <si>
    <t>28786.643558361804 171.38943813963894 4152.075742747252</t>
  </si>
  <si>
    <t>28795.423423313092 170.82579781561427 4157.424003868611</t>
  </si>
  <si>
    <t>28804.203288264383 170.2621574915896 4162.7722649899715</t>
  </si>
  <si>
    <t>28809.55958144929 170.2621574915896 4153.979214363634</t>
  </si>
  <si>
    <t>28814.915874634196 170.2621574915896 4145.186163737297</t>
  </si>
  <si>
    <t>28820.272167819105 170.2621574915896 4136.39311311096</t>
  </si>
  <si>
    <t>28825.62846100401 170.2621574915896 4127.600062484623</t>
  </si>
  <si>
    <t>28783.674753707994 -181.20330171636624 3966.8585985438785</t>
  </si>
  <si>
    <t>28748.63114755539 -183.19552189965285 3975.779136489342</t>
  </si>
  <si>
    <t>28753.65726926977 -181.1454338980384 3966.748984144137</t>
  </si>
  <si>
    <t>28758.986657144298 -181.1840124435903 3957.939684933718</t>
  </si>
  <si>
    <t>28764.316045018822 -181.2225909891422 3949.1303857232997</t>
  </si>
  <si>
    <t>28769.64543289335 -181.2611695346941 3940.321086512881</t>
  </si>
  <si>
    <t>28774.974820767875 -181.29974808024602 3931.5117873024624</t>
  </si>
  <si>
    <t>28783.784181818446 -181.29974808024602 3936.8412125886102</t>
  </si>
  <si>
    <t>28792.59354286902 -181.29974808024602 3942.170637874758</t>
  </si>
  <si>
    <t>28801.402903919596 -181.29974808024602 3947.500063160906</t>
  </si>
  <si>
    <t>28810.21226497017 -181.29974808024602 3952.829488447054</t>
  </si>
  <si>
    <t>28819.02162602074 -181.29974808024602 3958.1589137332016</t>
  </si>
  <si>
    <t>28813.692238146217 -181.2611695346941 3966.96821294362</t>
  </si>
  <si>
    <t>28808.36285027169 -181.2225909891422 3975.777512154039</t>
  </si>
  <si>
    <t>28803.033462397165 -181.1840124435903 3984.5868113644574</t>
  </si>
  <si>
    <t>28797.704074522637 -181.1454338980384 3993.3961105748763</t>
  </si>
  <si>
    <t>28792.374686648112 -181.10685535248646 4002.2054097852947</t>
  </si>
  <si>
    <t>28783.56532559754 -181.10685535248646 3996.875984499147</t>
  </si>
  <si>
    <t>28774.755964546966 -181.10685535248646 3991.546559212999</t>
  </si>
  <si>
    <t>28765.94660349639 -181.10685535248646 3986.217133926851</t>
  </si>
  <si>
    <t>28757.137242445817 -181.10685535248646 3980.8877086407033</t>
  </si>
  <si>
    <t>28783.674753707994 -172.00475548498272 3966.8585985438785</t>
  </si>
  <si>
    <t>28785.50718060567 -174.55288536313768 3926.026958137342</t>
  </si>
  <si>
    <t>28793.30838602786 -173.53363341187568 3934.528029153435</t>
  </si>
  <si>
    <t>28801.109591450047 -172.51438146061372 3943.029100169528</t>
  </si>
  <si>
    <t>28808.91079687224 -171.49512950935173 3951.5301711856214</t>
  </si>
  <si>
    <t>28816.712002294425 -170.47587755808976 3960.0312422017146</t>
  </si>
  <si>
    <t>28824.513207716616 -169.45662560682777 3968.5323132178078</t>
  </si>
  <si>
    <t>28815.979031535357 -169.45662560682777 3976.363898364329</t>
  </si>
  <si>
    <t>28807.444855354097 -169.45662560682777 3984.195483510851</t>
  </si>
  <si>
    <t>28798.910679172837 -169.45662560682777 3992.027068657372</t>
  </si>
  <si>
    <t>28790.376502991578 -169.45662560682777 3999.858653803894</t>
  </si>
  <si>
    <t>28781.842326810318 -169.45662560682777 4007.6902389504153</t>
  </si>
  <si>
    <t>28774.041121388127 -170.47587755808976 3999.189167934322</t>
  </si>
  <si>
    <t>28766.23991596594 -171.49512950935173 3990.688096918229</t>
  </si>
  <si>
    <t>28758.43871054375 -172.51438146061372 3982.1870259021357</t>
  </si>
  <si>
    <t>28750.637505121562 -173.53363341187568 3973.6859548860425</t>
  </si>
  <si>
    <t>28742.83629969937 -174.55288536313768 3965.1848838699493</t>
  </si>
  <si>
    <t>28751.37047588063 -174.55288536313768 3957.353298723428</t>
  </si>
  <si>
    <t>28759.90465206189 -174.55288536313768 3949.521713576906</t>
  </si>
  <si>
    <t>28768.43882824315 -174.55288536313768 3941.690128430385</t>
  </si>
  <si>
    <t>28776.97300442441 -174.55288536313768 3933.858543283863</t>
  </si>
  <si>
    <t>28783.674753707994 -162.37291703929117 3966.8585985438785</t>
  </si>
  <si>
    <t>28774.737779305866 -160.29413935951604 4002.085071144662</t>
  </si>
  <si>
    <t>28769.474069364904 -161.1256504314261 3993.2754421516383</t>
  </si>
  <si>
    <t>28764.210359423945 -161.95716150333615 3984.4658131586143</t>
  </si>
  <si>
    <t>28758.946649482983 -162.78867257524618 3975.6561841655907</t>
  </si>
  <si>
    <t>28753.682939542025 -163.62018364715624 3966.8465551725667</t>
  </si>
  <si>
    <t>28749.726015082015 -165.50482472882993 3958.410495603497</t>
  </si>
  <si>
    <t>28757.257729302873 -164.4516947190663 3952.7559661322534</t>
  </si>
  <si>
    <t>28766.096229004685 -164.4516947190663 3947.4750060849638</t>
  </si>
  <si>
    <t>28774.9347287065 -164.4516947190663 3942.1940460376745</t>
  </si>
  <si>
    <t>28783.77322840831 -164.4516947190663 3936.913085990385</t>
  </si>
  <si>
    <t>28792.61172811012 -164.4516947190663 3931.632125943095</t>
  </si>
  <si>
    <t>28797.875438051084 -163.62018364715624 3940.4417549361187</t>
  </si>
  <si>
    <t>28803.139147992042 -162.78867257524618 3949.251383929143</t>
  </si>
  <si>
    <t>28808.402857933004 -161.95716150333615 3958.0610129221664</t>
  </si>
  <si>
    <t>28813.666567873963 -161.1256504314261 3966.8706419151904</t>
  </si>
  <si>
    <t>28818.930277814925 -160.29413935951604 3975.680270908214</t>
  </si>
  <si>
    <t>28810.091778113114 -160.29413935951604 3980.9612309555037</t>
  </si>
  <si>
    <t>28801.253278411303 -160.29413935951604 3986.2421910027933</t>
  </si>
  <si>
    <t>28792.414778709488 -160.29413935951604 3991.5231510500826</t>
  </si>
  <si>
    <t>28783.576279007677 -160.29413935951604 3996.8041110973722</t>
  </si>
  <si>
    <t>28971.65902839646 -155.1475202334713 3840.0991778457883</t>
  </si>
  <si>
    <t>28930.7466754046 -155.56667494081412 3838.3449559383043</t>
  </si>
  <si>
    <t>28938.57744433584 -155.399013057877 3846.878234114864</t>
  </si>
  <si>
    <t>28946.408213267077 -155.23135117493987 3855.4115122914236</t>
  </si>
  <si>
    <t>28954.23898219832 -155.06368929200275 3863.9447904679837</t>
  </si>
  <si>
    <t>28962.06975112956 -154.89602740906562 3872.4780686445433</t>
  </si>
  <si>
    <t>28969.900520060797 -154.7283655261285 3881.011346821103</t>
  </si>
  <si>
    <t>28978.434692326304 -154.7283655261285 3873.1797574075367</t>
  </si>
  <si>
    <t>28986.968864591807 -154.7283655261285 3865.3481679939705</t>
  </si>
  <si>
    <t>28995.503036857313 -154.7283655261285 3857.5165785804047</t>
  </si>
  <si>
    <t>29004.037209122816 -154.7283655261285 3849.6849891668385</t>
  </si>
  <si>
    <t>29012.571381388323 -154.7283655261285 3841.8533997532722</t>
  </si>
  <si>
    <t>29004.740612457084 -154.89602740906562 3833.3201215767126</t>
  </si>
  <si>
    <t>28996.909843525846 -155.06368929200275 3824.786843400153</t>
  </si>
  <si>
    <t>28989.079074594603 -155.23135117493987 3816.253565223593</t>
  </si>
  <si>
    <t>28981.248305663365 -155.399013057877 3807.7202870470333</t>
  </si>
  <si>
    <t>28973.417536732126 -155.56667494081412 3799.1870088704736</t>
  </si>
  <si>
    <t>28964.88336446662 -155.56667494081412 3807.01859828404</t>
  </si>
  <si>
    <t>28956.349192201116 -155.56667494081412 3814.850187697606</t>
  </si>
  <si>
    <t>28947.81501993561 -155.56667494081412 3822.681777111172</t>
  </si>
  <si>
    <t>28939.280847670107 -155.56667494081412 3830.513366524738</t>
  </si>
  <si>
    <t>28971.65902839646 -144.6856467223741 3840.0991778457883</t>
  </si>
  <si>
    <t>29008.02352995317 -143.98097229150414 3838.6086542872727</t>
  </si>
  <si>
    <t>29000.45525141878 -144.26284206385213 3831.6337474450725</t>
  </si>
  <si>
    <t>28992.886972884397 -144.5447118362001 3824.6588406028723</t>
  </si>
  <si>
    <t>28985.318694350008 -144.82658160854808 3817.6839337606725</t>
  </si>
  <si>
    <t>28977.750415815623 -145.10845138089604 3810.7090269184723</t>
  </si>
  <si>
    <t>28969.887746140885 -142.2102691136357 3804.9412303492</t>
  </si>
  <si>
    <t>28963.20461519294 -145.39032115324403 3811.3052363418783</t>
  </si>
  <si>
    <t>28956.22709310464 -145.39032115324403 3818.876352607485</t>
  </si>
  <si>
    <t>28949.249571016346 -145.39032115324403 3826.447468873091</t>
  </si>
  <si>
    <t>28942.272048928047 -145.39032115324403 3834.0185851386977</t>
  </si>
  <si>
    <t>28935.294526839753 -145.39032115324403 3841.589701404304</t>
  </si>
  <si>
    <t>28942.86280537414 -145.10845138089604 3848.564608246504</t>
  </si>
  <si>
    <t>28950.431083908526 -144.82658160854808 3855.5395150887043</t>
  </si>
  <si>
    <t>28957.999362442915 -144.5447118362001 3862.514421930904</t>
  </si>
  <si>
    <t>28965.5676409773 -144.26284206385213 3869.4893287731043</t>
  </si>
  <si>
    <t>28973.13591951169 -143.98097229150414 3876.4642356153045</t>
  </si>
  <si>
    <t>28980.113441599984 -143.98097229150414 3868.8931193496983</t>
  </si>
  <si>
    <t>28987.090963688282 -143.98097229150414 3861.3220030840916</t>
  </si>
  <si>
    <t>28994.068485776577 -143.98097229150414 3853.7508868184855</t>
  </si>
  <si>
    <t>29001.046007864876 -143.98097229150414 3846.179770552879</t>
  </si>
  <si>
    <t>28971.65902839646 -138.93413354426997 3840.0991778457883</t>
  </si>
  <si>
    <t>28970.125270587207 -135.16407088075653 3803.925576774071</t>
  </si>
  <si>
    <t>28963.194401225825 -136.6720959461619 3811.3885873125573</t>
  </si>
  <si>
    <t>28956.263531864442 -138.18012101156728 3818.8515978510436</t>
  </si>
  <si>
    <t>28949.332662503057 -139.68814607697266 3826.3146083895294</t>
  </si>
  <si>
    <t>28942.401793141675 -141.19617114237803 3833.7776189280157</t>
  </si>
  <si>
    <t>28935.470923780293 -142.7041962077834 3841.240629466502</t>
  </si>
  <si>
    <t>28943.015296265377 -142.7041962077834 3848.2470593567027</t>
  </si>
  <si>
    <t>28950.559668750462 -142.7041962077834 3855.2534892469034</t>
  </si>
  <si>
    <t>28958.104041235547 -142.7041962077834 3862.259919137104</t>
  </si>
  <si>
    <t>28965.64841372063 -142.7041962077834 3869.266349027305</t>
  </si>
  <si>
    <t>28973.192786205716 -142.7041962077834 3876.2727789175055</t>
  </si>
  <si>
    <t>28980.1236555671 -141.19617114237803 3868.8097683790193</t>
  </si>
  <si>
    <t>28987.05452492848 -139.68814607697266 3861.346757840533</t>
  </si>
  <si>
    <t>28993.985394289866 -138.18012101156728 3853.883747302047</t>
  </si>
  <si>
    <t>29000.91626365125 -136.6720959461619 3846.420736763561</t>
  </si>
  <si>
    <t>29007.84713301263 -135.16407088075653 3838.9577262250746</t>
  </si>
  <si>
    <t>29000.302760527546 -135.16407088075653 3831.951296334874</t>
  </si>
  <si>
    <t>28992.75838804246 -135.16407088075653 3824.944866444673</t>
  </si>
  <si>
    <t>28985.214015557376 -135.16407088075653 3817.9384365544724</t>
  </si>
  <si>
    <t>28977.66964307229 -135.16407088075653 3810.9320066642717</t>
  </si>
  <si>
    <t>28971.65902839646 -164.78851137254156 3840.0991778457883</t>
  </si>
  <si>
    <t>28973.91229079731 -164.80527223176216 3803.7671296290073</t>
  </si>
  <si>
    <t>28980.728048056037 -164.79856788807393 3811.48419021202</t>
  </si>
  <si>
    <t>28987.543805314763 -164.79186354438568 3819.201250795033</t>
  </si>
  <si>
    <t>28994.359562573492 -164.78515920069745 3826.9183113780464</t>
  </si>
  <si>
    <t>29001.17531983222 -164.7784548570092 3834.6353719610593</t>
  </si>
  <si>
    <t>29007.991077090945 -164.77175051332097 3842.352432544072</t>
  </si>
  <si>
    <t>29000.274014871877 -164.77175051332097 3849.1681912477716</t>
  </si>
  <si>
    <t>28992.556952652812 -164.77175051332097 3855.983949951471</t>
  </si>
  <si>
    <t>28984.839890433745 -164.77175051332097 3862.7997086551704</t>
  </si>
  <si>
    <t>28977.12282821468 -164.77175051332097 3869.61546735887</t>
  </si>
  <si>
    <t>28969.405765995612 -164.77175051332097 3876.4312260625693</t>
  </si>
  <si>
    <t>28962.590008736886 -164.7784548570092 3868.7141654795564</t>
  </si>
  <si>
    <t>28955.77425147816 -164.78515920069745 3860.9971048965435</t>
  </si>
  <si>
    <t>28948.95849421943 -164.79186354438568 3853.28004431353</t>
  </si>
  <si>
    <t>28942.142736960704 -164.79856788807393 3845.5629837305173</t>
  </si>
  <si>
    <t>28935.32697970198 -164.80527223176216 3837.8459231475044</t>
  </si>
  <si>
    <t>28943.044041921046 -164.80527223176216 3831.030164443805</t>
  </si>
  <si>
    <t>28950.76110414011 -164.80527223176216 3824.2144057401056</t>
  </si>
  <si>
    <t>28958.47816635918 -164.80527223176216 3817.398647036406</t>
  </si>
  <si>
    <t>28966.195228578243 -164.80527223176216 3810.5828883327067</t>
  </si>
  <si>
    <t>28971.65902839646 -158.89017342698364 3840.0991778457883</t>
  </si>
  <si>
    <t>28946.32938850112 -161.8768297689274 3814.1264146761237</t>
  </si>
  <si>
    <t>28956.555416490995 -160.6821672321499 3814.2199506237216</t>
  </si>
  <si>
    <t>28966.781444480872 -159.4875046953724 3814.31348657132</t>
  </si>
  <si>
    <t>28977.00747247075 -158.29284215859488 3814.407022518918</t>
  </si>
  <si>
    <t>28987.233500460625 -157.09817962181737 3814.5005584665164</t>
  </si>
  <si>
    <t>28997.4595284505 -155.90351708503988 3814.5940944141144</t>
  </si>
  <si>
    <t>28997.365356418763 -155.90351708503988 3824.889663734382</t>
  </si>
  <si>
    <t>28997.271184387024 -155.90351708503988 3835.18523305465</t>
  </si>
  <si>
    <t>28997.17701235528 -155.90351708503988 3845.4808023749174</t>
  </si>
  <si>
    <t>28997.082840323543 -155.90351708503988 3855.7763716951854</t>
  </si>
  <si>
    <t>28996.988668291804 -155.90351708503988 3866.071941015453</t>
  </si>
  <si>
    <t>28986.762640301928 -157.09817962181737 3865.978405067855</t>
  </si>
  <si>
    <t>28976.53661231205 -158.29284215859488 3865.8848691202566</t>
  </si>
  <si>
    <t>28966.310584322175 -159.4875046953724 3865.7913331726586</t>
  </si>
  <si>
    <t>28956.0845563323 -160.6821672321499 3865.69779722506</t>
  </si>
  <si>
    <t>28947.82038428446 -163.50489972612507 3863.2512532983055</t>
  </si>
  <si>
    <t>28945.95270037416 -161.8768297689274 3855.3086919571947</t>
  </si>
  <si>
    <t>28946.0468724059 -161.8768297689274 3845.0131226369267</t>
  </si>
  <si>
    <t>28946.14104443764 -161.8768297689274 3834.717553316659</t>
  </si>
  <si>
    <t>28946.23521646938 -161.8768297689274 3824.421983996391</t>
  </si>
  <si>
    <t>28783.61978265185 171.87161107047447 3966.8217174795586</t>
  </si>
  <si>
    <t>28742.779683989444 174.3979733404502 3965.1551499215293</t>
  </si>
  <si>
    <t>28750.583188527515 173.3874284324599 3973.655150210542</t>
  </si>
  <si>
    <t>28758.386693065586 172.3768835244696 3982.1551504995555</t>
  </si>
  <si>
    <t>28766.19019760366 171.36633861647934 3990.6551507885683</t>
  </si>
  <si>
    <t>28773.99370214173 170.35579370848905 3999.1551510775816</t>
  </si>
  <si>
    <t>28781.797206679803 169.34524880049875 4007.6551513665945</t>
  </si>
  <si>
    <t>28790.329741606693 169.34524880049875 3999.8217781007934</t>
  </si>
  <si>
    <t>28798.862276533586 169.34524880049875 3991.988404834992</t>
  </si>
  <si>
    <t>28807.394811460475 169.34524880049875 3984.1550315691907</t>
  </si>
  <si>
    <t>28815.92734638737 169.34524880049875 3976.321658303389</t>
  </si>
  <si>
    <t>28824.45988131426 169.34524880049875 3968.488285037588</t>
  </si>
  <si>
    <t>28816.656376776187 170.35579370848905 3959.988284748575</t>
  </si>
  <si>
    <t>28808.852872238116 171.36633861647934 3951.488284459562</t>
  </si>
  <si>
    <t>28801.04936770004 172.3768835244696 3942.988284170549</t>
  </si>
  <si>
    <t>28793.24586316197 173.3874284324599 3934.4882838815356</t>
  </si>
  <si>
    <t>28785.4423586239 174.3979733404502 3925.9882835925227</t>
  </si>
  <si>
    <t>28776.90982369701 174.3979733404502 3933.821656858324</t>
  </si>
  <si>
    <t>28768.377288770116 174.3979733404502 3941.6550301241255</t>
  </si>
  <si>
    <t>28759.844753843226 174.3979733404502 3949.4884033899266</t>
  </si>
  <si>
    <t>28751.312218916333 174.3979733404502 3957.321776655728</t>
  </si>
  <si>
    <t>28783.61978265185 181.19067241401083 3966.8217174795586</t>
  </si>
  <si>
    <t>28748.42798512435 183.342950371754 3973.0435598965328</t>
  </si>
  <si>
    <t>28756.052136042123 182.4884659773326 3978.6287208363815</t>
  </si>
  <si>
    <t>28764.358553693848 181.62327026845142 3984.6505542930954</t>
  </si>
  <si>
    <t>28772.664971345577 180.75807455957025 3990.67238774981</t>
  </si>
  <si>
    <t>28780.971388997303 179.89287885068907 3996.6942212065237</t>
  </si>
  <si>
    <t>28789.277806649032 179.02768314180793 4002.7160546632376</t>
  </si>
  <si>
    <t>28795.321014701887 179.02768314180793 3994.38015324648</t>
  </si>
  <si>
    <t>28801.364222754743 179.02768314180793 3986.0442518297223</t>
  </si>
  <si>
    <t>28807.407430807598 179.02768314180793 3977.708350412965</t>
  </si>
  <si>
    <t>28813.450638860453 179.02768314180793 3969.3724489962074</t>
  </si>
  <si>
    <t>28819.49384691331 179.02768314180793 3961.0365475794497</t>
  </si>
  <si>
    <t>28811.18742926158 179.89287885068907 3955.0147141227358</t>
  </si>
  <si>
    <t>28802.881011609854 180.75807455957025 3948.992880666022</t>
  </si>
  <si>
    <t>28794.574593958125 181.62327026845142 3942.9710472093075</t>
  </si>
  <si>
    <t>28786.2681763064 182.4884659773326 3936.9492137525936</t>
  </si>
  <si>
    <t>28777.96175865467 183.35366168621374 3930.9273802958796</t>
  </si>
  <si>
    <t>28771.918550601815 183.35366168621374 3939.2632817126373</t>
  </si>
  <si>
    <t>28765.87534254896 183.35366168621374 3947.599183129395</t>
  </si>
  <si>
    <t>28759.832134496104 183.35366168621374 3955.935084546152</t>
  </si>
  <si>
    <t>28753.78892644325 183.35366168621374 3964.27098596291</t>
  </si>
  <si>
    <t>28930.52453431559 168.18367772993258 4177.203089899946</t>
  </si>
  <si>
    <t>28925.211637181397 168.275031285479 4141.191147733918</t>
  </si>
  <si>
    <t>28919.071821482987 168.23848986326044 4149.456070232891</t>
  </si>
  <si>
    <t>28912.932005784576 168.20194844104188 4157.720992731864</t>
  </si>
  <si>
    <t>28906.79219008617 168.1654070188233 4165.985915230836</t>
  </si>
  <si>
    <t>28900.65237438776 168.12886559660473 4174.250837729809</t>
  </si>
  <si>
    <t>28894.51255868935 168.09232417438616 4182.515760228782</t>
  </si>
  <si>
    <t>28902.777533241435 168.09232417438616 4188.6556145962195</t>
  </si>
  <si>
    <t>28911.04250779352 168.09232417438616 4194.795468963658</t>
  </si>
  <si>
    <t>28919.30748234561 168.09232417438616 4200.935323331097</t>
  </si>
  <si>
    <t>28927.5724568977 168.09232417438616 4207.075177698535</t>
  </si>
  <si>
    <t>28935.837431449785 168.09232417438616 4213.215032065973</t>
  </si>
  <si>
    <t>28941.977247148196 168.12886559660473 4204.950109567</t>
  </si>
  <si>
    <t>28948.117062846606 168.1654070188233 4196.6851870680275</t>
  </si>
  <si>
    <t>28954.256878545013 168.20194844104188 4188.420264569055</t>
  </si>
  <si>
    <t>28960.396694243424 168.23848986326044 4180.155342070082</t>
  </si>
  <si>
    <t>28966.536509941834 168.275031285479 4171.890419571109</t>
  </si>
  <si>
    <t>28958.271535389747 168.275031285479 4165.750565203672</t>
  </si>
  <si>
    <t>28950.00656083766 168.275031285479 4159.610710836233</t>
  </si>
  <si>
    <t>28941.74158628557 168.275031285479 4153.470856468794</t>
  </si>
  <si>
    <t>28933.476611733484 168.275031285479 4147.331002101356</t>
  </si>
  <si>
    <t>28930.52453431559 157.6093931256669 4177.203089899946</t>
  </si>
  <si>
    <t>28889.60708284982 157.7024612198725 4175.52168680249</t>
  </si>
  <si>
    <t>28897.454250257568 157.66523398219027 4184.041455978211</t>
  </si>
  <si>
    <t>28905.301417665316 157.62800674450804 4192.561225153932</t>
  </si>
  <si>
    <t>28913.14858507306 157.59077950682578 4201.080994329653</t>
  </si>
  <si>
    <t>28920.99575248081 157.55355226914355 4209.600763505374</t>
  </si>
  <si>
    <t>28928.842919888557 157.51632503146132 4218.120532681095</t>
  </si>
  <si>
    <t>28937.36273306712 157.51632503146132 4210.273324744357</t>
  </si>
  <si>
    <t>28945.88254624568 157.51632503146132 4202.426116807617</t>
  </si>
  <si>
    <t>28954.40235942424 157.51632503146132 4194.578908870879</t>
  </si>
  <si>
    <t>28962.9221726028 157.51632503146132 4186.73170093414</t>
  </si>
  <si>
    <t>28971.441985781363 157.51632503146132 4178.884492997401</t>
  </si>
  <si>
    <t>28963.594818373615 157.55355226914355 4170.36472382168</t>
  </si>
  <si>
    <t>28955.747650965866 157.59077950682578 4161.844954645959</t>
  </si>
  <si>
    <t>28947.90048355812 157.62800674450804 4153.3251854702385</t>
  </si>
  <si>
    <t>28940.053316150374 157.66523398219027 4144.805416294517</t>
  </si>
  <si>
    <t>28932.206148742625 157.7024612198725 4136.285647118796</t>
  </si>
  <si>
    <t>28923.686335564063 157.7024612198725 4144.1328550555345</t>
  </si>
  <si>
    <t>28915.1665223855 157.7024612198725 4151.980062992274</t>
  </si>
  <si>
    <t>28906.646709206943 157.7024612198725 4159.827270929012</t>
  </si>
  <si>
    <t>28898.12689602838 157.7024612198725 4167.674478865752</t>
  </si>
  <si>
    <t>28930.52453431559 146.75263094806832 4177.203089899946</t>
  </si>
  <si>
    <t>28966.155938954184 146.52777432880475 4169.756772489202</t>
  </si>
  <si>
    <t>28957.540666467048 146.6177169765102 4164.119698222127</t>
  </si>
  <si>
    <t>28948.925393979913 146.7076596242156 4158.482623955051</t>
  </si>
  <si>
    <t>28940.310121492777 146.79760227192102 4152.845549687976</t>
  </si>
  <si>
    <t>28931.694849005642 146.88754491962644 4147.2084754209</t>
  </si>
  <si>
    <t>28923.079576518507 146.97748756733188 4141.571401153825</t>
  </si>
  <si>
    <t>28917.442287150207 146.97748756733188 4150.187002385198</t>
  </si>
  <si>
    <t>28911.804997781903 146.97748756733188 4158.80260361657</t>
  </si>
  <si>
    <t>28906.167708413603 146.97748756733188 4167.418204847943</t>
  </si>
  <si>
    <t>28900.5304190453 146.97748756733188 4176.033806079316</t>
  </si>
  <si>
    <t>28894.893129677 146.97748756733188 4184.649407310689</t>
  </si>
  <si>
    <t>28903.508402164134 146.88754491962644 4190.286481577764</t>
  </si>
  <si>
    <t>28912.12367465127 146.79760227192102 4195.92355584484</t>
  </si>
  <si>
    <t>28920.738947138405 146.7076596242156 4201.560630111915</t>
  </si>
  <si>
    <t>28929.35421962554 146.6177169765102 4207.197704378991</t>
  </si>
  <si>
    <t>28937.969492112676 146.52777432880475 4212.834778646066</t>
  </si>
  <si>
    <t>28943.606781480976 146.52777432880475 4204.219177414693</t>
  </si>
  <si>
    <t>28949.24407084928 146.52777432880475 4195.603576183321</t>
  </si>
  <si>
    <t>28954.88136021758 146.52777432880475 4186.987974951948</t>
  </si>
  <si>
    <t>28960.518649585883 146.52777432880475 4178.3723737205755</t>
  </si>
  <si>
    <t>28863.086160280895 169.16335707440604 4152.319989985217</t>
  </si>
  <si>
    <t>28868.044646364346 168.91570223371755 4188.381704903397</t>
  </si>
  <si>
    <t>28874.26533802706 169.01476416999296 4180.177998547718</t>
  </si>
  <si>
    <t>28880.486029689775 169.11382610626833 4171.974292192039</t>
  </si>
  <si>
    <t>28886.706721352493 169.21288804254374 4163.770585836359</t>
  </si>
  <si>
    <t>28892.927413015208 169.31194997881911 4155.56687948068</t>
  </si>
  <si>
    <t>28899.148104677923 169.41101191509452 4147.363173125001</t>
  </si>
  <si>
    <t>28890.944018581828 169.41101191509452 4141.1421935134085</t>
  </si>
  <si>
    <t>28882.739932485732 169.41101191509452 4134.9212139018155</t>
  </si>
  <si>
    <t>28874.535846389634 169.41101191509452 4128.700234290222</t>
  </si>
  <si>
    <t>28866.33176029354 169.41101191509452 4122.479254678629</t>
  </si>
  <si>
    <t>28858.127674197443 169.41101191509452 4116.258275067037</t>
  </si>
  <si>
    <t>28851.90698253473 169.31194997881911 4124.461981422716</t>
  </si>
  <si>
    <t>28845.686290872014 169.21288804254374 4132.665687778395</t>
  </si>
  <si>
    <t>28839.465599209296 169.11382610626833 4140.869394134075</t>
  </si>
  <si>
    <t>28833.24490754658 169.01476416999296 4149.073100489754</t>
  </si>
  <si>
    <t>28827.024215883866 168.91570223371755 4157.276806845433</t>
  </si>
  <si>
    <t>28835.22830197996 168.91570223371755 4163.4977864570255</t>
  </si>
  <si>
    <t>28843.432388076057 168.91570223371755 4169.718766068619</t>
  </si>
  <si>
    <t>28851.636474172155 168.91570223371755 4175.939745680212</t>
  </si>
  <si>
    <t>28859.84056026825 168.91570223371755 4182.160725291805</t>
  </si>
  <si>
    <t>28863.086160280895 158.84832143007867 4152.319989985217</t>
  </si>
  <si>
    <t>28822.177675972533 159.73139998088135 4150.64975156945</t>
  </si>
  <si>
    <t>28830.021518984417 159.37816856056028 4159.165339826793</t>
  </si>
  <si>
    <t>28837.865361996304 159.02493714023922 4167.680928084135</t>
  </si>
  <si>
    <t>28845.70920500819 158.67170571991812 4176.196516341479</t>
  </si>
  <si>
    <t>28853.553048020076 158.31847429959706 4184.7121045988215</t>
  </si>
  <si>
    <t>28862.70891814419 158.0992297450241 4191.875250417518</t>
  </si>
  <si>
    <t>28869.91644174342 157.965242879276 4185.380199965128</t>
  </si>
  <si>
    <t>28878.435992454877 157.965242879276 4177.532707074092</t>
  </si>
  <si>
    <t>28886.95554316634 157.965242879276 4169.685214183056</t>
  </si>
  <si>
    <t>28895.475093877798 157.965242879276 4161.83772129202</t>
  </si>
  <si>
    <t>28903.994644589256 157.965242879276 4153.990228400984</t>
  </si>
  <si>
    <t>28896.150801577372 158.31847429959706 4145.474640143641</t>
  </si>
  <si>
    <t>28888.306958565485 158.67170571991812 4136.959051886299</t>
  </si>
  <si>
    <t>28880.4631155536 159.02493714023922 4128.443463628955</t>
  </si>
  <si>
    <t>28872.619272541713 159.37816856056028 4119.927875371613</t>
  </si>
  <si>
    <t>28864.77542952983 159.73139998088135 4111.41228711427</t>
  </si>
  <si>
    <t>28856.25587881837 159.73139998088135 4119.259780005306</t>
  </si>
  <si>
    <t>28847.736328106912 159.73139998088135 4127.107272896342</t>
  </si>
  <si>
    <t>28839.21677739545 159.73139998088135 4134.954765787378</t>
  </si>
  <si>
    <t>28830.69722668399 159.73139998088135 4142.802258678414</t>
  </si>
  <si>
    <t>28863.086160280895 148.34492983108717 4152.319989985217</t>
  </si>
  <si>
    <t>28894.565811696637 148.87777859147536 4134.04862389119</t>
  </si>
  <si>
    <t>28891.925503864823 148.66463908732007 4143.998044080579</t>
  </si>
  <si>
    <t>28889.285196033008 148.4514995831648 4153.947464269969</t>
  </si>
  <si>
    <t>28886.64488820119 148.23836007900954 4163.896884459357</t>
  </si>
  <si>
    <t>28884.004580369376 148.02522057485427 4173.846304648747</t>
  </si>
  <si>
    <t>28881.36427253756 147.81208107069898 4183.795724838136</t>
  </si>
  <si>
    <t>28871.41271980308 147.81208107069898 4181.154851086358</t>
  </si>
  <si>
    <t>28861.4611670686 147.81208107069898 4178.513977334579</t>
  </si>
  <si>
    <t>28851.509614334114 147.81208107069898 4175.873103582801</t>
  </si>
  <si>
    <t>28841.558061599633 147.81208107069898 4173.232229831023</t>
  </si>
  <si>
    <t>28831.606508865152 147.81208107069898 4170.591356079244</t>
  </si>
  <si>
    <t>28834.246816696967 148.02522057485427 4160.641935889855</t>
  </si>
  <si>
    <t>28836.88712452878 148.23836007900954 4150.692515700465</t>
  </si>
  <si>
    <t>28839.5274323606 148.4514995831648 4140.743095511077</t>
  </si>
  <si>
    <t>28842.167740192413 148.66463908732007 4130.793675321687</t>
  </si>
  <si>
    <t>28844.808048024228 148.87777859147536 4120.844255132298</t>
  </si>
  <si>
    <t>28854.75960075871 148.87777859147536 4123.485128884076</t>
  </si>
  <si>
    <t>28864.71115349319 148.87777859147536 4126.126002635855</t>
  </si>
  <si>
    <t>28874.662706227675 148.87777859147536 4128.766876387633</t>
  </si>
  <si>
    <t>28884.614258962156 148.87777859147536 4131.407750139411</t>
  </si>
  <si>
    <t>ClsRwd_WEB_RIGI_RH_Corner</t>
  </si>
  <si>
    <t>28863.086160280895 145.0448149589722 4152.319989985217</t>
  </si>
  <si>
    <t>28845.108943071675 147.07690450833755 4123.440630794547</t>
  </si>
  <si>
    <t>28854.74100138632 146.52698791553334 4127.003124375224</t>
  </si>
  <si>
    <t>28864.35539469729 145.97787316053018 4130.559032458232</t>
  </si>
  <si>
    <t>28873.742417335845 145.44172701568192 4134.030837887177</t>
  </si>
  <si>
    <t>28882.952705715594 144.9156751574298 4137.437277995167</t>
  </si>
  <si>
    <t>28892.761156945937 144.35545881166144 4141.064949747866</t>
  </si>
  <si>
    <t>28892.260031627746 143.87571031192022 4145.349827794739</t>
  </si>
  <si>
    <t>28889.15492335188 143.87571031192022 4155.166442210879</t>
  </si>
  <si>
    <t>28886.049815076018 143.87571031192022 4164.9830566270175</t>
  </si>
  <si>
    <t>28882.944706800154 143.87571031192022 4174.799671043157</t>
  </si>
  <si>
    <t>28879.839598524286 143.87571031192022 4184.616285459297</t>
  </si>
  <si>
    <t>28870.033114951064 144.343352170741 4181.514381685804</t>
  </si>
  <si>
    <t>28860.226631377842 144.8109940295618 4178.412477912312</t>
  </si>
  <si>
    <t>28850.42014780462 145.2786358883826 4175.310574138819</t>
  </si>
  <si>
    <t>28840.613664231398 145.7462777472034 4172.208670365327</t>
  </si>
  <si>
    <t>28830.807180658176 146.2139196060242 4169.1067665918345</t>
  </si>
  <si>
    <t>28833.912288934043 146.2139196060242 4159.290152175695</t>
  </si>
  <si>
    <t>28837.017397209907 146.2139196060242 4149.473537759555</t>
  </si>
  <si>
    <t>28840.12250548577 146.2139196060242 4139.656923343417</t>
  </si>
  <si>
    <t>28843.227613761635 146.2139196060242 4129.840308927277</t>
  </si>
  <si>
    <t>28958.60686176737 169.8805770859174 4036.480223424716</t>
  </si>
  <si>
    <t>28922.437011374015 170.7953607952467 4040.480260085475</t>
  </si>
  <si>
    <t>28930.46641731351 170.429447311515 4046.9147269306163</t>
  </si>
  <si>
    <t>28938.495823253004 170.06353382778326 4053.3491937757576</t>
  </si>
  <si>
    <t>28946.5252291925 169.69762034405153 4059.783660620899</t>
  </si>
  <si>
    <t>28954.554635131994 169.3317068603198 4066.21812746604</t>
  </si>
  <si>
    <t>28962.584041071488 168.9657933765881 4072.6525943111815</t>
  </si>
  <si>
    <t>28969.022575289335 168.9657933765881 4064.6181128017365</t>
  </si>
  <si>
    <t>28975.46110950718 168.9657933765881 4056.5836312922916</t>
  </si>
  <si>
    <t>28981.89964372503 168.9657933765881 4048.5491497828466</t>
  </si>
  <si>
    <t>28988.33817794288 168.9657933765881 4040.5146682734016</t>
  </si>
  <si>
    <t>28994.776712160725 168.9657933765881 4032.4801867639567</t>
  </si>
  <si>
    <t>28986.74730622123 169.3317068603198 4026.0457199188154</t>
  </si>
  <si>
    <t>28978.717900281736 169.69762034405153 4019.611253073674</t>
  </si>
  <si>
    <t>28970.68849434224 170.06353382778326 4013.176786228533</t>
  </si>
  <si>
    <t>28962.659088402746 170.429447311515 4006.7423193833915</t>
  </si>
  <si>
    <t>28954.62968246325 170.7953607952467 4000.3078525382502</t>
  </si>
  <si>
    <t>28948.191148245405 170.7953607952467 4008.342334047695</t>
  </si>
  <si>
    <t>28941.75261402756 170.7953607952467 4016.37681555714</t>
  </si>
  <si>
    <t>28935.31407980971 170.7953607952467 4024.411297066585</t>
  </si>
  <si>
    <t>28928.87554559186 170.7953607952467 4032.44577857603</t>
  </si>
  <si>
    <t>28958.60686176737 159.5480875199671 4036.480223424716</t>
  </si>
  <si>
    <t>28917.706199326072 160.72896601800556 4034.8024420516263</t>
  </si>
  <si>
    <t>28925.543968277314 160.25661461879017 4043.317848737311</t>
  </si>
  <si>
    <t>28933.381737228556 159.7842632195748 4051.8332554229964</t>
  </si>
  <si>
    <t>28941.219506179797 159.31191182035943 4060.3486621086813</t>
  </si>
  <si>
    <t>28949.05727513104 158.83956042114406 4068.8640687943666</t>
  </si>
  <si>
    <t>28956.89504408228 158.36720902192866 4077.3794754800515</t>
  </si>
  <si>
    <t>28965.41754010756 158.36720902192866 4069.5351813436023</t>
  </si>
  <si>
    <t>28973.940036132837 158.36720902192866 4061.690887207153</t>
  </si>
  <si>
    <t>28982.46253215811 158.36720902192866 4053.846593070704</t>
  </si>
  <si>
    <t>28990.98502818339 158.36720902192866 4046.0022989342547</t>
  </si>
  <si>
    <t>28999.507524208668 158.36720902192866 4038.1580047978055</t>
  </si>
  <si>
    <t>28991.669755257426 158.83956042114406 4029.6425981121206</t>
  </si>
  <si>
    <t>28983.831986306184 159.31191182035943 4021.1271914264353</t>
  </si>
  <si>
    <t>28975.994217354943 159.7842632195748 4012.6117847407504</t>
  </si>
  <si>
    <t>28968.1564484037 160.25661461879017 4004.096378055065</t>
  </si>
  <si>
    <t>28960.31867945246 160.72896601800556 3995.58097136938</t>
  </si>
  <si>
    <t>28951.79618342718 160.72896601800556 4003.4252655058294</t>
  </si>
  <si>
    <t>28943.273687401903 160.72896601800556 4011.2695596422786</t>
  </si>
  <si>
    <t>28934.75119137663 160.72896601800556 4019.113853778728</t>
  </si>
  <si>
    <t>28926.22869535135 160.72896601800556 4026.958147915177</t>
  </si>
  <si>
    <t>28958.60686176737 149.00205890876435 4036.480223424716</t>
  </si>
  <si>
    <t>28994.798614204938 148.95149305719963 4032.575137178228</t>
  </si>
  <si>
    <t>28988.341294933874 148.97171939782552 4040.594503407971</t>
  </si>
  <si>
    <t>28981.883975662815 148.99194573845142 4048.613869637714</t>
  </si>
  <si>
    <t>28975.426656391755 149.0121720790773 4056.6332358674563</t>
  </si>
  <si>
    <t>28968.969337120696 149.03239841970318 4064.652602097199</t>
  </si>
  <si>
    <t>28962.512017849633 149.05262476032908 4072.671968326942</t>
  </si>
  <si>
    <t>28954.492636145667 149.05262476032908 4066.214636595794</t>
  </si>
  <si>
    <t>28946.473254441702 149.05262476032908 4059.757304864647</t>
  </si>
  <si>
    <t>28938.453872737733 149.05262476032908 4053.299973133499</t>
  </si>
  <si>
    <t>28930.434491033768 149.05262476032908 4046.8426414023515</t>
  </si>
  <si>
    <t>28922.415109329802 149.05262476032908 4040.3853096712037</t>
  </si>
  <si>
    <t>28928.872428600866 149.03239841970318 4032.365943441461</t>
  </si>
  <si>
    <t>28935.329747871925 149.0121720790773 4024.346577211718</t>
  </si>
  <si>
    <t>28941.787067142985 148.99194573845142 4016.3272109819754</t>
  </si>
  <si>
    <t>28948.244386414044 148.97171939782552 4008.3078447522325</t>
  </si>
  <si>
    <t>28954.701705685107 148.95149305719963 4000.2884785224896</t>
  </si>
  <si>
    <t>28962.721087389073 148.95149305719963 4006.7458102536375</t>
  </si>
  <si>
    <t>28970.740469093038 148.95149305719963 4013.203141984785</t>
  </si>
  <si>
    <t>28978.759850797007 148.95149305719963 4019.6604737159328</t>
  </si>
  <si>
    <t>28986.779232500972 148.95149305719963 4026.11780544708</t>
  </si>
  <si>
    <t>28958.60686176737 140.16670438702423 4036.480223424716</t>
  </si>
  <si>
    <t>28994.237780855623 140.1028107281422 4029.028463731414</t>
  </si>
  <si>
    <t>28988.60197093129 140.12836819169502 4037.6449948961485</t>
  </si>
  <si>
    <t>28982.966161006956 140.15392565524783 4046.261526060883</t>
  </si>
  <si>
    <t>28977.330351082626 140.17948311880062 4054.878057225618</t>
  </si>
  <si>
    <t>28971.694541158293 140.20504058235343 4063.4945883903524</t>
  </si>
  <si>
    <t>28966.05873123396 140.23059804590625 4072.111119555087</t>
  </si>
  <si>
    <t>28957.44217352299 140.23059804590625 4066.475292267673</t>
  </si>
  <si>
    <t>28948.825615812024 140.23059804590625 4060.8394649802594</t>
  </si>
  <si>
    <t>28940.209058101053 140.23059804590625 4055.2036376928454</t>
  </si>
  <si>
    <t>28931.592500390085 140.23059804590625 4049.567810405432</t>
  </si>
  <si>
    <t>28922.975942679117 140.23059804590625 4043.931983118018</t>
  </si>
  <si>
    <t>28928.61175260345 140.20504058235343 4035.315451953283</t>
  </si>
  <si>
    <t>28934.247562527784 140.17948311880062 4026.6989207885485</t>
  </si>
  <si>
    <t>28939.883372452114 140.15392565524783 4018.082389623814</t>
  </si>
  <si>
    <t>28946.20297151803 140.70030140642237 4010.102487324579</t>
  </si>
  <si>
    <t>28952.670929201555 140.65259184212883 4002.144746364718</t>
  </si>
  <si>
    <t>28959.77155001175 140.1028107281422 4006.4851545817587</t>
  </si>
  <si>
    <t>28968.388107722716 140.1028107281422 4012.1209818691723</t>
  </si>
  <si>
    <t>28977.004665433687 140.1028107281422 4017.7568091565863</t>
  </si>
  <si>
    <t>28985.621223144655 140.1028107281422 4023.392636444</t>
  </si>
  <si>
    <t>Pt15   16   modified</t>
  </si>
  <si>
    <t>28959.417019290762 144.15190000000004 3928.8642057300467</t>
  </si>
  <si>
    <t>28961.200329430514 145.31490154384653 3887.967496267616</t>
  </si>
  <si>
    <t>28969.02329451342 144.84970092630795 3896.496898045999</t>
  </si>
  <si>
    <t>28976.846259596325 144.38450030876933 3905.026299824382</t>
  </si>
  <si>
    <t>28984.669224679234 143.91929969123075 3913.5557016027656</t>
  </si>
  <si>
    <t>28992.49218976214 143.45409907369213 3922.0851033811487</t>
  </si>
  <si>
    <t>29000.315154845044 142.98889845615355 3930.6145051595317</t>
  </si>
  <si>
    <t>28991.778865706237 142.98889845615355 3938.443787166121</t>
  </si>
  <si>
    <t>28983.24257656743 142.98889845615355 3946.27306917271</t>
  </si>
  <si>
    <t>28974.706287428624 142.98889845615355 3954.102351179299</t>
  </si>
  <si>
    <t>28966.169998289817 142.98889845615355 3961.931633185888</t>
  </si>
  <si>
    <t>28957.63370915101 142.98889845615355 3969.7609151924776</t>
  </si>
  <si>
    <t>28949.810744068105 143.45409907369213 3961.2315134140945</t>
  </si>
  <si>
    <t>28941.9877789852 143.91929969123075 3952.7021116357114</t>
  </si>
  <si>
    <t>28934.16481390229 144.38450030876933 3944.172709857328</t>
  </si>
  <si>
    <t>28926.341848819386 144.84970092630795 3935.6433080789448</t>
  </si>
  <si>
    <t>28918.51888373648 145.31490154384653 3927.1139063005617</t>
  </si>
  <si>
    <t>28927.055172875287 145.31490154384653 3919.2846242939722</t>
  </si>
  <si>
    <t>28935.591462014094 145.31490154384653 3911.4553422873832</t>
  </si>
  <si>
    <t>28944.1277511529 145.31490154384653 3903.6260602807943</t>
  </si>
  <si>
    <t>28952.664040291707 145.31490154384653 3895.7967782742053</t>
  </si>
  <si>
    <t>28959.417019290762 150.05888992499956 3928.8642057300467</t>
  </si>
  <si>
    <t>28925.62009171344 151.85573359213146 3915.4614358980602</t>
  </si>
  <si>
    <t>28935.0435134612 151.1369961252787 3911.3760772825176</t>
  </si>
  <si>
    <t>28944.466935208962 150.41825865842594 3907.2907186669754</t>
  </si>
  <si>
    <t>28953.89035695672 149.69952119157318 3903.2053600514328</t>
  </si>
  <si>
    <t>28963.31377870448 148.98078372472042 3899.1200014358906</t>
  </si>
  <si>
    <t>28972.73720045224 148.26204625786767 3895.034642820348</t>
  </si>
  <si>
    <t>28976.83254973541 148.26204625786767 3904.481109368685</t>
  </si>
  <si>
    <t>28980.927899018578 148.26204625786767 3913.927575917022</t>
  </si>
  <si>
    <t>28985.023248301746 148.26204625786767 3923.3740424653593</t>
  </si>
  <si>
    <t>28989.118597584915 148.26204625786767 3932.820509013696</t>
  </si>
  <si>
    <t>28993.213946868083 148.26204625786767 3942.266975562033</t>
  </si>
  <si>
    <t>28983.790525120323 148.98078372472042 3946.352334177576</t>
  </si>
  <si>
    <t>28974.367103372562 149.69952119157318 3950.437692793118</t>
  </si>
  <si>
    <t>28964.943681624805 150.41825865842594 3954.5230514086606</t>
  </si>
  <si>
    <t>28955.520259877045 151.1369961252787 3958.608410024203</t>
  </si>
  <si>
    <t>28946.096838129284 151.85573359213146 3962.6937686397455</t>
  </si>
  <si>
    <t>28942.001488846116 151.85573359213146 3953.2473020914085</t>
  </si>
  <si>
    <t>28937.906139562947 151.85573359213146 3943.8008355430716</t>
  </si>
  <si>
    <t>28933.81079027978 151.85573359213146 3934.354368994734</t>
  </si>
  <si>
    <t>28929.71544099661 151.85573359213146 3924.907902446397</t>
  </si>
  <si>
    <t>28959.417019290762 160.64227484194325 3928.8642057300467</t>
  </si>
  <si>
    <t>28961.175677049658 161.53035128557076 3887.9595353901286</t>
  </si>
  <si>
    <t>28969.0050441475 161.17512070811975 3896.4883519014675</t>
  </si>
  <si>
    <t>28976.83441124534 160.81989013066874 3905.0171684128063</t>
  </si>
  <si>
    <t>28984.66377834318 160.46465955321776 3913.545984924145</t>
  </si>
  <si>
    <t>28992.49314544102 160.10942897576675 3922.074801435484</t>
  </si>
  <si>
    <t>29000.322512538864 159.75419839831574 3930.603617946823</t>
  </si>
  <si>
    <t>28991.789682337465 159.75419839831574 3938.436669571451</t>
  </si>
  <si>
    <t>28983.256852136066 159.75419839831574 3946.2697211960794</t>
  </si>
  <si>
    <t>28974.724021934664 159.75419839831574 3954.102772820708</t>
  </si>
  <si>
    <t>28966.191191733265 159.75419839831574 3961.9358244453365</t>
  </si>
  <si>
    <t>28957.658361531867 159.75419839831574 3969.768876069965</t>
  </si>
  <si>
    <t>28949.828994434025 160.10942897576675 3961.240059558626</t>
  </si>
  <si>
    <t>28941.999627336183 160.46465955321776 3952.711243047287</t>
  </si>
  <si>
    <t>28934.170260238345 160.81989013066874 3944.1824265359483</t>
  </si>
  <si>
    <t>28926.340893140503 161.17512070811975 3935.6536100246094</t>
  </si>
  <si>
    <t>28918.51152604266 161.53035128557076 3927.1247935132706</t>
  </si>
  <si>
    <t>28927.04435624406 161.53035128557076 3919.2917418886423</t>
  </si>
  <si>
    <t>28935.57718644546 161.53035128557076 3911.458690264014</t>
  </si>
  <si>
    <t>28944.11001664686 161.53035128557076 3903.625638639385</t>
  </si>
  <si>
    <t>28952.64284684826 161.53035128557076 3895.792587014757</t>
  </si>
  <si>
    <t>28959.417019290762 170.58028608389327 3928.8642057300467</t>
  </si>
  <si>
    <t>28962.55653898893 171.82060667009935 3965.1092084326024</t>
  </si>
  <si>
    <t>28969.178360517806 171.32447843561692 3957.240730027304</t>
  </si>
  <si>
    <t>28975.800182046685 170.8283502011345 3949.3722516220055</t>
  </si>
  <si>
    <t>28982.42200357556 170.33222196665204 3941.503773216707</t>
  </si>
  <si>
    <t>28989.04382510444 169.83609373216962 3933.6352948114086</t>
  </si>
  <si>
    <t>28995.665646633315 169.3399654976872 3925.76681640611</t>
  </si>
  <si>
    <t>28987.78801722517 169.3399654976872 3919.1372937303863</t>
  </si>
  <si>
    <t>28979.910387817028 169.3399654976872 3912.5077710546625</t>
  </si>
  <si>
    <t>28972.03275840888 169.3399654976872 3905.8782483789387</t>
  </si>
  <si>
    <t>28964.155129000737 169.3399654976872 3899.248725703215</t>
  </si>
  <si>
    <t>28956.277499592594 169.3399654976872 3892.619203027491</t>
  </si>
  <si>
    <t>28949.65567806372 169.83609373216962 3900.4876814327895</t>
  </si>
  <si>
    <t>28943.03385653484 170.33222196665204 3908.356159838088</t>
  </si>
  <si>
    <t>28936.412035005964 170.8283502011345 3916.2246382433864</t>
  </si>
  <si>
    <t>28929.790213477085 171.32447843561692 3924.093116648685</t>
  </si>
  <si>
    <t>28923.16839194821 171.82060667009935 3931.9615950539833</t>
  </si>
  <si>
    <t>28931.046021356353 171.82060667009935 3938.591117729707</t>
  </si>
  <si>
    <t>28938.923650764496 171.82060667009935 3945.220640405431</t>
  </si>
  <si>
    <t>28946.801280172644 171.82060667009935 3951.8501630811547</t>
  </si>
  <si>
    <t>28954.678909580787 171.82060667009935 3958.4796857568786</t>
  </si>
  <si>
    <t>28792.088846152365 175.80647609780343 4053.617191967167</t>
  </si>
  <si>
    <t>28820.407706568447 174.45756076765988 4030.784807681542</t>
  </si>
  <si>
    <t>28810.185249925325 174.9971268997173 4029.68123866755</t>
  </si>
  <si>
    <t>28799.962793282204 175.53669303177472 4028.5776696535577</t>
  </si>
  <si>
    <t>28789.740336639086 176.07625916383213 4027.474100639565</t>
  </si>
  <si>
    <t>28779.517879995965 176.61582529588955 4026.3705316255728</t>
  </si>
  <si>
    <t>28769.295423352843 177.15539142794697 4025.2669626115808</t>
  </si>
  <si>
    <t>28768.19033582953 177.15539142794697 4035.503485339823</t>
  </si>
  <si>
    <t>28767.08524830622 177.15539142794697 4045.740008068065</t>
  </si>
  <si>
    <t>28765.980160782907 177.15539142794697 4055.9765307963075</t>
  </si>
  <si>
    <t>28764.875073259595 177.15539142794697 4066.2130535245497</t>
  </si>
  <si>
    <t>28763.769985736282 177.15539142794697 4076.4495762527918</t>
  </si>
  <si>
    <t>28773.992442379404 176.61582529588955 4077.5531452667838</t>
  </si>
  <si>
    <t>28784.214899022525 176.07625916383213 4078.656714280776</t>
  </si>
  <si>
    <t>28794.437355665643 175.53669303177472 4079.7602832947687</t>
  </si>
  <si>
    <t>28804.659812308764 174.9971268997173 4080.863852308761</t>
  </si>
  <si>
    <t>28814.882268951886 174.45756076765988 4081.967421322753</t>
  </si>
  <si>
    <t>28815.987356475198 174.45756076765988 4071.730898594511</t>
  </si>
  <si>
    <t>28817.09244399851 174.45756076765988 4061.494375866269</t>
  </si>
  <si>
    <t>28818.197531521822 174.45756076765988 4051.2578531380263</t>
  </si>
  <si>
    <t>28819.302619045135 174.45756076765988 4041.0213304097842</t>
  </si>
  <si>
    <t>28792.088846152365 165.99246908079536 4053.617191967167</t>
  </si>
  <si>
    <t>28751.240200516117 168.43013008758683 4052.029876308533</t>
  </si>
  <si>
    <t>28759.063418683385 167.45506568487025 4060.515888087801</t>
  </si>
  <si>
    <t>28766.886636850653 166.48000128215367 4069.0018998670694</t>
  </si>
  <si>
    <t>28774.709855017918 165.50493687943705 4077.487911646338</t>
  </si>
  <si>
    <t>28782.533073185186 164.52987247672047 4085.9739234256062</t>
  </si>
  <si>
    <t>28790.356291352455 163.5548080740039 4094.4599352048745</t>
  </si>
  <si>
    <t>28798.872531439687 163.5548080740039 4086.6088496890598</t>
  </si>
  <si>
    <t>28807.38877152692 163.5548080740039 4078.757764173245</t>
  </si>
  <si>
    <t>28815.905011614148 163.5548080740039 4070.9066786574303</t>
  </si>
  <si>
    <t>28824.42125170138 163.5548080740039 4063.0555931416156</t>
  </si>
  <si>
    <t>28832.937491788613 163.5548080740039 4055.204507625801</t>
  </si>
  <si>
    <t>28825.114273621344 164.52987247672047 4046.7184958465327</t>
  </si>
  <si>
    <t>28817.291055454076 165.50493687943705 4038.2324840672645</t>
  </si>
  <si>
    <t>28809.46783728681 166.48000128215367 4029.746472287996</t>
  </si>
  <si>
    <t>28801.644619119543 167.45506568487025 4021.2604605087276</t>
  </si>
  <si>
    <t>28793.821400952274 168.43013008758683 4012.7744487294594</t>
  </si>
  <si>
    <t>28785.305160865042 168.43013008758683 4020.625534245274</t>
  </si>
  <si>
    <t>28776.78892077781 168.43013008758683 4028.476619761089</t>
  </si>
  <si>
    <t>28768.27268069058 168.43013008758683 4036.3277052769035</t>
  </si>
  <si>
    <t>28759.75644060335 168.43013008758683 4044.1787907927182</t>
  </si>
  <si>
    <t>28792.088846152365 155.9983653454368 4053.617191967167</t>
  </si>
  <si>
    <t>28821.550274564153 154.1464973297527 4074.917192455185</t>
  </si>
  <si>
    <t>28819.93326374863 154.88724453602634 4064.7759802200094</t>
  </si>
  <si>
    <t>28818.316252933106 155.6279917423 4054.634767984834</t>
  </si>
  <si>
    <t>28816.69924211758 156.36873894857362 4044.4935557496583</t>
  </si>
  <si>
    <t>28815.082231302054 157.10948615484727 4034.352343514483</t>
  </si>
  <si>
    <t>28813.46522048653 157.85023336112093 4024.211131279307</t>
  </si>
  <si>
    <t>28803.29765993734 157.85023336112093 4025.8323433192754</t>
  </si>
  <si>
    <t>28793.13009938815 157.85023336112093 4027.4535553592436</t>
  </si>
  <si>
    <t>28782.962538838958 157.85023336112093 4029.0747673992123</t>
  </si>
  <si>
    <t>28772.794978289767 157.85023336112093 4030.6959794391805</t>
  </si>
  <si>
    <t>28762.627417740576 157.85023336112093 4032.3171914791487</t>
  </si>
  <si>
    <t>28764.2444285561 157.10948615484727 4042.4584037143245</t>
  </si>
  <si>
    <t>28765.861439371623 156.36873894857362 4052.5996159495</t>
  </si>
  <si>
    <t>28767.47845018715 155.6279917423 4062.7408281846756</t>
  </si>
  <si>
    <t>28769.095461002675 154.88724453602634 4072.882040419851</t>
  </si>
  <si>
    <t>28770.7124718182 154.1464973297527 4083.0232526550267</t>
  </si>
  <si>
    <t>28780.88003236739 154.1464973297527 4081.4020406150585</t>
  </si>
  <si>
    <t>28791.04759291658 154.1464973297527 4079.7808285750903</t>
  </si>
  <si>
    <t>28801.21515346577 154.1464973297527 4078.1596165351216</t>
  </si>
  <si>
    <t>28811.382714014962 154.1464973297527 4076.5384044951534</t>
  </si>
  <si>
    <t>28840.781006839537 175.7215452667038 4009.6111594395734</t>
  </si>
  <si>
    <t>28876.989245793517 173.997680316666 4006.2814565270305</t>
  </si>
  <si>
    <t>28869.097936008435 174.68722629668113 3999.704270790156</t>
  </si>
  <si>
    <t>28861.206626223357 175.37677227669624 3993.127085053281</t>
  </si>
  <si>
    <t>28853.315316438275 176.06631825671136 3986.5498993164065</t>
  </si>
  <si>
    <t>28845.424006653197 176.75586423672647 3979.9727135795315</t>
  </si>
  <si>
    <t>28837.532696868115 177.4454102167416 3973.395527842657</t>
  </si>
  <si>
    <t>28830.940711071602 177.4454102167416 3981.304594744549</t>
  </si>
  <si>
    <t>28824.348725275093 177.4454102167416 3989.213661646441</t>
  </si>
  <si>
    <t>28817.75673947858 177.4454102167416 3997.1227285483324</t>
  </si>
  <si>
    <t>28811.16475368207 177.4454102167416 4005.0317954502243</t>
  </si>
  <si>
    <t>28804.57276788556 177.4454102167416 4012.9408623521163</t>
  </si>
  <si>
    <t>28812.46407767064 176.75586423672647 4019.518048088991</t>
  </si>
  <si>
    <t>28820.35538745572 176.06631825671136 4026.0952338258658</t>
  </si>
  <si>
    <t>28828.2466972408 175.37677227669624 4032.6724195627403</t>
  </si>
  <si>
    <t>28836.13800702588 174.68722629668113 4039.2496052996153</t>
  </si>
  <si>
    <t>28844.02931681096 173.997680316666 4045.82679103649</t>
  </si>
  <si>
    <t>28850.621302607473 173.997680316666 4037.917724134598</t>
  </si>
  <si>
    <t>28857.213288403982 173.997680316666 4030.008657232706</t>
  </si>
  <si>
    <t>28863.805274200495 173.997680316666 4022.0995903308144</t>
  </si>
  <si>
    <t>28870.397259997004 173.997680316666 4014.1905234289225</t>
  </si>
  <si>
    <t>28840.781006839537 165.8918673080474 4009.6111594395734</t>
  </si>
  <si>
    <t>28799.916294537546 167.99196319456314 4007.956318588332</t>
  </si>
  <si>
    <t>28807.73671993303 167.15192483995685 4016.459328125928</t>
  </si>
  <si>
    <t>28815.557145328516 166.31188648535056 4024.962337663524</t>
  </si>
  <si>
    <t>28823.377570724 165.47184813074426 4033.46534720112</t>
  </si>
  <si>
    <t>28831.197996119485 164.63180977613797 4041.968356738716</t>
  </si>
  <si>
    <t>28839.018421514967 163.79177142153168 4050.471366276312</t>
  </si>
  <si>
    <t>28847.54388104028 163.79177142153168 4042.6302930792126</t>
  </si>
  <si>
    <t>28856.06934056559 163.79177142153168 4034.7892198821132</t>
  </si>
  <si>
    <t>28864.594800090905 163.79177142153168 4026.9481466850134</t>
  </si>
  <si>
    <t>28873.120259616215 163.79177142153168 4019.107073487914</t>
  </si>
  <si>
    <t>28881.64571914153 163.79177142153168 4011.2660002908146</t>
  </si>
  <si>
    <t>28873.825293746046 164.63180977613797 4002.7629907532187</t>
  </si>
  <si>
    <t>28866.00486835056 165.47184813074426 3994.2599812156227</t>
  </si>
  <si>
    <t>28858.184442955077 166.31188648535056 3985.7569716780267</t>
  </si>
  <si>
    <t>28850.36401755959 167.15192483995685 3977.2539621404308</t>
  </si>
  <si>
    <t>28842.543592164107 167.99196319456314 3968.750952602835</t>
  </si>
  <si>
    <t>28834.018132638794 167.99196319456314 3976.592025799934</t>
  </si>
  <si>
    <t>28825.492673113484 167.99196319456314 3984.4330989970335</t>
  </si>
  <si>
    <t>28816.96721358817 167.99196319456314 3992.2741721941334</t>
  </si>
  <si>
    <t>28808.44175406286 167.99196319456314 4000.1152453912327</t>
  </si>
  <si>
    <t>28840.781006839537 155.83627547381528 4009.6111594395734</t>
  </si>
  <si>
    <t>28832.09687657278 156.5211619563858 4044.9553529091663</t>
  </si>
  <si>
    <t>28840.90192584133 156.2472073633576 4039.625843338911</t>
  </si>
  <si>
    <t>28849.706975109875 155.9732527703294 4034.2963337686556</t>
  </si>
  <si>
    <t>28858.51202437842 155.69929817730116 4028.9668241984004</t>
  </si>
  <si>
    <t>28867.317073646966 155.42534358427295 4023.637314628145</t>
  </si>
  <si>
    <t>28876.122122915513 155.15138899124474 4018.3078050578897</t>
  </si>
  <si>
    <t>28870.790725753668 155.15138899124474 4009.499637240308</t>
  </si>
  <si>
    <t>28865.459328591824 155.15138899124474 4000.691469422726</t>
  </si>
  <si>
    <t>28860.127931429983 155.15138899124474 3991.883301605144</t>
  </si>
  <si>
    <t>28854.79653426814 155.15138899124474 3983.075133787562</t>
  </si>
  <si>
    <t>28849.465137106294 155.15138899124474 3974.2669659699804</t>
  </si>
  <si>
    <t>28840.660087837747 155.42534358427295 3979.5964755402356</t>
  </si>
  <si>
    <t>28831.8550385692 155.69929817730116 3984.925985110491</t>
  </si>
  <si>
    <t>28823.049989300656 155.9732527703294 3990.2554946807463</t>
  </si>
  <si>
    <t>28814.24494003211 156.2472073633576 3995.585004251002</t>
  </si>
  <si>
    <t>28805.439890763562 156.5211619563858 4000.914513821257</t>
  </si>
  <si>
    <t>28810.771287925407 156.5211619563858 4009.722681638839</t>
  </si>
  <si>
    <t>28816.10268508725 156.5211619563858 4018.5308494564206</t>
  </si>
  <si>
    <t>28821.434082249092 156.5211619563858 4027.339017274003</t>
  </si>
  <si>
    <t>28826.765479410937 156.5211619563858 4036.1471850915846</t>
  </si>
  <si>
    <t>28852.558538553872 177.24431134743782 3918.4314146100905</t>
  </si>
  <si>
    <t>28816.519435481914 178.44132133913047 3913.4468968953574</t>
  </si>
  <si>
    <t>28822.72255084364 177.9625173424534 3921.650537705504</t>
  </si>
  <si>
    <t>28828.925666205363 177.48371334577635 3929.8541785156513</t>
  </si>
  <si>
    <t>28835.128781567084 177.00490934909928 3938.057819325798</t>
  </si>
  <si>
    <t>28841.33189692881 176.52610535242223 3946.261460135945</t>
  </si>
  <si>
    <t>28847.535012290533 176.04730135574516 3954.4651009460918</t>
  </si>
  <si>
    <t>28855.747538157593 176.04730135574516 3948.255267221838</t>
  </si>
  <si>
    <t>28863.960064024654 176.04730135574516 3942.0454334975843</t>
  </si>
  <si>
    <t>28872.17258989171 176.04730135574516 3935.835599773331</t>
  </si>
  <si>
    <t>28880.38511575877 176.04730135574516 3929.6257660490774</t>
  </si>
  <si>
    <t>28888.59764162583 176.04730135574516 3923.4159323248236</t>
  </si>
  <si>
    <t>28882.394526264106 176.52610535242223 3915.212291514677</t>
  </si>
  <si>
    <t>28876.191410902382 177.00490934909928 3907.00865070453</t>
  </si>
  <si>
    <t>28869.98829554066 177.48371334577635 3898.805009894383</t>
  </si>
  <si>
    <t>28863.785180178937 177.9625173424534 3890.601369084236</t>
  </si>
  <si>
    <t>28857.582064817212 178.44132133913047 3882.3977282740893</t>
  </si>
  <si>
    <t>28849.36953895015 178.44132133913047 3888.607561998343</t>
  </si>
  <si>
    <t>28841.15701308309 178.44132133913047 3894.8173957225968</t>
  </si>
  <si>
    <t>28832.944487216035 178.44132133913047 3901.02722944685</t>
  </si>
  <si>
    <t>28824.731961348974 178.44132133913047 3907.2370631711037</t>
  </si>
  <si>
    <t>28852.558538553872 167.9207348836943 3918.4314146100905</t>
  </si>
  <si>
    <t>28811.680862873713 169.65029921998368 3916.671343391547</t>
  </si>
  <si>
    <t>28819.489775585032 168.95847348546795 3925.19825071015</t>
  </si>
  <si>
    <t>28827.298688296352 168.2666477509522 3933.725158028754</t>
  </si>
  <si>
    <t>28835.107601007672 167.57482201643643 3942.2520653473575</t>
  </si>
  <si>
    <t>28842.916513718992 166.88299628192067 3950.778972665961</t>
  </si>
  <si>
    <t>28850.725426430312 166.19117054740494 3959.3058799845644</t>
  </si>
  <si>
    <t>28859.267583991055 166.19117054740494 3951.4830011533786</t>
  </si>
  <si>
    <t>28867.8097415518 166.19117054740494 3943.6601223221924</t>
  </si>
  <si>
    <t>28876.351899112546 166.19117054740494 3935.837243491006</t>
  </si>
  <si>
    <t>28884.89405667329 166.19117054740494 3928.01436465982</t>
  </si>
  <si>
    <t>28893.436214234032 166.19117054740494 3920.191485828634</t>
  </si>
  <si>
    <t>28885.627301522713 166.88299628192067 3911.664578510031</t>
  </si>
  <si>
    <t>28877.818388811393 167.57482201643643 3903.137671191427</t>
  </si>
  <si>
    <t>28870.009476100073 168.2666477509522 3894.6107638728236</t>
  </si>
  <si>
    <t>28862.200563388753 168.95847348546795 3886.08385655422</t>
  </si>
  <si>
    <t>28854.391650677433 169.65029921998368 3877.5569492356167</t>
  </si>
  <si>
    <t>28845.84949311669 169.65029921998368 3885.3798280668025</t>
  </si>
  <si>
    <t>28837.307335555946 169.65029921998368 3893.2027068979887</t>
  </si>
  <si>
    <t>28828.7651779952 169.65029921998368 3901.025585729175</t>
  </si>
  <si>
    <t>28820.223020434456 169.65029921998368 3908.848464560361</t>
  </si>
  <si>
    <t>28852.558538553872 157.8076925920131 3918.4314146100905</t>
  </si>
  <si>
    <t>28816.414309417523 159.43432847435514 3914.425923897887</t>
  </si>
  <si>
    <t>28824.4297883756 158.78367412141833 3907.9965878524126</t>
  </si>
  <si>
    <t>28832.44526733368 158.13301976848152 3901.5672518069387</t>
  </si>
  <si>
    <t>28840.460746291756 157.48236541554468 3895.1379157614647</t>
  </si>
  <si>
    <t>28848.476225249833 156.83171106260787 3888.7085797159907</t>
  </si>
  <si>
    <t>28856.49170420791 156.18105670967105 3882.2792436705163</t>
  </si>
  <si>
    <t>28862.933916904374 156.18105670967105 3890.310776000872</t>
  </si>
  <si>
    <t>28869.376129600834 156.18105670967105 3898.3423083312273</t>
  </si>
  <si>
    <t>28875.818342297298 156.18105670967105 3906.373840661583</t>
  </si>
  <si>
    <t>28882.260554993758 156.18105670967105 3914.4053729919383</t>
  </si>
  <si>
    <t>28888.70276769022 156.18105670967105 3922.436905322294</t>
  </si>
  <si>
    <t>28880.687288732144 156.83171106260787 3928.8662413677685</t>
  </si>
  <si>
    <t>28872.671809774067 157.48236541554468 3935.2955774132424</t>
  </si>
  <si>
    <t>28864.65633081599 158.13301976848152 3941.7249134587164</t>
  </si>
  <si>
    <t>28856.640851857912 158.78367412141833 3948.1542495041904</t>
  </si>
  <si>
    <t>28848.625372899834 159.43432847435514 3954.583585549665</t>
  </si>
  <si>
    <t>28842.18316020337 159.43432847435514 3946.552053219309</t>
  </si>
  <si>
    <t>28835.74094750691 159.43432847435514 3938.520520888954</t>
  </si>
  <si>
    <t>28829.298734810447 159.43432847435514 3930.488988558598</t>
  </si>
  <si>
    <t>28822.856522113987 159.43432847435514 3922.457456228243</t>
  </si>
  <si>
    <t>28852.558538553872 151.50620000000004 3918.4314146100905</t>
  </si>
  <si>
    <t>28854.371057631375 152.83335268622233 3877.5409872114788</t>
  </si>
  <si>
    <t>28862.18701589309 152.30249161173342 3886.072978302116</t>
  </si>
  <si>
    <t>28870.002974154806 151.7716305372445 3894.6049693927534</t>
  </si>
  <si>
    <t>28877.81893241652 151.24076946275557 3903.136960483391</t>
  </si>
  <si>
    <t>28885.634890678237 150.70990838826665 3911.668951574028</t>
  </si>
  <si>
    <t>28893.450848939952 150.17904731377774 3920.2009426646655</t>
  </si>
  <si>
    <t>28884.909883047236 150.17904731377774 3928.0251225334728</t>
  </si>
  <si>
    <t>28876.36891715452 150.17904731377774 3935.84930240228</t>
  </si>
  <si>
    <t>28867.827951261803 150.17904731377774 3943.673482271088</t>
  </si>
  <si>
    <t>28859.286985369086 150.17904731377774 3951.497662139895</t>
  </si>
  <si>
    <t>28850.74601947637 150.17904731377774 3959.3218420087023</t>
  </si>
  <si>
    <t>28842.930061214654 150.70990838826665 3950.789850918065</t>
  </si>
  <si>
    <t>28835.11410295294 151.24076946275557 3942.2578598274276</t>
  </si>
  <si>
    <t>28827.298144691224 151.7716305372445 3933.7258687367903</t>
  </si>
  <si>
    <t>28819.482186429508 152.30249161173342 3925.193877646153</t>
  </si>
  <si>
    <t>28811.914951926792 154.56876671271027 3916.60068547944</t>
  </si>
  <si>
    <t>28820.20719406051 152.83335268622233 3908.8377066867083</t>
  </si>
  <si>
    <t>28828.748159953226 152.83335268622233 3901.013526817901</t>
  </si>
  <si>
    <t>28837.289125845942 152.83335268622233 3893.1893469490933</t>
  </si>
  <si>
    <t>28845.83009173866 152.83335268622233 3885.365167080286</t>
  </si>
  <si>
    <t>28910.112171321707 172.279773491956 3875.04359894189</t>
  </si>
  <si>
    <t>28904.625836008407 174.3910611340209 3910.967654800361</t>
  </si>
  <si>
    <t>28912.90416972098 173.54654607719496 3904.9043552644575</t>
  </si>
  <si>
    <t>28921.182503433552 172.702031020369 3898.8410557285542</t>
  </si>
  <si>
    <t>28929.460837146125 171.85751596354302 3892.7777561926514</t>
  </si>
  <si>
    <t>28937.7391708587 171.01300090671705 3886.714456656748</t>
  </si>
  <si>
    <t>28946.01750457127 170.1684858498911 3880.651157120845</t>
  </si>
  <si>
    <t>28939.933704984018 170.1684858498911 3872.3448343133596</t>
  </si>
  <si>
    <t>28933.849905396764 170.1684858498911 3864.038511505875</t>
  </si>
  <si>
    <t>28927.766105809515 170.1684858498911 3855.7321886983896</t>
  </si>
  <si>
    <t>28921.68230622226 170.1684858498911 3847.425865890905</t>
  </si>
  <si>
    <t>28915.598506635008 170.1684858498911 3839.1195430834196</t>
  </si>
  <si>
    <t>28907.320172922435 171.01300090671705 3845.182842619323</t>
  </si>
  <si>
    <t>28899.04183920986 171.85751596354302 3851.246142155226</t>
  </si>
  <si>
    <t>28890.76350549729 172.702031020369 3857.309441691129</t>
  </si>
  <si>
    <t>28882.485171784716 173.54654607719496 3863.3727412270323</t>
  </si>
  <si>
    <t>28874.206838072143 174.3910611340209 3869.4360407629356</t>
  </si>
  <si>
    <t>28880.290637659396 174.3910611340209 3877.742363570421</t>
  </si>
  <si>
    <t>28886.37443724665 174.3910611340209 3886.0486863779056</t>
  </si>
  <si>
    <t>28892.4582368339 174.3910611340209 3894.355009185391</t>
  </si>
  <si>
    <t>28898.542036421153 174.3910611340209 3902.6613319928756</t>
  </si>
  <si>
    <t>28910.112171321707 162.93580048414944 3875.04359894189</t>
  </si>
  <si>
    <t>28869.21021771302 163.88445044584932 3873.253664098733</t>
  </si>
  <si>
    <t>28877.028229470317 163.50499046116937 3881.791848407047</t>
  </si>
  <si>
    <t>28884.84624122762 163.12553047648942 3890.33003271536</t>
  </si>
  <si>
    <t>28892.66425298492 162.74607049180946 3898.8682170236734</t>
  </si>
  <si>
    <t>28900.482264742222 162.3666105071295 3907.4064013319867</t>
  </si>
  <si>
    <t>28908.30027649952 161.98715052244955 3915.9445856403004</t>
  </si>
  <si>
    <t>28916.843046185695 161.98715052244955 3908.12237526925</t>
  </si>
  <si>
    <t>28925.385815871872 161.98715052244955 3900.300164898199</t>
  </si>
  <si>
    <t>28933.928585558046 161.98715052244955 3892.4779545271485</t>
  </si>
  <si>
    <t>28942.471355244223 161.98715052244955 3884.6557441560976</t>
  </si>
  <si>
    <t>28951.014124930396 161.98715052244955 3876.833533785047</t>
  </si>
  <si>
    <t>28943.196113173097 162.3666105071295 3868.2953494767335</t>
  </si>
  <si>
    <t>28935.378101415794 162.74607049180946 3859.75716516842</t>
  </si>
  <si>
    <t>28927.560089658495 163.12553047648942 3851.218980860107</t>
  </si>
  <si>
    <t>28919.74207790119 163.50499046116937 3842.6807965517937</t>
  </si>
  <si>
    <t>28911.924066143893 163.88445044584932 3834.14261224348</t>
  </si>
  <si>
    <t>28903.38129645772 163.88445044584932 3841.9648226145305</t>
  </si>
  <si>
    <t>28894.838526771542 163.88445044584932 3849.7870329855814</t>
  </si>
  <si>
    <t>28886.29575708537 163.88445044584932 3857.609243356632</t>
  </si>
  <si>
    <t>28877.75298739919 163.88445044584932 3865.4314537276828</t>
  </si>
  <si>
    <t>28910.112171321707 152.6016160059467 3875.04359894189</t>
  </si>
  <si>
    <t>28874.70163049722 155.05196145454448 3866.969900551439</t>
  </si>
  <si>
    <t>28883.36622551761 154.07182327510537 3861.4952555143723</t>
  </si>
  <si>
    <t>28892.030820537995 153.09168509566626 3856.0206104773056</t>
  </si>
  <si>
    <t>28900.695415558384 152.11154691622716 3850.545965440239</t>
  </si>
  <si>
    <t>28909.36001057877 151.13140873678805 3845.071320403172</t>
  </si>
  <si>
    <t>28918.02460559916 150.15127055734894 3839.5966753661055</t>
  </si>
  <si>
    <t>28923.52422690857 150.15127055734894 3848.3007997593527</t>
  </si>
  <si>
    <t>28929.023848217974 150.15127055734894 3857.0049241526</t>
  </si>
  <si>
    <t>28934.52346952738 150.15127055734894 3865.709048545847</t>
  </si>
  <si>
    <t>28940.023090836785 150.15127055734894 3874.4131729390942</t>
  </si>
  <si>
    <t>28945.522712146194 150.15127055734894 3883.1172973323414</t>
  </si>
  <si>
    <t>28936.858117125805 151.13140873678805 3888.591942369408</t>
  </si>
  <si>
    <t>28928.19352210542 152.11154691622716 3894.066587406475</t>
  </si>
  <si>
    <t>28919.52892708503 153.09168509566626 3899.5412324435415</t>
  </si>
  <si>
    <t>28910.864332064644 154.07182327510537 3905.015877480608</t>
  </si>
  <si>
    <t>28902.199737044255 155.05196145454448 3910.490522517675</t>
  </si>
  <si>
    <t>28896.700115734846 155.05196145454448 3901.7863981244277</t>
  </si>
  <si>
    <t>28891.20049442544 155.05196145454448 3893.0822737311805</t>
  </si>
  <si>
    <t>28885.700873116035 155.05196145454448 3884.3781493379333</t>
  </si>
  <si>
    <t>28880.20125180663 155.05196145454448 3875.674024944686</t>
  </si>
  <si>
    <t>28910.112171321707 146.8549 3875.04359894189</t>
  </si>
  <si>
    <t>28911.901095952948 147.96746349603362 3834.1457314714335</t>
  </si>
  <si>
    <t>28919.723146554923 147.52243809762018 3842.6770482381976</t>
  </si>
  <si>
    <t>28927.545197156902 147.07741269920672 3851.2083650049613</t>
  </si>
  <si>
    <t>28935.36724775888 146.63238730079325 3859.739681771725</t>
  </si>
  <si>
    <t>28943.18929836086 146.1873619023798 3868.2709985384886</t>
  </si>
  <si>
    <t>28951.011348962835 145.74233650396636 3876.8023153052527</t>
  </si>
  <si>
    <t>28942.47372850836 145.74233650396636 3884.6301455266716</t>
  </si>
  <si>
    <t>28933.936108053887 145.74233650396636 3892.4579757480906</t>
  </si>
  <si>
    <t>28925.398487599414 145.74233650396636 3900.285805969509</t>
  </si>
  <si>
    <t>28916.86086714494 145.74233650396636 3908.113636190928</t>
  </si>
  <si>
    <t>28908.323246690466 145.74233650396636 3915.941466412347</t>
  </si>
  <si>
    <t>28900.50119608849 146.1873619023798 3907.410149645583</t>
  </si>
  <si>
    <t>28892.679145486512 146.63238730079325 3898.878832878819</t>
  </si>
  <si>
    <t>28884.857094884534 147.07741269920672 3890.3475161120555</t>
  </si>
  <si>
    <t>28877.035044282555 147.52243809762018 3881.816199345292</t>
  </si>
  <si>
    <t>28869.21299368058 147.96746349603362 3873.2848825785277</t>
  </si>
  <si>
    <t>28877.750614135053 147.96746349603362 3865.4570523571088</t>
  </si>
  <si>
    <t>28886.288234589527 147.96746349603362 3857.62922213569</t>
  </si>
  <si>
    <t>28894.825855044 147.96746349603362 3849.8013919142713</t>
  </si>
  <si>
    <t>28903.363475498474 147.96746349603362 3841.9735616928524</t>
  </si>
  <si>
    <t>28971.50819411487 164.79449472671197 3840.2067843506898</t>
  </si>
  <si>
    <t>28974.353626354045 161.4534774358419 3804.0704270517813</t>
  </si>
  <si>
    <t>28966.562363876477 162.78988435218994 3810.6672339732827</t>
  </si>
  <si>
    <t>28958.77110139891 164.12629126853795 3817.2640408947846</t>
  </si>
  <si>
    <t>28950.97983892134 165.462698184886 3823.860847816286</t>
  </si>
  <si>
    <t>28943.188576443772 166.799105101234 3830.457654737788</t>
  </si>
  <si>
    <t>28935.397313966205 168.13551201758204 3837.0544616592892</t>
  </si>
  <si>
    <t>28942.050403548103 168.13551201758204 3844.912197657351</t>
  </si>
  <si>
    <t>28948.70349313 168.13551201758204 3852.769933655413</t>
  </si>
  <si>
    <t>28955.356582711902 168.13551201758204 3860.6276696534746</t>
  </si>
  <si>
    <t>28962.0096722938 168.13551201758204 3868.4854056515364</t>
  </si>
  <si>
    <t>28968.662761875697 168.13551201758204 3876.3431416495982</t>
  </si>
  <si>
    <t>28976.454024353265 166.799105101234 3869.746334728097</t>
  </si>
  <si>
    <t>28984.245286830832 165.462698184886 3863.149527806595</t>
  </si>
  <si>
    <t>28992.036549308403 164.12629126853795 3856.5527208850935</t>
  </si>
  <si>
    <t>28999.82781178597 162.78988435218994 3849.9559139635917</t>
  </si>
  <si>
    <t>29007.619074263537 161.4534774358419 3843.3591070420903</t>
  </si>
  <si>
    <t>29000.96598468164 161.4534774358419 3835.5013710440285</t>
  </si>
  <si>
    <t>28994.31289509974 161.4534774358419 3827.6436350459667</t>
  </si>
  <si>
    <t>28987.65980551784 161.4534774358419 3819.785899047905</t>
  </si>
  <si>
    <t>28981.006715935942 161.4534774358419 3811.928163049843</t>
  </si>
  <si>
    <t>28971.50819411487 158.91600283697406 3840.2067843506898</t>
  </si>
  <si>
    <t>28949.896169204614 163.43712450085008 3865.5060284512324</t>
  </si>
  <si>
    <t>28955.933726883177 160.70803154311142 3865.805404226872</t>
  </si>
  <si>
    <t>28966.159752157793 159.51334573901985 3865.8989398478284</t>
  </si>
  <si>
    <t>28976.385777432413 158.31865993492826 3865.992475468785</t>
  </si>
  <si>
    <t>28986.61180270703 157.1239741308367 3866.0860110897415</t>
  </si>
  <si>
    <t>28996.837827981646 155.9292883267451 3866.179546710698</t>
  </si>
  <si>
    <t>28996.93199970955 155.9292883267451 3855.8839773876516</t>
  </si>
  <si>
    <t>28997.02617143746 155.9292883267451 3845.5884080646047</t>
  </si>
  <si>
    <t>28997.120343165367 155.9292883267451 3835.2928387415577</t>
  </si>
  <si>
    <t>28997.214514893276 155.9292883267451 3824.9972694185108</t>
  </si>
  <si>
    <t>28997.30868662118 155.9292883267451 3814.7017000954643</t>
  </si>
  <si>
    <t>28987.082661346565 157.1239741308367 3814.6081644745077</t>
  </si>
  <si>
    <t>28976.85663607195 158.31865993492826 3814.514628853551</t>
  </si>
  <si>
    <t>28966.63061079733 159.51334573901985 3814.4210932325946</t>
  </si>
  <si>
    <t>28956.404585522712 160.70803154311142 3814.327557611638</t>
  </si>
  <si>
    <t>28946.178560248096 161.902717347203 3814.2340219906814</t>
  </si>
  <si>
    <t>28946.08438852019 161.902717347203 3824.529591313728</t>
  </si>
  <si>
    <t>28945.99021679228 161.902717347203 3834.825160636775</t>
  </si>
  <si>
    <t>28945.896045064375 161.902717347203 3845.120729959822</t>
  </si>
  <si>
    <t>28945.801873336466 161.902717347203 3855.4162992828687</t>
  </si>
  <si>
    <t>29003.850996545425 -158.63565315112825 3980.4206105257717</t>
  </si>
  <si>
    <t>28962.938606774067 -159.20931086426293 3978.711548641386</t>
  </si>
  <si>
    <t>28970.777666439102 -158.97984777900908 3987.2357717297677</t>
  </si>
  <si>
    <t>28978.61672610414 -158.7503846937552 3995.7599948181496</t>
  </si>
  <si>
    <t>28986.455785769176 -158.5209216085013 4004.284217906531</t>
  </si>
  <si>
    <t>28994.294845434215 -158.29145852324743 4012.808440994913</t>
  </si>
  <si>
    <t>29002.13390509925 -158.06199543799357 4021.3326640832947</t>
  </si>
  <si>
    <t>29010.659801342757 -158.06199543799357 4013.4920657486673</t>
  </si>
  <si>
    <t>29019.185697586265 -158.06199543799357 4005.65146741404</t>
  </si>
  <si>
    <t>29027.71159382977 -158.06199543799357 3997.8108690794124</t>
  </si>
  <si>
    <t>29036.237490073276 -158.06199543799357 3989.970270744785</t>
  </si>
  <si>
    <t>29044.763386316783 -158.06199543799357 3982.1296724101576</t>
  </si>
  <si>
    <t>29036.924326651748 -158.29145852324743 3973.6054493217757</t>
  </si>
  <si>
    <t>29029.08526698671 -158.5209216085013 3965.081226233394</t>
  </si>
  <si>
    <t>29021.246207321674 -158.7503846937552 3956.5570031450125</t>
  </si>
  <si>
    <t>29013.407147656635 -158.97984777900908 3948.0327800566306</t>
  </si>
  <si>
    <t>29005.5680879916 -159.20931086426293 3939.5085569682487</t>
  </si>
  <si>
    <t>28997.042191748093 -159.20931086426293 3947.349155302876</t>
  </si>
  <si>
    <t>28988.516295504585 -159.20931086426293 3955.1897536375036</t>
  </si>
  <si>
    <t>28979.99039926108 -159.20931086426293 3963.030351972131</t>
  </si>
  <si>
    <t>28971.464503017574 -159.20931086426293 3970.8709503067585</t>
  </si>
  <si>
    <t>29003.850996545425 -148.49769901984257 3980.4206105257726</t>
  </si>
  <si>
    <t>29003.609706781488 -150.0633253169225 4016.787983176924</t>
  </si>
  <si>
    <t>29010.931337340142 -149.43707479809052 4009.5762460595406</t>
  </si>
  <si>
    <t>29018.252967898796 -148.81082427925855 4002.364508942157</t>
  </si>
  <si>
    <t>29025.57459845745 -148.1845737604266 3995.1527718247735</t>
  </si>
  <si>
    <t>29032.896229016103 -147.55832324159462 3987.94103470739</t>
  </si>
  <si>
    <t>29040.217859574757 -146.93207272276265 3980.7292975900064</t>
  </si>
  <si>
    <t>29032.992744921678 -146.93207272276265 3973.3940856469294</t>
  </si>
  <si>
    <t>29025.767630268598 -146.93207272276265 3966.0588737038524</t>
  </si>
  <si>
    <t>29018.54251561552 -146.93207272276265 3958.723661760775</t>
  </si>
  <si>
    <t>29011.31740096244 -146.93207272276265 3951.388449817698</t>
  </si>
  <si>
    <t>29004.092286309362 -146.93207272276265 3944.053237874621</t>
  </si>
  <si>
    <t>28996.770655750708 -147.55832324159462 3951.2649749920047</t>
  </si>
  <si>
    <t>28989.449025192054 -148.1845737604266 3958.4767121093882</t>
  </si>
  <si>
    <t>28982.1273946334 -148.81082427925855 3965.688449226772</t>
  </si>
  <si>
    <t>28974.805764074747 -149.43707479809052 3972.9001863441554</t>
  </si>
  <si>
    <t>28967.484133516093 -150.0633253169225 3980.111923461539</t>
  </si>
  <si>
    <t>28974.709248169172 -150.0633253169225 3987.447135404616</t>
  </si>
  <si>
    <t>28981.934362822252 -150.0633253169225 3994.782347347693</t>
  </si>
  <si>
    <t>28989.15947747533 -150.0633253169225 4002.1175592907703</t>
  </si>
  <si>
    <t>28996.38459212841 -150.0633253169225 4009.452771233847</t>
  </si>
  <si>
    <t>29003.850996545425 -139.8408042672882 3980.4206105257726</t>
  </si>
  <si>
    <t>28996.748187655718 -140.3275989201001 3947.991570064687</t>
  </si>
  <si>
    <t>28990.524517887494 -140.3732139266572 3955.647201041478</t>
  </si>
  <si>
    <t>28984.18609776868 -140.41966997044625 3963.443984484779</t>
  </si>
  <si>
    <t>28978.9093869205 -139.8438864265953 3972.2373591048463</t>
  </si>
  <si>
    <t>28973.843398354053 -139.85005074520947 3981.2008036350367</t>
  </si>
  <si>
    <t>28968.777409787606 -139.85621506382364 3990.164248165227</t>
  </si>
  <si>
    <t>28977.740855924287 -139.85621506382364 3995.230237639636</t>
  </si>
  <si>
    <t>28986.704302060967 -139.85621506382364 4000.2962271140445</t>
  </si>
  <si>
    <t>28995.667748197648 -139.85621506382364 4005.362216588453</t>
  </si>
  <si>
    <t>29004.631194334328 -139.85621506382364 4010.4282060628616</t>
  </si>
  <si>
    <t>29013.59464047101 -139.85621506382364 4015.4941955372706</t>
  </si>
  <si>
    <t>29018.660629037455 -139.85005074520947 4006.53075100708</t>
  </si>
  <si>
    <t>29023.7266176039 -139.8438864265953 3997.56730647689</t>
  </si>
  <si>
    <t>29028.79260617035 -139.8377221079811 3988.603861946699</t>
  </si>
  <si>
    <t>29033.858594736797 -139.83155778936694 3979.6404174165086</t>
  </si>
  <si>
    <t>29038.924583303244 -139.82539347075277 3970.6769728863183</t>
  </si>
  <si>
    <t>29029.961137166563 -139.82539347075277 3965.6109834119093</t>
  </si>
  <si>
    <t>29020.997691029883 -139.82539347075277 3960.5449939375007</t>
  </si>
  <si>
    <t>29012.034244893202 -139.82539347075277 3955.479004463092</t>
  </si>
  <si>
    <t>29003.070798756522 -139.82539347075277 3950.4130149886837</t>
  </si>
  <si>
    <t>Pt1   2   3   modified</t>
  </si>
  <si>
    <t>29068.47230790158 -154.32688681840227 3945.13031535279</t>
  </si>
  <si>
    <t>29027.554403899147 -154.2676536778053 3943.458419428179</t>
  </si>
  <si>
    <t>29035.403588394005 -154.2913469340441 3951.9763787140214</t>
  </si>
  <si>
    <t>29043.252772888864 -154.31504019028287 3960.4943379998645</t>
  </si>
  <si>
    <t>29051.101957383722 -154.33873344652167 3969.0122972857075</t>
  </si>
  <si>
    <t>29058.95114187858 -154.36242670276044 3977.5302565715506</t>
  </si>
  <si>
    <t>29066.80032637344 -154.38611995899925 3986.048215857393</t>
  </si>
  <si>
    <t>29075.318303479555 -154.38611995899925 3978.199014941395</t>
  </si>
  <si>
    <t>29083.836280585667 -154.38611995899925 3970.3498140253964</t>
  </si>
  <si>
    <t>29092.354257691783 -154.38611995899925 3962.5006131093983</t>
  </si>
  <si>
    <t>29100.872234797895 -154.38611995899925 3954.6514121933997</t>
  </si>
  <si>
    <t>29109.39021190401 -154.38611995899925 3946.8022112774015</t>
  </si>
  <si>
    <t>29101.541027409152 -154.36242670276044 3938.284251991559</t>
  </si>
  <si>
    <t>29093.691842914293 -154.33873344652167 3929.766292705716</t>
  </si>
  <si>
    <t>29085.842658419435 -154.31504019028287 3921.248333419873</t>
  </si>
  <si>
    <t>29077.993473924576 -154.2913469340441 3912.7303741340297</t>
  </si>
  <si>
    <t>29070.144289429718 -154.2676536778053 3904.212414848187</t>
  </si>
  <si>
    <t>29061.626312323602 -154.2676536778053 3912.0616157641853</t>
  </si>
  <si>
    <t>29053.10833521749 -154.2676536778053 3919.910816680184</t>
  </si>
  <si>
    <t>29044.590358111374 -154.2676536778053 3927.760017596182</t>
  </si>
  <si>
    <t>29036.072381005262 -154.2676536778053 3935.6092185121806</t>
  </si>
  <si>
    <t>29068.47230790158 -143.61064228269737 3945.13031535279</t>
  </si>
  <si>
    <t>29032.170149230365 -143.49483232082704 3942.440507950212</t>
  </si>
  <si>
    <t>29038.89254599694 -143.54115630557519 3950.2388957195676</t>
  </si>
  <si>
    <t>29045.61494276351 -143.5874802903233 3958.0372834889226</t>
  </si>
  <si>
    <t>29052.33733953008 -143.63380427507144 3965.8356712582777</t>
  </si>
  <si>
    <t>29059.05973629665 -143.68012825981955 3973.6340590276327</t>
  </si>
  <si>
    <t>29065.782133063225 -143.7264522445677 3981.432446796988</t>
  </si>
  <si>
    <t>29073.58059976514 -143.7264522445677 3974.709981988664</t>
  </si>
  <si>
    <t>29081.379066467052 -143.7264522445677 3967.98751718034</t>
  </si>
  <si>
    <t>29089.177533168964 -143.7264522445677 3961.2650523720163</t>
  </si>
  <si>
    <t>29096.975999870876 -143.7264522445677 3954.5425875636925</t>
  </si>
  <si>
    <t>29104.77446657279 -143.7264522445677 3947.820122755368</t>
  </si>
  <si>
    <t>29098.052069806217 -143.68012825981955 3940.0217349860127</t>
  </si>
  <si>
    <t>29091.329673039647 -143.63380427507144 3932.2233472166577</t>
  </si>
  <si>
    <t>29084.607276273076 -143.5874802903233 3924.4249594473026</t>
  </si>
  <si>
    <t>29077.884879506506 -143.54115630557519 3916.6265716779476</t>
  </si>
  <si>
    <t>29071.162482739932 -143.49483232082704 3908.828183908592</t>
  </si>
  <si>
    <t>29063.364016038016 -143.49483232082704 3915.5506487169164</t>
  </si>
  <si>
    <t>29055.565549336105 -143.49483232082704 3922.27311352524</t>
  </si>
  <si>
    <t>29047.767082634193 -143.49483232082704 3928.995578333564</t>
  </si>
  <si>
    <t>29039.96861593228 -143.49483232082704 3935.718043141888</t>
  </si>
  <si>
    <t>29068.47230790158 -135.95583855643667 3945.13031535279</t>
  </si>
  <si>
    <t>29066.262739315298 -133.0786463109963 3908.909675222537</t>
  </si>
  <si>
    <t>29059.457890041926 -134.22952320917244 3916.5501676629447</t>
  </si>
  <si>
    <t>29052.653040768553 -135.3804001073486 3924.190660103352</t>
  </si>
  <si>
    <t>29045.84819149518 -136.53127700552474 3931.83115254376</t>
  </si>
  <si>
    <t>29039.04334222181 -137.6821539037009 3939.471644984167</t>
  </si>
  <si>
    <t>29032.238492948436 -138.83303080187704 3947.112137424575</t>
  </si>
  <si>
    <t>29039.92716965632 -138.83303080187704 3953.9599010362685</t>
  </si>
  <si>
    <t>29047.615846364206 -138.83303080187704 3960.807664647962</t>
  </si>
  <si>
    <t>29055.30452307209 -138.83303080187704 3967.655428259656</t>
  </si>
  <si>
    <t>29062.993199779976 -138.83303080187704 3974.50319187135</t>
  </si>
  <si>
    <t>29067.97008962791 -137.5716114838634 3977.7384477336636</t>
  </si>
  <si>
    <t>29075.181376985453 -136.98746872400756 3971.131060999299</t>
  </si>
  <si>
    <t>29082.664098618065 -135.83815836929085 3964.2404209404385</t>
  </si>
  <si>
    <t>29090.089536174255 -134.5784392741182 3957.4036985033745</t>
  </si>
  <si>
    <t>29097.51203260655 -133.20696733196223 3950.5705845461234</t>
  </si>
  <si>
    <t>29104.70612285472 -133.0786463109963 3943.1484932810054</t>
  </si>
  <si>
    <t>29097.017446146838 -133.0786463109963 3936.3007296693117</t>
  </si>
  <si>
    <t>29089.32876943895 -133.0786463109963 3929.452966057618</t>
  </si>
  <si>
    <t>29081.640092731068 -133.0786463109963 3922.605202445924</t>
  </si>
  <si>
    <t>29073.95141602318 -133.0786463109963 3915.7574388342305</t>
  </si>
  <si>
    <t>Pt11   12   13   14   15   modified</t>
  </si>
  <si>
    <t>28959.486966765293 -160.36689524527202 3928.8395127391377</t>
  </si>
  <si>
    <t>28918.58178921121 -161.24651699379373 3927.088419552392</t>
  </si>
  <si>
    <t>28926.408829978554 -160.89466829438504 3935.6195111776797</t>
  </si>
  <si>
    <t>28934.2358707459 -160.54281959497635 3944.1506028029667</t>
  </si>
  <si>
    <t>28942.062911513247 -160.1909708955677 3952.681694428254</t>
  </si>
  <si>
    <t>28949.88995228059 -159.839122196159 3961.212786053541</t>
  </si>
  <si>
    <t>28957.716993047936 -159.4872734967503 3969.7438776788285</t>
  </si>
  <si>
    <t>28966.252023302226 -159.4872734967503 3961.9132233282394</t>
  </si>
  <si>
    <t>28974.787053556513 -159.4872734967503 3954.08256897765</t>
  </si>
  <si>
    <t>28983.3220838108 -159.4872734967503 3946.2519146270615</t>
  </si>
  <si>
    <t>28991.857114065086 -159.4872734967503 3938.4212602764724</t>
  </si>
  <si>
    <t>29000.392144319376 -159.4872734967503 3930.590605925883</t>
  </si>
  <si>
    <t>28992.56510355203 -159.839122196159 3922.0595143005958</t>
  </si>
  <si>
    <t>28984.738062784687 -160.1909708955677 3913.528422675309</t>
  </si>
  <si>
    <t>28976.91102201734 -160.54281959497635 3904.9973310500213</t>
  </si>
  <si>
    <t>28969.083981249994 -160.89466829438504 3896.4662394247343</t>
  </si>
  <si>
    <t>28961.25694048265 -161.24651699379373 3887.935147799447</t>
  </si>
  <si>
    <t>28952.72191022836 -161.24651699379373 3895.765802150036</t>
  </si>
  <si>
    <t>28944.186879974073 -161.24651699379373 3903.596456500625</t>
  </si>
  <si>
    <t>28935.651849719787 -161.24651699379373 3911.427110851214</t>
  </si>
  <si>
    <t>28927.1168194655 -161.24651699379373 3919.257765201803</t>
  </si>
  <si>
    <t>28959.486966765293 -150.05752988563947 3928.8395127391377</t>
  </si>
  <si>
    <t>28953.554871500535 -153.2145683903717 3964.615741629974</t>
  </si>
  <si>
    <t>28961.887339394576 -151.95175298847883 3958.701107908808</t>
  </si>
  <si>
    <t>28970.219807288613 -150.68893758658592 3952.7864741876424</t>
  </si>
  <si>
    <t>28978.552275182654 -149.426122184693 3946.8718404664764</t>
  </si>
  <si>
    <t>28986.88474307669 -148.1633067828001 3940.957206745311</t>
  </si>
  <si>
    <t>28995.21721097073 -146.90049138090723 3935.042573024145</t>
  </si>
  <si>
    <t>28989.257581182595 -146.90049138090723 3926.646715188976</t>
  </si>
  <si>
    <t>28983.29795139446 -146.90049138090723 3918.2508573538075</t>
  </si>
  <si>
    <t>28977.338321606323 -146.90049138090723 3909.854999518639</t>
  </si>
  <si>
    <t>28971.378691818187 -146.90049138090723 3901.4591416834705</t>
  </si>
  <si>
    <t>28965.41906203005 -146.90049138090723 3893.0632838483016</t>
  </si>
  <si>
    <t>28957.08659413601 -148.1633067828001 3898.9779175694675</t>
  </si>
  <si>
    <t>28948.754126241973 -149.426122184693 3904.892551290633</t>
  </si>
  <si>
    <t>28940.421658347932 -150.68893758658592 3910.807185011799</t>
  </si>
  <si>
    <t>28932.089190453895 -151.95175298847883 3916.7218187329645</t>
  </si>
  <si>
    <t>28923.756722559854 -153.2145683903717 3922.6364524541304</t>
  </si>
  <si>
    <t>28929.71635234799 -153.2145683903717 3931.0323102892994</t>
  </si>
  <si>
    <t>28935.675982136127 -153.2145683903717 3939.428168124468</t>
  </si>
  <si>
    <t>28941.635611924263 -153.2145683903717 3947.8240259596364</t>
  </si>
  <si>
    <t>28947.5952417124 -153.2145683903717 3956.219883794805</t>
  </si>
  <si>
    <t>28959.486966765293 -144.169 3928.8395127391377</t>
  </si>
  <si>
    <t>28918.589143746023 -145.3420882087051 3927.0886418589453</t>
  </si>
  <si>
    <t>28926.41181697389 -144.87285292522307 3935.6180903064537</t>
  </si>
  <si>
    <t>28934.23449020176 -144.40361764174102 3944.147538753962</t>
  </si>
  <si>
    <t>28942.057163429632 -143.934382358259 3952.676987201471</t>
  </si>
  <si>
    <t>28949.879836657503 -143.46514707477695 3961.2064356489796</t>
  </si>
  <si>
    <t>28957.70250988537 -142.99591179129493 3969.735884096488</t>
  </si>
  <si>
    <t>28966.23896586521 -142.99591179129493 3961.9067840010566</t>
  </si>
  <si>
    <t>28974.775421845046 -142.99591179129493 3954.077683905625</t>
  </si>
  <si>
    <t>28983.311877824886 -142.99591179129493 3946.2485838101934</t>
  </si>
  <si>
    <t>28991.848333804723 -142.99591179129493 3938.4194837147616</t>
  </si>
  <si>
    <t>29000.384789784563 -142.99591179129493 3930.59038361933</t>
  </si>
  <si>
    <t>28992.562116556695 -143.46514707477695 3922.0609351718217</t>
  </si>
  <si>
    <t>28984.739443328825 -143.934382358259 3913.5314867243133</t>
  </si>
  <si>
    <t>28976.916770100954 -144.40361764174102 3905.0020382768043</t>
  </si>
  <si>
    <t>28969.094096873083 -144.87285292522307 3896.472589829296</t>
  </si>
  <si>
    <t>28961.271423645216 -145.3420882087051 3887.9431413817874</t>
  </si>
  <si>
    <t>28952.519586484734 -144.31731385838057 3895.924675946795</t>
  </si>
  <si>
    <t>28944.19851168554 -145.3420882087051 3903.6013415726507</t>
  </si>
  <si>
    <t>28935.6620557057 -145.3420882087051 3911.430441668082</t>
  </si>
  <si>
    <t>28927.125599725863 -145.3420882087051 3919.259541763514</t>
  </si>
  <si>
    <t>Pt17   modified</t>
  </si>
  <si>
    <t>29019.994618965018 -143.85374269724184 3892.6738388257986</t>
  </si>
  <si>
    <t>29056.38551988303 -143.49186792685924 3891.857397140339</t>
  </si>
  <si>
    <t>29048.944770704864 -143.6366178350123 3884.742489190711</t>
  </si>
  <si>
    <t>29041.504021526696 -143.78136774316533 3877.627581241082</t>
  </si>
  <si>
    <t>29034.06327234853 -143.92611765131835 3870.512673291454</t>
  </si>
  <si>
    <t>29026.62252317036 -144.0708675594714 3863.3977653418256</t>
  </si>
  <si>
    <t>29019.181773992193 -144.21561746762444 3856.2828573921975</t>
  </si>
  <si>
    <t>29012.066162803156 -144.21561746762444 3863.7243420160094</t>
  </si>
  <si>
    <t>29004.950551614118 -144.21561746762444 3871.1658266398217</t>
  </si>
  <si>
    <t>28997.83494042508 -144.21561746762444 3878.607311263634</t>
  </si>
  <si>
    <t>28990.719329236043 -144.21561746762444 3886.0487958874464</t>
  </si>
  <si>
    <t>28983.603718047005 -144.21561746762444 3893.4902805112583</t>
  </si>
  <si>
    <t>28991.044467225172 -144.0708675594714 3900.6051884608864</t>
  </si>
  <si>
    <t>28998.48521640334 -143.92611765131835 3907.720096410515</t>
  </si>
  <si>
    <t>29005.925965581508 -143.78136774316533 3914.835004360143</t>
  </si>
  <si>
    <t>29013.366714759675 -143.6366178350123 3921.9499123097717</t>
  </si>
  <si>
    <t>29020.807463937843 -143.49186792685924 3929.0648202593998</t>
  </si>
  <si>
    <t>29027.92307512688 -143.49186792685924 3921.623335635588</t>
  </si>
  <si>
    <t>29035.03868631592 -143.49186792685924 3914.1818510117755</t>
  </si>
  <si>
    <t>29042.154297504956 -143.49186792685924 3906.740366387963</t>
  </si>
  <si>
    <t>29049.269908693994 -143.49186792685924 3899.298881764151</t>
  </si>
  <si>
    <t>29019.99461896502 -154.27819639446238 3892.673838825799</t>
  </si>
  <si>
    <t>28979.07886256111 -154.4780689268493 3890.9607885152163</t>
  </si>
  <si>
    <t>28986.919208847026 -154.39811991389453 3899.4865416943953</t>
  </si>
  <si>
    <t>28994.75955513294 -154.31817090093978 3908.0122948735743</t>
  </si>
  <si>
    <t>29002.599901418853 -154.238221887985 3916.538048052753</t>
  </si>
  <si>
    <t>29010.440247704766 -154.15827287503024 3925.063801231932</t>
  </si>
  <si>
    <t>29018.280593990683 -154.07832386207548 3933.589554411111</t>
  </si>
  <si>
    <t>29026.806550266334 -154.07832386207548 3925.749021356165</t>
  </si>
  <si>
    <t>29035.332506541985 -154.07832386207548 3917.908488301219</t>
  </si>
  <si>
    <t>29043.858462817632 -154.07832386207548 3910.0679552462734</t>
  </si>
  <si>
    <t>29052.384419093283 -154.07832386207548 3902.2274221913276</t>
  </si>
  <si>
    <t>29060.910375368934 -154.07832386207548 3894.386889136382</t>
  </si>
  <si>
    <t>29053.070029083017 -154.15827287503024 3885.861135957203</t>
  </si>
  <si>
    <t>29045.229682797104 -154.238221887985 3877.335382778024</t>
  </si>
  <si>
    <t>29037.38933651119 -154.31817090093978 3868.8096295988453</t>
  </si>
  <si>
    <t>29029.548990225278 -154.39811991389453 3860.2838764196663</t>
  </si>
  <si>
    <t>29021.70864393936 -154.4780689268493 3851.7581232404873</t>
  </si>
  <si>
    <t>29013.18268766371 -154.4780689268493 3859.598656295433</t>
  </si>
  <si>
    <t>29004.65673138806 -154.4780689268493 3867.439189350379</t>
  </si>
  <si>
    <t>28996.13077511241 -154.4780689268493 3875.2797224053247</t>
  </si>
  <si>
    <t>28987.60481883676 -154.4780689268493 3883.1202554602705</t>
  </si>
  <si>
    <t>28912.99448231777 159.34803458400896 4092.198825511893</t>
  </si>
  <si>
    <t>28914.68909432866 160.43891533250303 4051.2963575933786</t>
  </si>
  <si>
    <t>28922.53090411171 160.0025630331054 4059.809964643111</t>
  </si>
  <si>
    <t>28930.37271389476 159.56621073370778 4068.3235716928434</t>
  </si>
  <si>
    <t>28938.214523677812 159.12985843431014 4076.8371787425754</t>
  </si>
  <si>
    <t>28946.056333460863 158.69350613491252 4085.3507857923078</t>
  </si>
  <si>
    <t>28953.898143243914 158.25715383551488 4093.86439284204</t>
  </si>
  <si>
    <t>28945.378488656508 158.25715383551488 4101.711772959714</t>
  </si>
  <si>
    <t>28936.8588340691 158.25715383551488 4109.559153077387</t>
  </si>
  <si>
    <t>28928.339179481693 158.25715383551488 4117.406533195061</t>
  </si>
  <si>
    <t>28919.819524894283 158.25715383551488 4125.253913312734</t>
  </si>
  <si>
    <t>28911.299870306877 158.25715383551488 4133.101293430407</t>
  </si>
  <si>
    <t>28903.458060523826 158.69350613491252 4124.587686380675</t>
  </si>
  <si>
    <t>28895.616250740775 159.12985843431014 4116.074079330942</t>
  </si>
  <si>
    <t>28887.774440957724 159.56621073370778 4107.56047228121</t>
  </si>
  <si>
    <t>28879.932631174674 160.0025630331054 4099.046865231478</t>
  </si>
  <si>
    <t>28872.090821391623 160.43891533250303 4090.5332581817456</t>
  </si>
  <si>
    <t>28880.61047597903 160.43891533250303 4082.6858780640723</t>
  </si>
  <si>
    <t>28889.13013056644 160.43891533250303 4074.838497946399</t>
  </si>
  <si>
    <t>28897.649785153844 160.43891533250303 4066.9911178287257</t>
  </si>
  <si>
    <t>28906.169439741254 160.43891533250303 4059.143737711052</t>
  </si>
  <si>
    <t>28912.994482317765 148.8660901930996 4092.1988255118936</t>
  </si>
  <si>
    <t>28948.78201560005 149.11076531563546 4085.5439178751303</t>
  </si>
  <si>
    <t>28942.95581385016 149.01289526662111 4094.0323459170663</t>
  </si>
  <si>
    <t>28937.129612100274 148.91502521760677 4102.520773959002</t>
  </si>
  <si>
    <t>28931.30341035039 148.81715516859245 4111.009202000938</t>
  </si>
  <si>
    <t>28925.477208600503 148.7192851195781 4119.497630042874</t>
  </si>
  <si>
    <t>28919.651006850614 148.62141507056376 4127.98605808481</t>
  </si>
  <si>
    <t>28911.162195287587 148.62141507056376 4122.159593097579</t>
  </si>
  <si>
    <t>28902.67338372456 148.62141507056376 4116.333128110348</t>
  </si>
  <si>
    <t>28894.184572161535 148.62141507056376 4110.5066631231175</t>
  </si>
  <si>
    <t>28885.695760598508 148.62141507056376 4104.680198135888</t>
  </si>
  <si>
    <t>28877.20694903548 148.62141507056376 4098.853733148657</t>
  </si>
  <si>
    <t>28883.03315078537 148.7192851195781 4090.3653051067213</t>
  </si>
  <si>
    <t>28888.859352535255 148.81715516859245 4081.8768770647853</t>
  </si>
  <si>
    <t>28894.68555428514 148.91502521760677 4073.3884490228497</t>
  </si>
  <si>
    <t>28900.511756035026 149.01289526662111 4064.9000209809137</t>
  </si>
  <si>
    <t>28906.337957784915 149.11076531563546 4056.4115929389777</t>
  </si>
  <si>
    <t>28914.826769347943 149.11076531563546 4062.238057926208</t>
  </si>
  <si>
    <t>28923.31558091097 149.11076531563546 4068.0645229134384</t>
  </si>
  <si>
    <t>28931.804392473994 149.11076531563546 4073.890987900669</t>
  </si>
  <si>
    <t>28940.29320403702 149.11076531563546 4079.7174528878995</t>
  </si>
  <si>
    <t>28912.994482317765 140.50724173242955 4092.1988255118936</t>
  </si>
  <si>
    <t>28948.93803399151 140.41612564869527 4086.44139631683</t>
  </si>
  <si>
    <t>28942.90085453558 140.45257208218896 4094.7815852759823</t>
  </si>
  <si>
    <t>28936.863675079647 140.4890185156827 4103.121774235135</t>
  </si>
  <si>
    <t>28930.826495623714 140.5254649491764 4111.461963194286</t>
  </si>
  <si>
    <t>28924.789316167782 140.56191138267013 4119.802152153438</t>
  </si>
  <si>
    <t>28918.75213671185 140.59835781616383 4128.142341112591</t>
  </si>
  <si>
    <t>28910.411895498284 140.59835781616383 4122.105123831464</t>
  </si>
  <si>
    <t>28902.07165428472 140.59835781616383 4116.067906550337</t>
  </si>
  <si>
    <t>28893.73141307115 140.59835781616383 4110.030689269211</t>
  </si>
  <si>
    <t>28885.391171857584 140.59835781616383 4103.993471988084</t>
  </si>
  <si>
    <t>28877.050930644018 140.59835781616383 4097.956254706957</t>
  </si>
  <si>
    <t>28883.08811009995 140.56191138267013 4089.616065747805</t>
  </si>
  <si>
    <t>28889.125289555883 140.5254649491764 4081.275876788653</t>
  </si>
  <si>
    <t>28895.162469011815 140.4890185156827 4072.9356878295007</t>
  </si>
  <si>
    <t>28901.63282316422 141.0290639714392 4064.938606003225</t>
  </si>
  <si>
    <t>28908.114380772953 140.98125409008458 4056.9641326082983</t>
  </si>
  <si>
    <t>28915.577069137245 140.41612564869527 4062.292527192323</t>
  </si>
  <si>
    <t>28923.91731035081 140.41612564869527 4068.32974447345</t>
  </si>
  <si>
    <t>28932.25755156438 140.41612564869527 4074.3669617545766</t>
  </si>
  <si>
    <t>28940.597792777946 140.41612564869527 4080.4041790357032</t>
  </si>
  <si>
    <t>29068.405697453865 154.32792667217433 3945.1911892640887</t>
  </si>
  <si>
    <t>29070.09437623232 154.38142142530387 3904.2739665480417</t>
  </si>
  <si>
    <t>29077.940085596125 154.36002352405205 3912.795132883028</t>
  </si>
  <si>
    <t>29085.78579495993 154.33862562280024 3921.3162992180146</t>
  </si>
  <si>
    <t>29093.631504323737 154.31722772154842 3929.837465553001</t>
  </si>
  <si>
    <t>29101.477213687544 154.2958298202966 3938.3586318879875</t>
  </si>
  <si>
    <t>29109.32292305135 154.2744319190448 3946.879798222974</t>
  </si>
  <si>
    <t>29100.80174217616 154.2744319190448 3954.725520974406</t>
  </si>
  <si>
    <t>29092.280561300973 154.2744319190448 3962.5712437258385</t>
  </si>
  <si>
    <t>29083.75938042579 154.2744319190448 3970.416966477271</t>
  </si>
  <si>
    <t>29075.2381995506 154.2744319190448 3978.2626892287035</t>
  </si>
  <si>
    <t>29066.717018675412 154.2744319190448 3986.1084119801358</t>
  </si>
  <si>
    <t>29058.871309311606 154.2958298202966 3977.5872456451493</t>
  </si>
  <si>
    <t>29051.0255999478 154.31722772154842 3969.066079310163</t>
  </si>
  <si>
    <t>29043.179890583993 154.33862562280024 3960.5449129751764</t>
  </si>
  <si>
    <t>29035.334181220187 154.36002352405205 3952.02374664019</t>
  </si>
  <si>
    <t>29027.48847185638 154.38142142530387 3943.5025803052035</t>
  </si>
  <si>
    <t>29036.00965273157 154.38142142530387 3935.6568575537713</t>
  </si>
  <si>
    <t>29044.530833606757 154.38142142530387 3927.811134802339</t>
  </si>
  <si>
    <t>29053.052014481942 154.38142142530387 3919.9654120509063</t>
  </si>
  <si>
    <t>29061.57319535713 154.38142142530387 3912.119689299474</t>
  </si>
  <si>
    <t>29068.405697453865 143.61364277899415 3945.1911892640887</t>
  </si>
  <si>
    <t>29102.726045129373 141.26902293791417 3933.286917205993</t>
  </si>
  <si>
    <t>29098.271404005107 142.20687087434615 3942.521863318567</t>
  </si>
  <si>
    <t>29093.81676288084 143.14471881077816 3951.75680943114</t>
  </si>
  <si>
    <t>29089.362121756578 144.08256674721014 3960.991755543713</t>
  </si>
  <si>
    <t>29084.90748063231 145.02041468364214 3970.2267016562864</t>
  </si>
  <si>
    <t>29080.452839508045 145.95826262007412 3979.46164776886</t>
  </si>
  <si>
    <t>29071.179341562107 145.95826262007412 3974.988410479525</t>
  </si>
  <si>
    <t>29061.90584361617 145.95826262007412 3970.5151731901897</t>
  </si>
  <si>
    <t>29052.632345670234 145.95826262007412 3966.0419359008547</t>
  </si>
  <si>
    <t>29043.358847724296 145.95826262007412 3961.5686986115193</t>
  </si>
  <si>
    <t>29034.085349778357 145.95826262007412 3957.0954613221843</t>
  </si>
  <si>
    <t>29038.539990902624 145.02041468364214 3947.8605152096106</t>
  </si>
  <si>
    <t>29042.99463202689 144.08256674721014 3938.6255690970374</t>
  </si>
  <si>
    <t>29047.449273151153 143.14471881077816 3929.3906229844642</t>
  </si>
  <si>
    <t>29051.90391427542 142.20687087434615 3920.155676871891</t>
  </si>
  <si>
    <t>29056.358555399685 141.26902293791417 3910.9207307593174</t>
  </si>
  <si>
    <t>29065.632053345624 141.26902293791417 3915.3939680486524</t>
  </si>
  <si>
    <t>29074.905551291562 141.26902293791417 3919.867205337988</t>
  </si>
  <si>
    <t>29084.179049237497 141.26902293791417 3924.340442627323</t>
  </si>
  <si>
    <t>29093.452547183435 141.26902293791417 3928.813679916658</t>
  </si>
  <si>
    <t>29068.405697453865 135.89616818853574 3945.1911892640887</t>
  </si>
  <si>
    <t>29104.622526016396 133.16373584622715 3942.747760859766</t>
  </si>
  <si>
    <t>29097.54209474993 132.9169282351277 3950.3588016876492</t>
  </si>
  <si>
    <t>29090.085818678348 134.41609665040787 3957.161984550254</t>
  </si>
  <si>
    <t>29082.62031371981 135.89068299004458 3963.9736285646527</t>
  </si>
  <si>
    <t>29075.130688920002 137.34672093518572 3970.807463050243</t>
  </si>
  <si>
    <t>29067.728420067047 138.13489848812355 3977.5718616826916</t>
  </si>
  <si>
    <t>29063.281217729636 138.62860053084432 3974.6417963384883</t>
  </si>
  <si>
    <t>29055.508130520062 138.62860053084432 3967.890001670969</t>
  </si>
  <si>
    <t>29047.735043310484 138.62860053084432 3961.13820700345</t>
  </si>
  <si>
    <t>29039.96195610091 138.62860053084432 3954.386412335931</t>
  </si>
  <si>
    <t>29032.815890314792 136.89705723364514 3947.0443392703955</t>
  </si>
  <si>
    <t>29038.902513106772 137.53562759392088 3939.905451639163</t>
  </si>
  <si>
    <t>29045.61615732221 136.44265465699746 3932.176285609915</t>
  </si>
  <si>
    <t>29052.329801537646 135.34968172007402 3924.4471195806664</t>
  </si>
  <si>
    <t>29059.043445753083 134.2567087831506 3916.7179535514183</t>
  </si>
  <si>
    <t>29065.75708996852 133.16373584622715 3908.98878752217</t>
  </si>
  <si>
    <t>29073.530177178094 133.16373584622715 3915.740582189689</t>
  </si>
  <si>
    <t>29081.30326438767 133.16373584622715 3922.4923768572085</t>
  </si>
  <si>
    <t>29089.076351597247 133.16373584622715 3929.2441715247273</t>
  </si>
  <si>
    <t>29096.84943880682 133.16373584622715 3935.9959661922467</t>
  </si>
  <si>
    <t>Pt2   3   4   5   6   11   modified</t>
  </si>
  <si>
    <t>28795.644358848425 161.69954288573578 4127.418985620729</t>
  </si>
  <si>
    <t>28797.354762203144 163.48520908646782 4086.5416137741463</t>
  </si>
  <si>
    <t>28805.188792701974 162.770942606175 4095.043594633834</t>
  </si>
  <si>
    <t>28813.02282320081 162.05667612588218 4103.545575493522</t>
  </si>
  <si>
    <t>28820.85685369964 161.34240964558938 4112.04755635321</t>
  </si>
  <si>
    <t>28828.690884198473 160.62814316529656 4120.549537212898</t>
  </si>
  <si>
    <t>28836.524914697304 159.91387668500374 4129.051518072586</t>
  </si>
  <si>
    <t>28828.006722856582 159.91387668500374 4136.900485951532</t>
  </si>
  <si>
    <t>28819.488531015864 159.91387668500374 4144.749453830476</t>
  </si>
  <si>
    <t>28810.970339175146 159.91387668500374 4152.598421709421</t>
  </si>
  <si>
    <t>28802.45214733443 159.91387668500374 4160.447389588366</t>
  </si>
  <si>
    <t>28795.65923686736 160.13242804396947 4167.353065805355</t>
  </si>
  <si>
    <t>28786.099924994876 160.62814316529656 4159.794376607623</t>
  </si>
  <si>
    <t>28778.265894496042 161.34240964558938 4151.292395747935</t>
  </si>
  <si>
    <t>28770.43186399721 162.05667612588218 4142.790414888247</t>
  </si>
  <si>
    <t>28762.597833498377 162.770942606175 4134.288434028559</t>
  </si>
  <si>
    <t>28754.763802999547 163.48520908646782 4125.786453168871</t>
  </si>
  <si>
    <t>28763.28199484027 163.48520908646782 4117.9374852899255</t>
  </si>
  <si>
    <t>28771.800186680986 163.48520908646782 4110.088517410981</t>
  </si>
  <si>
    <t>28780.318378521704 163.48520908646782 4102.239549532036</t>
  </si>
  <si>
    <t>28788.836570362422 163.48520908646782 4094.390581653092</t>
  </si>
  <si>
    <t>28795.644358848425 151.48660585098665 4127.418985620729</t>
  </si>
  <si>
    <t>28813.152030351863 150.19631559083223 4159.3080400057715</t>
  </si>
  <si>
    <t>28803.277095080888 150.712431694894 4156.439783817568</t>
  </si>
  <si>
    <t>28793.402159809913 151.22854779895576 4153.571527629364</t>
  </si>
  <si>
    <t>28783.527224538935 151.74466390301754 4150.703271441161</t>
  </si>
  <si>
    <t>28773.65228926796 152.2607800070793 4147.8350152529565</t>
  </si>
  <si>
    <t>28763.777353996986 152.77689611114107 4144.966759064753</t>
  </si>
  <si>
    <t>28766.649220666586 152.77689611114107 4135.07939349894</t>
  </si>
  <si>
    <t>28769.521087336187 152.77689611114107 4125.192027933126</t>
  </si>
  <si>
    <t>28772.392954005787 152.77689611114107 4115.304662367313</t>
  </si>
  <si>
    <t>28775.264820675387 152.77689611114107 4105.417296801499</t>
  </si>
  <si>
    <t>28778.136687344988 152.77689611114107 4095.5299312356856</t>
  </si>
  <si>
    <t>28788.011622615963 152.2607800070793 4098.398187423889</t>
  </si>
  <si>
    <t>28797.886557886937 151.74466390301754 4101.266443612093</t>
  </si>
  <si>
    <t>28807.761493157916 151.22854779895576 4104.134699800296</t>
  </si>
  <si>
    <t>28817.63642842889 150.712431694894 4107.002955988501</t>
  </si>
  <si>
    <t>28827.511363699865 150.19631559083223 4109.871212176704</t>
  </si>
  <si>
    <t>28824.639497030264 150.19631559083223 4119.758577742517</t>
  </si>
  <si>
    <t>28821.767630360664 150.19631559083223 4129.645943308331</t>
  </si>
  <si>
    <t>28818.895763691064 150.19631559083223 4139.5333088741445</t>
  </si>
  <si>
    <t>28816.023897021463 150.19631559083223 4149.420674439958</t>
  </si>
  <si>
    <t>28795.644358848425 148.4770294532672 4127.418985620729</t>
  </si>
  <si>
    <t>28761.75726337672 147.68949887969603 4140.690750992643</t>
  </si>
  <si>
    <t>28765.877156064038 148.0045111091245 4131.260222505846</t>
  </si>
  <si>
    <t>28769.997048751356 148.31952333855295 4121.829694019049</t>
  </si>
  <si>
    <t>28774.116941438675 148.63453556798143 4112.3991655322525</t>
  </si>
  <si>
    <t>28778.236834125993 148.94954779740988 4102.968637045456</t>
  </si>
  <si>
    <t>28780.13674293388 149.7479337948037 4099.305790182409</t>
  </si>
  <si>
    <t>28789.829927687733 149.93819282784142 4102.99533675119</t>
  </si>
  <si>
    <t>28799.134386333455 149.40251999545052 4106.435713818133</t>
  </si>
  <si>
    <t>28808.597602205686 148.89267904506983 4109.936149736031</t>
  </si>
  <si>
    <t>28818.38331784282 148.40335769551217 4113.555759336601</t>
  </si>
  <si>
    <t>28828.24445872309 147.93941931110808 4117.203167932623</t>
  </si>
  <si>
    <t>28825.411561632813 148.94954779740988 4123.577748735611</t>
  </si>
  <si>
    <t>28821.291668945494 148.63453556798143 4133.008277222408</t>
  </si>
  <si>
    <t>28817.171776258176 148.31952333855295 4142.438805709205</t>
  </si>
  <si>
    <t>28813.051883570857 148.0045111091245 4151.869334196002</t>
  </si>
  <si>
    <t>28808.93199088354 147.68949887969603 4161.299862682798</t>
  </si>
  <si>
    <t>28799.497045382173 147.68949887969603 4157.178040344767</t>
  </si>
  <si>
    <t>28790.06209988081 147.68949887969603 4153.056218006736</t>
  </si>
  <si>
    <t>28780.627154379446 147.68949887969603 4148.934395668705</t>
  </si>
  <si>
    <t>28771.192208878085 147.68949887969603 4144.812573330674</t>
  </si>
  <si>
    <t>Pt6   7   8   9   10   11   modified</t>
  </si>
  <si>
    <t>29019.894715247276 154.5014879960956 3892.7504002891083</t>
  </si>
  <si>
    <t>29021.609452183195 154.7109883048169 3851.8347626995355</t>
  </si>
  <si>
    <t>29029.44964128657 154.6271881813284 3860.360623439814</t>
  </si>
  <si>
    <t>29037.289830389946 154.54338805783985 3868.8864841800923</t>
  </si>
  <si>
    <t>29045.130019493317 154.45958793435133 3877.4123449203707</t>
  </si>
  <si>
    <t>29052.970208596693 154.3757878108628 3885.938205660649</t>
  </si>
  <si>
    <t>29060.81039770007 154.29198768737427 3894.4640664009275</t>
  </si>
  <si>
    <t>29052.284313822325 154.29198768737427 3902.304460696478</t>
  </si>
  <si>
    <t>29043.758229944582 154.29198768737427 3910.1448549920287</t>
  </si>
  <si>
    <t>29035.232146066843 154.29198768737427 3917.98524928758</t>
  </si>
  <si>
    <t>29026.7060621891 154.29198768737427 3925.8256435831304</t>
  </si>
  <si>
    <t>29018.179978311357 154.29198768737427 3933.666037878681</t>
  </si>
  <si>
    <t>29010.33978920798 154.3757878108628 3925.1401771384026</t>
  </si>
  <si>
    <t>29002.499600104606 154.45958793435133 3916.614316398124</t>
  </si>
  <si>
    <t>28994.659411001234 154.54338805783985 3908.0884556578458</t>
  </si>
  <si>
    <t>28986.81922189786 154.6271881813284 3899.5625949175674</t>
  </si>
  <si>
    <t>28978.979032794483 154.7109883048169 3891.036734177289</t>
  </si>
  <si>
    <t>28987.505116672226 154.7109883048169 3883.1963398817384</t>
  </si>
  <si>
    <t>28996.03120054997 154.7109883048169 3875.3559455861878</t>
  </si>
  <si>
    <t>29004.55728442771 154.7109883048169 3867.5155512906367</t>
  </si>
  <si>
    <t>29013.08336830545 154.7109883048169 3859.675156995086</t>
  </si>
  <si>
    <t>29019.894715247276 143.85826429289912 3892.7504002891083</t>
  </si>
  <si>
    <t>29018.42360679657 144.22805236235592 3856.3801611269864</t>
  </si>
  <si>
    <t>29025.99184591505 144.08013713457322 3863.359236547905</t>
  </si>
  <si>
    <t>29033.560085033532 143.9322219067905 3870.3383119688233</t>
  </si>
  <si>
    <t>29041.128324152014 143.78430667900776 3877.3173873897413</t>
  </si>
  <si>
    <t>29048.696563270496 143.63639145122502 3884.2964628106597</t>
  </si>
  <si>
    <t>29056.264802388978 143.48847622344232 3891.275538231578</t>
  </si>
  <si>
    <t>29049.285006650778 143.48847622344232 3898.8445584755086</t>
  </si>
  <si>
    <t>29042.30521091258 143.48847622344232 3906.413578719439</t>
  </si>
  <si>
    <t>29035.325415174382 143.48847622344232 3913.982598963369</t>
  </si>
  <si>
    <t>29028.345619436182 143.48847622344232 3921.5516192072996</t>
  </si>
  <si>
    <t>29021.365823697983 143.48847622344232 3929.12063945123</t>
  </si>
  <si>
    <t>29013.7975845795 143.63639145122502 3922.1415640303117</t>
  </si>
  <si>
    <t>29006.22934546102 143.78430667900776 3915.162488609393</t>
  </si>
  <si>
    <t>28998.661106342537 143.9322219067905 3908.1834131884752</t>
  </si>
  <si>
    <t>28991.092867224055 144.08013713457322 3901.204337767557</t>
  </si>
  <si>
    <t>28983.524628105573 144.22805236235592 3894.2252623466384</t>
  </si>
  <si>
    <t>28990.504423843773 144.22805236235592 3886.656242102708</t>
  </si>
  <si>
    <t>28997.484219581973 144.22805236235592 3879.0872218587774</t>
  </si>
  <si>
    <t>29004.46401532017 144.22805236235592 3871.5182016148474</t>
  </si>
  <si>
    <t>29011.44381105837 144.22805236235592 3863.949181370917</t>
  </si>
  <si>
    <t>29019.894715247276 137.1460677609893 3892.7504002891083</t>
  </si>
  <si>
    <t>29023.485827515502 137.63654335734716 3856.529431964582</t>
  </si>
  <si>
    <t>29030.01192902174 137.440353118804 3864.4905326749467</t>
  </si>
  <si>
    <t>29036.53803052798 137.24416288026086 3872.4516333853117</t>
  </si>
  <si>
    <t>29043.064132034215 137.04797264171773 3880.4127340956766</t>
  </si>
  <si>
    <t>29049.590233540453 136.85178240317458 3888.3738348060415</t>
  </si>
  <si>
    <t>29056.116335046692 136.65559216463143 3896.3349355164064</t>
  </si>
  <si>
    <t>29048.153788633164 136.65559216463143 3902.862222135852</t>
  </si>
  <si>
    <t>29040.191242219636 136.65559216463143 3909.389508755298</t>
  </si>
  <si>
    <t>29032.228695806105 136.65559216463143 3915.9167953747433</t>
  </si>
  <si>
    <t>29024.266149392577 136.65559216463143 3922.444081994189</t>
  </si>
  <si>
    <t>29016.30360297905 136.65559216463143 3928.9713686136347</t>
  </si>
  <si>
    <t>29009.77750147281 136.85178240317458 3921.01026790327</t>
  </si>
  <si>
    <t>29003.25139996657 137.04797264171773 3913.049167192905</t>
  </si>
  <si>
    <t>28996.725298460336 137.24416288026086 3905.08806648254</t>
  </si>
  <si>
    <t>28990.199196954098 137.440353118804 3897.126965772175</t>
  </si>
  <si>
    <t>28983.67309544786 137.63654335734716 3889.16586506181</t>
  </si>
  <si>
    <t>28991.635641861387 137.63654335734716 3882.6385784423646</t>
  </si>
  <si>
    <t>28999.598188274915 137.63654335734716 3876.1112918229187</t>
  </si>
  <si>
    <t>29007.560734688446 137.63654335734716 3869.584005203473</t>
  </si>
  <si>
    <t>29015.523281101974 137.63654335734716 3863.0567185840273</t>
  </si>
  <si>
    <t>28783.61978265185 171.87161107047444 3966.8217174795586</t>
  </si>
  <si>
    <t>28742.77441391692 174.29773945286297 3965.1354890016732</t>
  </si>
  <si>
    <t>28750.57747171961 173.32728809990755 3973.64056995951</t>
  </si>
  <si>
    <t>28758.380529522306 172.35683674695215 3982.1456509173463</t>
  </si>
  <si>
    <t>28766.183587325002 171.38638539399673 3990.6507318751833</t>
  </si>
  <si>
    <t>28773.986645127698 170.41593404104134 3999.15581283302</t>
  </si>
  <si>
    <t>28781.78970293039 169.44548268808592 4007.6608937908563</t>
  </si>
  <si>
    <t>28790.324792621668 169.44548268808592 3999.8303042241737</t>
  </si>
  <si>
    <t>28798.859882312947 169.44548268808592 3991.9997146574915</t>
  </si>
  <si>
    <t>28807.394972004226 169.44548268808592 3984.169125090809</t>
  </si>
  <si>
    <t>28815.930061695504 169.44548268808592 3976.3385355241267</t>
  </si>
  <si>
    <t>28824.465151386783 169.44548268808592 3968.507945957444</t>
  </si>
  <si>
    <t>28816.66209358409 170.41593404104134 3960.0028649996075</t>
  </si>
  <si>
    <t>28808.859035781396 171.38638539399673 3951.497784041771</t>
  </si>
  <si>
    <t>28801.0559779787 172.35683674695215 3942.992703083934</t>
  </si>
  <si>
    <t>28793.252920176004 173.32728809990755 3934.4876221260974</t>
  </si>
  <si>
    <t>28785.449862373312 174.29773945286297 3925.982541168261</t>
  </si>
  <si>
    <t>28776.914772682034 174.29773945286297 3933.8131307349436</t>
  </si>
  <si>
    <t>28768.379682990755 174.29773945286297 3941.6437203016258</t>
  </si>
  <si>
    <t>28759.844593299476 174.29773945286297 3949.4743098683084</t>
  </si>
  <si>
    <t>28751.309503608198 174.29773945286297 3957.3048994349906</t>
  </si>
  <si>
    <t>28783.61978265185 162.01484886254326 3966.8217174795586</t>
  </si>
  <si>
    <t>28779.4759243328 162.78576043540593 4002.9787269463063</t>
  </si>
  <si>
    <t>28787.53572529147 162.47739580626086 3996.57934136938</t>
  </si>
  <si>
    <t>28795.595526250134 162.16903117711578 3990.179955792454</t>
  </si>
  <si>
    <t>28803.655327208802 161.86066654797074 3983.7805702155283</t>
  </si>
  <si>
    <t>28811.715128167467 161.55230191882566 3977.3811846386025</t>
  </si>
  <si>
    <t>28819.774929126135 161.2439372896806 3970.981799061676</t>
  </si>
  <si>
    <t>28813.37267149509 161.2439372896806 3962.9183808519033</t>
  </si>
  <si>
    <t>28806.97041386404 161.2439372896806 3954.85496264213</t>
  </si>
  <si>
    <t>28800.568156232996 161.2439372896806 3946.791544432357</t>
  </si>
  <si>
    <t>28794.165898601947 161.2439372896806 3938.728126222584</t>
  </si>
  <si>
    <t>28787.7636409709 161.2439372896806 3930.664708012811</t>
  </si>
  <si>
    <t>28779.703840012233 161.55230191882566 3937.0640935897372</t>
  </si>
  <si>
    <t>28771.644039053568 161.86066654797074 3943.463479166663</t>
  </si>
  <si>
    <t>28763.5842380949 162.16903117711578 3949.862864743589</t>
  </si>
  <si>
    <t>28755.524437136235 162.47739580626086 3956.262250320515</t>
  </si>
  <si>
    <t>28749.065080372377 164.9635028460831 3962.887252468427</t>
  </si>
  <si>
    <t>28753.866893808612 162.78576043540593 3970.725054107214</t>
  </si>
  <si>
    <t>28760.26915143966 162.78576043540593 3978.7884723169873</t>
  </si>
  <si>
    <t>28766.671409070706 162.78576043540593 3986.85189052676</t>
  </si>
  <si>
    <t>28773.073666701755 162.78576043540593 3994.9153087365335</t>
  </si>
  <si>
    <t>28971.50819411487 144.6916873369215 3840.2067843506898</t>
  </si>
  <si>
    <t>28936.532012092634 147.9457930945579 3830.6583453753665</t>
  </si>
  <si>
    <t>28945.3805231302 146.64415079150334 3825.557639960135</t>
  </si>
  <si>
    <t>28954.229034167765 145.34250848844877 3820.456934544904</t>
  </si>
  <si>
    <t>28963.077545205335 144.0408661853942 3815.3562291296726</t>
  </si>
  <si>
    <t>28971.9260562429 142.73922388233964 3810.2555237144416</t>
  </si>
  <si>
    <t>28980.774567280467 141.43758157928508 3805.15481829921</t>
  </si>
  <si>
    <t>28985.916529051796 141.43758157928508 3814.074899304571</t>
  </si>
  <si>
    <t>28991.058490823125 141.43758157928508 3822.994980309931</t>
  </si>
  <si>
    <t>28996.20045259445 141.43758157928508 3831.915061315292</t>
  </si>
  <si>
    <t>29001.34241436578 141.43758157928508 3840.8351423206523</t>
  </si>
  <si>
    <t>29006.48437613711 141.43758157928508 3849.755223326013</t>
  </si>
  <si>
    <t>28997.635865099543 142.73922388233964 3854.8559287412445</t>
  </si>
  <si>
    <t>28988.787354061977 144.0408661853942 3859.9566341564755</t>
  </si>
  <si>
    <t>28979.938843024407 145.34250848844877 3865.057339571707</t>
  </si>
  <si>
    <t>28971.09033198684 146.64415079150334 3870.158044986938</t>
  </si>
  <si>
    <t>28962.241820949275 147.9457930945579 3875.2587504021694</t>
  </si>
  <si>
    <t>28957.099859177946 147.9457930945579 3866.3386693968087</t>
  </si>
  <si>
    <t>28951.957897406617 147.9457930945579 3857.4185883914483</t>
  </si>
  <si>
    <t>28946.81593563529 147.9457930945579 3848.4985073860876</t>
  </si>
  <si>
    <t>28941.673973863963 147.9457930945579 3839.5784263807273</t>
  </si>
  <si>
    <t>28971.50819411487 155.16241439316002 3840.2067843506898</t>
  </si>
  <si>
    <t>28973.256938376162 155.5202249928883 3799.293614373489</t>
  </si>
  <si>
    <t>28981.08985019749 155.377100752997 3807.825372507145</t>
  </si>
  <si>
    <t>28988.922762018825 155.2339765131057 3816.3571306408007</t>
  </si>
  <si>
    <t>28996.755673840154 155.09085227321435 3824.8888887744565</t>
  </si>
  <si>
    <t>29004.588585661488 154.94772803332305 3833.4206469081123</t>
  </si>
  <si>
    <t>29012.421497482817 154.80460379343174 3841.952405041768</t>
  </si>
  <si>
    <t>29003.88908795697 154.80460379343174 3849.7859148989924</t>
  </si>
  <si>
    <t>28995.356678431122 154.80460379343174 3857.619424756217</t>
  </si>
  <si>
    <t>28986.824268905275 154.80460379343174 3865.4529346134414</t>
  </si>
  <si>
    <t>28978.291859379427 154.80460379343174 3873.286444470666</t>
  </si>
  <si>
    <t>28969.75944985358 154.80460379343174 3881.1199543278904</t>
  </si>
  <si>
    <t>28961.92653803225 154.94772803332305 3872.5881961942346</t>
  </si>
  <si>
    <t>28954.093626210917 155.09085227321435 3864.056438060579</t>
  </si>
  <si>
    <t>28946.260714389588 155.2339765131057 3855.524679926923</t>
  </si>
  <si>
    <t>28938.427802568254 155.377100752997 3846.992921793267</t>
  </si>
  <si>
    <t>28930.594890746925 155.5202249928883 3838.4611636596114</t>
  </si>
  <si>
    <t>28939.127300272772 155.5202249928883 3830.627653802387</t>
  </si>
  <si>
    <t>28947.65970979862 155.5202249928883 3822.7941439451624</t>
  </si>
  <si>
    <t>28956.192119324467 155.5202249928883 3814.960634087938</t>
  </si>
  <si>
    <t>28964.724528850315 155.5202249928883 3807.1271242307134</t>
  </si>
  <si>
    <t>28958.659432458808 -140.167120570864 4036.523864355774</t>
  </si>
  <si>
    <t>28994.32726491355 -139.58013142045468 4029.2742870082616</t>
  </si>
  <si>
    <t>28985.745638381508 -139.81492708061842 4023.5902591175404</t>
  </si>
  <si>
    <t>28977.164011849465 -140.04972274078213 4017.9062312268197</t>
  </si>
  <si>
    <t>28968.58238531742 -140.28451840094587 4012.2222033360986</t>
  </si>
  <si>
    <t>28960.000758785376 -140.51931406110958 4006.538175445378</t>
  </si>
  <si>
    <t>28952.80814734642 -140.64964769541623 4002.041470885386</t>
  </si>
  <si>
    <t>28946.336385964896 -140.69708103440246 4010.00227516193</t>
  </si>
  <si>
    <t>28940.048119353625 -140.75410972127332 4018.021865214109</t>
  </si>
  <si>
    <t>28934.362612903773 -140.75410972127332 4026.6057240438345</t>
  </si>
  <si>
    <t>28928.677106453917 -140.75410972127332 4035.1895828735605</t>
  </si>
  <si>
    <t>28922.991600004065 -140.75410972127332 4043.7734417032866</t>
  </si>
  <si>
    <t>28931.573226536108 -140.51931406110958 4049.4574695940078</t>
  </si>
  <si>
    <t>28940.15485306815 -140.28451840094587 4055.1414974847285</t>
  </si>
  <si>
    <t>28948.736479600197 -140.04972274078213 4060.8255253754496</t>
  </si>
  <si>
    <t>28957.31810613224 -139.81492708061842 4066.5095532661703</t>
  </si>
  <si>
    <t>28965.899732664282 -139.58013142045468 4072.1935811568915</t>
  </si>
  <si>
    <t>28971.585239114134 -139.58013142045468 4063.6097223271654</t>
  </si>
  <si>
    <t>28977.27074556399 -139.58013142045468 4055.0258634974393</t>
  </si>
  <si>
    <t>28982.956252013842 -139.58013142045468 4046.4420046677137</t>
  </si>
  <si>
    <t>28988.6417584637 -139.58013142045468 4037.8581458379876</t>
  </si>
  <si>
    <t>Pt6   7   modified</t>
  </si>
  <si>
    <t>28958.659432458808 -149.3388719804869 4036.5238643557745</t>
  </si>
  <si>
    <t>28959.353535533173 -149.48975227259777 4072.9187905963868</t>
  </si>
  <si>
    <t>28966.4937025503 -149.42940015575343 4065.5011097870274</t>
  </si>
  <si>
    <t>28973.633869567424 -149.36904803890909 4058.0834289776676</t>
  </si>
  <si>
    <t>28980.77403658455 -149.30869592206474 4050.665748168308</t>
  </si>
  <si>
    <t>28987.914203601675 -149.2483438052204 4043.248067358948</t>
  </si>
  <si>
    <t>28995.0543706188 -149.18799168837606 4035.8303865495886</t>
  </si>
  <si>
    <t>28987.63656237193 -149.18799168837606 4028.6900968627033</t>
  </si>
  <si>
    <t>28980.218754125057 -149.18799168837606 4021.549807175818</t>
  </si>
  <si>
    <t>28972.800945878185 -149.18799168837606 4014.409517488933</t>
  </si>
  <si>
    <t>28965.383137631314 -149.18799168837606 4007.2692278020477</t>
  </si>
  <si>
    <t>28957.965329384442 -149.18799168837606 4000.1289381151623</t>
  </si>
  <si>
    <t>28950.825162367317 -149.2483438052204 4007.5466189245217</t>
  </si>
  <si>
    <t>28943.68499535019 -149.30869592206474 4014.9642997338815</t>
  </si>
  <si>
    <t>28936.544828333066 -149.36904803890909 4022.3819805432413</t>
  </si>
  <si>
    <t>28929.40466131594 -149.42940015575343 4029.799661352601</t>
  </si>
  <si>
    <t>28922.264494298815 -149.48975227259777 4037.2173421619605</t>
  </si>
  <si>
    <t>28929.682302545687 -149.48975227259777 4044.357631848846</t>
  </si>
  <si>
    <t>28937.10011079256 -149.48975227259777 4051.497921535731</t>
  </si>
  <si>
    <t>28944.51791903943 -149.48975227259777 4058.638211222616</t>
  </si>
  <si>
    <t>28951.9357272863 -149.48975227259777 4065.7785009095014</t>
  </si>
  <si>
    <t>28971.50819411487 144.69168733692146 3840.2067843506898</t>
  </si>
  <si>
    <t>28935.42359311916 147.986639532088 3836.722525317265</t>
  </si>
  <si>
    <t>28943.27772354597 146.66865865402139 3830.1969465962798</t>
  </si>
  <si>
    <t>28951.131853972773 145.35067777595478 3823.6713678752944</t>
  </si>
  <si>
    <t>28958.98598439958 144.03269689788814 3817.145789154309</t>
  </si>
  <si>
    <t>28966.840114826384 142.71471601982154 3810.620210433324</t>
  </si>
  <si>
    <t>28974.7060702671 141.61794354927412 3804.1989197630855</t>
  </si>
  <si>
    <t>28981.273955224668 141.39673514175493 3812.0139140466936</t>
  </si>
  <si>
    <t>28987.853665196148 141.39673514175493 3819.9331963810487</t>
  </si>
  <si>
    <t>28994.433375167624 141.39673514175493 3827.8524787154042</t>
  </si>
  <si>
    <t>29001.013085139104 141.39673514175493 3835.7717610497593</t>
  </si>
  <si>
    <t>29007.59279511058 141.39673514175493 3843.6910433841144</t>
  </si>
  <si>
    <t>28999.738664683773 142.71471601982154 3850.2166221050998</t>
  </si>
  <si>
    <t>28991.88453425697 144.03269689788814 3856.742200826085</t>
  </si>
  <si>
    <t>28984.030403830162 145.35067777595478 3863.2677795470704</t>
  </si>
  <si>
    <t>28976.17627340336 146.66865865402139 3869.7933582680557</t>
  </si>
  <si>
    <t>28968.32214297655 147.986639532088 3876.318936989041</t>
  </si>
  <si>
    <t>28961.742433005074 147.986639532088 3868.399654654686</t>
  </si>
  <si>
    <t>28955.162723033594 147.986639532088 3860.480372320331</t>
  </si>
  <si>
    <t>28948.583013062118 147.986639532088 3852.5610899859753</t>
  </si>
  <si>
    <t>28942.003303090638 147.986639532088 3844.64180765162</t>
  </si>
  <si>
    <t>28971.50819411487 138.71110083313877 3840.2067843506898</t>
  </si>
  <si>
    <t>28974.108021656364 139.4169551391606 3803.90474767982</t>
  </si>
  <si>
    <t>28980.848658547053 139.13461341675185 3811.6823895756434</t>
  </si>
  <si>
    <t>28987.58929543774 138.85227169434313 3819.460031471467</t>
  </si>
  <si>
    <t>28994.32993232843 138.5699299719344 3827.237673367291</t>
  </si>
  <si>
    <t>29001.07056921912 138.2875882495257 3835.0153152631146</t>
  </si>
  <si>
    <t>29007.811206109807 138.00524652711695 3842.792957158938</t>
  </si>
  <si>
    <t>29000.030638202523 138.00524652711695 3849.5361299314623</t>
  </si>
  <si>
    <t>28992.250070295235 138.00524652711695 3856.2793027039866</t>
  </si>
  <si>
    <t>28984.46950238795 138.00524652711695 3863.022475476511</t>
  </si>
  <si>
    <t>28976.688934480662 138.00524652711695 3869.765648249035</t>
  </si>
  <si>
    <t>28968.908366573378 138.00524652711695 3876.5088210215595</t>
  </si>
  <si>
    <t>28962.16772968269 138.2875882495257 3868.731179125736</t>
  </si>
  <si>
    <t>28955.427092792 138.5699299719344 3860.9535372299124</t>
  </si>
  <si>
    <t>28948.686455901312 138.85227169434313 3853.1758953340886</t>
  </si>
  <si>
    <t>28941.945819010623 139.13461341675185 3845.398253438265</t>
  </si>
  <si>
    <t>28935.205182119935 139.4169551391606 3837.6206115424416</t>
  </si>
  <si>
    <t>28942.98575002722 139.4169551391606 3830.8774387699173</t>
  </si>
  <si>
    <t>28950.766317934507 139.4169551391606 3824.134265997393</t>
  </si>
  <si>
    <t>28958.54688584179 139.4169551391606 3817.3910932248687</t>
  </si>
  <si>
    <t>28966.32745374908 139.4169551391606 3810.6479204523444</t>
  </si>
  <si>
    <t>ID</t>
  </si>
  <si>
    <t>Thickness</t>
  </si>
  <si>
    <t>E1 (x dir.)</t>
  </si>
  <si>
    <t>E2 (y dir)</t>
  </si>
  <si>
    <t>Gxy</t>
  </si>
  <si>
    <t>nu_xy</t>
  </si>
  <si>
    <t>kb</t>
  </si>
  <si>
    <t>Nx bypass, total</t>
  </si>
  <si>
    <t>Ny bypass, total</t>
  </si>
  <si>
    <t>Nxy bypass, total</t>
  </si>
  <si>
    <r>
      <rPr>
        <b/>
        <sz val="11"/>
        <rFont val="Calibri"/>
        <family val="2"/>
      </rPr>
      <t>ε</t>
    </r>
    <r>
      <rPr>
        <b/>
        <sz val="7.7"/>
        <rFont val="Calibri"/>
        <family val="2"/>
      </rPr>
      <t>x</t>
    </r>
  </si>
  <si>
    <r>
      <t>ε</t>
    </r>
    <r>
      <rPr>
        <b/>
        <sz val="7.7"/>
        <rFont val="Calibri"/>
        <family val="2"/>
      </rPr>
      <t>y</t>
    </r>
  </si>
  <si>
    <r>
      <t>ε</t>
    </r>
    <r>
      <rPr>
        <b/>
        <sz val="7.7"/>
        <rFont val="Calibri"/>
        <family val="2"/>
      </rPr>
      <t>45</t>
    </r>
  </si>
  <si>
    <r>
      <t>ε</t>
    </r>
    <r>
      <rPr>
        <b/>
        <sz val="7.7"/>
        <rFont val="Calibri"/>
        <family val="2"/>
      </rPr>
      <t>-45</t>
    </r>
  </si>
  <si>
    <r>
      <t>ε</t>
    </r>
    <r>
      <rPr>
        <b/>
        <sz val="7.7"/>
        <rFont val="Calibri"/>
        <family val="2"/>
      </rPr>
      <t>xy</t>
    </r>
  </si>
  <si>
    <t>retrieved from [02_PROPERTIES] sheet</t>
  </si>
  <si>
    <t>AIRBUS</t>
  </si>
  <si>
    <t>OPERATIONS</t>
  </si>
  <si>
    <t>DS</t>
  </si>
  <si>
    <t>COPY REPORT GENERATED BY FASTPPH</t>
  </si>
  <si>
    <t>"Component Name" should match with report from FASTPPH</t>
  </si>
  <si>
    <t>INTRODUCE THE "ID" OF THE ELEMENTS TO BE ANALYZED (SHOULD MATCH A LINE FROM [01_FASTPPH] SHEET)</t>
  </si>
  <si>
    <t>RIVET / BOLT LOAD</t>
  </si>
  <si>
    <t>MEMBRANE LOADS</t>
  </si>
  <si>
    <t>BENDING LOADS</t>
  </si>
  <si>
    <t>data retrieved from [01_FASTPPH] sheet</t>
  </si>
  <si>
    <r>
      <t>ε</t>
    </r>
    <r>
      <rPr>
        <b/>
        <sz val="7.7"/>
        <rFont val="Calibri"/>
        <family val="2"/>
      </rPr>
      <t>max</t>
    </r>
  </si>
  <si>
    <r>
      <t>ε</t>
    </r>
    <r>
      <rPr>
        <b/>
        <sz val="7.7"/>
        <rFont val="Calibri"/>
        <family val="2"/>
      </rPr>
      <t>min</t>
    </r>
  </si>
  <si>
    <r>
      <t>ε</t>
    </r>
    <r>
      <rPr>
        <b/>
        <sz val="7.7"/>
        <rFont val="Calibri"/>
        <family val="2"/>
      </rPr>
      <t>xy 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</si>
</sst>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7.7"/>
      <name val="Calibri"/>
      <family val="2"/>
    </font>
    <font>
      <b/>
      <i/>
      <sz val="11"/>
      <name val="Calibri"/>
      <family val="2"/>
      <scheme val="minor"/>
    </font>
    <font>
      <b/>
      <i/>
      <sz val="11"/>
      <color rgb="FF00B0F0"/>
      <name val="Calibri"/>
      <family val="2"/>
      <scheme val="minor"/>
    </font>
    <font>
      <b/>
      <i/>
      <sz val="24"/>
      <color rgb="FF00B0F0"/>
      <name val="Calibri"/>
      <family val="2"/>
      <scheme val="minor"/>
    </font>
    <font>
      <b/>
      <sz val="8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49" fontId="0" fillId="4" borderId="0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" fontId="1" fillId="3" borderId="0" xfId="0" applyNumberFormat="1" applyFont="1" applyFill="1" applyBorder="1" applyAlignment="1">
      <alignment horizontal="center" vertical="center"/>
    </xf>
    <xf numFmtId="1" fontId="2" fillId="5" borderId="0" xfId="0" applyNumberFormat="1" applyFont="1" applyFill="1" applyBorder="1" applyAlignment="1">
      <alignment horizontal="center" vertical="center"/>
    </xf>
    <xf numFmtId="1" fontId="6" fillId="5" borderId="0" xfId="0" applyNumberFormat="1" applyFont="1" applyFill="1" applyBorder="1" applyAlignment="1">
      <alignment horizontal="center" vertical="center"/>
    </xf>
    <xf numFmtId="1" fontId="6" fillId="3" borderId="0" xfId="0" applyNumberFormat="1" applyFont="1" applyFill="1" applyBorder="1" applyAlignment="1">
      <alignment horizontal="center" vertical="center"/>
    </xf>
    <xf numFmtId="1" fontId="4" fillId="3" borderId="0" xfId="0" applyNumberFormat="1" applyFont="1" applyFill="1" applyBorder="1" applyAlignment="1">
      <alignment horizontal="center" vertical="center"/>
    </xf>
    <xf numFmtId="1" fontId="6" fillId="5" borderId="5" xfId="0" applyNumberFormat="1" applyFont="1" applyFill="1" applyBorder="1" applyAlignment="1">
      <alignment horizontal="center" vertical="center"/>
    </xf>
    <xf numFmtId="1" fontId="6" fillId="5" borderId="6" xfId="0" applyNumberFormat="1" applyFont="1" applyFill="1" applyBorder="1" applyAlignment="1">
      <alignment horizontal="center" vertical="center"/>
    </xf>
    <xf numFmtId="1" fontId="1" fillId="3" borderId="7" xfId="0" applyNumberFormat="1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/>
    </xf>
    <xf numFmtId="1" fontId="5" fillId="2" borderId="7" xfId="0" applyNumberFormat="1" applyFont="1" applyFill="1" applyBorder="1" applyAlignment="1">
      <alignment horizontal="center" vertical="center"/>
    </xf>
    <xf numFmtId="1" fontId="5" fillId="2" borderId="9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 vertical="center"/>
    </xf>
    <xf numFmtId="1" fontId="4" fillId="5" borderId="0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6" fillId="5" borderId="0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" fontId="0" fillId="4" borderId="0" xfId="0" applyNumberFormat="1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2" fontId="0" fillId="4" borderId="0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" fontId="10" fillId="5" borderId="0" xfId="0" applyNumberFormat="1" applyFont="1" applyFill="1" applyBorder="1" applyAlignment="1">
      <alignment vertical="center"/>
    </xf>
    <xf numFmtId="164" fontId="6" fillId="5" borderId="0" xfId="0" applyNumberFormat="1" applyFont="1" applyFill="1" applyBorder="1" applyAlignment="1">
      <alignment horizontal="center" vertical="center"/>
    </xf>
    <xf numFmtId="164" fontId="6" fillId="3" borderId="0" xfId="0" applyNumberFormat="1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 wrapText="1"/>
    </xf>
    <xf numFmtId="1" fontId="10" fillId="5" borderId="0" xfId="0" applyNumberFormat="1" applyFont="1" applyFill="1" applyBorder="1" applyAlignment="1">
      <alignment horizontal="center" vertical="center" wrapText="1"/>
    </xf>
    <xf numFmtId="1" fontId="10" fillId="5" borderId="2" xfId="0" applyNumberFormat="1" applyFont="1" applyFill="1" applyBorder="1" applyAlignment="1">
      <alignment horizontal="center" vertical="center"/>
    </xf>
    <xf numFmtId="1" fontId="10" fillId="5" borderId="3" xfId="0" applyNumberFormat="1" applyFont="1" applyFill="1" applyBorder="1" applyAlignment="1">
      <alignment horizontal="center" vertical="center"/>
    </xf>
    <xf numFmtId="1" fontId="10" fillId="5" borderId="4" xfId="0" applyNumberFormat="1" applyFont="1" applyFill="1" applyBorder="1" applyAlignment="1">
      <alignment horizontal="center" vertical="center"/>
    </xf>
    <xf numFmtId="1" fontId="12" fillId="5" borderId="0" xfId="0" applyNumberFormat="1" applyFont="1" applyFill="1" applyBorder="1" applyAlignment="1">
      <alignment horizontal="center" vertical="center" wrapText="1"/>
    </xf>
    <xf numFmtId="1" fontId="9" fillId="2" borderId="7" xfId="0" applyNumberFormat="1" applyFont="1" applyFill="1" applyBorder="1" applyAlignment="1">
      <alignment horizontal="center" vertical="center"/>
    </xf>
    <xf numFmtId="1" fontId="9" fillId="2" borderId="8" xfId="0" applyNumberFormat="1" applyFont="1" applyFill="1" applyBorder="1" applyAlignment="1">
      <alignment horizontal="center" vertical="center"/>
    </xf>
    <xf numFmtId="1" fontId="9" fillId="2" borderId="9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1" fontId="9" fillId="2" borderId="3" xfId="0" applyNumberFormat="1" applyFont="1" applyFill="1" applyBorder="1" applyAlignment="1">
      <alignment horizontal="center" vertical="center"/>
    </xf>
    <xf numFmtId="1" fontId="9" fillId="2" borderId="4" xfId="0" applyNumberFormat="1" applyFont="1" applyFill="1" applyBorder="1" applyAlignment="1">
      <alignment horizontal="center" vertical="center"/>
    </xf>
    <xf numFmtId="1" fontId="10" fillId="5" borderId="1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421341</xdr:colOff>
      <xdr:row>0</xdr:row>
      <xdr:rowOff>179293</xdr:rowOff>
    </xdr:from>
    <xdr:to>
      <xdr:col>11</xdr:col>
      <xdr:colOff>99060</xdr:colOff>
      <xdr:row>7</xdr:row>
      <xdr:rowOff>126367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16706" y="179293"/>
          <a:ext cx="2017507" cy="1202133"/>
        </a:xfrm>
        <a:prstGeom prst="rect">
          <a:avLst/>
        </a:prstGeom>
      </xdr:spPr>
    </xdr:pic>
    <xdr:clientData/>
  </xdr:twoCellAnchor>
  <xdr:twoCellAnchor editAs="oneCell">
    <xdr:from>
      <xdr:col>11</xdr:col>
      <xdr:colOff>197224</xdr:colOff>
      <xdr:row>1</xdr:row>
      <xdr:rowOff>152400</xdr:rowOff>
    </xdr:from>
    <xdr:to>
      <xdr:col>13</xdr:col>
      <xdr:colOff>581735</xdr:colOff>
      <xdr:row>7</xdr:row>
      <xdr:rowOff>107576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032377" y="331694"/>
          <a:ext cx="2320887" cy="10309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165652</xdr:colOff>
      <xdr:row>0</xdr:row>
      <xdr:rowOff>92767</xdr:rowOff>
    </xdr:from>
    <xdr:to>
      <xdr:col>36</xdr:col>
      <xdr:colOff>53008</xdr:colOff>
      <xdr:row>7</xdr:row>
      <xdr:rowOff>135456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/>
            <xdr:cNvSpPr txBox="1"/>
          </xdr:nvSpPr>
          <xdr:spPr>
            <a:xfrm>
              <a:off x="25815235" y="92767"/>
              <a:ext cx="4035287" cy="134902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𝑏𝑦𝑝𝑎𝑠𝑠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𝑏𝑦𝑝𝑎𝑠𝑠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d>
                      <m:dPr>
                        <m:begChr m:val="|"/>
                        <m:endChr m:val="|"/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sub>
                        </m:s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·6·</m:t>
                        </m:r>
                        <m:f>
                          <m:f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𝑡𝑜𝑡𝑎𝑙</m:t>
                                </m:r>
                              </m:sub>
                            </m:sSub>
                          </m:num>
                          <m:den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den>
                        </m:f>
                        <m:r>
                          <m:rPr>
                            <m:nor/>
                          </m:rPr>
                          <a:rPr lang="es-ES">
                            <a:effectLst/>
                          </a:rPr>
                          <m:t> </m:t>
                        </m:r>
                      </m:e>
                    </m:d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·</m:t>
                    </m:r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𝑠𝑖𝑔</m:t>
                    </m:r>
                    <m:d>
                      <m:d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𝑏𝑦𝑝𝑎𝑠𝑠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ES" sz="1100" b="0" i="1">
                <a:solidFill>
                  <a:schemeClr val="dk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𝑏𝑦𝑝𝑎𝑠𝑠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𝑏𝑦𝑝𝑎𝑠𝑠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d>
                      <m:dPr>
                        <m:begChr m:val="|"/>
                        <m:endChr m:val="|"/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sub>
                        </m:s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·6·</m:t>
                        </m:r>
                        <m:f>
                          <m:f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𝑡𝑜𝑡𝑎𝑙</m:t>
                                </m:r>
                              </m:sub>
                            </m:sSub>
                          </m:num>
                          <m:den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den>
                        </m:f>
                        <m:r>
                          <m:rPr>
                            <m:nor/>
                          </m:rP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</m:e>
                    </m:d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·</m:t>
                    </m:r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𝑠𝑖𝑔</m:t>
                    </m:r>
                    <m:d>
                      <m:d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𝑏𝑦𝑝𝑎𝑠𝑠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ES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𝑏𝑦𝑝𝑎𝑠𝑠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𝑏𝑦𝑝𝑎𝑠𝑠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d>
                      <m:dPr>
                        <m:begChr m:val="|"/>
                        <m:endChr m:val="|"/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sub>
                        </m:s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·6·</m:t>
                        </m:r>
                        <m:f>
                          <m:f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𝑥𝑦</m:t>
                                </m:r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𝑡𝑜𝑡𝑎𝑙</m:t>
                                </m:r>
                              </m:sub>
                            </m:sSub>
                          </m:num>
                          <m:den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den>
                        </m:f>
                        <m:r>
                          <m:rPr>
                            <m:nor/>
                          </m:rP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</m:e>
                    </m:d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·</m:t>
                    </m:r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𝑠𝑖𝑔</m:t>
                    </m:r>
                    <m:d>
                      <m:d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𝑥𝑦</m:t>
                            </m:r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𝑏𝑦𝑝𝑎𝑠𝑠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ES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s-ES">
                <a:effectLst/>
              </a:endParaRPr>
            </a:p>
            <a:p>
              <a:endParaRPr lang="es-ES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25815235" y="92767"/>
              <a:ext cx="4035287" cy="134902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𝑁_(𝑥,𝑏𝑦𝑝𝑎𝑠𝑠,𝑡𝑜𝑡𝑎𝑙)=𝑁_(𝑥,𝑏𝑦𝑝𝑎𝑠𝑠)+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𝑘_𝑏·6·𝑀_(𝑥,𝑡𝑜𝑡𝑎𝑙)/𝑡 "</a:t>
              </a:r>
              <a:r>
                <a:rPr lang="es-ES" i="0">
                  <a:effectLst/>
                </a:rPr>
                <a:t> 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|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·𝑠𝑖𝑔(𝑁_(𝑥,𝑏𝑦𝑝𝑎𝑠𝑠) )</a:t>
              </a:r>
              <a:endParaRPr lang="es-ES" sz="1100" b="0" i="1">
                <a:solidFill>
                  <a:schemeClr val="dk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𝑁_(𝑦,𝑏𝑦𝑝𝑎𝑠𝑠,𝑡𝑜𝑡𝑎𝑙)=𝑁_(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,𝑏𝑦𝑝𝑎𝑠𝑠)+|𝑘_𝑏·6·𝑀_(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,𝑡𝑜𝑡𝑎𝑙)/𝑡 "</a:t>
              </a:r>
              <a:r>
                <a:rPr lang="es-E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" |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·𝑠𝑖𝑔(𝑁_(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,𝑏𝑦𝑝𝑎𝑠𝑠) )</a:t>
              </a:r>
              <a:endParaRPr lang="es-ES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𝑁_(𝑥𝑦,𝑏𝑦𝑝𝑎𝑠𝑠,𝑡𝑜𝑡𝑎𝑙)=𝑁_(𝑥𝑦,𝑏𝑦𝑝𝑎𝑠𝑠)+|𝑘_𝑏·6·𝑀_(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𝑦,𝑡𝑜𝑡𝑎𝑙)/𝑡 "</a:t>
              </a:r>
              <a:r>
                <a:rPr lang="es-E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" |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·𝑠𝑖𝑔(𝑁_(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𝑦,𝑏𝑦𝑝𝑎𝑠𝑠) )</a:t>
              </a:r>
              <a:endParaRPr lang="es-ES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s-ES">
                <a:effectLst/>
              </a:endParaRPr>
            </a:p>
            <a:p>
              <a:endParaRPr lang="es-ES" sz="1100"/>
            </a:p>
          </xdr:txBody>
        </xdr:sp>
      </mc:Fallback>
    </mc:AlternateContent>
    <xdr:clientData/>
  </xdr:twoCellAnchor>
  <xdr:twoCellAnchor editAs="oneCell">
    <xdr:from>
      <xdr:col>37</xdr:col>
      <xdr:colOff>10888</xdr:colOff>
      <xdr:row>0</xdr:row>
      <xdr:rowOff>76199</xdr:rowOff>
    </xdr:from>
    <xdr:to>
      <xdr:col>40</xdr:col>
      <xdr:colOff>32659</xdr:colOff>
      <xdr:row>7</xdr:row>
      <xdr:rowOff>122014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/>
            <xdr:cNvSpPr txBox="1"/>
          </xdr:nvSpPr>
          <xdr:spPr>
            <a:xfrm>
              <a:off x="30632402" y="76199"/>
              <a:ext cx="3254828" cy="134982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d>
                      <m:d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𝑏𝑦𝑝𝑎𝑠𝑠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𝑡𝑜𝑡𝑎𝑙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sub>
                            </m:sSub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den>
                        </m:f>
                        <m: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f>
                          <m:fPr>
                            <m:ctrlP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𝑏𝑦𝑝𝑎𝑠𝑠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𝑡𝑜𝑡𝑎𝑙</m:t>
                                </m:r>
                              </m:sub>
                            </m:sSub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𝜐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𝑥𝑦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sub>
                            </m:sSub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den>
                        </m:f>
                      </m:e>
                    </m:d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·</m:t>
                    </m:r>
                    <m:sSup>
                      <m:sSup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p>
                    </m:sSup>
                  </m:oMath>
                </m:oMathPara>
              </a14:m>
              <a:endParaRPr lang="es-ES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d>
                      <m:d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𝑏𝑦𝑝𝑎𝑠𝑠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𝑡𝑜𝑡𝑎𝑙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sub>
                            </m:sSub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den>
                        </m:f>
                        <m: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f>
                          <m:fPr>
                            <m:ctrlP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𝑏𝑦𝑝𝑎𝑠𝑠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𝑡𝑜𝑡𝑎𝑙</m:t>
                                </m:r>
                              </m:sub>
                            </m:sSub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𝜐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𝑥𝑦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sub>
                            </m:sSub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den>
                        </m:f>
                      </m:e>
                    </m:d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·</m:t>
                    </m:r>
                    <m:sSup>
                      <m:sSup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p>
                    </m:sSup>
                  </m:oMath>
                </m:oMathPara>
              </a14:m>
              <a:endParaRPr lang="es-ES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𝛾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𝑥𝑦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𝑏𝑦𝑝𝑎𝑠𝑠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𝑡𝑜𝑡𝑎𝑙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s-E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𝑥𝑦</m:t>
                                </m:r>
                              </m:sub>
                            </m:sSub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·</m:t>
                            </m:r>
                            <m:r>
                              <a:rPr lang="es-E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den>
                        </m:f>
                      </m:e>
                    </m:d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·</m:t>
                    </m:r>
                    <m:sSup>
                      <m:sSup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sup>
                    </m:sSup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→ </m:t>
                    </m:r>
                    <m:sSub>
                      <m:sSub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𝛾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𝑥𝑦</m:t>
                            </m:r>
                          </m:sub>
                        </m:sSub>
                      </m:num>
                      <m:den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s-ES">
                <a:effectLst/>
              </a:endParaRPr>
            </a:p>
            <a:p>
              <a:pPr rtl="0" eaLnBrk="1" latinLnBrk="0" hangingPunct="1"/>
              <a:endParaRPr lang="es-ES">
                <a:effectLst/>
              </a:endParaRPr>
            </a:p>
          </xdr:txBody>
        </xdr:sp>
      </mc:Choice>
      <mc:Fallback xmlns="">
        <xdr:sp macro="" textlink="">
          <xdr:nvSpPr>
            <xdr:cNvPr id="5" name="CuadroTexto 4"/>
            <xdr:cNvSpPr txBox="1"/>
          </xdr:nvSpPr>
          <xdr:spPr>
            <a:xfrm>
              <a:off x="30632402" y="76199"/>
              <a:ext cx="3254828" cy="134982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 eaLnBrk="1" latinLnBrk="0" hangingPunct="1"/>
              <a:r>
                <a:rPr lang="es-E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𝜀_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𝑥= (</a:t>
              </a:r>
              <a:r>
                <a:rPr lang="es-E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𝑁_(𝑥,𝑏𝑦𝑝𝑎𝑠𝑠,𝑡𝑜𝑡𝑎𝑙)/(𝐸_𝑥·𝑡)−(𝑁_(𝑦,𝑏𝑦𝑝𝑎𝑠𝑠,𝑡𝑜𝑡𝑎𝑙)·𝜐_𝑥𝑦)/(𝐸_𝑥·𝑡))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·〖10〗^6</a:t>
              </a:r>
              <a:endParaRPr lang="es-ES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𝜀_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𝑦= (</a:t>
              </a:r>
              <a:r>
                <a:rPr lang="es-E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𝑁_(𝑦,𝑏𝑦𝑝𝑎𝑠𝑠,𝑡𝑜𝑡𝑎𝑙)/(𝐸_𝑦·𝑡)−(𝑁_(𝑥,𝑏𝑦𝑝𝑎𝑠𝑠,𝑡𝑜𝑡𝑎𝑙)·𝜐_𝑥𝑦)/(𝐸_𝑦·𝑡))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·〖10〗^6</a:t>
              </a:r>
              <a:endParaRPr lang="es-ES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𝛾_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𝑥𝑦=(</a:t>
              </a:r>
              <a:r>
                <a:rPr lang="es-E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𝑁_(𝑥𝑦,𝑏𝑦𝑝𝑎𝑠𝑠,𝑡𝑜𝑡𝑎𝑙)/(𝐺_𝑥𝑦·𝑡))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·〖10〗^6→ 𝜀_𝑥𝑦=𝛾_𝑥𝑦/2  </a:t>
              </a:r>
              <a:endParaRPr lang="es-ES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s-ES">
                <a:effectLst/>
              </a:endParaRPr>
            </a:p>
            <a:p>
              <a:pPr rtl="0" eaLnBrk="1" latinLnBrk="0" hangingPunct="1"/>
              <a:endParaRPr lang="es-ES">
                <a:effectLst/>
              </a:endParaRPr>
            </a:p>
          </xdr:txBody>
        </xdr:sp>
      </mc:Fallback>
    </mc:AlternateContent>
    <xdr:clientData/>
  </xdr:twoCellAnchor>
  <xdr:twoCellAnchor editAs="oneCell">
    <xdr:from>
      <xdr:col>39</xdr:col>
      <xdr:colOff>1060269</xdr:colOff>
      <xdr:row>0</xdr:row>
      <xdr:rowOff>49886</xdr:rowOff>
    </xdr:from>
    <xdr:to>
      <xdr:col>41</xdr:col>
      <xdr:colOff>778328</xdr:colOff>
      <xdr:row>7</xdr:row>
      <xdr:rowOff>95701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/>
            <xdr:cNvSpPr txBox="1"/>
          </xdr:nvSpPr>
          <xdr:spPr>
            <a:xfrm>
              <a:off x="31928889" y="49886"/>
              <a:ext cx="1584959" cy="133359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 eaLnBrk="1" latinLnBrk="0" hangingPunct="1"/>
              <a:endParaRPr lang="es-E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45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𝜀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𝜀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𝛾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𝑥𝑦</m:t>
                            </m:r>
                          </m:sub>
                        </m:sSub>
                      </m:num>
                      <m:den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ES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s-E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−45</m:t>
                        </m:r>
                      </m:sub>
                    </m:sSub>
                    <m:r>
                      <a:rPr lang="es-E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𝜀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𝜀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𝛾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𝑥𝑦</m:t>
                            </m:r>
                          </m:sub>
                        </m:sSub>
                      </m:num>
                      <m:den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ES">
                <a:effectLst/>
              </a:endParaRPr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31928889" y="49886"/>
              <a:ext cx="1584959" cy="133359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 eaLnBrk="1" latinLnBrk="0" hangingPunct="1"/>
              <a:endParaRPr lang="es-E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s-E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𝜀_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45=(𝜀_𝑥+ 𝜀_𝑦+𝛾_𝑥𝑦)/2</a:t>
              </a:r>
              <a:endParaRPr lang="es-ES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s-ES" sz="1100" i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𝜀_(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−45)=(𝜀_𝑥+ 𝜀_𝑦−𝛾_𝑥𝑦)/2</a:t>
              </a:r>
              <a:endParaRPr lang="es-ES">
                <a:effectLst/>
              </a:endParaRPr>
            </a:p>
          </xdr:txBody>
        </xdr:sp>
      </mc:Fallback>
    </mc:AlternateContent>
    <xdr:clientData/>
  </xdr:twoCellAnchor>
  <xdr:twoCellAnchor>
    <xdr:from>
      <xdr:col>0</xdr:col>
      <xdr:colOff>261257</xdr:colOff>
      <xdr:row>5</xdr:row>
      <xdr:rowOff>141514</xdr:rowOff>
    </xdr:from>
    <xdr:to>
      <xdr:col>0</xdr:col>
      <xdr:colOff>457200</xdr:colOff>
      <xdr:row>7</xdr:row>
      <xdr:rowOff>108857</xdr:rowOff>
    </xdr:to>
    <xdr:cxnSp macro="">
      <xdr:nvCxnSpPr>
        <xdr:cNvPr id="8" name="Conector recto de flecha 7"/>
        <xdr:cNvCxnSpPr/>
      </xdr:nvCxnSpPr>
      <xdr:spPr>
        <a:xfrm flipH="1">
          <a:off x="261257" y="1066800"/>
          <a:ext cx="195943" cy="348343"/>
        </a:xfrm>
        <a:prstGeom prst="straightConnector1">
          <a:avLst/>
        </a:prstGeom>
        <a:ln w="19050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229947</xdr:colOff>
      <xdr:row>0</xdr:row>
      <xdr:rowOff>165014</xdr:rowOff>
    </xdr:from>
    <xdr:to>
      <xdr:col>58</xdr:col>
      <xdr:colOff>421944</xdr:colOff>
      <xdr:row>7</xdr:row>
      <xdr:rowOff>84760</xdr:rowOff>
    </xdr:to>
    <xdr:grpSp>
      <xdr:nvGrpSpPr>
        <xdr:cNvPr id="7" name="Grupo 6"/>
        <xdr:cNvGrpSpPr/>
      </xdr:nvGrpSpPr>
      <xdr:grpSpPr>
        <a:xfrm>
          <a:off x="36501147" y="165014"/>
          <a:ext cx="8909277" cy="1207526"/>
          <a:chOff x="37583187" y="142154"/>
          <a:chExt cx="8909277" cy="1207526"/>
        </a:xfrm>
      </xdr:grpSpPr>
      <xdr:pic>
        <xdr:nvPicPr>
          <xdr:cNvPr id="3" name="Imagen 2" descr="Recorte de pantalla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817369" y="203563"/>
            <a:ext cx="7675095" cy="1004839"/>
          </a:xfrm>
          <a:prstGeom prst="rect">
            <a:avLst/>
          </a:prstGeom>
        </xdr:spPr>
      </xdr:pic>
      <xdr:pic>
        <xdr:nvPicPr>
          <xdr:cNvPr id="4" name="Imagen 3" descr="Recorte de pantalla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583187" y="142154"/>
            <a:ext cx="1258388" cy="1207526"/>
          </a:xfrm>
          <a:prstGeom prst="rect">
            <a:avLst/>
          </a:prstGeom>
        </xdr:spPr>
      </xdr:pic>
    </xdr:grpSp>
    <xdr:clientData/>
  </xdr:twoCellAnchor>
  <xdr:twoCellAnchor editAs="oneCell">
    <xdr:from>
      <xdr:col>42</xdr:col>
      <xdr:colOff>136072</xdr:colOff>
      <xdr:row>0</xdr:row>
      <xdr:rowOff>44631</xdr:rowOff>
    </xdr:from>
    <xdr:to>
      <xdr:col>46</xdr:col>
      <xdr:colOff>99060</xdr:colOff>
      <xdr:row>7</xdr:row>
      <xdr:rowOff>137160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/>
            <xdr:cNvSpPr txBox="1"/>
          </xdr:nvSpPr>
          <xdr:spPr>
            <a:xfrm>
              <a:off x="33664072" y="44631"/>
              <a:ext cx="2530928" cy="138030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𝑚𝑎𝑥</m:t>
                        </m:r>
                      </m:sub>
                    </m:sSub>
                    <m:r>
                      <a:rPr lang="es-ES" sz="10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𝜀</m:t>
                            </m:r>
                          </m:e>
                          <m:sub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sSub>
                          <m:sSubPr>
                            <m:ctrlP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𝜀</m:t>
                            </m:r>
                          </m:e>
                          <m:sub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s-ES" sz="10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ad>
                      <m:radPr>
                        <m:degHide m:val="on"/>
                        <m:ctrlP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ES" sz="10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ES" sz="10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𝜀</m:t>
                                        </m:r>
                                      </m:e>
                                      <m:sub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sub>
                                    </m:sSub>
                                    <m:r>
                                      <a:rPr lang="es-ES" sz="10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 </m:t>
                                    </m:r>
                                    <m:sSub>
                                      <m:sSubPr>
                                        <m:ctrlP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𝜀</m:t>
                                        </m:r>
                                      </m:e>
                                      <m:sub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𝑦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ES" sz="10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ES" sz="10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ES" sz="10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𝛾</m:t>
                                        </m:r>
                                      </m:e>
                                      <m:sub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𝑥𝑦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ES" sz="10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ES" sz="10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𝑚𝑖𝑛</m:t>
                        </m:r>
                      </m:sub>
                    </m:sSub>
                    <m:r>
                      <a:rPr lang="es-ES" sz="10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𝜀</m:t>
                            </m:r>
                          </m:e>
                          <m:sub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sSub>
                          <m:sSubPr>
                            <m:ctrlP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𝜀</m:t>
                            </m:r>
                          </m:e>
                          <m:sub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num>
                      <m:den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s-ES" sz="10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ES" sz="10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ES" sz="10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𝜀</m:t>
                                        </m:r>
                                      </m:e>
                                      <m:sub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sub>
                                    </m:sSub>
                                    <m:r>
                                      <a:rPr lang="es-ES" sz="10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− </m:t>
                                    </m:r>
                                    <m:sSub>
                                      <m:sSubPr>
                                        <m:ctrlP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𝜀</m:t>
                                        </m:r>
                                      </m:e>
                                      <m:sub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𝑦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ES" sz="10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ES" sz="10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ES" sz="10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𝛾</m:t>
                                        </m:r>
                                      </m:e>
                                      <m:sub>
                                        <m:r>
                                          <a:rPr lang="es-ES" sz="10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𝑥𝑦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ES" sz="10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ES" sz="1000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𝑚𝑎𝑥</m:t>
                        </m:r>
                      </m:sub>
                    </m:sSub>
                    <m:r>
                      <a:rPr lang="es-ES" sz="10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es-ES" sz="10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∙</m:t>
                    </m:r>
                    <m:rad>
                      <m:radPr>
                        <m:degHide m:val="on"/>
                        <m:ctrlP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ES" sz="10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E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s-E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es-E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 </m:t>
                                </m:r>
                                <m:sSub>
                                  <m:sSubPr>
                                    <m:ctrlPr>
                                      <a:rPr lang="es-E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es-E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s-ES" sz="10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ES" sz="10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E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𝛾</m:t>
                                    </m:r>
                                  </m:e>
                                  <m:sub>
                                    <m:r>
                                      <a:rPr lang="es-E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𝑥𝑦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s-ES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ES" sz="1000">
                <a:effectLst/>
              </a:endParaRPr>
            </a:p>
          </xdr:txBody>
        </xdr:sp>
      </mc:Choice>
      <mc:Fallback xmlns="">
        <xdr:sp macro="" textlink="">
          <xdr:nvSpPr>
            <xdr:cNvPr id="9" name="CuadroTexto 8"/>
            <xdr:cNvSpPr txBox="1"/>
          </xdr:nvSpPr>
          <xdr:spPr>
            <a:xfrm>
              <a:off x="33664072" y="44631"/>
              <a:ext cx="2530928" cy="138030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rtl="0" eaLnBrk="1" latinLnBrk="0" hangingPunct="1"/>
              <a:r>
                <a:rPr lang="es-E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𝜀_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𝑚𝑎𝑥=(𝜀_𝑥+ 𝜀_𝑦)/2+√((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𝜀_𝑥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𝜀_𝑦)/2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2+(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𝛾_𝑥𝑦/2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)^2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s-ES" sz="10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0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𝜀_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𝑚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𝑖𝑛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=(𝜀_𝑥+ 𝜀_𝑦)/2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√(((𝜀_𝑥− 𝜀_𝑦)/2)^2+(𝛾_𝑥𝑦/2)^2 )</a:t>
              </a:r>
              <a:endParaRPr lang="es-ES" sz="1000">
                <a:effectLst/>
              </a:endParaRPr>
            </a:p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𝜀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_(𝑥𝑦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𝑚𝑎𝑥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=1/2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∙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√((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𝜀_𝑥− 𝜀_𝑦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)^2+(</a:t>
              </a:r>
              <a:r>
                <a:rPr lang="es-E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𝛾_𝑥𝑦</a:t>
              </a:r>
              <a:r>
                <a:rPr lang="es-ES" sz="10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)^2 )</a:t>
              </a:r>
              <a:endParaRPr lang="es-ES" sz="1000">
                <a:effectLst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288"/>
  <sheetViews>
    <sheetView tabSelected="1" zoomScale="70" zoomScaleNormal="70" workbookViewId="0">
      <selection activeCell="G1" sqref="G1"/>
    </sheetView>
  </sheetViews>
  <sheetFormatPr baseColWidth="10" defaultColWidth="11.5546875" defaultRowHeight="14.4" x14ac:dyDescent="0.3"/>
  <cols>
    <col min="1" max="1" width="4.6640625" style="1" bestFit="1" customWidth="1"/>
    <col min="2" max="2" width="12" style="9" bestFit="1" customWidth="1"/>
    <col min="3" max="3" width="17.33203125" style="10" bestFit="1" customWidth="1"/>
    <col min="4" max="4" width="27.88671875" style="10" bestFit="1" customWidth="1"/>
    <col min="5" max="5" width="16.33203125" style="10" bestFit="1" customWidth="1"/>
    <col min="6" max="6" width="22" style="10" bestFit="1" customWidth="1"/>
    <col min="7" max="7" width="16.6640625" style="10" bestFit="1" customWidth="1"/>
    <col min="8" max="9" width="22.33203125" style="10" bestFit="1" customWidth="1"/>
    <col min="10" max="10" width="16.33203125" style="10" bestFit="1" customWidth="1"/>
    <col min="11" max="11" width="27.109375" style="10" bestFit="1" customWidth="1"/>
    <col min="12" max="12" width="53" style="10" bestFit="1" customWidth="1"/>
    <col min="13" max="13" width="23.88671875" style="10" bestFit="1" customWidth="1"/>
    <col min="14" max="14" width="56.109375" style="11" bestFit="1" customWidth="1"/>
    <col min="15" max="15" width="10.109375" style="9" bestFit="1" customWidth="1"/>
    <col min="16" max="17" width="10.109375" style="10" bestFit="1" customWidth="1"/>
    <col min="18" max="18" width="14.109375" style="11" bestFit="1" customWidth="1"/>
    <col min="19" max="38" width="56.109375" style="1" bestFit="1" customWidth="1"/>
    <col min="39" max="39" width="13.88671875" style="1" bestFit="1" customWidth="1"/>
    <col min="40" max="47" width="14.33203125" style="1" bestFit="1" customWidth="1"/>
    <col min="48" max="48" width="15" style="1" bestFit="1" customWidth="1"/>
    <col min="49" max="49" width="14.6640625" style="1" bestFit="1" customWidth="1"/>
    <col min="50" max="57" width="15" style="1" bestFit="1" customWidth="1"/>
    <col min="58" max="58" width="15.33203125" style="1" bestFit="1" customWidth="1"/>
    <col min="59" max="59" width="13.88671875" style="1" bestFit="1" customWidth="1"/>
    <col min="60" max="67" width="14.33203125" style="1" bestFit="1" customWidth="1"/>
    <col min="68" max="68" width="15" style="1" bestFit="1" customWidth="1"/>
    <col min="69" max="69" width="14.6640625" style="1" bestFit="1" customWidth="1"/>
    <col min="70" max="77" width="15" style="1" bestFit="1" customWidth="1"/>
    <col min="78" max="78" width="15.33203125" style="1" bestFit="1" customWidth="1"/>
    <col min="79" max="79" width="13.88671875" style="1" bestFit="1" customWidth="1"/>
    <col min="80" max="87" width="14.33203125" style="1" bestFit="1" customWidth="1"/>
    <col min="88" max="88" width="15" style="1" bestFit="1" customWidth="1"/>
    <col min="89" max="89" width="14.6640625" style="1" bestFit="1" customWidth="1"/>
    <col min="90" max="97" width="15" style="1" bestFit="1" customWidth="1"/>
    <col min="98" max="98" width="15.33203125" style="1" bestFit="1" customWidth="1"/>
    <col min="99" max="99" width="14.44140625" style="1" bestFit="1" customWidth="1"/>
    <col min="100" max="107" width="14.6640625" style="1" bestFit="1" customWidth="1"/>
    <col min="108" max="108" width="15.5546875" style="1" bestFit="1" customWidth="1"/>
    <col min="109" max="109" width="15.33203125" style="1" bestFit="1" customWidth="1"/>
    <col min="110" max="117" width="15.5546875" style="1" bestFit="1" customWidth="1"/>
    <col min="118" max="118" width="15.6640625" style="1" bestFit="1" customWidth="1"/>
    <col min="119" max="119" width="14.44140625" style="1" bestFit="1" customWidth="1"/>
    <col min="120" max="127" width="14.6640625" style="1" bestFit="1" customWidth="1"/>
    <col min="128" max="128" width="15.5546875" style="1" bestFit="1" customWidth="1"/>
    <col min="129" max="129" width="15.33203125" style="1" bestFit="1" customWidth="1"/>
    <col min="130" max="137" width="15.5546875" style="1" bestFit="1" customWidth="1"/>
    <col min="138" max="138" width="15.6640625" style="1" bestFit="1" customWidth="1"/>
    <col min="139" max="139" width="14.44140625" style="1" bestFit="1" customWidth="1"/>
    <col min="140" max="147" width="14.6640625" style="1" bestFit="1" customWidth="1"/>
    <col min="148" max="148" width="15.5546875" style="1" bestFit="1" customWidth="1"/>
    <col min="149" max="149" width="15.33203125" style="1" bestFit="1" customWidth="1"/>
    <col min="150" max="157" width="15.5546875" style="1" bestFit="1" customWidth="1"/>
    <col min="158" max="158" width="15.6640625" style="1" bestFit="1" customWidth="1"/>
    <col min="159" max="159" width="17.88671875" style="1" bestFit="1" customWidth="1"/>
    <col min="160" max="160" width="15" style="1" bestFit="1" customWidth="1"/>
    <col min="161" max="161" width="17.88671875" style="1" bestFit="1" customWidth="1"/>
    <col min="162" max="162" width="15" style="1" bestFit="1" customWidth="1"/>
    <col min="163" max="163" width="19" style="1" bestFit="1" customWidth="1"/>
    <col min="164" max="164" width="16.109375" style="1" bestFit="1" customWidth="1"/>
    <col min="165" max="166" width="15.33203125" style="1" bestFit="1" customWidth="1"/>
    <col min="167" max="167" width="16.44140625" style="1" bestFit="1" customWidth="1"/>
    <col min="168" max="168" width="17.44140625" style="1" bestFit="1" customWidth="1"/>
    <col min="169" max="169" width="28.33203125" style="1" bestFit="1" customWidth="1"/>
    <col min="170" max="16384" width="11.5546875" style="1"/>
  </cols>
  <sheetData>
    <row r="1" spans="1:169" s="42" customFormat="1" x14ac:dyDescent="0.3"/>
    <row r="2" spans="1:169" s="42" customFormat="1" x14ac:dyDescent="0.3">
      <c r="B2" s="54" t="s">
        <v>3162</v>
      </c>
      <c r="C2" s="54"/>
      <c r="D2" s="54"/>
      <c r="E2" s="54"/>
    </row>
    <row r="3" spans="1:169" s="42" customFormat="1" x14ac:dyDescent="0.3">
      <c r="B3" s="54"/>
      <c r="C3" s="54"/>
      <c r="D3" s="54"/>
      <c r="E3" s="54"/>
    </row>
    <row r="4" spans="1:169" s="42" customFormat="1" x14ac:dyDescent="0.3">
      <c r="B4" s="54"/>
      <c r="C4" s="54"/>
      <c r="D4" s="54"/>
      <c r="E4" s="54"/>
    </row>
    <row r="5" spans="1:169" s="42" customFormat="1" x14ac:dyDescent="0.3">
      <c r="B5" s="54"/>
      <c r="C5" s="54"/>
      <c r="D5" s="54"/>
      <c r="E5" s="54"/>
    </row>
    <row r="6" spans="1:169" s="42" customFormat="1" x14ac:dyDescent="0.3">
      <c r="B6" s="54"/>
      <c r="C6" s="54"/>
      <c r="D6" s="54"/>
      <c r="E6" s="54"/>
    </row>
    <row r="7" spans="1:169" s="42" customFormat="1" ht="15" thickBot="1" x14ac:dyDescent="0.35"/>
    <row r="8" spans="1:169" s="17" customFormat="1" ht="15" thickBot="1" x14ac:dyDescent="0.35">
      <c r="A8" s="13" t="s">
        <v>3143</v>
      </c>
      <c r="B8" s="14" t="s">
        <v>0</v>
      </c>
      <c r="C8" s="15" t="s">
        <v>1</v>
      </c>
      <c r="D8" s="15" t="s">
        <v>2</v>
      </c>
      <c r="E8" s="15" t="s">
        <v>3</v>
      </c>
      <c r="F8" s="15" t="s">
        <v>4</v>
      </c>
      <c r="G8" s="15" t="s">
        <v>5</v>
      </c>
      <c r="H8" s="15" t="s">
        <v>6</v>
      </c>
      <c r="I8" s="15" t="s">
        <v>7</v>
      </c>
      <c r="J8" s="15" t="s">
        <v>8</v>
      </c>
      <c r="K8" s="15" t="s">
        <v>9</v>
      </c>
      <c r="L8" s="15" t="s">
        <v>10</v>
      </c>
      <c r="M8" s="15" t="s">
        <v>11</v>
      </c>
      <c r="N8" s="16" t="s">
        <v>12</v>
      </c>
      <c r="O8" s="14" t="s">
        <v>13</v>
      </c>
      <c r="P8" s="15" t="s">
        <v>14</v>
      </c>
      <c r="Q8" s="15" t="s">
        <v>15</v>
      </c>
      <c r="R8" s="16" t="s">
        <v>16</v>
      </c>
      <c r="S8" s="15" t="s">
        <v>17</v>
      </c>
      <c r="T8" s="15" t="s">
        <v>18</v>
      </c>
      <c r="U8" s="15" t="s">
        <v>19</v>
      </c>
      <c r="V8" s="15" t="s">
        <v>20</v>
      </c>
      <c r="W8" s="15" t="s">
        <v>21</v>
      </c>
      <c r="X8" s="15" t="s">
        <v>22</v>
      </c>
      <c r="Y8" s="15" t="s">
        <v>23</v>
      </c>
      <c r="Z8" s="15" t="s">
        <v>24</v>
      </c>
      <c r="AA8" s="15" t="s">
        <v>25</v>
      </c>
      <c r="AB8" s="15" t="s">
        <v>26</v>
      </c>
      <c r="AC8" s="15" t="s">
        <v>27</v>
      </c>
      <c r="AD8" s="15" t="s">
        <v>28</v>
      </c>
      <c r="AE8" s="15" t="s">
        <v>29</v>
      </c>
      <c r="AF8" s="15" t="s">
        <v>30</v>
      </c>
      <c r="AG8" s="15" t="s">
        <v>31</v>
      </c>
      <c r="AH8" s="15" t="s">
        <v>32</v>
      </c>
      <c r="AI8" s="15" t="s">
        <v>33</v>
      </c>
      <c r="AJ8" s="15" t="s">
        <v>34</v>
      </c>
      <c r="AK8" s="15" t="s">
        <v>35</v>
      </c>
      <c r="AL8" s="15" t="s">
        <v>36</v>
      </c>
      <c r="AM8" s="15" t="s">
        <v>37</v>
      </c>
      <c r="AN8" s="15" t="s">
        <v>38</v>
      </c>
      <c r="AO8" s="15" t="s">
        <v>39</v>
      </c>
      <c r="AP8" s="15" t="s">
        <v>40</v>
      </c>
      <c r="AQ8" s="15" t="s">
        <v>41</v>
      </c>
      <c r="AR8" s="15" t="s">
        <v>42</v>
      </c>
      <c r="AS8" s="15" t="s">
        <v>43</v>
      </c>
      <c r="AT8" s="15" t="s">
        <v>44</v>
      </c>
      <c r="AU8" s="15" t="s">
        <v>45</v>
      </c>
      <c r="AV8" s="15" t="s">
        <v>46</v>
      </c>
      <c r="AW8" s="15" t="s">
        <v>47</v>
      </c>
      <c r="AX8" s="15" t="s">
        <v>48</v>
      </c>
      <c r="AY8" s="15" t="s">
        <v>49</v>
      </c>
      <c r="AZ8" s="15" t="s">
        <v>50</v>
      </c>
      <c r="BA8" s="15" t="s">
        <v>51</v>
      </c>
      <c r="BB8" s="15" t="s">
        <v>52</v>
      </c>
      <c r="BC8" s="15" t="s">
        <v>53</v>
      </c>
      <c r="BD8" s="15" t="s">
        <v>54</v>
      </c>
      <c r="BE8" s="15" t="s">
        <v>55</v>
      </c>
      <c r="BF8" s="15" t="s">
        <v>56</v>
      </c>
      <c r="BG8" s="15" t="s">
        <v>57</v>
      </c>
      <c r="BH8" s="15" t="s">
        <v>58</v>
      </c>
      <c r="BI8" s="15" t="s">
        <v>59</v>
      </c>
      <c r="BJ8" s="15" t="s">
        <v>60</v>
      </c>
      <c r="BK8" s="15" t="s">
        <v>61</v>
      </c>
      <c r="BL8" s="15" t="s">
        <v>62</v>
      </c>
      <c r="BM8" s="15" t="s">
        <v>63</v>
      </c>
      <c r="BN8" s="15" t="s">
        <v>64</v>
      </c>
      <c r="BO8" s="15" t="s">
        <v>65</v>
      </c>
      <c r="BP8" s="15" t="s">
        <v>66</v>
      </c>
      <c r="BQ8" s="15" t="s">
        <v>67</v>
      </c>
      <c r="BR8" s="15" t="s">
        <v>68</v>
      </c>
      <c r="BS8" s="15" t="s">
        <v>69</v>
      </c>
      <c r="BT8" s="15" t="s">
        <v>70</v>
      </c>
      <c r="BU8" s="15" t="s">
        <v>71</v>
      </c>
      <c r="BV8" s="15" t="s">
        <v>72</v>
      </c>
      <c r="BW8" s="15" t="s">
        <v>73</v>
      </c>
      <c r="BX8" s="15" t="s">
        <v>74</v>
      </c>
      <c r="BY8" s="15" t="s">
        <v>75</v>
      </c>
      <c r="BZ8" s="15" t="s">
        <v>76</v>
      </c>
      <c r="CA8" s="15" t="s">
        <v>77</v>
      </c>
      <c r="CB8" s="15" t="s">
        <v>78</v>
      </c>
      <c r="CC8" s="15" t="s">
        <v>79</v>
      </c>
      <c r="CD8" s="15" t="s">
        <v>80</v>
      </c>
      <c r="CE8" s="15" t="s">
        <v>81</v>
      </c>
      <c r="CF8" s="15" t="s">
        <v>82</v>
      </c>
      <c r="CG8" s="15" t="s">
        <v>83</v>
      </c>
      <c r="CH8" s="15" t="s">
        <v>84</v>
      </c>
      <c r="CI8" s="15" t="s">
        <v>85</v>
      </c>
      <c r="CJ8" s="15" t="s">
        <v>86</v>
      </c>
      <c r="CK8" s="15" t="s">
        <v>87</v>
      </c>
      <c r="CL8" s="15" t="s">
        <v>88</v>
      </c>
      <c r="CM8" s="15" t="s">
        <v>89</v>
      </c>
      <c r="CN8" s="15" t="s">
        <v>90</v>
      </c>
      <c r="CO8" s="15" t="s">
        <v>91</v>
      </c>
      <c r="CP8" s="15" t="s">
        <v>92</v>
      </c>
      <c r="CQ8" s="15" t="s">
        <v>93</v>
      </c>
      <c r="CR8" s="15" t="s">
        <v>94</v>
      </c>
      <c r="CS8" s="15" t="s">
        <v>95</v>
      </c>
      <c r="CT8" s="15" t="s">
        <v>96</v>
      </c>
      <c r="CU8" s="15" t="s">
        <v>97</v>
      </c>
      <c r="CV8" s="15" t="s">
        <v>98</v>
      </c>
      <c r="CW8" s="15" t="s">
        <v>99</v>
      </c>
      <c r="CX8" s="15" t="s">
        <v>100</v>
      </c>
      <c r="CY8" s="15" t="s">
        <v>101</v>
      </c>
      <c r="CZ8" s="15" t="s">
        <v>102</v>
      </c>
      <c r="DA8" s="15" t="s">
        <v>103</v>
      </c>
      <c r="DB8" s="15" t="s">
        <v>104</v>
      </c>
      <c r="DC8" s="15" t="s">
        <v>105</v>
      </c>
      <c r="DD8" s="15" t="s">
        <v>106</v>
      </c>
      <c r="DE8" s="15" t="s">
        <v>107</v>
      </c>
      <c r="DF8" s="15" t="s">
        <v>108</v>
      </c>
      <c r="DG8" s="15" t="s">
        <v>109</v>
      </c>
      <c r="DH8" s="15" t="s">
        <v>110</v>
      </c>
      <c r="DI8" s="15" t="s">
        <v>111</v>
      </c>
      <c r="DJ8" s="15" t="s">
        <v>112</v>
      </c>
      <c r="DK8" s="15" t="s">
        <v>113</v>
      </c>
      <c r="DL8" s="15" t="s">
        <v>114</v>
      </c>
      <c r="DM8" s="15" t="s">
        <v>115</v>
      </c>
      <c r="DN8" s="15" t="s">
        <v>116</v>
      </c>
      <c r="DO8" s="15" t="s">
        <v>117</v>
      </c>
      <c r="DP8" s="15" t="s">
        <v>118</v>
      </c>
      <c r="DQ8" s="15" t="s">
        <v>119</v>
      </c>
      <c r="DR8" s="15" t="s">
        <v>120</v>
      </c>
      <c r="DS8" s="15" t="s">
        <v>121</v>
      </c>
      <c r="DT8" s="15" t="s">
        <v>122</v>
      </c>
      <c r="DU8" s="15" t="s">
        <v>123</v>
      </c>
      <c r="DV8" s="15" t="s">
        <v>124</v>
      </c>
      <c r="DW8" s="15" t="s">
        <v>125</v>
      </c>
      <c r="DX8" s="15" t="s">
        <v>126</v>
      </c>
      <c r="DY8" s="15" t="s">
        <v>127</v>
      </c>
      <c r="DZ8" s="15" t="s">
        <v>128</v>
      </c>
      <c r="EA8" s="15" t="s">
        <v>129</v>
      </c>
      <c r="EB8" s="15" t="s">
        <v>130</v>
      </c>
      <c r="EC8" s="15" t="s">
        <v>131</v>
      </c>
      <c r="ED8" s="15" t="s">
        <v>132</v>
      </c>
      <c r="EE8" s="15" t="s">
        <v>133</v>
      </c>
      <c r="EF8" s="15" t="s">
        <v>134</v>
      </c>
      <c r="EG8" s="15" t="s">
        <v>135</v>
      </c>
      <c r="EH8" s="15" t="s">
        <v>136</v>
      </c>
      <c r="EI8" s="15" t="s">
        <v>137</v>
      </c>
      <c r="EJ8" s="15" t="s">
        <v>138</v>
      </c>
      <c r="EK8" s="15" t="s">
        <v>139</v>
      </c>
      <c r="EL8" s="15" t="s">
        <v>140</v>
      </c>
      <c r="EM8" s="15" t="s">
        <v>141</v>
      </c>
      <c r="EN8" s="15" t="s">
        <v>142</v>
      </c>
      <c r="EO8" s="15" t="s">
        <v>143</v>
      </c>
      <c r="EP8" s="15" t="s">
        <v>144</v>
      </c>
      <c r="EQ8" s="15" t="s">
        <v>145</v>
      </c>
      <c r="ER8" s="15" t="s">
        <v>146</v>
      </c>
      <c r="ES8" s="15" t="s">
        <v>147</v>
      </c>
      <c r="ET8" s="15" t="s">
        <v>148</v>
      </c>
      <c r="EU8" s="15" t="s">
        <v>149</v>
      </c>
      <c r="EV8" s="15" t="s">
        <v>150</v>
      </c>
      <c r="EW8" s="15" t="s">
        <v>151</v>
      </c>
      <c r="EX8" s="15" t="s">
        <v>152</v>
      </c>
      <c r="EY8" s="15" t="s">
        <v>153</v>
      </c>
      <c r="EZ8" s="15" t="s">
        <v>154</v>
      </c>
      <c r="FA8" s="15" t="s">
        <v>155</v>
      </c>
      <c r="FB8" s="15" t="s">
        <v>156</v>
      </c>
      <c r="FC8" s="15" t="s">
        <v>157</v>
      </c>
      <c r="FD8" s="15" t="s">
        <v>158</v>
      </c>
      <c r="FE8" s="15" t="s">
        <v>159</v>
      </c>
      <c r="FF8" s="15" t="s">
        <v>160</v>
      </c>
      <c r="FG8" s="15" t="s">
        <v>161</v>
      </c>
      <c r="FH8" s="15" t="s">
        <v>162</v>
      </c>
      <c r="FI8" s="15" t="s">
        <v>163</v>
      </c>
      <c r="FJ8" s="15" t="s">
        <v>164</v>
      </c>
      <c r="FK8" s="15" t="s">
        <v>165</v>
      </c>
      <c r="FL8" s="15" t="s">
        <v>166</v>
      </c>
      <c r="FM8" s="15" t="s">
        <v>167</v>
      </c>
    </row>
    <row r="9" spans="1:169" x14ac:dyDescent="0.3">
      <c r="A9" s="2">
        <v>1</v>
      </c>
      <c r="B9" s="5">
        <v>1</v>
      </c>
      <c r="C9" s="6">
        <v>2501542</v>
      </c>
      <c r="D9" s="6" t="s">
        <v>168</v>
      </c>
      <c r="E9" s="6">
        <v>2908020</v>
      </c>
      <c r="F9" s="6">
        <v>2908020</v>
      </c>
      <c r="G9" s="6">
        <v>0</v>
      </c>
      <c r="H9" s="6">
        <v>0</v>
      </c>
      <c r="I9" s="6">
        <v>51.48</v>
      </c>
      <c r="J9" s="6" t="s">
        <v>169</v>
      </c>
      <c r="K9" s="6" t="s">
        <v>170</v>
      </c>
      <c r="L9" s="7" t="s">
        <v>171</v>
      </c>
      <c r="M9" s="7" t="s">
        <v>172</v>
      </c>
      <c r="N9" s="8" t="s">
        <v>173</v>
      </c>
      <c r="O9" s="5">
        <v>6849.65</v>
      </c>
      <c r="P9" s="6">
        <v>-6123.35</v>
      </c>
      <c r="Q9" s="6">
        <v>487.66899999999998</v>
      </c>
      <c r="R9" s="12">
        <v>8901.5400000000009</v>
      </c>
      <c r="S9" s="4" t="s">
        <v>174</v>
      </c>
      <c r="T9" s="4" t="s">
        <v>175</v>
      </c>
      <c r="U9" s="4" t="s">
        <v>176</v>
      </c>
      <c r="V9" s="4" t="s">
        <v>177</v>
      </c>
      <c r="W9" s="4" t="s">
        <v>178</v>
      </c>
      <c r="X9" s="4" t="s">
        <v>179</v>
      </c>
      <c r="Y9" s="4" t="s">
        <v>180</v>
      </c>
      <c r="Z9" s="4" t="s">
        <v>181</v>
      </c>
      <c r="AA9" s="4" t="s">
        <v>182</v>
      </c>
      <c r="AB9" s="4" t="s">
        <v>183</v>
      </c>
      <c r="AC9" s="4" t="s">
        <v>184</v>
      </c>
      <c r="AD9" s="4" t="s">
        <v>185</v>
      </c>
      <c r="AE9" s="4" t="s">
        <v>186</v>
      </c>
      <c r="AF9" s="4" t="s">
        <v>187</v>
      </c>
      <c r="AG9" s="4" t="s">
        <v>188</v>
      </c>
      <c r="AH9" s="4" t="s">
        <v>189</v>
      </c>
      <c r="AI9" s="4" t="s">
        <v>190</v>
      </c>
      <c r="AJ9" s="4" t="s">
        <v>191</v>
      </c>
      <c r="AK9" s="4" t="s">
        <v>192</v>
      </c>
      <c r="AL9" s="4" t="s">
        <v>193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/>
    </row>
    <row r="10" spans="1:169" x14ac:dyDescent="0.3">
      <c r="A10" s="2">
        <v>2</v>
      </c>
      <c r="B10" s="5">
        <v>1</v>
      </c>
      <c r="C10" s="6">
        <v>2501542</v>
      </c>
      <c r="D10" s="6" t="s">
        <v>168</v>
      </c>
      <c r="E10" s="6">
        <v>2908020</v>
      </c>
      <c r="F10" s="6">
        <v>2908020</v>
      </c>
      <c r="G10" s="6">
        <v>0</v>
      </c>
      <c r="H10" s="6">
        <v>0</v>
      </c>
      <c r="I10" s="6">
        <v>51.48</v>
      </c>
      <c r="J10" s="6" t="s">
        <v>194</v>
      </c>
      <c r="K10" s="6" t="s">
        <v>195</v>
      </c>
      <c r="L10" s="7" t="s">
        <v>196</v>
      </c>
      <c r="M10" s="7" t="s">
        <v>172</v>
      </c>
      <c r="N10" s="8" t="s">
        <v>173</v>
      </c>
      <c r="O10" s="5">
        <v>-7074</v>
      </c>
      <c r="P10" s="6">
        <v>6791.27</v>
      </c>
      <c r="Q10" s="6">
        <v>-601.10299999999995</v>
      </c>
      <c r="R10" s="12">
        <v>0</v>
      </c>
      <c r="S10" s="4" t="s">
        <v>174</v>
      </c>
      <c r="T10" s="4" t="s">
        <v>175</v>
      </c>
      <c r="U10" s="4" t="s">
        <v>176</v>
      </c>
      <c r="V10" s="4" t="s">
        <v>177</v>
      </c>
      <c r="W10" s="4" t="s">
        <v>178</v>
      </c>
      <c r="X10" s="4" t="s">
        <v>179</v>
      </c>
      <c r="Y10" s="4" t="s">
        <v>180</v>
      </c>
      <c r="Z10" s="4" t="s">
        <v>181</v>
      </c>
      <c r="AA10" s="4" t="s">
        <v>182</v>
      </c>
      <c r="AB10" s="4" t="s">
        <v>183</v>
      </c>
      <c r="AC10" s="4" t="s">
        <v>184</v>
      </c>
      <c r="AD10" s="4" t="s">
        <v>185</v>
      </c>
      <c r="AE10" s="4" t="s">
        <v>186</v>
      </c>
      <c r="AF10" s="4" t="s">
        <v>187</v>
      </c>
      <c r="AG10" s="4" t="s">
        <v>188</v>
      </c>
      <c r="AH10" s="4" t="s">
        <v>189</v>
      </c>
      <c r="AI10" s="4" t="s">
        <v>190</v>
      </c>
      <c r="AJ10" s="4" t="s">
        <v>191</v>
      </c>
      <c r="AK10" s="4" t="s">
        <v>192</v>
      </c>
      <c r="AL10" s="4" t="s">
        <v>193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/>
    </row>
    <row r="11" spans="1:169" x14ac:dyDescent="0.3">
      <c r="A11" s="2">
        <v>3</v>
      </c>
      <c r="B11" s="5">
        <v>1</v>
      </c>
      <c r="C11" s="6">
        <v>1500994</v>
      </c>
      <c r="D11" s="6" t="s">
        <v>197</v>
      </c>
      <c r="E11" s="6">
        <v>2908020</v>
      </c>
      <c r="F11" s="6">
        <v>1908022</v>
      </c>
      <c r="G11" s="6">
        <v>3908020</v>
      </c>
      <c r="H11" s="6">
        <v>1908023</v>
      </c>
      <c r="I11" s="6">
        <v>57.914999999999999</v>
      </c>
      <c r="J11" s="6" t="s">
        <v>169</v>
      </c>
      <c r="K11" s="6" t="s">
        <v>170</v>
      </c>
      <c r="L11" s="7" t="s">
        <v>171</v>
      </c>
      <c r="M11" s="7" t="s">
        <v>172</v>
      </c>
      <c r="N11" s="8" t="s">
        <v>198</v>
      </c>
      <c r="O11" s="5">
        <v>917.80200000000002</v>
      </c>
      <c r="P11" s="6">
        <v>-3276.95</v>
      </c>
      <c r="Q11" s="6">
        <v>757.35400000000004</v>
      </c>
      <c r="R11" s="12">
        <v>8901.5400000000009</v>
      </c>
      <c r="S11" s="4" t="s">
        <v>199</v>
      </c>
      <c r="T11" s="4" t="s">
        <v>200</v>
      </c>
      <c r="U11" s="4" t="s">
        <v>201</v>
      </c>
      <c r="V11" s="4" t="s">
        <v>202</v>
      </c>
      <c r="W11" s="4" t="s">
        <v>203</v>
      </c>
      <c r="X11" s="4" t="s">
        <v>204</v>
      </c>
      <c r="Y11" s="4" t="s">
        <v>205</v>
      </c>
      <c r="Z11" s="4" t="s">
        <v>206</v>
      </c>
      <c r="AA11" s="4" t="s">
        <v>207</v>
      </c>
      <c r="AB11" s="4" t="s">
        <v>208</v>
      </c>
      <c r="AC11" s="4" t="s">
        <v>209</v>
      </c>
      <c r="AD11" s="4" t="s">
        <v>210</v>
      </c>
      <c r="AE11" s="4" t="s">
        <v>211</v>
      </c>
      <c r="AF11" s="4" t="s">
        <v>212</v>
      </c>
      <c r="AG11" s="4" t="s">
        <v>213</v>
      </c>
      <c r="AH11" s="4" t="s">
        <v>214</v>
      </c>
      <c r="AI11" s="4" t="s">
        <v>215</v>
      </c>
      <c r="AJ11" s="4" t="s">
        <v>216</v>
      </c>
      <c r="AK11" s="4" t="s">
        <v>217</v>
      </c>
      <c r="AL11" s="4" t="s">
        <v>218</v>
      </c>
      <c r="AM11" s="3">
        <v>192.524</v>
      </c>
      <c r="AN11" s="3">
        <v>225.42099999999999</v>
      </c>
      <c r="AO11" s="3">
        <v>250.96199999999999</v>
      </c>
      <c r="AP11" s="3">
        <v>278.27499999999998</v>
      </c>
      <c r="AQ11" s="3">
        <v>303.97399999999999</v>
      </c>
      <c r="AR11" s="3">
        <v>328.53399999999999</v>
      </c>
      <c r="AS11" s="3">
        <v>182.08500000000001</v>
      </c>
      <c r="AT11" s="3">
        <v>21.268000000000001</v>
      </c>
      <c r="AU11" s="3">
        <v>-133.79</v>
      </c>
      <c r="AV11" s="3">
        <v>-245.00299999999999</v>
      </c>
      <c r="AW11" s="3">
        <v>-346.73</v>
      </c>
      <c r="AX11" s="3">
        <v>-406.51299999999998</v>
      </c>
      <c r="AY11" s="3">
        <v>-440.298</v>
      </c>
      <c r="AZ11" s="3">
        <v>-473.07</v>
      </c>
      <c r="BA11" s="3">
        <v>-504.04199999999997</v>
      </c>
      <c r="BB11" s="3">
        <v>-528.94799999999998</v>
      </c>
      <c r="BC11" s="3">
        <v>-373.125</v>
      </c>
      <c r="BD11" s="3">
        <v>-225.255</v>
      </c>
      <c r="BE11" s="3">
        <v>-83.173500000000004</v>
      </c>
      <c r="BF11" s="3">
        <v>52.077800000000003</v>
      </c>
      <c r="BG11" s="3">
        <v>393.46600000000001</v>
      </c>
      <c r="BH11" s="3">
        <v>395.35399999999998</v>
      </c>
      <c r="BI11" s="3">
        <v>396.26</v>
      </c>
      <c r="BJ11" s="3">
        <v>391.56099999999998</v>
      </c>
      <c r="BK11" s="3">
        <v>383.28699999999998</v>
      </c>
      <c r="BL11" s="3">
        <v>375.24</v>
      </c>
      <c r="BM11" s="3">
        <v>364.65100000000001</v>
      </c>
      <c r="BN11" s="3">
        <v>351.46600000000001</v>
      </c>
      <c r="BO11" s="3">
        <v>336.48399999999998</v>
      </c>
      <c r="BP11" s="3">
        <v>307.86599999999999</v>
      </c>
      <c r="BQ11" s="3">
        <v>293.65899999999999</v>
      </c>
      <c r="BR11" s="3">
        <v>284.33999999999997</v>
      </c>
      <c r="BS11" s="3">
        <v>272.36399999999998</v>
      </c>
      <c r="BT11" s="3">
        <v>270.78899999999999</v>
      </c>
      <c r="BU11" s="3">
        <v>275.08</v>
      </c>
      <c r="BV11" s="3">
        <v>279.5</v>
      </c>
      <c r="BW11" s="3">
        <v>297.79599999999999</v>
      </c>
      <c r="BX11" s="3">
        <v>321.10300000000001</v>
      </c>
      <c r="BY11" s="3">
        <v>343.89499999999998</v>
      </c>
      <c r="BZ11" s="3">
        <v>370.60700000000003</v>
      </c>
      <c r="CA11" s="3">
        <v>-554.87400000000002</v>
      </c>
      <c r="CB11" s="3">
        <v>-568.03599999999994</v>
      </c>
      <c r="CC11" s="3">
        <v>-571.56500000000005</v>
      </c>
      <c r="CD11" s="3">
        <v>-572.38699999999994</v>
      </c>
      <c r="CE11" s="3">
        <v>-579.11199999999997</v>
      </c>
      <c r="CF11" s="3">
        <v>-588.89</v>
      </c>
      <c r="CG11" s="3">
        <v>-563.33600000000001</v>
      </c>
      <c r="CH11" s="3">
        <v>-542.20899999999995</v>
      </c>
      <c r="CI11" s="3">
        <v>-517.77099999999996</v>
      </c>
      <c r="CJ11" s="3">
        <v>-483.79599999999999</v>
      </c>
      <c r="CK11" s="3">
        <v>-448.57100000000003</v>
      </c>
      <c r="CL11" s="3">
        <v>-450.44299999999998</v>
      </c>
      <c r="CM11" s="3">
        <v>-443.39800000000002</v>
      </c>
      <c r="CN11" s="3">
        <v>-438.09399999999999</v>
      </c>
      <c r="CO11" s="3">
        <v>-428.98099999999999</v>
      </c>
      <c r="CP11" s="3">
        <v>-415.14400000000001</v>
      </c>
      <c r="CQ11" s="3">
        <v>-435.74599999999998</v>
      </c>
      <c r="CR11" s="3">
        <v>-457.19099999999997</v>
      </c>
      <c r="CS11" s="3">
        <v>-485.62</v>
      </c>
      <c r="CT11" s="3">
        <v>-518.80999999999995</v>
      </c>
      <c r="CU11" s="3">
        <v>-4738.2299999999996</v>
      </c>
      <c r="CV11" s="3">
        <v>-5363.76</v>
      </c>
      <c r="CW11" s="3">
        <v>-5788.31</v>
      </c>
      <c r="CX11" s="3">
        <v>-6177.03</v>
      </c>
      <c r="CY11" s="3">
        <v>-6607.87</v>
      </c>
      <c r="CZ11" s="3">
        <v>-7207.21</v>
      </c>
      <c r="DA11" s="3">
        <v>-7808.71</v>
      </c>
      <c r="DB11" s="3">
        <v>-8473.7900000000009</v>
      </c>
      <c r="DC11" s="3">
        <v>-9607.5400000000009</v>
      </c>
      <c r="DD11" s="3">
        <v>-10685.6</v>
      </c>
      <c r="DE11" s="3">
        <v>-12253.7</v>
      </c>
      <c r="DF11" s="3">
        <v>-10629</v>
      </c>
      <c r="DG11" s="3">
        <v>-9509.2800000000007</v>
      </c>
      <c r="DH11" s="3">
        <v>-8541.08</v>
      </c>
      <c r="DI11" s="3">
        <v>-7484.77</v>
      </c>
      <c r="DJ11" s="3">
        <v>-6244.74</v>
      </c>
      <c r="DK11" s="3">
        <v>-6167.95</v>
      </c>
      <c r="DL11" s="3">
        <v>-5921.69</v>
      </c>
      <c r="DM11" s="3">
        <v>-5705.32</v>
      </c>
      <c r="DN11" s="3">
        <v>-5284.84</v>
      </c>
      <c r="DO11" s="3">
        <v>-1656.86</v>
      </c>
      <c r="DP11" s="3">
        <v>-1719.06</v>
      </c>
      <c r="DQ11" s="3">
        <v>-1798.34</v>
      </c>
      <c r="DR11" s="3">
        <v>-1917.61</v>
      </c>
      <c r="DS11" s="3">
        <v>-2104.6799999999998</v>
      </c>
      <c r="DT11" s="3">
        <v>-2350.44</v>
      </c>
      <c r="DU11" s="3">
        <v>-2009.23</v>
      </c>
      <c r="DV11" s="3">
        <v>-1706.17</v>
      </c>
      <c r="DW11" s="3">
        <v>-1877.25</v>
      </c>
      <c r="DX11" s="3">
        <v>-2901.87</v>
      </c>
      <c r="DY11" s="3">
        <v>-4689.41</v>
      </c>
      <c r="DZ11" s="3">
        <v>-4078.52</v>
      </c>
      <c r="EA11" s="3">
        <v>-3588.49</v>
      </c>
      <c r="EB11" s="3">
        <v>-3214.9</v>
      </c>
      <c r="EC11" s="3">
        <v>-2929.98</v>
      </c>
      <c r="ED11" s="3">
        <v>-2625.36</v>
      </c>
      <c r="EE11" s="3">
        <v>-2869.82</v>
      </c>
      <c r="EF11" s="3">
        <v>-3039.03</v>
      </c>
      <c r="EG11" s="3">
        <v>-2742.23</v>
      </c>
      <c r="EH11" s="3">
        <v>-2177.75</v>
      </c>
      <c r="EI11" s="3">
        <v>467.69099999999997</v>
      </c>
      <c r="EJ11" s="3">
        <v>749.81399999999996</v>
      </c>
      <c r="EK11" s="3">
        <v>1018.67</v>
      </c>
      <c r="EL11" s="3">
        <v>1227.6600000000001</v>
      </c>
      <c r="EM11" s="3">
        <v>1426.9</v>
      </c>
      <c r="EN11" s="3">
        <v>1684.72</v>
      </c>
      <c r="EO11" s="3">
        <v>1738.16</v>
      </c>
      <c r="EP11" s="3">
        <v>1687.67</v>
      </c>
      <c r="EQ11" s="3">
        <v>1473.88</v>
      </c>
      <c r="ER11" s="3">
        <v>743.09699999999998</v>
      </c>
      <c r="ES11" s="3">
        <v>599.06700000000001</v>
      </c>
      <c r="ET11" s="3">
        <v>320.63099999999997</v>
      </c>
      <c r="EU11" s="3">
        <v>125.509</v>
      </c>
      <c r="EV11" s="3">
        <v>17.227499999999999</v>
      </c>
      <c r="EW11" s="3">
        <v>-21.853899999999999</v>
      </c>
      <c r="EX11" s="3">
        <v>-69.887299999999996</v>
      </c>
      <c r="EY11" s="3">
        <v>-53.339700000000001</v>
      </c>
      <c r="EZ11" s="3">
        <v>24.689399999999999</v>
      </c>
      <c r="FA11" s="3">
        <v>130.18299999999999</v>
      </c>
      <c r="FB11" s="3">
        <v>297.21699999999998</v>
      </c>
      <c r="FC11" s="3">
        <v>-32.272500000000001</v>
      </c>
      <c r="FD11" s="3">
        <v>-160.983</v>
      </c>
      <c r="FE11" s="3">
        <v>279.28899999999999</v>
      </c>
      <c r="FF11" s="3">
        <v>389.19499999999999</v>
      </c>
      <c r="FG11" s="3">
        <v>-437.43900000000002</v>
      </c>
      <c r="FH11" s="3">
        <v>-572.47699999999998</v>
      </c>
      <c r="FI11" s="3">
        <v>7508.27</v>
      </c>
      <c r="FJ11" s="3">
        <v>2722.8</v>
      </c>
      <c r="FK11" s="3">
        <v>-677.88699999999994</v>
      </c>
      <c r="FL11" s="3">
        <v>0.365124</v>
      </c>
      <c r="FM11" s="3"/>
    </row>
    <row r="12" spans="1:169" x14ac:dyDescent="0.3">
      <c r="A12" s="2">
        <v>4</v>
      </c>
      <c r="B12" s="5">
        <v>1</v>
      </c>
      <c r="C12" s="6">
        <v>1500994</v>
      </c>
      <c r="D12" s="6" t="s">
        <v>197</v>
      </c>
      <c r="E12" s="6">
        <v>2908020</v>
      </c>
      <c r="F12" s="6">
        <v>1908022</v>
      </c>
      <c r="G12" s="6">
        <v>3908020</v>
      </c>
      <c r="H12" s="6">
        <v>1908023</v>
      </c>
      <c r="I12" s="6">
        <v>57.914999999999999</v>
      </c>
      <c r="J12" s="6" t="s">
        <v>194</v>
      </c>
      <c r="K12" s="6" t="s">
        <v>195</v>
      </c>
      <c r="L12" s="7" t="s">
        <v>196</v>
      </c>
      <c r="M12" s="7" t="s">
        <v>172</v>
      </c>
      <c r="N12" s="8" t="s">
        <v>198</v>
      </c>
      <c r="O12" s="5">
        <v>-717.404</v>
      </c>
      <c r="P12" s="6">
        <v>3469.09</v>
      </c>
      <c r="Q12" s="6">
        <v>-952.38300000000004</v>
      </c>
      <c r="R12" s="12">
        <v>0</v>
      </c>
      <c r="S12" s="4" t="s">
        <v>199</v>
      </c>
      <c r="T12" s="4" t="s">
        <v>200</v>
      </c>
      <c r="U12" s="4" t="s">
        <v>201</v>
      </c>
      <c r="V12" s="4" t="s">
        <v>202</v>
      </c>
      <c r="W12" s="4" t="s">
        <v>203</v>
      </c>
      <c r="X12" s="4" t="s">
        <v>204</v>
      </c>
      <c r="Y12" s="4" t="s">
        <v>205</v>
      </c>
      <c r="Z12" s="4" t="s">
        <v>206</v>
      </c>
      <c r="AA12" s="4" t="s">
        <v>207</v>
      </c>
      <c r="AB12" s="4" t="s">
        <v>208</v>
      </c>
      <c r="AC12" s="4" t="s">
        <v>209</v>
      </c>
      <c r="AD12" s="4" t="s">
        <v>210</v>
      </c>
      <c r="AE12" s="4" t="s">
        <v>211</v>
      </c>
      <c r="AF12" s="4" t="s">
        <v>212</v>
      </c>
      <c r="AG12" s="4" t="s">
        <v>213</v>
      </c>
      <c r="AH12" s="4" t="s">
        <v>214</v>
      </c>
      <c r="AI12" s="4" t="s">
        <v>215</v>
      </c>
      <c r="AJ12" s="4" t="s">
        <v>216</v>
      </c>
      <c r="AK12" s="4" t="s">
        <v>217</v>
      </c>
      <c r="AL12" s="4" t="s">
        <v>218</v>
      </c>
      <c r="AM12" s="3">
        <v>-116.45099999999999</v>
      </c>
      <c r="AN12" s="3">
        <v>-148.79900000000001</v>
      </c>
      <c r="AO12" s="3">
        <v>-179.25399999999999</v>
      </c>
      <c r="AP12" s="3">
        <v>-215.14400000000001</v>
      </c>
      <c r="AQ12" s="3">
        <v>-257.74299999999999</v>
      </c>
      <c r="AR12" s="3">
        <v>-304.255</v>
      </c>
      <c r="AS12" s="3">
        <v>-44.229799999999997</v>
      </c>
      <c r="AT12" s="3">
        <v>247.161</v>
      </c>
      <c r="AU12" s="3">
        <v>533.20100000000002</v>
      </c>
      <c r="AV12" s="3">
        <v>745.87699999999995</v>
      </c>
      <c r="AW12" s="3">
        <v>966.41800000000001</v>
      </c>
      <c r="AX12" s="3">
        <v>955.15099999999995</v>
      </c>
      <c r="AY12" s="3">
        <v>909.38699999999994</v>
      </c>
      <c r="AZ12" s="3">
        <v>869.91600000000005</v>
      </c>
      <c r="BA12" s="3">
        <v>838.85500000000002</v>
      </c>
      <c r="BB12" s="3">
        <v>810.92499999999995</v>
      </c>
      <c r="BC12" s="3">
        <v>635.45799999999997</v>
      </c>
      <c r="BD12" s="3">
        <v>451.05200000000002</v>
      </c>
      <c r="BE12" s="3">
        <v>262.24</v>
      </c>
      <c r="BF12" s="3">
        <v>75.101299999999995</v>
      </c>
      <c r="BG12" s="3">
        <v>-406.209</v>
      </c>
      <c r="BH12" s="3">
        <v>-404.79700000000003</v>
      </c>
      <c r="BI12" s="3">
        <v>-399.81599999999997</v>
      </c>
      <c r="BJ12" s="3">
        <v>-387.10300000000001</v>
      </c>
      <c r="BK12" s="3">
        <v>-366.31</v>
      </c>
      <c r="BL12" s="3">
        <v>-343.17700000000002</v>
      </c>
      <c r="BM12" s="3">
        <v>-354.702</v>
      </c>
      <c r="BN12" s="3">
        <v>-372.01600000000002</v>
      </c>
      <c r="BO12" s="3">
        <v>-392.92</v>
      </c>
      <c r="BP12" s="3">
        <v>-396.61500000000001</v>
      </c>
      <c r="BQ12" s="3">
        <v>-416.15</v>
      </c>
      <c r="BR12" s="3">
        <v>-405.649</v>
      </c>
      <c r="BS12" s="3">
        <v>-384.51499999999999</v>
      </c>
      <c r="BT12" s="3">
        <v>-371.209</v>
      </c>
      <c r="BU12" s="3">
        <v>-363.495</v>
      </c>
      <c r="BV12" s="3">
        <v>-356.05200000000002</v>
      </c>
      <c r="BW12" s="3">
        <v>-368.18700000000001</v>
      </c>
      <c r="BX12" s="3">
        <v>-380.03300000000002</v>
      </c>
      <c r="BY12" s="3">
        <v>-388.05900000000003</v>
      </c>
      <c r="BZ12" s="3">
        <v>-398.71800000000002</v>
      </c>
      <c r="CA12" s="3">
        <v>479.03800000000001</v>
      </c>
      <c r="CB12" s="3">
        <v>477.87599999999998</v>
      </c>
      <c r="CC12" s="3">
        <v>463.93400000000003</v>
      </c>
      <c r="CD12" s="3">
        <v>447.47</v>
      </c>
      <c r="CE12" s="3">
        <v>435.10199999999998</v>
      </c>
      <c r="CF12" s="3">
        <v>428.16800000000001</v>
      </c>
      <c r="CG12" s="3">
        <v>381.892</v>
      </c>
      <c r="CH12" s="3">
        <v>360.55900000000003</v>
      </c>
      <c r="CI12" s="3">
        <v>365.18599999999998</v>
      </c>
      <c r="CJ12" s="3">
        <v>387.53100000000001</v>
      </c>
      <c r="CK12" s="3">
        <v>429.11900000000003</v>
      </c>
      <c r="CL12" s="3">
        <v>456.12400000000002</v>
      </c>
      <c r="CM12" s="3">
        <v>468.303</v>
      </c>
      <c r="CN12" s="3">
        <v>477.17700000000002</v>
      </c>
      <c r="CO12" s="3">
        <v>476.99</v>
      </c>
      <c r="CP12" s="3">
        <v>468.23</v>
      </c>
      <c r="CQ12" s="3">
        <v>442.63299999999998</v>
      </c>
      <c r="CR12" s="3">
        <v>428.50799999999998</v>
      </c>
      <c r="CS12" s="3">
        <v>431.5</v>
      </c>
      <c r="CT12" s="3">
        <v>449.20600000000002</v>
      </c>
      <c r="CU12" s="3">
        <v>5388.29</v>
      </c>
      <c r="CV12" s="3">
        <v>6160.73</v>
      </c>
      <c r="CW12" s="3">
        <v>6733.86</v>
      </c>
      <c r="CX12" s="3">
        <v>7289.31</v>
      </c>
      <c r="CY12" s="3">
        <v>7933.8</v>
      </c>
      <c r="CZ12" s="3">
        <v>8783.44</v>
      </c>
      <c r="DA12" s="3">
        <v>9405.33</v>
      </c>
      <c r="DB12" s="3">
        <v>10045.9</v>
      </c>
      <c r="DC12" s="3">
        <v>11059.1</v>
      </c>
      <c r="DD12" s="3">
        <v>11953.9</v>
      </c>
      <c r="DE12" s="3">
        <v>13397.2</v>
      </c>
      <c r="DF12" s="3">
        <v>11693.9</v>
      </c>
      <c r="DG12" s="3">
        <v>10429.200000000001</v>
      </c>
      <c r="DH12" s="3">
        <v>9310.48</v>
      </c>
      <c r="DI12" s="3">
        <v>8107.33</v>
      </c>
      <c r="DJ12" s="3">
        <v>6735.38</v>
      </c>
      <c r="DK12" s="3">
        <v>6739.84</v>
      </c>
      <c r="DL12" s="3">
        <v>6537.27</v>
      </c>
      <c r="DM12" s="3">
        <v>6346.14</v>
      </c>
      <c r="DN12" s="3">
        <v>5932.99</v>
      </c>
      <c r="DO12" s="3">
        <v>1982.62</v>
      </c>
      <c r="DP12" s="3">
        <v>2068.54</v>
      </c>
      <c r="DQ12" s="3">
        <v>2169.46</v>
      </c>
      <c r="DR12" s="3">
        <v>2306.06</v>
      </c>
      <c r="DS12" s="3">
        <v>2497.2800000000002</v>
      </c>
      <c r="DT12" s="3">
        <v>2730.4</v>
      </c>
      <c r="DU12" s="3">
        <v>2426.62</v>
      </c>
      <c r="DV12" s="3">
        <v>2199.0500000000002</v>
      </c>
      <c r="DW12" s="3">
        <v>2455.29</v>
      </c>
      <c r="DX12" s="3">
        <v>3494.94</v>
      </c>
      <c r="DY12" s="3">
        <v>5355.14</v>
      </c>
      <c r="DZ12" s="3">
        <v>4776.96</v>
      </c>
      <c r="EA12" s="3">
        <v>4259.24</v>
      </c>
      <c r="EB12" s="3">
        <v>3836.42</v>
      </c>
      <c r="EC12" s="3">
        <v>3494</v>
      </c>
      <c r="ED12" s="3">
        <v>3127.87</v>
      </c>
      <c r="EE12" s="3">
        <v>3388.81</v>
      </c>
      <c r="EF12" s="3">
        <v>3545.8</v>
      </c>
      <c r="EG12" s="3">
        <v>3205.4</v>
      </c>
      <c r="EH12" s="3">
        <v>2574.5300000000002</v>
      </c>
      <c r="EI12" s="3">
        <v>-307.596</v>
      </c>
      <c r="EJ12" s="3">
        <v>-579.42499999999995</v>
      </c>
      <c r="EK12" s="3">
        <v>-842.72199999999998</v>
      </c>
      <c r="EL12" s="3">
        <v>-1050.3900000000001</v>
      </c>
      <c r="EM12" s="3">
        <v>-1260</v>
      </c>
      <c r="EN12" s="3">
        <v>-1532.2</v>
      </c>
      <c r="EO12" s="3">
        <v>-1501.68</v>
      </c>
      <c r="EP12" s="3">
        <v>-1373.84</v>
      </c>
      <c r="EQ12" s="3">
        <v>-1101.83</v>
      </c>
      <c r="ER12" s="3">
        <v>-342.13</v>
      </c>
      <c r="ES12" s="3">
        <v>-119.26900000000001</v>
      </c>
      <c r="ET12" s="3">
        <v>77.666200000000003</v>
      </c>
      <c r="EU12" s="3">
        <v>187.477</v>
      </c>
      <c r="EV12" s="3">
        <v>217.511</v>
      </c>
      <c r="EW12" s="3">
        <v>192.524</v>
      </c>
      <c r="EX12" s="3">
        <v>191.51</v>
      </c>
      <c r="EY12" s="3">
        <v>208.417</v>
      </c>
      <c r="EZ12" s="3">
        <v>160.33199999999999</v>
      </c>
      <c r="FA12" s="3">
        <v>61.342700000000001</v>
      </c>
      <c r="FB12" s="3">
        <v>-120.155</v>
      </c>
      <c r="FC12" s="3">
        <v>353.05399999999997</v>
      </c>
      <c r="FD12" s="3">
        <v>357.36200000000002</v>
      </c>
      <c r="FE12" s="3">
        <v>-382.84500000000003</v>
      </c>
      <c r="FF12" s="3">
        <v>-384.56900000000002</v>
      </c>
      <c r="FG12" s="3">
        <v>392.07600000000002</v>
      </c>
      <c r="FH12" s="3">
        <v>462.65699999999998</v>
      </c>
      <c r="FI12" s="3">
        <v>-8527.07</v>
      </c>
      <c r="FJ12" s="3">
        <v>-3217</v>
      </c>
      <c r="FK12" s="3">
        <v>441.75099999999998</v>
      </c>
      <c r="FL12" s="3">
        <v>7.1524799999999999E-2</v>
      </c>
      <c r="FM12" s="3"/>
    </row>
    <row r="13" spans="1:169" x14ac:dyDescent="0.3">
      <c r="A13" s="2">
        <v>5</v>
      </c>
      <c r="B13" s="5">
        <v>1</v>
      </c>
      <c r="C13" s="6">
        <v>3503930</v>
      </c>
      <c r="D13" s="6" t="s">
        <v>219</v>
      </c>
      <c r="E13" s="6">
        <v>3908020</v>
      </c>
      <c r="F13" s="6">
        <v>3908021</v>
      </c>
      <c r="G13" s="6">
        <v>0</v>
      </c>
      <c r="H13" s="6">
        <v>0</v>
      </c>
      <c r="I13" s="6">
        <v>51.48</v>
      </c>
      <c r="J13" s="6" t="s">
        <v>169</v>
      </c>
      <c r="K13" s="6" t="s">
        <v>170</v>
      </c>
      <c r="L13" s="7" t="s">
        <v>171</v>
      </c>
      <c r="M13" s="7" t="s">
        <v>172</v>
      </c>
      <c r="N13" s="8" t="s">
        <v>220</v>
      </c>
      <c r="O13" s="5">
        <v>-9011.57</v>
      </c>
      <c r="P13" s="6">
        <v>40.073500000000003</v>
      </c>
      <c r="Q13" s="6">
        <v>-171.19399999999999</v>
      </c>
      <c r="R13" s="12">
        <v>8901.5400000000009</v>
      </c>
      <c r="S13" s="4" t="s">
        <v>221</v>
      </c>
      <c r="T13" s="4" t="s">
        <v>222</v>
      </c>
      <c r="U13" s="4" t="s">
        <v>223</v>
      </c>
      <c r="V13" s="4" t="s">
        <v>224</v>
      </c>
      <c r="W13" s="4" t="s">
        <v>225</v>
      </c>
      <c r="X13" s="4" t="s">
        <v>226</v>
      </c>
      <c r="Y13" s="4" t="s">
        <v>227</v>
      </c>
      <c r="Z13" s="4" t="s">
        <v>228</v>
      </c>
      <c r="AA13" s="4" t="s">
        <v>229</v>
      </c>
      <c r="AB13" s="4" t="s">
        <v>230</v>
      </c>
      <c r="AC13" s="4" t="s">
        <v>231</v>
      </c>
      <c r="AD13" s="4" t="s">
        <v>232</v>
      </c>
      <c r="AE13" s="4" t="s">
        <v>233</v>
      </c>
      <c r="AF13" s="4" t="s">
        <v>234</v>
      </c>
      <c r="AG13" s="4" t="s">
        <v>235</v>
      </c>
      <c r="AH13" s="4" t="s">
        <v>236</v>
      </c>
      <c r="AI13" s="4" t="s">
        <v>237</v>
      </c>
      <c r="AJ13" s="4" t="s">
        <v>238</v>
      </c>
      <c r="AK13" s="4" t="s">
        <v>239</v>
      </c>
      <c r="AL13" s="4" t="s">
        <v>240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/>
    </row>
    <row r="14" spans="1:169" x14ac:dyDescent="0.3">
      <c r="A14" s="2">
        <v>6</v>
      </c>
      <c r="B14" s="5">
        <v>1</v>
      </c>
      <c r="C14" s="6">
        <v>3503930</v>
      </c>
      <c r="D14" s="6" t="s">
        <v>219</v>
      </c>
      <c r="E14" s="6">
        <v>3908020</v>
      </c>
      <c r="F14" s="6">
        <v>3908021</v>
      </c>
      <c r="G14" s="6">
        <v>0</v>
      </c>
      <c r="H14" s="6">
        <v>0</v>
      </c>
      <c r="I14" s="6">
        <v>51.48</v>
      </c>
      <c r="J14" s="6" t="s">
        <v>194</v>
      </c>
      <c r="K14" s="6" t="s">
        <v>195</v>
      </c>
      <c r="L14" s="7" t="s">
        <v>196</v>
      </c>
      <c r="M14" s="7" t="s">
        <v>172</v>
      </c>
      <c r="N14" s="8" t="s">
        <v>220</v>
      </c>
      <c r="O14" s="5">
        <v>9229.85</v>
      </c>
      <c r="P14" s="6">
        <v>344.26900000000001</v>
      </c>
      <c r="Q14" s="6">
        <v>248.929</v>
      </c>
      <c r="R14" s="12">
        <v>0</v>
      </c>
      <c r="S14" s="4" t="s">
        <v>221</v>
      </c>
      <c r="T14" s="4" t="s">
        <v>222</v>
      </c>
      <c r="U14" s="4" t="s">
        <v>223</v>
      </c>
      <c r="V14" s="4" t="s">
        <v>224</v>
      </c>
      <c r="W14" s="4" t="s">
        <v>225</v>
      </c>
      <c r="X14" s="4" t="s">
        <v>226</v>
      </c>
      <c r="Y14" s="4" t="s">
        <v>227</v>
      </c>
      <c r="Z14" s="4" t="s">
        <v>228</v>
      </c>
      <c r="AA14" s="4" t="s">
        <v>229</v>
      </c>
      <c r="AB14" s="4" t="s">
        <v>230</v>
      </c>
      <c r="AC14" s="4" t="s">
        <v>231</v>
      </c>
      <c r="AD14" s="4" t="s">
        <v>232</v>
      </c>
      <c r="AE14" s="4" t="s">
        <v>233</v>
      </c>
      <c r="AF14" s="4" t="s">
        <v>234</v>
      </c>
      <c r="AG14" s="4" t="s">
        <v>235</v>
      </c>
      <c r="AH14" s="4" t="s">
        <v>236</v>
      </c>
      <c r="AI14" s="4" t="s">
        <v>237</v>
      </c>
      <c r="AJ14" s="4" t="s">
        <v>238</v>
      </c>
      <c r="AK14" s="4" t="s">
        <v>239</v>
      </c>
      <c r="AL14" s="4" t="s">
        <v>240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/>
    </row>
    <row r="15" spans="1:169" x14ac:dyDescent="0.3">
      <c r="A15" s="2">
        <v>7</v>
      </c>
      <c r="B15" s="5">
        <v>2</v>
      </c>
      <c r="C15" s="6">
        <v>2101253</v>
      </c>
      <c r="D15" s="6" t="s">
        <v>241</v>
      </c>
      <c r="E15" s="6">
        <v>2915010</v>
      </c>
      <c r="F15" s="6">
        <v>2915010</v>
      </c>
      <c r="G15" s="6">
        <v>0</v>
      </c>
      <c r="H15" s="6">
        <v>0</v>
      </c>
      <c r="I15" s="6">
        <v>51.48</v>
      </c>
      <c r="J15" s="6" t="s">
        <v>169</v>
      </c>
      <c r="K15" s="6" t="s">
        <v>170</v>
      </c>
      <c r="L15" s="7" t="s">
        <v>171</v>
      </c>
      <c r="M15" s="7" t="s">
        <v>172</v>
      </c>
      <c r="N15" s="8" t="s">
        <v>242</v>
      </c>
      <c r="O15" s="5">
        <v>-5159.54</v>
      </c>
      <c r="P15" s="6">
        <v>-11773.5</v>
      </c>
      <c r="Q15" s="6">
        <v>-251.05199999999999</v>
      </c>
      <c r="R15" s="12">
        <v>34172.199999999997</v>
      </c>
      <c r="S15" s="4" t="s">
        <v>243</v>
      </c>
      <c r="T15" s="4" t="s">
        <v>244</v>
      </c>
      <c r="U15" s="4" t="s">
        <v>245</v>
      </c>
      <c r="V15" s="4" t="s">
        <v>246</v>
      </c>
      <c r="W15" s="4" t="s">
        <v>247</v>
      </c>
      <c r="X15" s="4" t="s">
        <v>248</v>
      </c>
      <c r="Y15" s="4" t="s">
        <v>249</v>
      </c>
      <c r="Z15" s="4" t="s">
        <v>250</v>
      </c>
      <c r="AA15" s="4" t="s">
        <v>251</v>
      </c>
      <c r="AB15" s="4" t="s">
        <v>252</v>
      </c>
      <c r="AC15" s="4" t="s">
        <v>253</v>
      </c>
      <c r="AD15" s="4" t="s">
        <v>254</v>
      </c>
      <c r="AE15" s="4" t="s">
        <v>255</v>
      </c>
      <c r="AF15" s="4" t="s">
        <v>256</v>
      </c>
      <c r="AG15" s="4" t="s">
        <v>257</v>
      </c>
      <c r="AH15" s="4" t="s">
        <v>258</v>
      </c>
      <c r="AI15" s="4" t="s">
        <v>259</v>
      </c>
      <c r="AJ15" s="4" t="s">
        <v>260</v>
      </c>
      <c r="AK15" s="4" t="s">
        <v>261</v>
      </c>
      <c r="AL15" s="4" t="s">
        <v>262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/>
    </row>
    <row r="16" spans="1:169" x14ac:dyDescent="0.3">
      <c r="A16" s="2">
        <v>8</v>
      </c>
      <c r="B16" s="5">
        <v>2</v>
      </c>
      <c r="C16" s="6">
        <v>2101253</v>
      </c>
      <c r="D16" s="6" t="s">
        <v>241</v>
      </c>
      <c r="E16" s="6">
        <v>2915010</v>
      </c>
      <c r="F16" s="6">
        <v>2915010</v>
      </c>
      <c r="G16" s="6">
        <v>0</v>
      </c>
      <c r="H16" s="6">
        <v>0</v>
      </c>
      <c r="I16" s="6">
        <v>51.48</v>
      </c>
      <c r="J16" s="6" t="s">
        <v>194</v>
      </c>
      <c r="K16" s="6" t="s">
        <v>195</v>
      </c>
      <c r="L16" s="7" t="s">
        <v>196</v>
      </c>
      <c r="M16" s="7" t="s">
        <v>172</v>
      </c>
      <c r="N16" s="8" t="s">
        <v>242</v>
      </c>
      <c r="O16" s="5">
        <v>6401.09</v>
      </c>
      <c r="P16" s="6">
        <v>12292.4</v>
      </c>
      <c r="Q16" s="6">
        <v>361.74299999999999</v>
      </c>
      <c r="R16" s="12">
        <v>12578.8</v>
      </c>
      <c r="S16" s="4" t="s">
        <v>243</v>
      </c>
      <c r="T16" s="4" t="s">
        <v>244</v>
      </c>
      <c r="U16" s="4" t="s">
        <v>245</v>
      </c>
      <c r="V16" s="4" t="s">
        <v>246</v>
      </c>
      <c r="W16" s="4" t="s">
        <v>247</v>
      </c>
      <c r="X16" s="4" t="s">
        <v>248</v>
      </c>
      <c r="Y16" s="4" t="s">
        <v>249</v>
      </c>
      <c r="Z16" s="4" t="s">
        <v>250</v>
      </c>
      <c r="AA16" s="4" t="s">
        <v>251</v>
      </c>
      <c r="AB16" s="4" t="s">
        <v>252</v>
      </c>
      <c r="AC16" s="4" t="s">
        <v>253</v>
      </c>
      <c r="AD16" s="4" t="s">
        <v>254</v>
      </c>
      <c r="AE16" s="4" t="s">
        <v>255</v>
      </c>
      <c r="AF16" s="4" t="s">
        <v>256</v>
      </c>
      <c r="AG16" s="4" t="s">
        <v>257</v>
      </c>
      <c r="AH16" s="4" t="s">
        <v>258</v>
      </c>
      <c r="AI16" s="4" t="s">
        <v>259</v>
      </c>
      <c r="AJ16" s="4" t="s">
        <v>260</v>
      </c>
      <c r="AK16" s="4" t="s">
        <v>261</v>
      </c>
      <c r="AL16" s="4" t="s">
        <v>262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/>
    </row>
    <row r="17" spans="1:169" x14ac:dyDescent="0.3">
      <c r="A17" s="2">
        <v>9</v>
      </c>
      <c r="B17" s="5">
        <v>2</v>
      </c>
      <c r="C17" s="6">
        <v>1101897</v>
      </c>
      <c r="D17" s="6" t="s">
        <v>263</v>
      </c>
      <c r="E17" s="6">
        <v>2915010</v>
      </c>
      <c r="F17" s="6">
        <v>1915012</v>
      </c>
      <c r="G17" s="6">
        <v>3915010</v>
      </c>
      <c r="H17" s="6">
        <v>1915011</v>
      </c>
      <c r="I17" s="6">
        <v>57.914999999999999</v>
      </c>
      <c r="J17" s="6" t="s">
        <v>169</v>
      </c>
      <c r="K17" s="6" t="s">
        <v>170</v>
      </c>
      <c r="L17" s="7" t="s">
        <v>171</v>
      </c>
      <c r="M17" s="7" t="s">
        <v>172</v>
      </c>
      <c r="N17" s="8" t="s">
        <v>264</v>
      </c>
      <c r="O17" s="5">
        <v>-1087.1500000000001</v>
      </c>
      <c r="P17" s="6">
        <v>-2631.61</v>
      </c>
      <c r="Q17" s="6">
        <v>1851.82</v>
      </c>
      <c r="R17" s="12">
        <v>34172.199999999997</v>
      </c>
      <c r="S17" s="4" t="s">
        <v>265</v>
      </c>
      <c r="T17" s="4" t="s">
        <v>266</v>
      </c>
      <c r="U17" s="4" t="s">
        <v>267</v>
      </c>
      <c r="V17" s="4" t="s">
        <v>268</v>
      </c>
      <c r="W17" s="4" t="s">
        <v>269</v>
      </c>
      <c r="X17" s="4" t="s">
        <v>270</v>
      </c>
      <c r="Y17" s="4" t="s">
        <v>271</v>
      </c>
      <c r="Z17" s="4" t="s">
        <v>272</v>
      </c>
      <c r="AA17" s="4" t="s">
        <v>273</v>
      </c>
      <c r="AB17" s="4" t="s">
        <v>274</v>
      </c>
      <c r="AC17" s="4" t="s">
        <v>275</v>
      </c>
      <c r="AD17" s="4" t="s">
        <v>276</v>
      </c>
      <c r="AE17" s="4" t="s">
        <v>277</v>
      </c>
      <c r="AF17" s="4" t="s">
        <v>278</v>
      </c>
      <c r="AG17" s="4" t="s">
        <v>279</v>
      </c>
      <c r="AH17" s="4" t="s">
        <v>280</v>
      </c>
      <c r="AI17" s="4" t="s">
        <v>281</v>
      </c>
      <c r="AJ17" s="4" t="s">
        <v>282</v>
      </c>
      <c r="AK17" s="4" t="s">
        <v>283</v>
      </c>
      <c r="AL17" s="4" t="s">
        <v>284</v>
      </c>
      <c r="AM17" s="3">
        <v>2025.72</v>
      </c>
      <c r="AN17" s="3">
        <v>2018.33</v>
      </c>
      <c r="AO17" s="3">
        <v>1990.67</v>
      </c>
      <c r="AP17" s="3">
        <v>1963.86</v>
      </c>
      <c r="AQ17" s="3">
        <v>1937.8</v>
      </c>
      <c r="AR17" s="3">
        <v>1908.34</v>
      </c>
      <c r="AS17" s="3">
        <v>1794.9</v>
      </c>
      <c r="AT17" s="3">
        <v>1696.08</v>
      </c>
      <c r="AU17" s="3">
        <v>1581.64</v>
      </c>
      <c r="AV17" s="3">
        <v>1461.1</v>
      </c>
      <c r="AW17" s="3">
        <v>1344.13</v>
      </c>
      <c r="AX17" s="3">
        <v>1349.15</v>
      </c>
      <c r="AY17" s="3">
        <v>1354.95</v>
      </c>
      <c r="AZ17" s="3">
        <v>1357.78</v>
      </c>
      <c r="BA17" s="3">
        <v>1355.21</v>
      </c>
      <c r="BB17" s="3">
        <v>1352.14</v>
      </c>
      <c r="BC17" s="3">
        <v>1470.94</v>
      </c>
      <c r="BD17" s="3">
        <v>1593.46</v>
      </c>
      <c r="BE17" s="3">
        <v>1726.86</v>
      </c>
      <c r="BF17" s="3">
        <v>1868.86</v>
      </c>
      <c r="BG17" s="3">
        <v>-172.364</v>
      </c>
      <c r="BH17" s="3">
        <v>-159.04400000000001</v>
      </c>
      <c r="BI17" s="3">
        <v>-147.03</v>
      </c>
      <c r="BJ17" s="3">
        <v>-138.602</v>
      </c>
      <c r="BK17" s="3">
        <v>-134.316</v>
      </c>
      <c r="BL17" s="3">
        <v>-128.33500000000001</v>
      </c>
      <c r="BM17" s="3">
        <v>-146.93</v>
      </c>
      <c r="BN17" s="3">
        <v>-171.03</v>
      </c>
      <c r="BO17" s="3">
        <v>-191.185</v>
      </c>
      <c r="BP17" s="3">
        <v>-214.37700000000001</v>
      </c>
      <c r="BQ17" s="3">
        <v>-235.48599999999999</v>
      </c>
      <c r="BR17" s="3">
        <v>-243.86099999999999</v>
      </c>
      <c r="BS17" s="3">
        <v>-250.06899999999999</v>
      </c>
      <c r="BT17" s="3">
        <v>-251.30099999999999</v>
      </c>
      <c r="BU17" s="3">
        <v>-249.58</v>
      </c>
      <c r="BV17" s="3">
        <v>-249.387</v>
      </c>
      <c r="BW17" s="3">
        <v>-232.61099999999999</v>
      </c>
      <c r="BX17" s="3">
        <v>-213.02500000000001</v>
      </c>
      <c r="BY17" s="3">
        <v>-195.89699999999999</v>
      </c>
      <c r="BZ17" s="3">
        <v>-182.49799999999999</v>
      </c>
      <c r="CA17" s="3">
        <v>-334.41699999999997</v>
      </c>
      <c r="CB17" s="3">
        <v>-336.26</v>
      </c>
      <c r="CC17" s="3">
        <v>-333.75599999999997</v>
      </c>
      <c r="CD17" s="3">
        <v>-335.30500000000001</v>
      </c>
      <c r="CE17" s="3">
        <v>-343.06299999999999</v>
      </c>
      <c r="CF17" s="3">
        <v>-357.10300000000001</v>
      </c>
      <c r="CG17" s="3">
        <v>-384.87</v>
      </c>
      <c r="CH17" s="3">
        <v>-411.71</v>
      </c>
      <c r="CI17" s="3">
        <v>-427.08699999999999</v>
      </c>
      <c r="CJ17" s="3">
        <v>-432.60899999999998</v>
      </c>
      <c r="CK17" s="3">
        <v>-437.43200000000002</v>
      </c>
      <c r="CL17" s="3">
        <v>-419.17099999999999</v>
      </c>
      <c r="CM17" s="3">
        <v>-404.24299999999999</v>
      </c>
      <c r="CN17" s="3">
        <v>-393.05500000000001</v>
      </c>
      <c r="CO17" s="3">
        <v>-381.61599999999999</v>
      </c>
      <c r="CP17" s="3">
        <v>-367.62</v>
      </c>
      <c r="CQ17" s="3">
        <v>-366.21600000000001</v>
      </c>
      <c r="CR17" s="3">
        <v>-360.92700000000002</v>
      </c>
      <c r="CS17" s="3">
        <v>-352.21300000000002</v>
      </c>
      <c r="CT17" s="3">
        <v>-343.08499999999998</v>
      </c>
      <c r="CU17" s="3">
        <v>518.34400000000005</v>
      </c>
      <c r="CV17" s="3">
        <v>666.702</v>
      </c>
      <c r="CW17" s="3">
        <v>342.56400000000002</v>
      </c>
      <c r="CX17" s="3">
        <v>150.22900000000001</v>
      </c>
      <c r="CY17" s="3">
        <v>337.77499999999998</v>
      </c>
      <c r="CZ17" s="3">
        <v>1047.5</v>
      </c>
      <c r="DA17" s="3">
        <v>1264.01</v>
      </c>
      <c r="DB17" s="3">
        <v>1615.65</v>
      </c>
      <c r="DC17" s="3">
        <v>1792.68</v>
      </c>
      <c r="DD17" s="3">
        <v>2133.85</v>
      </c>
      <c r="DE17" s="3">
        <v>2945.51</v>
      </c>
      <c r="DF17" s="3">
        <v>2531.4699999999998</v>
      </c>
      <c r="DG17" s="3">
        <v>2417.81</v>
      </c>
      <c r="DH17" s="3">
        <v>2473.5500000000002</v>
      </c>
      <c r="DI17" s="3">
        <v>2350.8200000000002</v>
      </c>
      <c r="DJ17" s="3">
        <v>1952.51</v>
      </c>
      <c r="DK17" s="3">
        <v>2015.03</v>
      </c>
      <c r="DL17" s="3">
        <v>1894.62</v>
      </c>
      <c r="DM17" s="3">
        <v>1604.59</v>
      </c>
      <c r="DN17" s="3">
        <v>1161.8699999999999</v>
      </c>
      <c r="DO17" s="3">
        <v>-641.44500000000005</v>
      </c>
      <c r="DP17" s="3">
        <v>-848.07</v>
      </c>
      <c r="DQ17" s="3">
        <v>-797.24699999999996</v>
      </c>
      <c r="DR17" s="3">
        <v>-619.99300000000005</v>
      </c>
      <c r="DS17" s="3">
        <v>-532.16200000000003</v>
      </c>
      <c r="DT17" s="3">
        <v>-481.92500000000001</v>
      </c>
      <c r="DU17" s="3">
        <v>-253.88200000000001</v>
      </c>
      <c r="DV17" s="3">
        <v>168.6</v>
      </c>
      <c r="DW17" s="3">
        <v>956.15700000000004</v>
      </c>
      <c r="DX17" s="3">
        <v>1838.02</v>
      </c>
      <c r="DY17" s="3">
        <v>2265.9899999999998</v>
      </c>
      <c r="DZ17" s="3">
        <v>2215.15</v>
      </c>
      <c r="EA17" s="3">
        <v>2068.36</v>
      </c>
      <c r="EB17" s="3">
        <v>1866.56</v>
      </c>
      <c r="EC17" s="3">
        <v>1689.11</v>
      </c>
      <c r="ED17" s="3">
        <v>1531.6</v>
      </c>
      <c r="EE17" s="3">
        <v>1647.84</v>
      </c>
      <c r="EF17" s="3">
        <v>1553.32</v>
      </c>
      <c r="EG17" s="3">
        <v>871.4</v>
      </c>
      <c r="EH17" s="3">
        <v>10.7295</v>
      </c>
      <c r="EI17" s="3">
        <v>131.398</v>
      </c>
      <c r="EJ17" s="3">
        <v>-195.88200000000001</v>
      </c>
      <c r="EK17" s="3">
        <v>-326.654</v>
      </c>
      <c r="EL17" s="3">
        <v>-203.71</v>
      </c>
      <c r="EM17" s="3">
        <v>-30.0959</v>
      </c>
      <c r="EN17" s="3">
        <v>11.870799999999999</v>
      </c>
      <c r="EO17" s="3">
        <v>93.750699999999995</v>
      </c>
      <c r="EP17" s="3">
        <v>-147.33600000000001</v>
      </c>
      <c r="EQ17" s="3">
        <v>-532.56500000000005</v>
      </c>
      <c r="ER17" s="3">
        <v>-513.404</v>
      </c>
      <c r="ES17" s="3">
        <v>-287.19499999999999</v>
      </c>
      <c r="ET17" s="3">
        <v>26.1416</v>
      </c>
      <c r="EU17" s="3">
        <v>220.96700000000001</v>
      </c>
      <c r="EV17" s="3">
        <v>221.67500000000001</v>
      </c>
      <c r="EW17" s="3">
        <v>86.771299999999997</v>
      </c>
      <c r="EX17" s="3">
        <v>-11.3093</v>
      </c>
      <c r="EY17" s="3">
        <v>66.973100000000002</v>
      </c>
      <c r="EZ17" s="3">
        <v>280.71300000000002</v>
      </c>
      <c r="FA17" s="3">
        <v>456.31900000000002</v>
      </c>
      <c r="FB17" s="3">
        <v>367.52</v>
      </c>
      <c r="FC17" s="3">
        <v>1631.03</v>
      </c>
      <c r="FD17" s="3">
        <v>1673</v>
      </c>
      <c r="FE17" s="3">
        <v>-146.61500000000001</v>
      </c>
      <c r="FF17" s="3">
        <v>-246.614</v>
      </c>
      <c r="FG17" s="3">
        <v>-339.98399999999998</v>
      </c>
      <c r="FH17" s="3">
        <v>-408.46899999999999</v>
      </c>
      <c r="FI17" s="3">
        <v>-1662.18</v>
      </c>
      <c r="FJ17" s="3">
        <v>-642.99400000000003</v>
      </c>
      <c r="FK17" s="3">
        <v>18.303699999999999</v>
      </c>
      <c r="FL17" s="3">
        <v>0</v>
      </c>
      <c r="FM17" s="3"/>
    </row>
    <row r="18" spans="1:169" x14ac:dyDescent="0.3">
      <c r="A18" s="2">
        <v>10</v>
      </c>
      <c r="B18" s="5">
        <v>2</v>
      </c>
      <c r="C18" s="6">
        <v>1101897</v>
      </c>
      <c r="D18" s="6" t="s">
        <v>263</v>
      </c>
      <c r="E18" s="6">
        <v>2915010</v>
      </c>
      <c r="F18" s="6">
        <v>1915012</v>
      </c>
      <c r="G18" s="6">
        <v>3915010</v>
      </c>
      <c r="H18" s="6">
        <v>1915011</v>
      </c>
      <c r="I18" s="6">
        <v>57.914999999999999</v>
      </c>
      <c r="J18" s="6" t="s">
        <v>194</v>
      </c>
      <c r="K18" s="6" t="s">
        <v>195</v>
      </c>
      <c r="L18" s="7" t="s">
        <v>196</v>
      </c>
      <c r="M18" s="7" t="s">
        <v>172</v>
      </c>
      <c r="N18" s="8" t="s">
        <v>264</v>
      </c>
      <c r="O18" s="5">
        <v>2633.15</v>
      </c>
      <c r="P18" s="6">
        <v>3153.74</v>
      </c>
      <c r="Q18" s="6">
        <v>-1763.74</v>
      </c>
      <c r="R18" s="12">
        <v>12578.8</v>
      </c>
      <c r="S18" s="4" t="s">
        <v>265</v>
      </c>
      <c r="T18" s="4" t="s">
        <v>266</v>
      </c>
      <c r="U18" s="4" t="s">
        <v>267</v>
      </c>
      <c r="V18" s="4" t="s">
        <v>268</v>
      </c>
      <c r="W18" s="4" t="s">
        <v>269</v>
      </c>
      <c r="X18" s="4" t="s">
        <v>270</v>
      </c>
      <c r="Y18" s="4" t="s">
        <v>271</v>
      </c>
      <c r="Z18" s="4" t="s">
        <v>272</v>
      </c>
      <c r="AA18" s="4" t="s">
        <v>273</v>
      </c>
      <c r="AB18" s="4" t="s">
        <v>274</v>
      </c>
      <c r="AC18" s="4" t="s">
        <v>275</v>
      </c>
      <c r="AD18" s="4" t="s">
        <v>276</v>
      </c>
      <c r="AE18" s="4" t="s">
        <v>277</v>
      </c>
      <c r="AF18" s="4" t="s">
        <v>278</v>
      </c>
      <c r="AG18" s="4" t="s">
        <v>279</v>
      </c>
      <c r="AH18" s="4" t="s">
        <v>280</v>
      </c>
      <c r="AI18" s="4" t="s">
        <v>281</v>
      </c>
      <c r="AJ18" s="4" t="s">
        <v>282</v>
      </c>
      <c r="AK18" s="4" t="s">
        <v>283</v>
      </c>
      <c r="AL18" s="4" t="s">
        <v>284</v>
      </c>
      <c r="AM18" s="3">
        <v>-2115.15</v>
      </c>
      <c r="AN18" s="3">
        <v>-2122.75</v>
      </c>
      <c r="AO18" s="3">
        <v>-2111.5500000000002</v>
      </c>
      <c r="AP18" s="3">
        <v>-2103.83</v>
      </c>
      <c r="AQ18" s="3">
        <v>-2100.7800000000002</v>
      </c>
      <c r="AR18" s="3">
        <v>-2098.4899999999998</v>
      </c>
      <c r="AS18" s="3">
        <v>-1951.83</v>
      </c>
      <c r="AT18" s="3">
        <v>-1813.51</v>
      </c>
      <c r="AU18" s="3">
        <v>-1651.91</v>
      </c>
      <c r="AV18" s="3">
        <v>-1480.64</v>
      </c>
      <c r="AW18" s="3">
        <v>-1320.03</v>
      </c>
      <c r="AX18" s="3">
        <v>-1332.38</v>
      </c>
      <c r="AY18" s="3">
        <v>-1345.01</v>
      </c>
      <c r="AZ18" s="3">
        <v>-1352.48</v>
      </c>
      <c r="BA18" s="3">
        <v>-1351.87</v>
      </c>
      <c r="BB18" s="3">
        <v>-1349.66</v>
      </c>
      <c r="BC18" s="3">
        <v>-1482.13</v>
      </c>
      <c r="BD18" s="3">
        <v>-1618.91</v>
      </c>
      <c r="BE18" s="3">
        <v>-1772.95</v>
      </c>
      <c r="BF18" s="3">
        <v>-1939.02</v>
      </c>
      <c r="BG18" s="3">
        <v>229.23500000000001</v>
      </c>
      <c r="BH18" s="3">
        <v>223.57300000000001</v>
      </c>
      <c r="BI18" s="3">
        <v>218.75899999999999</v>
      </c>
      <c r="BJ18" s="3">
        <v>218.85300000000001</v>
      </c>
      <c r="BK18" s="3">
        <v>225.251</v>
      </c>
      <c r="BL18" s="3">
        <v>232.52500000000001</v>
      </c>
      <c r="BM18" s="3">
        <v>236.47499999999999</v>
      </c>
      <c r="BN18" s="3">
        <v>244.679</v>
      </c>
      <c r="BO18" s="3">
        <v>245.77699999999999</v>
      </c>
      <c r="BP18" s="3">
        <v>248.876</v>
      </c>
      <c r="BQ18" s="3">
        <v>252.77099999999999</v>
      </c>
      <c r="BR18" s="3">
        <v>263.29000000000002</v>
      </c>
      <c r="BS18" s="3">
        <v>272.05700000000002</v>
      </c>
      <c r="BT18" s="3">
        <v>274.59899999999999</v>
      </c>
      <c r="BU18" s="3">
        <v>272.08199999999999</v>
      </c>
      <c r="BV18" s="3">
        <v>269.709</v>
      </c>
      <c r="BW18" s="3">
        <v>259.99200000000002</v>
      </c>
      <c r="BX18" s="3">
        <v>246.577</v>
      </c>
      <c r="BY18" s="3">
        <v>237.24700000000001</v>
      </c>
      <c r="BZ18" s="3">
        <v>232.76599999999999</v>
      </c>
      <c r="CA18" s="3">
        <v>301.245</v>
      </c>
      <c r="CB18" s="3">
        <v>297.12700000000001</v>
      </c>
      <c r="CC18" s="3">
        <v>286.702</v>
      </c>
      <c r="CD18" s="3">
        <v>278.137</v>
      </c>
      <c r="CE18" s="3">
        <v>274.21100000000001</v>
      </c>
      <c r="CF18" s="3">
        <v>275.30900000000003</v>
      </c>
      <c r="CG18" s="3">
        <v>279.30700000000002</v>
      </c>
      <c r="CH18" s="3">
        <v>293.18700000000001</v>
      </c>
      <c r="CI18" s="3">
        <v>306.79399999999998</v>
      </c>
      <c r="CJ18" s="3">
        <v>315.88499999999999</v>
      </c>
      <c r="CK18" s="3">
        <v>326.70299999999997</v>
      </c>
      <c r="CL18" s="3">
        <v>323.31099999999998</v>
      </c>
      <c r="CM18" s="3">
        <v>322.45699999999999</v>
      </c>
      <c r="CN18" s="3">
        <v>324.37200000000001</v>
      </c>
      <c r="CO18" s="3">
        <v>324.27499999999998</v>
      </c>
      <c r="CP18" s="3">
        <v>319.12299999999999</v>
      </c>
      <c r="CQ18" s="3">
        <v>317.28100000000001</v>
      </c>
      <c r="CR18" s="3">
        <v>311.24</v>
      </c>
      <c r="CS18" s="3">
        <v>302.30399999999997</v>
      </c>
      <c r="CT18" s="3">
        <v>298.60000000000002</v>
      </c>
      <c r="CU18" s="3">
        <v>-739.15599999999995</v>
      </c>
      <c r="CV18" s="3">
        <v>-874.92</v>
      </c>
      <c r="CW18" s="3">
        <v>-502.673</v>
      </c>
      <c r="CX18" s="3">
        <v>-279.44600000000003</v>
      </c>
      <c r="CY18" s="3">
        <v>-462.85</v>
      </c>
      <c r="CZ18" s="3">
        <v>-1194.92</v>
      </c>
      <c r="DA18" s="3">
        <v>-1416.6</v>
      </c>
      <c r="DB18" s="3">
        <v>-1772.22</v>
      </c>
      <c r="DC18" s="3">
        <v>-1923.04</v>
      </c>
      <c r="DD18" s="3">
        <v>-2259.19</v>
      </c>
      <c r="DE18" s="3">
        <v>-3096.77</v>
      </c>
      <c r="DF18" s="3">
        <v>-2722.87</v>
      </c>
      <c r="DG18" s="3">
        <v>-2660.19</v>
      </c>
      <c r="DH18" s="3">
        <v>-2756.23</v>
      </c>
      <c r="DI18" s="3">
        <v>-2637.02</v>
      </c>
      <c r="DJ18" s="3">
        <v>-2213.41</v>
      </c>
      <c r="DK18" s="3">
        <v>-2298.9699999999998</v>
      </c>
      <c r="DL18" s="3">
        <v>-2184.31</v>
      </c>
      <c r="DM18" s="3">
        <v>-1888.7</v>
      </c>
      <c r="DN18" s="3">
        <v>-1423.94</v>
      </c>
      <c r="DO18" s="3">
        <v>386.08699999999999</v>
      </c>
      <c r="DP18" s="3">
        <v>598.91</v>
      </c>
      <c r="DQ18" s="3">
        <v>531.91499999999996</v>
      </c>
      <c r="DR18" s="3">
        <v>328.97300000000001</v>
      </c>
      <c r="DS18" s="3">
        <v>223.42500000000001</v>
      </c>
      <c r="DT18" s="3">
        <v>157.56</v>
      </c>
      <c r="DU18" s="3">
        <v>-31.982800000000001</v>
      </c>
      <c r="DV18" s="3">
        <v>-448.63499999999999</v>
      </c>
      <c r="DW18" s="3">
        <v>-1249.33</v>
      </c>
      <c r="DX18" s="3">
        <v>-2114.7399999999998</v>
      </c>
      <c r="DY18" s="3">
        <v>-2450.67</v>
      </c>
      <c r="DZ18" s="3">
        <v>-2420.02</v>
      </c>
      <c r="EA18" s="3">
        <v>-2284.38</v>
      </c>
      <c r="EB18" s="3">
        <v>-2085.88</v>
      </c>
      <c r="EC18" s="3">
        <v>-1908.2</v>
      </c>
      <c r="ED18" s="3">
        <v>-1745.89</v>
      </c>
      <c r="EE18" s="3">
        <v>-1944.09</v>
      </c>
      <c r="EF18" s="3">
        <v>-1889.42</v>
      </c>
      <c r="EG18" s="3">
        <v>-1177.5899999999999</v>
      </c>
      <c r="EH18" s="3">
        <v>-278.10599999999999</v>
      </c>
      <c r="EI18" s="3">
        <v>-86.672799999999995</v>
      </c>
      <c r="EJ18" s="3">
        <v>270.62299999999999</v>
      </c>
      <c r="EK18" s="3">
        <v>411.06700000000001</v>
      </c>
      <c r="EL18" s="3">
        <v>273.13799999999998</v>
      </c>
      <c r="EM18" s="3">
        <v>83.9071</v>
      </c>
      <c r="EN18" s="3">
        <v>43.037199999999999</v>
      </c>
      <c r="EO18" s="3">
        <v>-23.228000000000002</v>
      </c>
      <c r="EP18" s="3">
        <v>258.27699999999999</v>
      </c>
      <c r="EQ18" s="3">
        <v>679.61300000000006</v>
      </c>
      <c r="ER18" s="3">
        <v>649.86</v>
      </c>
      <c r="ES18" s="3">
        <v>394.08100000000002</v>
      </c>
      <c r="ET18" s="3">
        <v>55.09</v>
      </c>
      <c r="EU18" s="3">
        <v>-152.20400000000001</v>
      </c>
      <c r="EV18" s="3">
        <v>-147.40199999999999</v>
      </c>
      <c r="EW18" s="3">
        <v>0.58709500000000003</v>
      </c>
      <c r="EX18" s="3">
        <v>103.86</v>
      </c>
      <c r="EY18" s="3">
        <v>14.637499999999999</v>
      </c>
      <c r="EZ18" s="3">
        <v>-231.655</v>
      </c>
      <c r="FA18" s="3">
        <v>-430.31599999999997</v>
      </c>
      <c r="FB18" s="3">
        <v>-335.65</v>
      </c>
      <c r="FC18" s="3">
        <v>-1712.97</v>
      </c>
      <c r="FD18" s="3">
        <v>-1719.4</v>
      </c>
      <c r="FE18" s="3">
        <v>224.69900000000001</v>
      </c>
      <c r="FF18" s="3">
        <v>267.41800000000001</v>
      </c>
      <c r="FG18" s="3">
        <v>285.45499999999998</v>
      </c>
      <c r="FH18" s="3">
        <v>323.37299999999999</v>
      </c>
      <c r="FI18" s="3">
        <v>1867.6</v>
      </c>
      <c r="FJ18" s="3">
        <v>889.01400000000001</v>
      </c>
      <c r="FK18" s="3">
        <v>-95.206500000000005</v>
      </c>
      <c r="FL18" s="3">
        <v>0</v>
      </c>
      <c r="FM18" s="3"/>
    </row>
    <row r="19" spans="1:169" x14ac:dyDescent="0.3">
      <c r="A19" s="2">
        <v>11</v>
      </c>
      <c r="B19" s="5">
        <v>2</v>
      </c>
      <c r="C19" s="6">
        <v>3102461</v>
      </c>
      <c r="D19" s="6" t="s">
        <v>285</v>
      </c>
      <c r="E19" s="6">
        <v>3915010</v>
      </c>
      <c r="F19" s="6">
        <v>3915012</v>
      </c>
      <c r="G19" s="6">
        <v>4915010</v>
      </c>
      <c r="H19" s="6">
        <v>3915013</v>
      </c>
      <c r="I19" s="6">
        <v>51.48</v>
      </c>
      <c r="J19" s="6" t="s">
        <v>169</v>
      </c>
      <c r="K19" s="6" t="s">
        <v>170</v>
      </c>
      <c r="L19" s="7" t="s">
        <v>171</v>
      </c>
      <c r="M19" s="7" t="s">
        <v>172</v>
      </c>
      <c r="N19" s="8" t="s">
        <v>286</v>
      </c>
      <c r="O19" s="5">
        <v>22736.6</v>
      </c>
      <c r="P19" s="6">
        <v>-11524.5</v>
      </c>
      <c r="Q19" s="6">
        <v>-467.47</v>
      </c>
      <c r="R19" s="12">
        <v>34172.199999999997</v>
      </c>
      <c r="S19" s="4" t="s">
        <v>287</v>
      </c>
      <c r="T19" s="4" t="s">
        <v>288</v>
      </c>
      <c r="U19" s="4" t="s">
        <v>289</v>
      </c>
      <c r="V19" s="4" t="s">
        <v>290</v>
      </c>
      <c r="W19" s="4" t="s">
        <v>291</v>
      </c>
      <c r="X19" s="4" t="s">
        <v>292</v>
      </c>
      <c r="Y19" s="4" t="s">
        <v>293</v>
      </c>
      <c r="Z19" s="4" t="s">
        <v>294</v>
      </c>
      <c r="AA19" s="4" t="s">
        <v>295</v>
      </c>
      <c r="AB19" s="4" t="s">
        <v>296</v>
      </c>
      <c r="AC19" s="4" t="s">
        <v>297</v>
      </c>
      <c r="AD19" s="4" t="s">
        <v>298</v>
      </c>
      <c r="AE19" s="4" t="s">
        <v>299</v>
      </c>
      <c r="AF19" s="4" t="s">
        <v>300</v>
      </c>
      <c r="AG19" s="4" t="s">
        <v>301</v>
      </c>
      <c r="AH19" s="4" t="s">
        <v>302</v>
      </c>
      <c r="AI19" s="4" t="s">
        <v>303</v>
      </c>
      <c r="AJ19" s="4" t="s">
        <v>304</v>
      </c>
      <c r="AK19" s="4" t="s">
        <v>305</v>
      </c>
      <c r="AL19" s="4" t="s">
        <v>306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/>
    </row>
    <row r="20" spans="1:169" x14ac:dyDescent="0.3">
      <c r="A20" s="2">
        <v>12</v>
      </c>
      <c r="B20" s="5">
        <v>2</v>
      </c>
      <c r="C20" s="6">
        <v>3102461</v>
      </c>
      <c r="D20" s="6" t="s">
        <v>285</v>
      </c>
      <c r="E20" s="6">
        <v>3915010</v>
      </c>
      <c r="F20" s="6">
        <v>3915012</v>
      </c>
      <c r="G20" s="6">
        <v>4915010</v>
      </c>
      <c r="H20" s="6">
        <v>3915013</v>
      </c>
      <c r="I20" s="6">
        <v>51.48</v>
      </c>
      <c r="J20" s="6" t="s">
        <v>194</v>
      </c>
      <c r="K20" s="6" t="s">
        <v>195</v>
      </c>
      <c r="L20" s="7" t="s">
        <v>196</v>
      </c>
      <c r="M20" s="7" t="s">
        <v>172</v>
      </c>
      <c r="N20" s="8" t="s">
        <v>286</v>
      </c>
      <c r="O20" s="5">
        <v>-21167.1</v>
      </c>
      <c r="P20" s="6">
        <v>13857.1</v>
      </c>
      <c r="Q20" s="6">
        <v>556.10900000000004</v>
      </c>
      <c r="R20" s="12">
        <v>12578.8</v>
      </c>
      <c r="S20" s="4" t="s">
        <v>287</v>
      </c>
      <c r="T20" s="4" t="s">
        <v>288</v>
      </c>
      <c r="U20" s="4" t="s">
        <v>289</v>
      </c>
      <c r="V20" s="4" t="s">
        <v>290</v>
      </c>
      <c r="W20" s="4" t="s">
        <v>291</v>
      </c>
      <c r="X20" s="4" t="s">
        <v>292</v>
      </c>
      <c r="Y20" s="4" t="s">
        <v>293</v>
      </c>
      <c r="Z20" s="4" t="s">
        <v>294</v>
      </c>
      <c r="AA20" s="4" t="s">
        <v>295</v>
      </c>
      <c r="AB20" s="4" t="s">
        <v>296</v>
      </c>
      <c r="AC20" s="4" t="s">
        <v>297</v>
      </c>
      <c r="AD20" s="4" t="s">
        <v>298</v>
      </c>
      <c r="AE20" s="4" t="s">
        <v>299</v>
      </c>
      <c r="AF20" s="4" t="s">
        <v>300</v>
      </c>
      <c r="AG20" s="4" t="s">
        <v>301</v>
      </c>
      <c r="AH20" s="4" t="s">
        <v>302</v>
      </c>
      <c r="AI20" s="4" t="s">
        <v>303</v>
      </c>
      <c r="AJ20" s="4" t="s">
        <v>304</v>
      </c>
      <c r="AK20" s="4" t="s">
        <v>305</v>
      </c>
      <c r="AL20" s="4" t="s">
        <v>306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/>
    </row>
    <row r="21" spans="1:169" x14ac:dyDescent="0.3">
      <c r="A21" s="2">
        <v>13</v>
      </c>
      <c r="B21" s="5">
        <v>2</v>
      </c>
      <c r="C21" s="6">
        <v>4100243</v>
      </c>
      <c r="D21" s="6" t="s">
        <v>307</v>
      </c>
      <c r="E21" s="6">
        <v>4915010</v>
      </c>
      <c r="F21" s="6">
        <v>4915010</v>
      </c>
      <c r="G21" s="6">
        <v>0</v>
      </c>
      <c r="H21" s="6">
        <v>0</v>
      </c>
      <c r="I21" s="6">
        <v>57.914999999999999</v>
      </c>
      <c r="J21" s="6" t="s">
        <v>169</v>
      </c>
      <c r="K21" s="6" t="s">
        <v>170</v>
      </c>
      <c r="L21" s="7" t="s">
        <v>171</v>
      </c>
      <c r="M21" s="7" t="s">
        <v>172</v>
      </c>
      <c r="N21" s="8" t="s">
        <v>308</v>
      </c>
      <c r="O21" s="5">
        <v>34155.1</v>
      </c>
      <c r="P21" s="6">
        <v>-7142.46</v>
      </c>
      <c r="Q21" s="6">
        <v>-1150.46</v>
      </c>
      <c r="R21" s="12">
        <v>34172.199999999997</v>
      </c>
      <c r="S21" s="4" t="s">
        <v>309</v>
      </c>
      <c r="T21" s="4" t="s">
        <v>310</v>
      </c>
      <c r="U21" s="4" t="s">
        <v>311</v>
      </c>
      <c r="V21" s="4" t="s">
        <v>312</v>
      </c>
      <c r="W21" s="4" t="s">
        <v>313</v>
      </c>
      <c r="X21" s="4" t="s">
        <v>314</v>
      </c>
      <c r="Y21" s="4" t="s">
        <v>315</v>
      </c>
      <c r="Z21" s="4" t="s">
        <v>316</v>
      </c>
      <c r="AA21" s="4" t="s">
        <v>317</v>
      </c>
      <c r="AB21" s="4" t="s">
        <v>318</v>
      </c>
      <c r="AC21" s="4" t="s">
        <v>319</v>
      </c>
      <c r="AD21" s="4" t="s">
        <v>320</v>
      </c>
      <c r="AE21" s="4" t="s">
        <v>321</v>
      </c>
      <c r="AF21" s="4" t="s">
        <v>322</v>
      </c>
      <c r="AG21" s="4" t="s">
        <v>323</v>
      </c>
      <c r="AH21" s="4" t="s">
        <v>324</v>
      </c>
      <c r="AI21" s="4" t="s">
        <v>325</v>
      </c>
      <c r="AJ21" s="4" t="s">
        <v>326</v>
      </c>
      <c r="AK21" s="4" t="s">
        <v>327</v>
      </c>
      <c r="AL21" s="4" t="s">
        <v>328</v>
      </c>
      <c r="AM21" s="3">
        <v>529.92499999999995</v>
      </c>
      <c r="AN21" s="3">
        <v>413.44299999999998</v>
      </c>
      <c r="AO21" s="3">
        <v>304.05</v>
      </c>
      <c r="AP21" s="3">
        <v>287.69200000000001</v>
      </c>
      <c r="AQ21" s="3">
        <v>296.64400000000001</v>
      </c>
      <c r="AR21" s="3">
        <v>299.495</v>
      </c>
      <c r="AS21" s="3">
        <v>287.65100000000001</v>
      </c>
      <c r="AT21" s="3">
        <v>266.28800000000001</v>
      </c>
      <c r="AU21" s="3">
        <v>291.36399999999998</v>
      </c>
      <c r="AV21" s="3">
        <v>357.90699999999998</v>
      </c>
      <c r="AW21" s="3">
        <v>428.40100000000001</v>
      </c>
      <c r="AX21" s="3">
        <v>477.89</v>
      </c>
      <c r="AY21" s="3">
        <v>507.53500000000003</v>
      </c>
      <c r="AZ21" s="3">
        <v>555.73800000000006</v>
      </c>
      <c r="BA21" s="3">
        <v>612.73800000000006</v>
      </c>
      <c r="BB21" s="3">
        <v>676.93399999999997</v>
      </c>
      <c r="BC21" s="3">
        <v>738.976</v>
      </c>
      <c r="BD21" s="3">
        <v>760.91600000000005</v>
      </c>
      <c r="BE21" s="3">
        <v>712.81500000000005</v>
      </c>
      <c r="BF21" s="3">
        <v>594.87699999999995</v>
      </c>
      <c r="BG21" s="3">
        <v>36.087899999999998</v>
      </c>
      <c r="BH21" s="3">
        <v>23.460599999999999</v>
      </c>
      <c r="BI21" s="3">
        <v>-0.75493299999999997</v>
      </c>
      <c r="BJ21" s="3">
        <v>-23.099900000000002</v>
      </c>
      <c r="BK21" s="3">
        <v>-27.254200000000001</v>
      </c>
      <c r="BL21" s="3">
        <v>-8.7785799999999998</v>
      </c>
      <c r="BM21" s="3">
        <v>-1.59693</v>
      </c>
      <c r="BN21" s="3">
        <v>7.3412800000000002</v>
      </c>
      <c r="BO21" s="3">
        <v>2.0784199999999999</v>
      </c>
      <c r="BP21" s="3">
        <v>-15.304500000000001</v>
      </c>
      <c r="BQ21" s="3">
        <v>-32.901899999999998</v>
      </c>
      <c r="BR21" s="3">
        <v>-71.498599999999996</v>
      </c>
      <c r="BS21" s="3">
        <v>-20.294799999999999</v>
      </c>
      <c r="BT21" s="3">
        <v>40.853900000000003</v>
      </c>
      <c r="BU21" s="3">
        <v>80.430700000000002</v>
      </c>
      <c r="BV21" s="3">
        <v>66.171000000000006</v>
      </c>
      <c r="BW21" s="3">
        <v>14.0512</v>
      </c>
      <c r="BX21" s="3">
        <v>-34.895899999999997</v>
      </c>
      <c r="BY21" s="3">
        <v>-44.249000000000002</v>
      </c>
      <c r="BZ21" s="3">
        <v>-1.78505</v>
      </c>
      <c r="CA21" s="3">
        <v>-146.036</v>
      </c>
      <c r="CB21" s="3">
        <v>-107.185</v>
      </c>
      <c r="CC21" s="3">
        <v>-84.897099999999995</v>
      </c>
      <c r="CD21" s="3">
        <v>-40.562800000000003</v>
      </c>
      <c r="CE21" s="3">
        <v>1.79356</v>
      </c>
      <c r="CF21" s="3">
        <v>38.346200000000003</v>
      </c>
      <c r="CG21" s="3">
        <v>-0.42279699999999998</v>
      </c>
      <c r="CH21" s="3">
        <v>-64.500299999999996</v>
      </c>
      <c r="CI21" s="3">
        <v>-149.017</v>
      </c>
      <c r="CJ21" s="3">
        <v>-230.739</v>
      </c>
      <c r="CK21" s="3">
        <v>-256.62400000000002</v>
      </c>
      <c r="CL21" s="3">
        <v>-259.98200000000003</v>
      </c>
      <c r="CM21" s="3">
        <v>-257.16899999999998</v>
      </c>
      <c r="CN21" s="3">
        <v>-272.661</v>
      </c>
      <c r="CO21" s="3">
        <v>-282.221</v>
      </c>
      <c r="CP21" s="3">
        <v>-269.613</v>
      </c>
      <c r="CQ21" s="3">
        <v>-285.33600000000001</v>
      </c>
      <c r="CR21" s="3">
        <v>-259.827</v>
      </c>
      <c r="CS21" s="3">
        <v>-202.249</v>
      </c>
      <c r="CT21" s="3">
        <v>-158.13499999999999</v>
      </c>
      <c r="CU21" s="3">
        <v>286.64699999999999</v>
      </c>
      <c r="CV21" s="3">
        <v>242.71700000000001</v>
      </c>
      <c r="CW21" s="3">
        <v>86.248900000000006</v>
      </c>
      <c r="CX21" s="3">
        <v>-11.3317</v>
      </c>
      <c r="CY21" s="3">
        <v>-23.194299999999998</v>
      </c>
      <c r="CZ21" s="3">
        <v>51.744</v>
      </c>
      <c r="DA21" s="3">
        <v>98.911299999999997</v>
      </c>
      <c r="DB21" s="3">
        <v>148.452</v>
      </c>
      <c r="DC21" s="3">
        <v>180.82300000000001</v>
      </c>
      <c r="DD21" s="3">
        <v>198.059</v>
      </c>
      <c r="DE21" s="3">
        <v>193.13399999999999</v>
      </c>
      <c r="DF21" s="3">
        <v>126.669</v>
      </c>
      <c r="DG21" s="3">
        <v>311.149</v>
      </c>
      <c r="DH21" s="3">
        <v>431.839</v>
      </c>
      <c r="DI21" s="3">
        <v>401.16</v>
      </c>
      <c r="DJ21" s="3">
        <v>100.28400000000001</v>
      </c>
      <c r="DK21" s="3">
        <v>207.309</v>
      </c>
      <c r="DL21" s="3">
        <v>266.35000000000002</v>
      </c>
      <c r="DM21" s="3">
        <v>307.17500000000001</v>
      </c>
      <c r="DN21" s="3">
        <v>300.28699999999998</v>
      </c>
      <c r="DO21" s="3">
        <v>158.51900000000001</v>
      </c>
      <c r="DP21" s="3">
        <v>92.942400000000006</v>
      </c>
      <c r="DQ21" s="3">
        <v>82.287300000000002</v>
      </c>
      <c r="DR21" s="3">
        <v>52.8367</v>
      </c>
      <c r="DS21" s="3">
        <v>24.268999999999998</v>
      </c>
      <c r="DT21" s="3">
        <v>-8.7099600000000006</v>
      </c>
      <c r="DU21" s="3">
        <v>121.08</v>
      </c>
      <c r="DV21" s="3">
        <v>272.44099999999997</v>
      </c>
      <c r="DW21" s="3">
        <v>448.82799999999997</v>
      </c>
      <c r="DX21" s="3">
        <v>621.33600000000001</v>
      </c>
      <c r="DY21" s="3">
        <v>689.44899999999996</v>
      </c>
      <c r="DZ21" s="3">
        <v>596.13800000000003</v>
      </c>
      <c r="EA21" s="3">
        <v>536.303</v>
      </c>
      <c r="EB21" s="3">
        <v>489.74</v>
      </c>
      <c r="EC21" s="3">
        <v>402.59100000000001</v>
      </c>
      <c r="ED21" s="3">
        <v>221.977</v>
      </c>
      <c r="EE21" s="3">
        <v>437.423</v>
      </c>
      <c r="EF21" s="3">
        <v>511.83600000000001</v>
      </c>
      <c r="EG21" s="3">
        <v>449.50700000000001</v>
      </c>
      <c r="EH21" s="3">
        <v>291.16300000000001</v>
      </c>
      <c r="EI21" s="3">
        <v>-245.41800000000001</v>
      </c>
      <c r="EJ21" s="3">
        <v>-175.114</v>
      </c>
      <c r="EK21" s="3">
        <v>-63.119500000000002</v>
      </c>
      <c r="EL21" s="3">
        <v>-95.419600000000003</v>
      </c>
      <c r="EM21" s="3">
        <v>-168.99199999999999</v>
      </c>
      <c r="EN21" s="3">
        <v>-242.637</v>
      </c>
      <c r="EO21" s="3">
        <v>-232.09299999999999</v>
      </c>
      <c r="EP21" s="3">
        <v>-165.477</v>
      </c>
      <c r="EQ21" s="3">
        <v>-86.722399999999993</v>
      </c>
      <c r="ER21" s="3">
        <v>-33.146900000000002</v>
      </c>
      <c r="ES21" s="3">
        <v>-37.297499999999999</v>
      </c>
      <c r="ET21" s="3">
        <v>-62.741999999999997</v>
      </c>
      <c r="EU21" s="3">
        <v>-106.788</v>
      </c>
      <c r="EV21" s="3">
        <v>-117.499</v>
      </c>
      <c r="EW21" s="3">
        <v>-100.842</v>
      </c>
      <c r="EX21" s="3">
        <v>-74.167199999999994</v>
      </c>
      <c r="EY21" s="3">
        <v>-62.357900000000001</v>
      </c>
      <c r="EZ21" s="3">
        <v>-142.04</v>
      </c>
      <c r="FA21" s="3">
        <v>-281.05799999999999</v>
      </c>
      <c r="FB21" s="3">
        <v>-292.39299999999997</v>
      </c>
      <c r="FC21" s="3">
        <v>321.851</v>
      </c>
      <c r="FD21" s="3">
        <v>669.07399999999996</v>
      </c>
      <c r="FE21" s="3">
        <v>-5.6527800000000003E-2</v>
      </c>
      <c r="FF21" s="3">
        <v>10.46</v>
      </c>
      <c r="FG21" s="3">
        <v>-56.4236</v>
      </c>
      <c r="FH21" s="3">
        <v>-266.37799999999999</v>
      </c>
      <c r="FI21" s="3">
        <v>-194.93100000000001</v>
      </c>
      <c r="FJ21" s="3">
        <v>-278.19499999999999</v>
      </c>
      <c r="FK21" s="3">
        <v>141.035</v>
      </c>
      <c r="FL21" s="3">
        <v>0</v>
      </c>
      <c r="FM21" s="3"/>
    </row>
    <row r="22" spans="1:169" x14ac:dyDescent="0.3">
      <c r="A22" s="2">
        <v>14</v>
      </c>
      <c r="B22" s="5">
        <v>2</v>
      </c>
      <c r="C22" s="6">
        <v>4100243</v>
      </c>
      <c r="D22" s="6" t="s">
        <v>307</v>
      </c>
      <c r="E22" s="6">
        <v>4915010</v>
      </c>
      <c r="F22" s="6">
        <v>4915010</v>
      </c>
      <c r="G22" s="6">
        <v>0</v>
      </c>
      <c r="H22" s="6">
        <v>0</v>
      </c>
      <c r="I22" s="6">
        <v>57.914999999999999</v>
      </c>
      <c r="J22" s="6" t="s">
        <v>194</v>
      </c>
      <c r="K22" s="6" t="s">
        <v>195</v>
      </c>
      <c r="L22" s="7" t="s">
        <v>196</v>
      </c>
      <c r="M22" s="7" t="s">
        <v>172</v>
      </c>
      <c r="N22" s="8" t="s">
        <v>308</v>
      </c>
      <c r="O22" s="5">
        <v>-34416.9</v>
      </c>
      <c r="P22" s="6">
        <v>7512.5</v>
      </c>
      <c r="Q22" s="6">
        <v>1088.71</v>
      </c>
      <c r="R22" s="12">
        <v>12578.8</v>
      </c>
      <c r="S22" s="4" t="s">
        <v>309</v>
      </c>
      <c r="T22" s="4" t="s">
        <v>310</v>
      </c>
      <c r="U22" s="4" t="s">
        <v>311</v>
      </c>
      <c r="V22" s="4" t="s">
        <v>312</v>
      </c>
      <c r="W22" s="4" t="s">
        <v>313</v>
      </c>
      <c r="X22" s="4" t="s">
        <v>314</v>
      </c>
      <c r="Y22" s="4" t="s">
        <v>315</v>
      </c>
      <c r="Z22" s="4" t="s">
        <v>316</v>
      </c>
      <c r="AA22" s="4" t="s">
        <v>317</v>
      </c>
      <c r="AB22" s="4" t="s">
        <v>318</v>
      </c>
      <c r="AC22" s="4" t="s">
        <v>319</v>
      </c>
      <c r="AD22" s="4" t="s">
        <v>320</v>
      </c>
      <c r="AE22" s="4" t="s">
        <v>321</v>
      </c>
      <c r="AF22" s="4" t="s">
        <v>322</v>
      </c>
      <c r="AG22" s="4" t="s">
        <v>323</v>
      </c>
      <c r="AH22" s="4" t="s">
        <v>324</v>
      </c>
      <c r="AI22" s="4" t="s">
        <v>325</v>
      </c>
      <c r="AJ22" s="4" t="s">
        <v>326</v>
      </c>
      <c r="AK22" s="4" t="s">
        <v>327</v>
      </c>
      <c r="AL22" s="4" t="s">
        <v>328</v>
      </c>
      <c r="AM22" s="3">
        <v>-533.67100000000005</v>
      </c>
      <c r="AN22" s="3">
        <v>-417.71699999999998</v>
      </c>
      <c r="AO22" s="3">
        <v>-308.33800000000002</v>
      </c>
      <c r="AP22" s="3">
        <v>-291.548</v>
      </c>
      <c r="AQ22" s="3">
        <v>-299.80200000000002</v>
      </c>
      <c r="AR22" s="3">
        <v>-301.74400000000003</v>
      </c>
      <c r="AS22" s="3">
        <v>-288.50400000000002</v>
      </c>
      <c r="AT22" s="3">
        <v>-265.16500000000002</v>
      </c>
      <c r="AU22" s="3">
        <v>-288.637</v>
      </c>
      <c r="AV22" s="3">
        <v>-353.75299999999999</v>
      </c>
      <c r="AW22" s="3">
        <v>-422.77</v>
      </c>
      <c r="AX22" s="3">
        <v>-471.59899999999999</v>
      </c>
      <c r="AY22" s="3">
        <v>-500.19499999999999</v>
      </c>
      <c r="AZ22" s="3">
        <v>-547.48400000000004</v>
      </c>
      <c r="BA22" s="3">
        <v>-603.59699999999998</v>
      </c>
      <c r="BB22" s="3">
        <v>-666.69200000000001</v>
      </c>
      <c r="BC22" s="3">
        <v>-733.125</v>
      </c>
      <c r="BD22" s="3">
        <v>-758.47199999999998</v>
      </c>
      <c r="BE22" s="3">
        <v>-713.08399999999995</v>
      </c>
      <c r="BF22" s="3">
        <v>-597.13599999999997</v>
      </c>
      <c r="BG22" s="3">
        <v>-37.199399999999997</v>
      </c>
      <c r="BH22" s="3">
        <v>-23.976900000000001</v>
      </c>
      <c r="BI22" s="3">
        <v>1.0086299999999999</v>
      </c>
      <c r="BJ22" s="3">
        <v>23.7</v>
      </c>
      <c r="BK22" s="3">
        <v>27.875599999999999</v>
      </c>
      <c r="BL22" s="3">
        <v>9.15395</v>
      </c>
      <c r="BM22" s="3">
        <v>1.9876499999999999</v>
      </c>
      <c r="BN22" s="3">
        <v>-6.8912300000000002</v>
      </c>
      <c r="BO22" s="3">
        <v>-1.2924</v>
      </c>
      <c r="BP22" s="3">
        <v>16.616599999999998</v>
      </c>
      <c r="BQ22" s="3">
        <v>34.947400000000002</v>
      </c>
      <c r="BR22" s="3">
        <v>72.118899999999996</v>
      </c>
      <c r="BS22" s="3">
        <v>19.760200000000001</v>
      </c>
      <c r="BT22" s="3">
        <v>-42.300699999999999</v>
      </c>
      <c r="BU22" s="3">
        <v>-82.510499999999993</v>
      </c>
      <c r="BV22" s="3">
        <v>-68.739699999999999</v>
      </c>
      <c r="BW22" s="3">
        <v>-16.1312</v>
      </c>
      <c r="BX22" s="3">
        <v>33.3035</v>
      </c>
      <c r="BY22" s="3">
        <v>42.895099999999999</v>
      </c>
      <c r="BZ22" s="3">
        <v>0.51622900000000005</v>
      </c>
      <c r="CA22" s="3">
        <v>148.82599999999999</v>
      </c>
      <c r="CB22" s="3">
        <v>109.52800000000001</v>
      </c>
      <c r="CC22" s="3">
        <v>86.322699999999998</v>
      </c>
      <c r="CD22" s="3">
        <v>40.8504</v>
      </c>
      <c r="CE22" s="3">
        <v>-2.5518200000000002</v>
      </c>
      <c r="CF22" s="3">
        <v>-39.978200000000001</v>
      </c>
      <c r="CG22" s="3">
        <v>-0.93979400000000002</v>
      </c>
      <c r="CH22" s="3">
        <v>63.611899999999999</v>
      </c>
      <c r="CI22" s="3">
        <v>148.68100000000001</v>
      </c>
      <c r="CJ22" s="3">
        <v>231.04499999999999</v>
      </c>
      <c r="CK22" s="3">
        <v>257.54700000000003</v>
      </c>
      <c r="CL22" s="3">
        <v>261.85899999999998</v>
      </c>
      <c r="CM22" s="3">
        <v>260.733</v>
      </c>
      <c r="CN22" s="3">
        <v>278.19</v>
      </c>
      <c r="CO22" s="3">
        <v>289.42200000000003</v>
      </c>
      <c r="CP22" s="3">
        <v>277.57600000000002</v>
      </c>
      <c r="CQ22" s="3">
        <v>291.85000000000002</v>
      </c>
      <c r="CR22" s="3">
        <v>264.71300000000002</v>
      </c>
      <c r="CS22" s="3">
        <v>205.79400000000001</v>
      </c>
      <c r="CT22" s="3">
        <v>160.99799999999999</v>
      </c>
      <c r="CU22" s="3">
        <v>-293.97000000000003</v>
      </c>
      <c r="CV22" s="3">
        <v>-247.714</v>
      </c>
      <c r="CW22" s="3">
        <v>-88.354200000000006</v>
      </c>
      <c r="CX22" s="3">
        <v>10.7842</v>
      </c>
      <c r="CY22" s="3">
        <v>23.301300000000001</v>
      </c>
      <c r="CZ22" s="3">
        <v>-51.718400000000003</v>
      </c>
      <c r="DA22" s="3">
        <v>-99.220299999999995</v>
      </c>
      <c r="DB22" s="3">
        <v>-149.625</v>
      </c>
      <c r="DC22" s="3">
        <v>-182.98599999999999</v>
      </c>
      <c r="DD22" s="3">
        <v>-201.29300000000001</v>
      </c>
      <c r="DE22" s="3">
        <v>-197.61699999999999</v>
      </c>
      <c r="DF22" s="3">
        <v>-129.33699999999999</v>
      </c>
      <c r="DG22" s="3">
        <v>-318.14800000000002</v>
      </c>
      <c r="DH22" s="3">
        <v>-442.74</v>
      </c>
      <c r="DI22" s="3">
        <v>-413.84</v>
      </c>
      <c r="DJ22" s="3">
        <v>-109.871</v>
      </c>
      <c r="DK22" s="3">
        <v>-216.761</v>
      </c>
      <c r="DL22" s="3">
        <v>-275.649</v>
      </c>
      <c r="DM22" s="3">
        <v>-315.81</v>
      </c>
      <c r="DN22" s="3">
        <v>-307.95100000000002</v>
      </c>
      <c r="DO22" s="3">
        <v>-165.113</v>
      </c>
      <c r="DP22" s="3">
        <v>-97.439499999999995</v>
      </c>
      <c r="DQ22" s="3">
        <v>-84.474000000000004</v>
      </c>
      <c r="DR22" s="3">
        <v>-53.489699999999999</v>
      </c>
      <c r="DS22" s="3">
        <v>-23.790900000000001</v>
      </c>
      <c r="DT22" s="3">
        <v>9.9957600000000006</v>
      </c>
      <c r="DU22" s="3">
        <v>-118.61799999999999</v>
      </c>
      <c r="DV22" s="3">
        <v>-269.36399999999998</v>
      </c>
      <c r="DW22" s="3">
        <v>-447.69600000000003</v>
      </c>
      <c r="DX22" s="3">
        <v>-625.21299999999997</v>
      </c>
      <c r="DY22" s="3">
        <v>-703.14700000000005</v>
      </c>
      <c r="DZ22" s="3">
        <v>-610.15099999999995</v>
      </c>
      <c r="EA22" s="3">
        <v>-551.89800000000002</v>
      </c>
      <c r="EB22" s="3">
        <v>-506.363</v>
      </c>
      <c r="EC22" s="3">
        <v>-419.827</v>
      </c>
      <c r="ED22" s="3">
        <v>-239.01</v>
      </c>
      <c r="EE22" s="3">
        <v>-450.55399999999997</v>
      </c>
      <c r="EF22" s="3">
        <v>-521.74300000000005</v>
      </c>
      <c r="EG22" s="3">
        <v>-457.36399999999998</v>
      </c>
      <c r="EH22" s="3">
        <v>-298.03300000000002</v>
      </c>
      <c r="EI22" s="3">
        <v>255.23099999999999</v>
      </c>
      <c r="EJ22" s="3">
        <v>182.523</v>
      </c>
      <c r="EK22" s="3">
        <v>68.168400000000005</v>
      </c>
      <c r="EL22" s="3">
        <v>100.854</v>
      </c>
      <c r="EM22" s="3">
        <v>175.535</v>
      </c>
      <c r="EN22" s="3">
        <v>250.09399999999999</v>
      </c>
      <c r="EO22" s="3">
        <v>239.822</v>
      </c>
      <c r="EP22" s="3">
        <v>173.511</v>
      </c>
      <c r="EQ22" s="3">
        <v>96.120800000000003</v>
      </c>
      <c r="ER22" s="3">
        <v>44.9587</v>
      </c>
      <c r="ES22" s="3">
        <v>52.826900000000002</v>
      </c>
      <c r="ET22" s="3">
        <v>72.786299999999997</v>
      </c>
      <c r="EU22" s="3">
        <v>117.208</v>
      </c>
      <c r="EV22" s="3">
        <v>130.70599999999999</v>
      </c>
      <c r="EW22" s="3">
        <v>116.76600000000001</v>
      </c>
      <c r="EX22" s="3">
        <v>91.109700000000004</v>
      </c>
      <c r="EY22" s="3">
        <v>75.345399999999998</v>
      </c>
      <c r="EZ22" s="3">
        <v>152.51300000000001</v>
      </c>
      <c r="FA22" s="3">
        <v>291.214</v>
      </c>
      <c r="FB22" s="3">
        <v>302.24799999999999</v>
      </c>
      <c r="FC22" s="3">
        <v>-320.09500000000003</v>
      </c>
      <c r="FD22" s="3">
        <v>-667.03</v>
      </c>
      <c r="FE22" s="3">
        <v>9.3628100000000006E-2</v>
      </c>
      <c r="FF22" s="3">
        <v>-11.120699999999999</v>
      </c>
      <c r="FG22" s="3">
        <v>57.166200000000003</v>
      </c>
      <c r="FH22" s="3">
        <v>270.88799999999998</v>
      </c>
      <c r="FI22" s="3">
        <v>200.20599999999999</v>
      </c>
      <c r="FJ22" s="3">
        <v>287.05900000000003</v>
      </c>
      <c r="FK22" s="3">
        <v>-151.61699999999999</v>
      </c>
      <c r="FL22" s="3">
        <v>0</v>
      </c>
      <c r="FM22" s="3"/>
    </row>
    <row r="23" spans="1:169" x14ac:dyDescent="0.3">
      <c r="A23" s="2">
        <v>15</v>
      </c>
      <c r="B23" s="5">
        <v>3</v>
      </c>
      <c r="C23" s="6">
        <v>3101320</v>
      </c>
      <c r="D23" s="6" t="s">
        <v>285</v>
      </c>
      <c r="E23" s="6">
        <v>3910010</v>
      </c>
      <c r="F23" s="6">
        <v>3910011</v>
      </c>
      <c r="G23" s="6">
        <v>0</v>
      </c>
      <c r="H23" s="6">
        <v>0</v>
      </c>
      <c r="I23" s="6">
        <v>51.48</v>
      </c>
      <c r="J23" s="6" t="s">
        <v>169</v>
      </c>
      <c r="K23" s="6" t="s">
        <v>170</v>
      </c>
      <c r="L23" s="7" t="s">
        <v>171</v>
      </c>
      <c r="M23" s="7" t="s">
        <v>172</v>
      </c>
      <c r="N23" s="8" t="s">
        <v>329</v>
      </c>
      <c r="O23" s="5">
        <v>-12155.9</v>
      </c>
      <c r="P23" s="6">
        <v>-2957.81</v>
      </c>
      <c r="Q23" s="6">
        <v>-480.62700000000001</v>
      </c>
      <c r="R23" s="12">
        <v>0</v>
      </c>
      <c r="S23" s="4" t="s">
        <v>330</v>
      </c>
      <c r="T23" s="4" t="s">
        <v>331</v>
      </c>
      <c r="U23" s="4" t="s">
        <v>332</v>
      </c>
      <c r="V23" s="4" t="s">
        <v>333</v>
      </c>
      <c r="W23" s="4" t="s">
        <v>334</v>
      </c>
      <c r="X23" s="4" t="s">
        <v>335</v>
      </c>
      <c r="Y23" s="4" t="s">
        <v>336</v>
      </c>
      <c r="Z23" s="4" t="s">
        <v>337</v>
      </c>
      <c r="AA23" s="4" t="s">
        <v>338</v>
      </c>
      <c r="AB23" s="4" t="s">
        <v>339</v>
      </c>
      <c r="AC23" s="4" t="s">
        <v>340</v>
      </c>
      <c r="AD23" s="4" t="s">
        <v>341</v>
      </c>
      <c r="AE23" s="4" t="s">
        <v>342</v>
      </c>
      <c r="AF23" s="4" t="s">
        <v>343</v>
      </c>
      <c r="AG23" s="4" t="s">
        <v>344</v>
      </c>
      <c r="AH23" s="4" t="s">
        <v>345</v>
      </c>
      <c r="AI23" s="4" t="s">
        <v>346</v>
      </c>
      <c r="AJ23" s="4" t="s">
        <v>347</v>
      </c>
      <c r="AK23" s="4" t="s">
        <v>348</v>
      </c>
      <c r="AL23" s="4" t="s">
        <v>349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/>
    </row>
    <row r="24" spans="1:169" x14ac:dyDescent="0.3">
      <c r="A24" s="2">
        <v>16</v>
      </c>
      <c r="B24" s="5">
        <v>3</v>
      </c>
      <c r="C24" s="6">
        <v>3101320</v>
      </c>
      <c r="D24" s="6" t="s">
        <v>285</v>
      </c>
      <c r="E24" s="6">
        <v>3910010</v>
      </c>
      <c r="F24" s="6">
        <v>3910011</v>
      </c>
      <c r="G24" s="6">
        <v>0</v>
      </c>
      <c r="H24" s="6">
        <v>0</v>
      </c>
      <c r="I24" s="6">
        <v>51.48</v>
      </c>
      <c r="J24" s="6" t="s">
        <v>194</v>
      </c>
      <c r="K24" s="6" t="s">
        <v>195</v>
      </c>
      <c r="L24" s="7" t="s">
        <v>196</v>
      </c>
      <c r="M24" s="7" t="s">
        <v>172</v>
      </c>
      <c r="N24" s="8" t="s">
        <v>329</v>
      </c>
      <c r="O24" s="5">
        <v>12839.3</v>
      </c>
      <c r="P24" s="6">
        <v>3711.12</v>
      </c>
      <c r="Q24" s="6">
        <v>652.899</v>
      </c>
      <c r="R24" s="12">
        <v>15727.3</v>
      </c>
      <c r="S24" s="4" t="s">
        <v>330</v>
      </c>
      <c r="T24" s="4" t="s">
        <v>331</v>
      </c>
      <c r="U24" s="4" t="s">
        <v>332</v>
      </c>
      <c r="V24" s="4" t="s">
        <v>333</v>
      </c>
      <c r="W24" s="4" t="s">
        <v>334</v>
      </c>
      <c r="X24" s="4" t="s">
        <v>335</v>
      </c>
      <c r="Y24" s="4" t="s">
        <v>336</v>
      </c>
      <c r="Z24" s="4" t="s">
        <v>337</v>
      </c>
      <c r="AA24" s="4" t="s">
        <v>338</v>
      </c>
      <c r="AB24" s="4" t="s">
        <v>339</v>
      </c>
      <c r="AC24" s="4" t="s">
        <v>340</v>
      </c>
      <c r="AD24" s="4" t="s">
        <v>341</v>
      </c>
      <c r="AE24" s="4" t="s">
        <v>342</v>
      </c>
      <c r="AF24" s="4" t="s">
        <v>343</v>
      </c>
      <c r="AG24" s="4" t="s">
        <v>344</v>
      </c>
      <c r="AH24" s="4" t="s">
        <v>345</v>
      </c>
      <c r="AI24" s="4" t="s">
        <v>346</v>
      </c>
      <c r="AJ24" s="4" t="s">
        <v>347</v>
      </c>
      <c r="AK24" s="4" t="s">
        <v>348</v>
      </c>
      <c r="AL24" s="4" t="s">
        <v>349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/>
    </row>
    <row r="25" spans="1:169" x14ac:dyDescent="0.3">
      <c r="A25" s="2">
        <v>17</v>
      </c>
      <c r="B25" s="5">
        <v>3</v>
      </c>
      <c r="C25" s="6">
        <v>1101227</v>
      </c>
      <c r="D25" s="6" t="s">
        <v>263</v>
      </c>
      <c r="E25" s="6">
        <v>3910010</v>
      </c>
      <c r="F25" s="6">
        <v>1910013</v>
      </c>
      <c r="G25" s="6">
        <v>2910010</v>
      </c>
      <c r="H25" s="6">
        <v>1910012</v>
      </c>
      <c r="I25" s="6">
        <v>57.914999999999999</v>
      </c>
      <c r="J25" s="6" t="s">
        <v>169</v>
      </c>
      <c r="K25" s="6" t="s">
        <v>170</v>
      </c>
      <c r="L25" s="7" t="s">
        <v>171</v>
      </c>
      <c r="M25" s="7" t="s">
        <v>172</v>
      </c>
      <c r="N25" s="8" t="s">
        <v>350</v>
      </c>
      <c r="O25" s="5">
        <v>3042.98</v>
      </c>
      <c r="P25" s="6">
        <v>-3734.79</v>
      </c>
      <c r="Q25" s="6">
        <v>2.8233600000000001</v>
      </c>
      <c r="R25" s="12">
        <v>0</v>
      </c>
      <c r="S25" s="4" t="s">
        <v>351</v>
      </c>
      <c r="T25" s="4" t="s">
        <v>352</v>
      </c>
      <c r="U25" s="4" t="s">
        <v>353</v>
      </c>
      <c r="V25" s="4" t="s">
        <v>354</v>
      </c>
      <c r="W25" s="4" t="s">
        <v>355</v>
      </c>
      <c r="X25" s="4" t="s">
        <v>356</v>
      </c>
      <c r="Y25" s="4" t="s">
        <v>357</v>
      </c>
      <c r="Z25" s="4" t="s">
        <v>358</v>
      </c>
      <c r="AA25" s="4" t="s">
        <v>359</v>
      </c>
      <c r="AB25" s="4" t="s">
        <v>360</v>
      </c>
      <c r="AC25" s="4" t="s">
        <v>361</v>
      </c>
      <c r="AD25" s="4" t="s">
        <v>362</v>
      </c>
      <c r="AE25" s="4" t="s">
        <v>363</v>
      </c>
      <c r="AF25" s="4" t="s">
        <v>364</v>
      </c>
      <c r="AG25" s="4" t="s">
        <v>365</v>
      </c>
      <c r="AH25" s="4" t="s">
        <v>366</v>
      </c>
      <c r="AI25" s="4" t="s">
        <v>367</v>
      </c>
      <c r="AJ25" s="4" t="s">
        <v>368</v>
      </c>
      <c r="AK25" s="4" t="s">
        <v>369</v>
      </c>
      <c r="AL25" s="4" t="s">
        <v>370</v>
      </c>
      <c r="AM25" s="3">
        <v>1214.44</v>
      </c>
      <c r="AN25" s="3">
        <v>1207.3</v>
      </c>
      <c r="AO25" s="3">
        <v>1196.1600000000001</v>
      </c>
      <c r="AP25" s="3">
        <v>1204.45</v>
      </c>
      <c r="AQ25" s="3">
        <v>1220.1099999999999</v>
      </c>
      <c r="AR25" s="3">
        <v>1241.3800000000001</v>
      </c>
      <c r="AS25" s="3">
        <v>1110.42</v>
      </c>
      <c r="AT25" s="3">
        <v>952.54100000000005</v>
      </c>
      <c r="AU25" s="3">
        <v>784.51099999999997</v>
      </c>
      <c r="AV25" s="3">
        <v>618.79499999999996</v>
      </c>
      <c r="AW25" s="3">
        <v>446.00099999999998</v>
      </c>
      <c r="AX25" s="3">
        <v>447.15699999999998</v>
      </c>
      <c r="AY25" s="3">
        <v>449.58300000000003</v>
      </c>
      <c r="AZ25" s="3">
        <v>456.37</v>
      </c>
      <c r="BA25" s="3">
        <v>460.291</v>
      </c>
      <c r="BB25" s="3">
        <v>490.96300000000002</v>
      </c>
      <c r="BC25" s="3">
        <v>650.16200000000003</v>
      </c>
      <c r="BD25" s="3">
        <v>813.81200000000001</v>
      </c>
      <c r="BE25" s="3">
        <v>969.96799999999996</v>
      </c>
      <c r="BF25" s="3">
        <v>1099.67</v>
      </c>
      <c r="BG25" s="3">
        <v>-254.166</v>
      </c>
      <c r="BH25" s="3">
        <v>-245.75200000000001</v>
      </c>
      <c r="BI25" s="3">
        <v>-239.82499999999999</v>
      </c>
      <c r="BJ25" s="3">
        <v>-247.15</v>
      </c>
      <c r="BK25" s="3">
        <v>-264.64499999999998</v>
      </c>
      <c r="BL25" s="3">
        <v>-285.233</v>
      </c>
      <c r="BM25" s="3">
        <v>-310.15899999999999</v>
      </c>
      <c r="BN25" s="3">
        <v>-328.47</v>
      </c>
      <c r="BO25" s="3">
        <v>-343.68700000000001</v>
      </c>
      <c r="BP25" s="3">
        <v>-360.18099999999998</v>
      </c>
      <c r="BQ25" s="3">
        <v>-371.79</v>
      </c>
      <c r="BR25" s="3">
        <v>-365.202</v>
      </c>
      <c r="BS25" s="3">
        <v>-359.55799999999999</v>
      </c>
      <c r="BT25" s="3">
        <v>-356.11099999999999</v>
      </c>
      <c r="BU25" s="3">
        <v>-351.74200000000002</v>
      </c>
      <c r="BV25" s="3">
        <v>-349.96899999999999</v>
      </c>
      <c r="BW25" s="3">
        <v>-333.512</v>
      </c>
      <c r="BX25" s="3">
        <v>-319.923</v>
      </c>
      <c r="BY25" s="3">
        <v>-302.14499999999998</v>
      </c>
      <c r="BZ25" s="3">
        <v>-277.06799999999998</v>
      </c>
      <c r="CA25" s="3">
        <v>-446.68099999999998</v>
      </c>
      <c r="CB25" s="3">
        <v>-465.98200000000003</v>
      </c>
      <c r="CC25" s="3">
        <v>-482.67200000000003</v>
      </c>
      <c r="CD25" s="3">
        <v>-498.81</v>
      </c>
      <c r="CE25" s="3">
        <v>-520.63499999999999</v>
      </c>
      <c r="CF25" s="3">
        <v>-548.75699999999995</v>
      </c>
      <c r="CG25" s="3">
        <v>-523.46500000000003</v>
      </c>
      <c r="CH25" s="3">
        <v>-495.60300000000001</v>
      </c>
      <c r="CI25" s="3">
        <v>-464.79399999999998</v>
      </c>
      <c r="CJ25" s="3">
        <v>-441.67200000000003</v>
      </c>
      <c r="CK25" s="3">
        <v>-432.024</v>
      </c>
      <c r="CL25" s="3">
        <v>-428.15699999999998</v>
      </c>
      <c r="CM25" s="3">
        <v>-435.82799999999997</v>
      </c>
      <c r="CN25" s="3">
        <v>-449.125</v>
      </c>
      <c r="CO25" s="3">
        <v>-448.92599999999999</v>
      </c>
      <c r="CP25" s="3">
        <v>-436.62200000000001</v>
      </c>
      <c r="CQ25" s="3">
        <v>-431.88799999999998</v>
      </c>
      <c r="CR25" s="3">
        <v>-435.75900000000001</v>
      </c>
      <c r="CS25" s="3">
        <v>-444.90800000000002</v>
      </c>
      <c r="CT25" s="3">
        <v>-450.40899999999999</v>
      </c>
      <c r="CU25" s="3">
        <v>3592.47</v>
      </c>
      <c r="CV25" s="3">
        <v>4235.97</v>
      </c>
      <c r="CW25" s="3">
        <v>4711.6099999999997</v>
      </c>
      <c r="CX25" s="3">
        <v>4889.07</v>
      </c>
      <c r="CY25" s="3">
        <v>5183.26</v>
      </c>
      <c r="CZ25" s="3">
        <v>5930.34</v>
      </c>
      <c r="DA25" s="3">
        <v>5954.52</v>
      </c>
      <c r="DB25" s="3">
        <v>5918.99</v>
      </c>
      <c r="DC25" s="3">
        <v>5921.45</v>
      </c>
      <c r="DD25" s="3">
        <v>5891.61</v>
      </c>
      <c r="DE25" s="3">
        <v>5799.21</v>
      </c>
      <c r="DF25" s="3">
        <v>4951.87</v>
      </c>
      <c r="DG25" s="3">
        <v>4580.09</v>
      </c>
      <c r="DH25" s="3">
        <v>4577.78</v>
      </c>
      <c r="DI25" s="3">
        <v>4380.07</v>
      </c>
      <c r="DJ25" s="3">
        <v>3851.87</v>
      </c>
      <c r="DK25" s="3">
        <v>4008.67</v>
      </c>
      <c r="DL25" s="3">
        <v>4083.29</v>
      </c>
      <c r="DM25" s="3">
        <v>4069.97</v>
      </c>
      <c r="DN25" s="3">
        <v>3969.45</v>
      </c>
      <c r="DO25" s="3">
        <v>2378.88</v>
      </c>
      <c r="DP25" s="3">
        <v>2400.8200000000002</v>
      </c>
      <c r="DQ25" s="3">
        <v>2488.1999999999998</v>
      </c>
      <c r="DR25" s="3">
        <v>2681.48</v>
      </c>
      <c r="DS25" s="3">
        <v>2890.3</v>
      </c>
      <c r="DT25" s="3">
        <v>2996.42</v>
      </c>
      <c r="DU25" s="3">
        <v>2908.19</v>
      </c>
      <c r="DV25" s="3">
        <v>2754</v>
      </c>
      <c r="DW25" s="3">
        <v>2858.04</v>
      </c>
      <c r="DX25" s="3">
        <v>3194.7</v>
      </c>
      <c r="DY25" s="3">
        <v>3310.65</v>
      </c>
      <c r="DZ25" s="3">
        <v>3154.83</v>
      </c>
      <c r="EA25" s="3">
        <v>2936.93</v>
      </c>
      <c r="EB25" s="3">
        <v>2709.59</v>
      </c>
      <c r="EC25" s="3">
        <v>2457.56</v>
      </c>
      <c r="ED25" s="3">
        <v>2405.69</v>
      </c>
      <c r="EE25" s="3">
        <v>2610.04</v>
      </c>
      <c r="EF25" s="3">
        <v>2840.2</v>
      </c>
      <c r="EG25" s="3">
        <v>2859.48</v>
      </c>
      <c r="EH25" s="3">
        <v>2634.22</v>
      </c>
      <c r="EI25" s="3">
        <v>-187.68799999999999</v>
      </c>
      <c r="EJ25" s="3">
        <v>-374.87799999999999</v>
      </c>
      <c r="EK25" s="3">
        <v>-485.99299999999999</v>
      </c>
      <c r="EL25" s="3">
        <v>-411.83300000000003</v>
      </c>
      <c r="EM25" s="3">
        <v>-298.85300000000001</v>
      </c>
      <c r="EN25" s="3">
        <v>-208.58799999999999</v>
      </c>
      <c r="EO25" s="3">
        <v>-120.355</v>
      </c>
      <c r="EP25" s="3">
        <v>-132.036</v>
      </c>
      <c r="EQ25" s="3">
        <v>-231.91300000000001</v>
      </c>
      <c r="ER25" s="3">
        <v>-252.27500000000001</v>
      </c>
      <c r="ES25" s="3">
        <v>-201.69</v>
      </c>
      <c r="ET25" s="3">
        <v>-206.04499999999999</v>
      </c>
      <c r="EU25" s="3">
        <v>-162.14599999999999</v>
      </c>
      <c r="EV25" s="3">
        <v>-179.40799999999999</v>
      </c>
      <c r="EW25" s="3">
        <v>-327.96699999999998</v>
      </c>
      <c r="EX25" s="3">
        <v>-504.59100000000001</v>
      </c>
      <c r="EY25" s="3">
        <v>-480.911</v>
      </c>
      <c r="EZ25" s="3">
        <v>-321.16699999999997</v>
      </c>
      <c r="FA25" s="3">
        <v>-98.521199999999993</v>
      </c>
      <c r="FB25" s="3">
        <v>-64.702699999999993</v>
      </c>
      <c r="FC25" s="3">
        <v>858.94200000000001</v>
      </c>
      <c r="FD25" s="3">
        <v>873.17</v>
      </c>
      <c r="FE25" s="3">
        <v>-256.12799999999999</v>
      </c>
      <c r="FF25" s="3">
        <v>-359.06200000000001</v>
      </c>
      <c r="FG25" s="3">
        <v>-438.447</v>
      </c>
      <c r="FH25" s="3">
        <v>-493.923</v>
      </c>
      <c r="FI25" s="3">
        <v>-4915.99</v>
      </c>
      <c r="FJ25" s="3">
        <v>-2734.28</v>
      </c>
      <c r="FK25" s="3">
        <v>264.755</v>
      </c>
      <c r="FL25" s="3">
        <v>0</v>
      </c>
      <c r="FM25" s="3"/>
    </row>
    <row r="26" spans="1:169" x14ac:dyDescent="0.3">
      <c r="A26" s="2">
        <v>18</v>
      </c>
      <c r="B26" s="5">
        <v>3</v>
      </c>
      <c r="C26" s="6">
        <v>1101227</v>
      </c>
      <c r="D26" s="6" t="s">
        <v>263</v>
      </c>
      <c r="E26" s="6">
        <v>3910010</v>
      </c>
      <c r="F26" s="6">
        <v>1910013</v>
      </c>
      <c r="G26" s="6">
        <v>2910010</v>
      </c>
      <c r="H26" s="6">
        <v>1910012</v>
      </c>
      <c r="I26" s="6">
        <v>57.914999999999999</v>
      </c>
      <c r="J26" s="6" t="s">
        <v>194</v>
      </c>
      <c r="K26" s="6" t="s">
        <v>195</v>
      </c>
      <c r="L26" s="7" t="s">
        <v>196</v>
      </c>
      <c r="M26" s="7" t="s">
        <v>172</v>
      </c>
      <c r="N26" s="8" t="s">
        <v>350</v>
      </c>
      <c r="O26" s="5">
        <v>-2597.38</v>
      </c>
      <c r="P26" s="6">
        <v>3852.76</v>
      </c>
      <c r="Q26" s="6">
        <v>-50.116</v>
      </c>
      <c r="R26" s="12">
        <v>15727.3</v>
      </c>
      <c r="S26" s="4" t="s">
        <v>351</v>
      </c>
      <c r="T26" s="4" t="s">
        <v>352</v>
      </c>
      <c r="U26" s="4" t="s">
        <v>353</v>
      </c>
      <c r="V26" s="4" t="s">
        <v>354</v>
      </c>
      <c r="W26" s="4" t="s">
        <v>355</v>
      </c>
      <c r="X26" s="4" t="s">
        <v>356</v>
      </c>
      <c r="Y26" s="4" t="s">
        <v>357</v>
      </c>
      <c r="Z26" s="4" t="s">
        <v>358</v>
      </c>
      <c r="AA26" s="4" t="s">
        <v>359</v>
      </c>
      <c r="AB26" s="4" t="s">
        <v>360</v>
      </c>
      <c r="AC26" s="4" t="s">
        <v>361</v>
      </c>
      <c r="AD26" s="4" t="s">
        <v>362</v>
      </c>
      <c r="AE26" s="4" t="s">
        <v>363</v>
      </c>
      <c r="AF26" s="4" t="s">
        <v>364</v>
      </c>
      <c r="AG26" s="4" t="s">
        <v>365</v>
      </c>
      <c r="AH26" s="4" t="s">
        <v>366</v>
      </c>
      <c r="AI26" s="4" t="s">
        <v>367</v>
      </c>
      <c r="AJ26" s="4" t="s">
        <v>368</v>
      </c>
      <c r="AK26" s="4" t="s">
        <v>369</v>
      </c>
      <c r="AL26" s="4" t="s">
        <v>370</v>
      </c>
      <c r="AM26" s="3">
        <v>-1152.98</v>
      </c>
      <c r="AN26" s="3">
        <v>-1130.68</v>
      </c>
      <c r="AO26" s="3">
        <v>-1097.83</v>
      </c>
      <c r="AP26" s="3">
        <v>-1078.95</v>
      </c>
      <c r="AQ26" s="3">
        <v>-1063.06</v>
      </c>
      <c r="AR26" s="3">
        <v>-1044.74</v>
      </c>
      <c r="AS26" s="3">
        <v>-866.42399999999998</v>
      </c>
      <c r="AT26" s="3">
        <v>-686.20299999999997</v>
      </c>
      <c r="AU26" s="3">
        <v>-519.67700000000002</v>
      </c>
      <c r="AV26" s="3">
        <v>-372.70100000000002</v>
      </c>
      <c r="AW26" s="3">
        <v>-232.96799999999999</v>
      </c>
      <c r="AX26" s="3">
        <v>-260.71699999999998</v>
      </c>
      <c r="AY26" s="3">
        <v>-288.209</v>
      </c>
      <c r="AZ26" s="3">
        <v>-316.55399999999997</v>
      </c>
      <c r="BA26" s="3">
        <v>-338.91699999999997</v>
      </c>
      <c r="BB26" s="3">
        <v>-385.471</v>
      </c>
      <c r="BC26" s="3">
        <v>-537.36500000000001</v>
      </c>
      <c r="BD26" s="3">
        <v>-699.58500000000004</v>
      </c>
      <c r="BE26" s="3">
        <v>-863.44200000000001</v>
      </c>
      <c r="BF26" s="3">
        <v>-1011.37</v>
      </c>
      <c r="BG26" s="3">
        <v>255.095</v>
      </c>
      <c r="BH26" s="3">
        <v>242.24199999999999</v>
      </c>
      <c r="BI26" s="3">
        <v>229.03</v>
      </c>
      <c r="BJ26" s="3">
        <v>226.863</v>
      </c>
      <c r="BK26" s="3">
        <v>233.62100000000001</v>
      </c>
      <c r="BL26" s="3">
        <v>241.62799999999999</v>
      </c>
      <c r="BM26" s="3">
        <v>248.49</v>
      </c>
      <c r="BN26" s="3">
        <v>258.22199999999998</v>
      </c>
      <c r="BO26" s="3">
        <v>273.71100000000001</v>
      </c>
      <c r="BP26" s="3">
        <v>296.322</v>
      </c>
      <c r="BQ26" s="3">
        <v>318.58499999999998</v>
      </c>
      <c r="BR26" s="3">
        <v>317.41500000000002</v>
      </c>
      <c r="BS26" s="3">
        <v>318.12400000000002</v>
      </c>
      <c r="BT26" s="3">
        <v>320.83199999999999</v>
      </c>
      <c r="BU26" s="3">
        <v>321.60500000000002</v>
      </c>
      <c r="BV26" s="3">
        <v>324.40499999999997</v>
      </c>
      <c r="BW26" s="3">
        <v>306.96100000000001</v>
      </c>
      <c r="BX26" s="3">
        <v>294.81700000000001</v>
      </c>
      <c r="BY26" s="3">
        <v>282.12599999999998</v>
      </c>
      <c r="BZ26" s="3">
        <v>265.97500000000002</v>
      </c>
      <c r="CA26" s="3">
        <v>346.57299999999998</v>
      </c>
      <c r="CB26" s="3">
        <v>350.88799999999998</v>
      </c>
      <c r="CC26" s="3">
        <v>351.26900000000001</v>
      </c>
      <c r="CD26" s="3">
        <v>346.89800000000002</v>
      </c>
      <c r="CE26" s="3">
        <v>347.4</v>
      </c>
      <c r="CF26" s="3">
        <v>353.55799999999999</v>
      </c>
      <c r="CG26" s="3">
        <v>375.83800000000002</v>
      </c>
      <c r="CH26" s="3">
        <v>399.214</v>
      </c>
      <c r="CI26" s="3">
        <v>417.358</v>
      </c>
      <c r="CJ26" s="3">
        <v>435.95499999999998</v>
      </c>
      <c r="CK26" s="3">
        <v>459.22699999999998</v>
      </c>
      <c r="CL26" s="3">
        <v>444.73200000000003</v>
      </c>
      <c r="CM26" s="3">
        <v>443.95800000000003</v>
      </c>
      <c r="CN26" s="3">
        <v>451.12299999999999</v>
      </c>
      <c r="CO26" s="3">
        <v>447.464</v>
      </c>
      <c r="CP26" s="3">
        <v>430.43900000000002</v>
      </c>
      <c r="CQ26" s="3">
        <v>408.01299999999998</v>
      </c>
      <c r="CR26" s="3">
        <v>391.79399999999998</v>
      </c>
      <c r="CS26" s="3">
        <v>380.00700000000001</v>
      </c>
      <c r="CT26" s="3">
        <v>366.36099999999999</v>
      </c>
      <c r="CU26" s="3">
        <v>-3729.34</v>
      </c>
      <c r="CV26" s="3">
        <v>-4342.5</v>
      </c>
      <c r="CW26" s="3">
        <v>-4763.03</v>
      </c>
      <c r="CX26" s="3">
        <v>-4863.8500000000004</v>
      </c>
      <c r="CY26" s="3">
        <v>-5068.3500000000004</v>
      </c>
      <c r="CZ26" s="3">
        <v>-5729.22</v>
      </c>
      <c r="DA26" s="3">
        <v>-5654.51</v>
      </c>
      <c r="DB26" s="3">
        <v>-5513.64</v>
      </c>
      <c r="DC26" s="3">
        <v>-5423.36</v>
      </c>
      <c r="DD26" s="3">
        <v>-5327.89</v>
      </c>
      <c r="DE26" s="3">
        <v>-5202.1499999999996</v>
      </c>
      <c r="DF26" s="3">
        <v>-4486.01</v>
      </c>
      <c r="DG26" s="3">
        <v>-4228.46</v>
      </c>
      <c r="DH26" s="3">
        <v>-4321.16</v>
      </c>
      <c r="DI26" s="3">
        <v>-4197</v>
      </c>
      <c r="DJ26" s="3">
        <v>-3732.99</v>
      </c>
      <c r="DK26" s="3">
        <v>-3957.48</v>
      </c>
      <c r="DL26" s="3">
        <v>-4092.49</v>
      </c>
      <c r="DM26" s="3">
        <v>-4136.6099999999997</v>
      </c>
      <c r="DN26" s="3">
        <v>-4080.45</v>
      </c>
      <c r="DO26" s="3">
        <v>-2430.84</v>
      </c>
      <c r="DP26" s="3">
        <v>-2412.87</v>
      </c>
      <c r="DQ26" s="3">
        <v>-2445.98</v>
      </c>
      <c r="DR26" s="3">
        <v>-2587.48</v>
      </c>
      <c r="DS26" s="3">
        <v>-2742.16</v>
      </c>
      <c r="DT26" s="3">
        <v>-2780.2</v>
      </c>
      <c r="DU26" s="3">
        <v>-2561.4699999999998</v>
      </c>
      <c r="DV26" s="3">
        <v>-2320.65</v>
      </c>
      <c r="DW26" s="3">
        <v>-2392.71</v>
      </c>
      <c r="DX26" s="3">
        <v>-2726.49</v>
      </c>
      <c r="DY26" s="3">
        <v>-2850.96</v>
      </c>
      <c r="DZ26" s="3">
        <v>-2741.88</v>
      </c>
      <c r="EA26" s="3">
        <v>-2568.66</v>
      </c>
      <c r="EB26" s="3">
        <v>-2387.85</v>
      </c>
      <c r="EC26" s="3">
        <v>-2175.5500000000002</v>
      </c>
      <c r="ED26" s="3">
        <v>-2170.88</v>
      </c>
      <c r="EE26" s="3">
        <v>-2415.3200000000002</v>
      </c>
      <c r="EF26" s="3">
        <v>-2685.29</v>
      </c>
      <c r="EG26" s="3">
        <v>-2745.55</v>
      </c>
      <c r="EH26" s="3">
        <v>-2585.2199999999998</v>
      </c>
      <c r="EI26" s="3">
        <v>269.95</v>
      </c>
      <c r="EJ26" s="3">
        <v>467.06</v>
      </c>
      <c r="EK26" s="3">
        <v>569.60599999999999</v>
      </c>
      <c r="EL26" s="3">
        <v>467.84500000000003</v>
      </c>
      <c r="EM26" s="3">
        <v>324.75099999999998</v>
      </c>
      <c r="EN26" s="3">
        <v>211.477</v>
      </c>
      <c r="EO26" s="3">
        <v>75.250799999999998</v>
      </c>
      <c r="EP26" s="3">
        <v>50.266500000000001</v>
      </c>
      <c r="EQ26" s="3">
        <v>120.504</v>
      </c>
      <c r="ER26" s="3">
        <v>107.15</v>
      </c>
      <c r="ES26" s="3">
        <v>31.676300000000001</v>
      </c>
      <c r="ET26" s="3">
        <v>46.021500000000003</v>
      </c>
      <c r="EU26" s="3">
        <v>18.223700000000001</v>
      </c>
      <c r="EV26" s="3">
        <v>64.876199999999997</v>
      </c>
      <c r="EW26" s="3">
        <v>253.179</v>
      </c>
      <c r="EX26" s="3">
        <v>467.09899999999999</v>
      </c>
      <c r="EY26" s="3">
        <v>463.95100000000002</v>
      </c>
      <c r="EZ26" s="3">
        <v>318.89800000000002</v>
      </c>
      <c r="FA26" s="3">
        <v>113.268</v>
      </c>
      <c r="FB26" s="3">
        <v>111.71299999999999</v>
      </c>
      <c r="FC26" s="3">
        <v>-620.45100000000002</v>
      </c>
      <c r="FD26" s="3">
        <v>-775.03399999999999</v>
      </c>
      <c r="FE26" s="3">
        <v>238.08</v>
      </c>
      <c r="FF26" s="3">
        <v>320.161</v>
      </c>
      <c r="FG26" s="3">
        <v>349.43099999999998</v>
      </c>
      <c r="FH26" s="3">
        <v>446.15699999999998</v>
      </c>
      <c r="FI26" s="3">
        <v>4715.01</v>
      </c>
      <c r="FJ26" s="3">
        <v>2524.61</v>
      </c>
      <c r="FK26" s="3">
        <v>-230.54</v>
      </c>
      <c r="FL26" s="3">
        <v>0</v>
      </c>
      <c r="FM26" s="3"/>
    </row>
    <row r="27" spans="1:169" x14ac:dyDescent="0.3">
      <c r="A27" s="2">
        <v>19</v>
      </c>
      <c r="B27" s="5">
        <v>3</v>
      </c>
      <c r="C27" s="6">
        <v>2101700</v>
      </c>
      <c r="D27" s="6" t="s">
        <v>241</v>
      </c>
      <c r="E27" s="6">
        <v>2910010</v>
      </c>
      <c r="F27" s="6">
        <v>2910010</v>
      </c>
      <c r="G27" s="6">
        <v>0</v>
      </c>
      <c r="H27" s="6">
        <v>0</v>
      </c>
      <c r="I27" s="6">
        <v>51.48</v>
      </c>
      <c r="J27" s="6" t="s">
        <v>169</v>
      </c>
      <c r="K27" s="6" t="s">
        <v>170</v>
      </c>
      <c r="L27" s="7" t="s">
        <v>171</v>
      </c>
      <c r="M27" s="7" t="s">
        <v>172</v>
      </c>
      <c r="N27" s="8" t="s">
        <v>371</v>
      </c>
      <c r="O27" s="5">
        <v>5065.75</v>
      </c>
      <c r="P27" s="6">
        <v>-14697.3</v>
      </c>
      <c r="Q27" s="6">
        <v>-341.75299999999999</v>
      </c>
      <c r="R27" s="12">
        <v>0</v>
      </c>
      <c r="S27" s="4" t="s">
        <v>372</v>
      </c>
      <c r="T27" s="4" t="s">
        <v>373</v>
      </c>
      <c r="U27" s="4" t="s">
        <v>374</v>
      </c>
      <c r="V27" s="4" t="s">
        <v>375</v>
      </c>
      <c r="W27" s="4" t="s">
        <v>376</v>
      </c>
      <c r="X27" s="4" t="s">
        <v>377</v>
      </c>
      <c r="Y27" s="4" t="s">
        <v>378</v>
      </c>
      <c r="Z27" s="4" t="s">
        <v>379</v>
      </c>
      <c r="AA27" s="4" t="s">
        <v>380</v>
      </c>
      <c r="AB27" s="4" t="s">
        <v>381</v>
      </c>
      <c r="AC27" s="4" t="s">
        <v>382</v>
      </c>
      <c r="AD27" s="4" t="s">
        <v>383</v>
      </c>
      <c r="AE27" s="4" t="s">
        <v>384</v>
      </c>
      <c r="AF27" s="4" t="s">
        <v>385</v>
      </c>
      <c r="AG27" s="4" t="s">
        <v>386</v>
      </c>
      <c r="AH27" s="4" t="s">
        <v>387</v>
      </c>
      <c r="AI27" s="4" t="s">
        <v>388</v>
      </c>
      <c r="AJ27" s="4" t="s">
        <v>389</v>
      </c>
      <c r="AK27" s="4" t="s">
        <v>390</v>
      </c>
      <c r="AL27" s="4" t="s">
        <v>391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/>
    </row>
    <row r="28" spans="1:169" x14ac:dyDescent="0.3">
      <c r="A28" s="2">
        <v>20</v>
      </c>
      <c r="B28" s="5">
        <v>3</v>
      </c>
      <c r="C28" s="6">
        <v>2101700</v>
      </c>
      <c r="D28" s="6" t="s">
        <v>241</v>
      </c>
      <c r="E28" s="6">
        <v>2910010</v>
      </c>
      <c r="F28" s="6">
        <v>2910010</v>
      </c>
      <c r="G28" s="6">
        <v>0</v>
      </c>
      <c r="H28" s="6">
        <v>0</v>
      </c>
      <c r="I28" s="6">
        <v>51.48</v>
      </c>
      <c r="J28" s="6" t="s">
        <v>194</v>
      </c>
      <c r="K28" s="6" t="s">
        <v>195</v>
      </c>
      <c r="L28" s="7" t="s">
        <v>196</v>
      </c>
      <c r="M28" s="7" t="s">
        <v>172</v>
      </c>
      <c r="N28" s="8" t="s">
        <v>371</v>
      </c>
      <c r="O28" s="5">
        <v>-4572.33</v>
      </c>
      <c r="P28" s="6">
        <v>15114.7</v>
      </c>
      <c r="Q28" s="6">
        <v>458.89299999999997</v>
      </c>
      <c r="R28" s="12">
        <v>15727.3</v>
      </c>
      <c r="S28" s="4" t="s">
        <v>372</v>
      </c>
      <c r="T28" s="4" t="s">
        <v>373</v>
      </c>
      <c r="U28" s="4" t="s">
        <v>374</v>
      </c>
      <c r="V28" s="4" t="s">
        <v>375</v>
      </c>
      <c r="W28" s="4" t="s">
        <v>376</v>
      </c>
      <c r="X28" s="4" t="s">
        <v>377</v>
      </c>
      <c r="Y28" s="4" t="s">
        <v>378</v>
      </c>
      <c r="Z28" s="4" t="s">
        <v>379</v>
      </c>
      <c r="AA28" s="4" t="s">
        <v>380</v>
      </c>
      <c r="AB28" s="4" t="s">
        <v>381</v>
      </c>
      <c r="AC28" s="4" t="s">
        <v>382</v>
      </c>
      <c r="AD28" s="4" t="s">
        <v>383</v>
      </c>
      <c r="AE28" s="4" t="s">
        <v>384</v>
      </c>
      <c r="AF28" s="4" t="s">
        <v>385</v>
      </c>
      <c r="AG28" s="4" t="s">
        <v>386</v>
      </c>
      <c r="AH28" s="4" t="s">
        <v>387</v>
      </c>
      <c r="AI28" s="4" t="s">
        <v>388</v>
      </c>
      <c r="AJ28" s="4" t="s">
        <v>389</v>
      </c>
      <c r="AK28" s="4" t="s">
        <v>390</v>
      </c>
      <c r="AL28" s="4" t="s">
        <v>391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/>
    </row>
    <row r="29" spans="1:169" x14ac:dyDescent="0.3">
      <c r="A29" s="2">
        <v>21</v>
      </c>
      <c r="B29" s="5">
        <v>4</v>
      </c>
      <c r="C29" s="6">
        <v>2101811</v>
      </c>
      <c r="D29" s="6" t="s">
        <v>241</v>
      </c>
      <c r="E29" s="6">
        <v>2901010</v>
      </c>
      <c r="F29" s="6">
        <v>2901010</v>
      </c>
      <c r="G29" s="6">
        <v>0</v>
      </c>
      <c r="H29" s="6">
        <v>0</v>
      </c>
      <c r="I29" s="6">
        <v>51.48</v>
      </c>
      <c r="J29" s="6" t="s">
        <v>169</v>
      </c>
      <c r="K29" s="6" t="s">
        <v>170</v>
      </c>
      <c r="L29" s="7" t="s">
        <v>171</v>
      </c>
      <c r="M29" s="7" t="s">
        <v>172</v>
      </c>
      <c r="N29" s="8" t="s">
        <v>392</v>
      </c>
      <c r="O29" s="5">
        <v>18447.2</v>
      </c>
      <c r="P29" s="6">
        <v>9237.61</v>
      </c>
      <c r="Q29" s="6">
        <v>-350.488</v>
      </c>
      <c r="R29" s="12">
        <v>4643.58</v>
      </c>
      <c r="S29" s="4" t="s">
        <v>393</v>
      </c>
      <c r="T29" s="4" t="s">
        <v>394</v>
      </c>
      <c r="U29" s="4" t="s">
        <v>395</v>
      </c>
      <c r="V29" s="4" t="s">
        <v>396</v>
      </c>
      <c r="W29" s="4" t="s">
        <v>397</v>
      </c>
      <c r="X29" s="4" t="s">
        <v>398</v>
      </c>
      <c r="Y29" s="4" t="s">
        <v>399</v>
      </c>
      <c r="Z29" s="4" t="s">
        <v>400</v>
      </c>
      <c r="AA29" s="4" t="s">
        <v>401</v>
      </c>
      <c r="AB29" s="4" t="s">
        <v>402</v>
      </c>
      <c r="AC29" s="4" t="s">
        <v>403</v>
      </c>
      <c r="AD29" s="4" t="s">
        <v>404</v>
      </c>
      <c r="AE29" s="4" t="s">
        <v>405</v>
      </c>
      <c r="AF29" s="4" t="s">
        <v>406</v>
      </c>
      <c r="AG29" s="4" t="s">
        <v>407</v>
      </c>
      <c r="AH29" s="4" t="s">
        <v>408</v>
      </c>
      <c r="AI29" s="4" t="s">
        <v>409</v>
      </c>
      <c r="AJ29" s="4" t="s">
        <v>410</v>
      </c>
      <c r="AK29" s="4" t="s">
        <v>411</v>
      </c>
      <c r="AL29" s="4" t="s">
        <v>412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/>
    </row>
    <row r="30" spans="1:169" x14ac:dyDescent="0.3">
      <c r="A30" s="2">
        <v>22</v>
      </c>
      <c r="B30" s="5">
        <v>4</v>
      </c>
      <c r="C30" s="6">
        <v>2101811</v>
      </c>
      <c r="D30" s="6" t="s">
        <v>241</v>
      </c>
      <c r="E30" s="6">
        <v>2901010</v>
      </c>
      <c r="F30" s="6">
        <v>2901010</v>
      </c>
      <c r="G30" s="6">
        <v>0</v>
      </c>
      <c r="H30" s="6">
        <v>0</v>
      </c>
      <c r="I30" s="6">
        <v>51.48</v>
      </c>
      <c r="J30" s="6" t="s">
        <v>194</v>
      </c>
      <c r="K30" s="6" t="s">
        <v>195</v>
      </c>
      <c r="L30" s="7" t="s">
        <v>196</v>
      </c>
      <c r="M30" s="7" t="s">
        <v>172</v>
      </c>
      <c r="N30" s="8" t="s">
        <v>392</v>
      </c>
      <c r="O30" s="5">
        <v>-22919.599999999999</v>
      </c>
      <c r="P30" s="6">
        <v>-8662.52</v>
      </c>
      <c r="Q30" s="6">
        <v>-13.604200000000001</v>
      </c>
      <c r="R30" s="12">
        <v>0</v>
      </c>
      <c r="S30" s="4" t="s">
        <v>393</v>
      </c>
      <c r="T30" s="4" t="s">
        <v>394</v>
      </c>
      <c r="U30" s="4" t="s">
        <v>395</v>
      </c>
      <c r="V30" s="4" t="s">
        <v>396</v>
      </c>
      <c r="W30" s="4" t="s">
        <v>397</v>
      </c>
      <c r="X30" s="4" t="s">
        <v>398</v>
      </c>
      <c r="Y30" s="4" t="s">
        <v>399</v>
      </c>
      <c r="Z30" s="4" t="s">
        <v>400</v>
      </c>
      <c r="AA30" s="4" t="s">
        <v>401</v>
      </c>
      <c r="AB30" s="4" t="s">
        <v>402</v>
      </c>
      <c r="AC30" s="4" t="s">
        <v>403</v>
      </c>
      <c r="AD30" s="4" t="s">
        <v>404</v>
      </c>
      <c r="AE30" s="4" t="s">
        <v>405</v>
      </c>
      <c r="AF30" s="4" t="s">
        <v>406</v>
      </c>
      <c r="AG30" s="4" t="s">
        <v>407</v>
      </c>
      <c r="AH30" s="4" t="s">
        <v>408</v>
      </c>
      <c r="AI30" s="4" t="s">
        <v>409</v>
      </c>
      <c r="AJ30" s="4" t="s">
        <v>410</v>
      </c>
      <c r="AK30" s="4" t="s">
        <v>411</v>
      </c>
      <c r="AL30" s="4" t="s">
        <v>412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/>
    </row>
    <row r="31" spans="1:169" x14ac:dyDescent="0.3">
      <c r="A31" s="2">
        <v>23</v>
      </c>
      <c r="B31" s="5">
        <v>4</v>
      </c>
      <c r="C31" s="6">
        <v>1100882</v>
      </c>
      <c r="D31" s="6" t="s">
        <v>263</v>
      </c>
      <c r="E31" s="6">
        <v>2901010</v>
      </c>
      <c r="F31" s="6">
        <v>1901012</v>
      </c>
      <c r="G31" s="6">
        <v>3901010</v>
      </c>
      <c r="H31" s="6">
        <v>1901013</v>
      </c>
      <c r="I31" s="6">
        <v>57.914999999999999</v>
      </c>
      <c r="J31" s="6" t="s">
        <v>169</v>
      </c>
      <c r="K31" s="6" t="s">
        <v>170</v>
      </c>
      <c r="L31" s="7" t="s">
        <v>171</v>
      </c>
      <c r="M31" s="7" t="s">
        <v>172</v>
      </c>
      <c r="N31" s="8" t="s">
        <v>413</v>
      </c>
      <c r="O31" s="5">
        <v>613.06500000000005</v>
      </c>
      <c r="P31" s="6">
        <v>-1607.98</v>
      </c>
      <c r="Q31" s="6">
        <v>524.70699999999999</v>
      </c>
      <c r="R31" s="12">
        <v>4643.58</v>
      </c>
      <c r="S31" s="4" t="s">
        <v>414</v>
      </c>
      <c r="T31" s="4" t="s">
        <v>415</v>
      </c>
      <c r="U31" s="4" t="s">
        <v>416</v>
      </c>
      <c r="V31" s="4" t="s">
        <v>417</v>
      </c>
      <c r="W31" s="4" t="s">
        <v>418</v>
      </c>
      <c r="X31" s="4" t="s">
        <v>419</v>
      </c>
      <c r="Y31" s="4" t="s">
        <v>420</v>
      </c>
      <c r="Z31" s="4" t="s">
        <v>421</v>
      </c>
      <c r="AA31" s="4" t="s">
        <v>422</v>
      </c>
      <c r="AB31" s="4" t="s">
        <v>423</v>
      </c>
      <c r="AC31" s="4" t="s">
        <v>424</v>
      </c>
      <c r="AD31" s="4" t="s">
        <v>425</v>
      </c>
      <c r="AE31" s="4" t="s">
        <v>426</v>
      </c>
      <c r="AF31" s="4" t="s">
        <v>427</v>
      </c>
      <c r="AG31" s="4" t="s">
        <v>428</v>
      </c>
      <c r="AH31" s="4" t="s">
        <v>429</v>
      </c>
      <c r="AI31" s="4" t="s">
        <v>430</v>
      </c>
      <c r="AJ31" s="4" t="s">
        <v>431</v>
      </c>
      <c r="AK31" s="4" t="s">
        <v>432</v>
      </c>
      <c r="AL31" s="4" t="s">
        <v>433</v>
      </c>
      <c r="AM31" s="3">
        <v>960.45399999999995</v>
      </c>
      <c r="AN31" s="3">
        <v>1009.6</v>
      </c>
      <c r="AO31" s="3">
        <v>996.21500000000003</v>
      </c>
      <c r="AP31" s="3">
        <v>966.03800000000001</v>
      </c>
      <c r="AQ31" s="3">
        <v>927.41899999999998</v>
      </c>
      <c r="AR31" s="3">
        <v>889.26599999999996</v>
      </c>
      <c r="AS31" s="3">
        <v>305.637</v>
      </c>
      <c r="AT31" s="3">
        <v>-306.30099999999999</v>
      </c>
      <c r="AU31" s="3">
        <v>-939.28499999999997</v>
      </c>
      <c r="AV31" s="3">
        <v>-1603.22</v>
      </c>
      <c r="AW31" s="3">
        <v>-2163.4299999999998</v>
      </c>
      <c r="AX31" s="3">
        <v>-1966.64</v>
      </c>
      <c r="AY31" s="3">
        <v>-1708.35</v>
      </c>
      <c r="AZ31" s="3">
        <v>-1502.55</v>
      </c>
      <c r="BA31" s="3">
        <v>-1333.14</v>
      </c>
      <c r="BB31" s="3">
        <v>-1230.4100000000001</v>
      </c>
      <c r="BC31" s="3">
        <v>-883.75800000000004</v>
      </c>
      <c r="BD31" s="3">
        <v>-488.358</v>
      </c>
      <c r="BE31" s="3">
        <v>-30.520600000000002</v>
      </c>
      <c r="BF31" s="3">
        <v>458.048</v>
      </c>
      <c r="BG31" s="3">
        <v>-305.17899999999997</v>
      </c>
      <c r="BH31" s="3">
        <v>-224.46600000000001</v>
      </c>
      <c r="BI31" s="3">
        <v>-121.00700000000001</v>
      </c>
      <c r="BJ31" s="3">
        <v>-4.6086099999999997</v>
      </c>
      <c r="BK31" s="3">
        <v>107.404</v>
      </c>
      <c r="BL31" s="3">
        <v>190.21199999999999</v>
      </c>
      <c r="BM31" s="3">
        <v>32.353000000000002</v>
      </c>
      <c r="BN31" s="3">
        <v>-95.501900000000006</v>
      </c>
      <c r="BO31" s="3">
        <v>-188.78299999999999</v>
      </c>
      <c r="BP31" s="3">
        <v>-254.51400000000001</v>
      </c>
      <c r="BQ31" s="3">
        <v>-315.58600000000001</v>
      </c>
      <c r="BR31" s="3">
        <v>-322.00599999999997</v>
      </c>
      <c r="BS31" s="3">
        <v>-301.97300000000001</v>
      </c>
      <c r="BT31" s="3">
        <v>-285.70400000000001</v>
      </c>
      <c r="BU31" s="3">
        <v>-272.15699999999998</v>
      </c>
      <c r="BV31" s="3">
        <v>-268.06700000000001</v>
      </c>
      <c r="BW31" s="3">
        <v>-248.05</v>
      </c>
      <c r="BX31" s="3">
        <v>-248.108</v>
      </c>
      <c r="BY31" s="3">
        <v>-256.375</v>
      </c>
      <c r="BZ31" s="3">
        <v>-271.08499999999998</v>
      </c>
      <c r="CA31" s="3">
        <v>-192.053</v>
      </c>
      <c r="CB31" s="3">
        <v>-159.053</v>
      </c>
      <c r="CC31" s="3">
        <v>-149.14099999999999</v>
      </c>
      <c r="CD31" s="3">
        <v>-174.44399999999999</v>
      </c>
      <c r="CE31" s="3">
        <v>-261.73700000000002</v>
      </c>
      <c r="CF31" s="3">
        <v>-404.85300000000001</v>
      </c>
      <c r="CG31" s="3">
        <v>-425.81200000000001</v>
      </c>
      <c r="CH31" s="3">
        <v>-440.50099999999998</v>
      </c>
      <c r="CI31" s="3">
        <v>-488.28699999999998</v>
      </c>
      <c r="CJ31" s="3">
        <v>-600.47199999999998</v>
      </c>
      <c r="CK31" s="3">
        <v>-799.81899999999996</v>
      </c>
      <c r="CL31" s="3">
        <v>-762.86300000000006</v>
      </c>
      <c r="CM31" s="3">
        <v>-667.649</v>
      </c>
      <c r="CN31" s="3">
        <v>-598.61599999999999</v>
      </c>
      <c r="CO31" s="3">
        <v>-543.005</v>
      </c>
      <c r="CP31" s="3">
        <v>-518.04399999999998</v>
      </c>
      <c r="CQ31" s="3">
        <v>-409.96899999999999</v>
      </c>
      <c r="CR31" s="3">
        <v>-320.16699999999997</v>
      </c>
      <c r="CS31" s="3">
        <v>-248.398</v>
      </c>
      <c r="CT31" s="3">
        <v>-201.679</v>
      </c>
      <c r="CU31" s="3">
        <v>10415.700000000001</v>
      </c>
      <c r="CV31" s="3">
        <v>10203.4</v>
      </c>
      <c r="CW31" s="3">
        <v>9850.65</v>
      </c>
      <c r="CX31" s="3">
        <v>8918.06</v>
      </c>
      <c r="CY31" s="3">
        <v>7398.86</v>
      </c>
      <c r="CZ31" s="3">
        <v>5635.3</v>
      </c>
      <c r="DA31" s="3">
        <v>5796.92</v>
      </c>
      <c r="DB31" s="3">
        <v>6026.82</v>
      </c>
      <c r="DC31" s="3">
        <v>6428.58</v>
      </c>
      <c r="DD31" s="3">
        <v>6669.35</v>
      </c>
      <c r="DE31" s="3">
        <v>6847.66</v>
      </c>
      <c r="DF31" s="3">
        <v>7064.98</v>
      </c>
      <c r="DG31" s="3">
        <v>7271.87</v>
      </c>
      <c r="DH31" s="3">
        <v>7834.99</v>
      </c>
      <c r="DI31" s="3">
        <v>8963.61</v>
      </c>
      <c r="DJ31" s="3">
        <v>10350.5</v>
      </c>
      <c r="DK31" s="3">
        <v>10474.6</v>
      </c>
      <c r="DL31" s="3">
        <v>10514.2</v>
      </c>
      <c r="DM31" s="3">
        <v>10347.9</v>
      </c>
      <c r="DN31" s="3">
        <v>10272.5</v>
      </c>
      <c r="DO31" s="3">
        <v>2397.31</v>
      </c>
      <c r="DP31" s="3">
        <v>2318.2600000000002</v>
      </c>
      <c r="DQ31" s="3">
        <v>2114.73</v>
      </c>
      <c r="DR31" s="3">
        <v>1842.42</v>
      </c>
      <c r="DS31" s="3">
        <v>1536.76</v>
      </c>
      <c r="DT31" s="3">
        <v>1211.1300000000001</v>
      </c>
      <c r="DU31" s="3">
        <v>1624.26</v>
      </c>
      <c r="DV31" s="3">
        <v>1272.23</v>
      </c>
      <c r="DW31" s="3">
        <v>348.56299999999999</v>
      </c>
      <c r="DX31" s="3">
        <v>-139.50800000000001</v>
      </c>
      <c r="DY31" s="3">
        <v>-106.56399999999999</v>
      </c>
      <c r="DZ31" s="3">
        <v>-137.30699999999999</v>
      </c>
      <c r="EA31" s="3">
        <v>102.494</v>
      </c>
      <c r="EB31" s="3">
        <v>513.89599999999996</v>
      </c>
      <c r="EC31" s="3">
        <v>1153.92</v>
      </c>
      <c r="ED31" s="3">
        <v>2149.1999999999998</v>
      </c>
      <c r="EE31" s="3">
        <v>1910.54</v>
      </c>
      <c r="EF31" s="3">
        <v>1855.68</v>
      </c>
      <c r="EG31" s="3">
        <v>2272.2600000000002</v>
      </c>
      <c r="EH31" s="3">
        <v>2554.75</v>
      </c>
      <c r="EI31" s="3">
        <v>1545.47</v>
      </c>
      <c r="EJ31" s="3">
        <v>1674.46</v>
      </c>
      <c r="EK31" s="3">
        <v>1624.79</v>
      </c>
      <c r="EL31" s="3">
        <v>1472.96</v>
      </c>
      <c r="EM31" s="3">
        <v>1365.55</v>
      </c>
      <c r="EN31" s="3">
        <v>1373.89</v>
      </c>
      <c r="EO31" s="3">
        <v>1521.08</v>
      </c>
      <c r="EP31" s="3">
        <v>1904.17</v>
      </c>
      <c r="EQ31" s="3">
        <v>1917.54</v>
      </c>
      <c r="ER31" s="3">
        <v>1544.01</v>
      </c>
      <c r="ES31" s="3">
        <v>1332.47</v>
      </c>
      <c r="ET31" s="3">
        <v>1447.09</v>
      </c>
      <c r="EU31" s="3">
        <v>1781.31</v>
      </c>
      <c r="EV31" s="3">
        <v>2277.5700000000002</v>
      </c>
      <c r="EW31" s="3">
        <v>2641.05</v>
      </c>
      <c r="EX31" s="3">
        <v>2814.2</v>
      </c>
      <c r="EY31" s="3">
        <v>1928.28</v>
      </c>
      <c r="EZ31" s="3">
        <v>1126.19</v>
      </c>
      <c r="FA31" s="3">
        <v>963.05600000000004</v>
      </c>
      <c r="FB31" s="3">
        <v>1274.51</v>
      </c>
      <c r="FC31" s="3">
        <v>-202.423</v>
      </c>
      <c r="FD31" s="3">
        <v>-636.22199999999998</v>
      </c>
      <c r="FE31" s="3">
        <v>-59.607300000000002</v>
      </c>
      <c r="FF31" s="3">
        <v>-294.24900000000002</v>
      </c>
      <c r="FG31" s="3">
        <v>-223.547</v>
      </c>
      <c r="FH31" s="3">
        <v>-648.33299999999997</v>
      </c>
      <c r="FI31" s="3">
        <v>-8314.99</v>
      </c>
      <c r="FJ31" s="3">
        <v>-1258.02</v>
      </c>
      <c r="FK31" s="3">
        <v>-1691.49</v>
      </c>
      <c r="FL31" s="3">
        <v>0</v>
      </c>
      <c r="FM31" s="3"/>
    </row>
    <row r="32" spans="1:169" x14ac:dyDescent="0.3">
      <c r="A32" s="2">
        <v>24</v>
      </c>
      <c r="B32" s="5">
        <v>4</v>
      </c>
      <c r="C32" s="6">
        <v>1100882</v>
      </c>
      <c r="D32" s="6" t="s">
        <v>263</v>
      </c>
      <c r="E32" s="6">
        <v>2901010</v>
      </c>
      <c r="F32" s="6">
        <v>1901012</v>
      </c>
      <c r="G32" s="6">
        <v>3901010</v>
      </c>
      <c r="H32" s="6">
        <v>1901013</v>
      </c>
      <c r="I32" s="6">
        <v>57.914999999999999</v>
      </c>
      <c r="J32" s="6" t="s">
        <v>194</v>
      </c>
      <c r="K32" s="6" t="s">
        <v>195</v>
      </c>
      <c r="L32" s="7" t="s">
        <v>196</v>
      </c>
      <c r="M32" s="7" t="s">
        <v>172</v>
      </c>
      <c r="N32" s="8" t="s">
        <v>413</v>
      </c>
      <c r="O32" s="5">
        <v>304.13799999999998</v>
      </c>
      <c r="P32" s="6">
        <v>425.20699999999999</v>
      </c>
      <c r="Q32" s="6">
        <v>-564.59299999999996</v>
      </c>
      <c r="R32" s="12">
        <v>0</v>
      </c>
      <c r="S32" s="4" t="s">
        <v>414</v>
      </c>
      <c r="T32" s="4" t="s">
        <v>415</v>
      </c>
      <c r="U32" s="4" t="s">
        <v>416</v>
      </c>
      <c r="V32" s="4" t="s">
        <v>417</v>
      </c>
      <c r="W32" s="4" t="s">
        <v>418</v>
      </c>
      <c r="X32" s="4" t="s">
        <v>419</v>
      </c>
      <c r="Y32" s="4" t="s">
        <v>420</v>
      </c>
      <c r="Z32" s="4" t="s">
        <v>421</v>
      </c>
      <c r="AA32" s="4" t="s">
        <v>422</v>
      </c>
      <c r="AB32" s="4" t="s">
        <v>423</v>
      </c>
      <c r="AC32" s="4" t="s">
        <v>424</v>
      </c>
      <c r="AD32" s="4" t="s">
        <v>425</v>
      </c>
      <c r="AE32" s="4" t="s">
        <v>426</v>
      </c>
      <c r="AF32" s="4" t="s">
        <v>427</v>
      </c>
      <c r="AG32" s="4" t="s">
        <v>428</v>
      </c>
      <c r="AH32" s="4" t="s">
        <v>429</v>
      </c>
      <c r="AI32" s="4" t="s">
        <v>430</v>
      </c>
      <c r="AJ32" s="4" t="s">
        <v>431</v>
      </c>
      <c r="AK32" s="4" t="s">
        <v>432</v>
      </c>
      <c r="AL32" s="4" t="s">
        <v>433</v>
      </c>
      <c r="AM32" s="3">
        <v>-224.02199999999999</v>
      </c>
      <c r="AN32" s="3">
        <v>-238.34</v>
      </c>
      <c r="AO32" s="3">
        <v>-236.69200000000001</v>
      </c>
      <c r="AP32" s="3">
        <v>-228.27</v>
      </c>
      <c r="AQ32" s="3">
        <v>-205.78100000000001</v>
      </c>
      <c r="AR32" s="3">
        <v>-167.636</v>
      </c>
      <c r="AS32" s="3">
        <v>-17.9526</v>
      </c>
      <c r="AT32" s="3">
        <v>138.345</v>
      </c>
      <c r="AU32" s="3">
        <v>298.58300000000003</v>
      </c>
      <c r="AV32" s="3">
        <v>461.08600000000001</v>
      </c>
      <c r="AW32" s="3">
        <v>653.96400000000006</v>
      </c>
      <c r="AX32" s="3">
        <v>703.73099999999999</v>
      </c>
      <c r="AY32" s="3">
        <v>694.64700000000005</v>
      </c>
      <c r="AZ32" s="3">
        <v>682.81700000000001</v>
      </c>
      <c r="BA32" s="3">
        <v>681.98299999999995</v>
      </c>
      <c r="BB32" s="3">
        <v>712.077</v>
      </c>
      <c r="BC32" s="3">
        <v>505.221</v>
      </c>
      <c r="BD32" s="3">
        <v>319.91000000000003</v>
      </c>
      <c r="BE32" s="3">
        <v>132.221</v>
      </c>
      <c r="BF32" s="3">
        <v>-53.644599999999997</v>
      </c>
      <c r="BG32" s="3">
        <v>482.90800000000002</v>
      </c>
      <c r="BH32" s="3">
        <v>513.13400000000001</v>
      </c>
      <c r="BI32" s="3">
        <v>528.57799999999997</v>
      </c>
      <c r="BJ32" s="3">
        <v>522.93299999999999</v>
      </c>
      <c r="BK32" s="3">
        <v>490.18400000000003</v>
      </c>
      <c r="BL32" s="3">
        <v>427.726</v>
      </c>
      <c r="BM32" s="3">
        <v>360.65600000000001</v>
      </c>
      <c r="BN32" s="3">
        <v>304.00900000000001</v>
      </c>
      <c r="BO32" s="3">
        <v>248.81200000000001</v>
      </c>
      <c r="BP32" s="3">
        <v>184.977</v>
      </c>
      <c r="BQ32" s="3">
        <v>133.78399999999999</v>
      </c>
      <c r="BR32" s="3">
        <v>182.14500000000001</v>
      </c>
      <c r="BS32" s="3">
        <v>240.40199999999999</v>
      </c>
      <c r="BT32" s="3">
        <v>286.25200000000001</v>
      </c>
      <c r="BU32" s="3">
        <v>321.29700000000003</v>
      </c>
      <c r="BV32" s="3">
        <v>340.60599999999999</v>
      </c>
      <c r="BW32" s="3">
        <v>369.32299999999998</v>
      </c>
      <c r="BX32" s="3">
        <v>402.072</v>
      </c>
      <c r="BY32" s="3">
        <v>429.15499999999997</v>
      </c>
      <c r="BZ32" s="3">
        <v>454.35899999999998</v>
      </c>
      <c r="CA32" s="3">
        <v>540.32299999999998</v>
      </c>
      <c r="CB32" s="3">
        <v>503.702</v>
      </c>
      <c r="CC32" s="3">
        <v>452.62200000000001</v>
      </c>
      <c r="CD32" s="3">
        <v>381.65199999999999</v>
      </c>
      <c r="CE32" s="3">
        <v>305.79199999999997</v>
      </c>
      <c r="CF32" s="3">
        <v>229.32599999999999</v>
      </c>
      <c r="CG32" s="3">
        <v>265.21699999999998</v>
      </c>
      <c r="CH32" s="3">
        <v>290.05399999999997</v>
      </c>
      <c r="CI32" s="3">
        <v>300.57</v>
      </c>
      <c r="CJ32" s="3">
        <v>291.18599999999998</v>
      </c>
      <c r="CK32" s="3">
        <v>291.58100000000002</v>
      </c>
      <c r="CL32" s="3">
        <v>354.83600000000001</v>
      </c>
      <c r="CM32" s="3">
        <v>411.44099999999997</v>
      </c>
      <c r="CN32" s="3">
        <v>454.75799999999998</v>
      </c>
      <c r="CO32" s="3">
        <v>496.71800000000002</v>
      </c>
      <c r="CP32" s="3">
        <v>532.91899999999998</v>
      </c>
      <c r="CQ32" s="3">
        <v>542.94399999999996</v>
      </c>
      <c r="CR32" s="3">
        <v>550.61900000000003</v>
      </c>
      <c r="CS32" s="3">
        <v>547.31100000000004</v>
      </c>
      <c r="CT32" s="3">
        <v>542.95699999999999</v>
      </c>
      <c r="CU32" s="3">
        <v>-6804.12</v>
      </c>
      <c r="CV32" s="3">
        <v>-6428.52</v>
      </c>
      <c r="CW32" s="3">
        <v>-6013.58</v>
      </c>
      <c r="CX32" s="3">
        <v>-5076.38</v>
      </c>
      <c r="CY32" s="3">
        <v>-3748.48</v>
      </c>
      <c r="CZ32" s="3">
        <v>-2465.58</v>
      </c>
      <c r="DA32" s="3">
        <v>-2853.31</v>
      </c>
      <c r="DB32" s="3">
        <v>-3155.21</v>
      </c>
      <c r="DC32" s="3">
        <v>-3578.11</v>
      </c>
      <c r="DD32" s="3">
        <v>-3733.14</v>
      </c>
      <c r="DE32" s="3">
        <v>-3772.4</v>
      </c>
      <c r="DF32" s="3">
        <v>-3854.91</v>
      </c>
      <c r="DG32" s="3">
        <v>-4096.05</v>
      </c>
      <c r="DH32" s="3">
        <v>-4836.8599999999997</v>
      </c>
      <c r="DI32" s="3">
        <v>-6220.06</v>
      </c>
      <c r="DJ32" s="3">
        <v>-7879.53</v>
      </c>
      <c r="DK32" s="3">
        <v>-7891.79</v>
      </c>
      <c r="DL32" s="3">
        <v>-7768.46</v>
      </c>
      <c r="DM32" s="3">
        <v>-7347.22</v>
      </c>
      <c r="DN32" s="3">
        <v>-6978.4</v>
      </c>
      <c r="DO32" s="3">
        <v>-2277.3200000000002</v>
      </c>
      <c r="DP32" s="3">
        <v>-2387.71</v>
      </c>
      <c r="DQ32" s="3">
        <v>-2401.56</v>
      </c>
      <c r="DR32" s="3">
        <v>-2324.27</v>
      </c>
      <c r="DS32" s="3">
        <v>-2151.0700000000002</v>
      </c>
      <c r="DT32" s="3">
        <v>-1857.98</v>
      </c>
      <c r="DU32" s="3">
        <v>-2182.4299999999998</v>
      </c>
      <c r="DV32" s="3">
        <v>-1632.97</v>
      </c>
      <c r="DW32" s="3">
        <v>-494.65100000000001</v>
      </c>
      <c r="DX32" s="3">
        <v>43.677900000000001</v>
      </c>
      <c r="DY32" s="3">
        <v>-26.065100000000001</v>
      </c>
      <c r="DZ32" s="3">
        <v>30.6373</v>
      </c>
      <c r="EA32" s="3">
        <v>-174.44</v>
      </c>
      <c r="EB32" s="3">
        <v>-536.625</v>
      </c>
      <c r="EC32" s="3">
        <v>-1116.76</v>
      </c>
      <c r="ED32" s="3">
        <v>-2082.6799999999998</v>
      </c>
      <c r="EE32" s="3">
        <v>-1836.22</v>
      </c>
      <c r="EF32" s="3">
        <v>-1892.52</v>
      </c>
      <c r="EG32" s="3">
        <v>-2436.21</v>
      </c>
      <c r="EH32" s="3">
        <v>-2677.66</v>
      </c>
      <c r="EI32" s="3">
        <v>-1994.81</v>
      </c>
      <c r="EJ32" s="3">
        <v>-1984.74</v>
      </c>
      <c r="EK32" s="3">
        <v>-1677.95</v>
      </c>
      <c r="EL32" s="3">
        <v>-1223.43</v>
      </c>
      <c r="EM32" s="3">
        <v>-833.43100000000004</v>
      </c>
      <c r="EN32" s="3">
        <v>-618.48800000000006</v>
      </c>
      <c r="EO32" s="3">
        <v>-948.27499999999998</v>
      </c>
      <c r="EP32" s="3">
        <v>-1518.76</v>
      </c>
      <c r="EQ32" s="3">
        <v>-1572.84</v>
      </c>
      <c r="ER32" s="3">
        <v>-1165.48</v>
      </c>
      <c r="ES32" s="3">
        <v>-927.40499999999997</v>
      </c>
      <c r="ET32" s="3">
        <v>-973.25300000000004</v>
      </c>
      <c r="EU32" s="3">
        <v>-1342.29</v>
      </c>
      <c r="EV32" s="3">
        <v>-1913.54</v>
      </c>
      <c r="EW32" s="3">
        <v>-2341.94</v>
      </c>
      <c r="EX32" s="3">
        <v>-2556.52</v>
      </c>
      <c r="EY32" s="3">
        <v>-1709.61</v>
      </c>
      <c r="EZ32" s="3">
        <v>-937.4</v>
      </c>
      <c r="FA32" s="3">
        <v>-924.61800000000005</v>
      </c>
      <c r="FB32" s="3">
        <v>-1473.12</v>
      </c>
      <c r="FC32" s="3">
        <v>227.732</v>
      </c>
      <c r="FD32" s="3">
        <v>231.96100000000001</v>
      </c>
      <c r="FE32" s="3">
        <v>250.74799999999999</v>
      </c>
      <c r="FF32" s="3">
        <v>494.24400000000003</v>
      </c>
      <c r="FG32" s="3">
        <v>277.98899999999998</v>
      </c>
      <c r="FH32" s="3">
        <v>542.84500000000003</v>
      </c>
      <c r="FI32" s="3">
        <v>5352.27</v>
      </c>
      <c r="FJ32" s="3">
        <v>1442.15</v>
      </c>
      <c r="FK32" s="3">
        <v>1447.3</v>
      </c>
      <c r="FL32" s="3">
        <v>0</v>
      </c>
      <c r="FM32" s="3"/>
    </row>
    <row r="33" spans="1:169" x14ac:dyDescent="0.3">
      <c r="A33" s="2">
        <v>25</v>
      </c>
      <c r="B33" s="5">
        <v>4</v>
      </c>
      <c r="C33" s="6">
        <v>3101852</v>
      </c>
      <c r="D33" s="6" t="s">
        <v>285</v>
      </c>
      <c r="E33" s="6">
        <v>3901010</v>
      </c>
      <c r="F33" s="6">
        <v>3901011</v>
      </c>
      <c r="G33" s="6">
        <v>0</v>
      </c>
      <c r="H33" s="6">
        <v>0</v>
      </c>
      <c r="I33" s="6">
        <v>51.48</v>
      </c>
      <c r="J33" s="6" t="s">
        <v>169</v>
      </c>
      <c r="K33" s="6" t="s">
        <v>170</v>
      </c>
      <c r="L33" s="7" t="s">
        <v>171</v>
      </c>
      <c r="M33" s="7" t="s">
        <v>172</v>
      </c>
      <c r="N33" s="8" t="s">
        <v>434</v>
      </c>
      <c r="O33" s="5">
        <v>16194.2</v>
      </c>
      <c r="P33" s="6">
        <v>-10281.299999999999</v>
      </c>
      <c r="Q33" s="6">
        <v>-737.57899999999995</v>
      </c>
      <c r="R33" s="12">
        <v>4643.58</v>
      </c>
      <c r="S33" s="4" t="s">
        <v>435</v>
      </c>
      <c r="T33" s="4" t="s">
        <v>436</v>
      </c>
      <c r="U33" s="4" t="s">
        <v>437</v>
      </c>
      <c r="V33" s="4" t="s">
        <v>438</v>
      </c>
      <c r="W33" s="4" t="s">
        <v>439</v>
      </c>
      <c r="X33" s="4" t="s">
        <v>440</v>
      </c>
      <c r="Y33" s="4" t="s">
        <v>441</v>
      </c>
      <c r="Z33" s="4" t="s">
        <v>442</v>
      </c>
      <c r="AA33" s="4" t="s">
        <v>443</v>
      </c>
      <c r="AB33" s="4" t="s">
        <v>444</v>
      </c>
      <c r="AC33" s="4" t="s">
        <v>445</v>
      </c>
      <c r="AD33" s="4" t="s">
        <v>446</v>
      </c>
      <c r="AE33" s="4" t="s">
        <v>447</v>
      </c>
      <c r="AF33" s="4" t="s">
        <v>448</v>
      </c>
      <c r="AG33" s="4" t="s">
        <v>449</v>
      </c>
      <c r="AH33" s="4" t="s">
        <v>450</v>
      </c>
      <c r="AI33" s="4" t="s">
        <v>451</v>
      </c>
      <c r="AJ33" s="4" t="s">
        <v>452</v>
      </c>
      <c r="AK33" s="4" t="s">
        <v>453</v>
      </c>
      <c r="AL33" s="4" t="s">
        <v>454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/>
    </row>
    <row r="34" spans="1:169" x14ac:dyDescent="0.3">
      <c r="A34" s="2">
        <v>26</v>
      </c>
      <c r="B34" s="5">
        <v>4</v>
      </c>
      <c r="C34" s="6">
        <v>3101852</v>
      </c>
      <c r="D34" s="6" t="s">
        <v>285</v>
      </c>
      <c r="E34" s="6">
        <v>3901010</v>
      </c>
      <c r="F34" s="6">
        <v>3901011</v>
      </c>
      <c r="G34" s="6">
        <v>0</v>
      </c>
      <c r="H34" s="6">
        <v>0</v>
      </c>
      <c r="I34" s="6">
        <v>51.48</v>
      </c>
      <c r="J34" s="6" t="s">
        <v>194</v>
      </c>
      <c r="K34" s="6" t="s">
        <v>195</v>
      </c>
      <c r="L34" s="7" t="s">
        <v>196</v>
      </c>
      <c r="M34" s="7" t="s">
        <v>172</v>
      </c>
      <c r="N34" s="8" t="s">
        <v>434</v>
      </c>
      <c r="O34" s="5">
        <v>-22101</v>
      </c>
      <c r="P34" s="6">
        <v>9444.7099999999991</v>
      </c>
      <c r="Q34" s="6">
        <v>454.72800000000001</v>
      </c>
      <c r="R34" s="12">
        <v>0</v>
      </c>
      <c r="S34" s="4" t="s">
        <v>435</v>
      </c>
      <c r="T34" s="4" t="s">
        <v>436</v>
      </c>
      <c r="U34" s="4" t="s">
        <v>437</v>
      </c>
      <c r="V34" s="4" t="s">
        <v>438</v>
      </c>
      <c r="W34" s="4" t="s">
        <v>439</v>
      </c>
      <c r="X34" s="4" t="s">
        <v>440</v>
      </c>
      <c r="Y34" s="4" t="s">
        <v>441</v>
      </c>
      <c r="Z34" s="4" t="s">
        <v>442</v>
      </c>
      <c r="AA34" s="4" t="s">
        <v>443</v>
      </c>
      <c r="AB34" s="4" t="s">
        <v>444</v>
      </c>
      <c r="AC34" s="4" t="s">
        <v>445</v>
      </c>
      <c r="AD34" s="4" t="s">
        <v>446</v>
      </c>
      <c r="AE34" s="4" t="s">
        <v>447</v>
      </c>
      <c r="AF34" s="4" t="s">
        <v>448</v>
      </c>
      <c r="AG34" s="4" t="s">
        <v>449</v>
      </c>
      <c r="AH34" s="4" t="s">
        <v>450</v>
      </c>
      <c r="AI34" s="4" t="s">
        <v>451</v>
      </c>
      <c r="AJ34" s="4" t="s">
        <v>452</v>
      </c>
      <c r="AK34" s="4" t="s">
        <v>453</v>
      </c>
      <c r="AL34" s="4" t="s">
        <v>454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/>
    </row>
    <row r="35" spans="1:169" x14ac:dyDescent="0.3">
      <c r="A35" s="2">
        <v>27</v>
      </c>
      <c r="B35" s="5">
        <v>5</v>
      </c>
      <c r="C35" s="6">
        <v>2101187</v>
      </c>
      <c r="D35" s="6" t="s">
        <v>241</v>
      </c>
      <c r="E35" s="6">
        <v>2911010</v>
      </c>
      <c r="F35" s="6">
        <v>2911010</v>
      </c>
      <c r="G35" s="6">
        <v>0</v>
      </c>
      <c r="H35" s="6">
        <v>0</v>
      </c>
      <c r="I35" s="6">
        <v>51.48</v>
      </c>
      <c r="J35" s="6" t="s">
        <v>169</v>
      </c>
      <c r="K35" s="6" t="s">
        <v>170</v>
      </c>
      <c r="L35" s="7" t="s">
        <v>171</v>
      </c>
      <c r="M35" s="7" t="s">
        <v>172</v>
      </c>
      <c r="N35" s="8" t="s">
        <v>455</v>
      </c>
      <c r="O35" s="5">
        <v>-1606.46</v>
      </c>
      <c r="P35" s="6">
        <v>-18972.2</v>
      </c>
      <c r="Q35" s="6">
        <v>-546.94799999999998</v>
      </c>
      <c r="R35" s="12">
        <v>33471.199999999997</v>
      </c>
      <c r="S35" s="4" t="s">
        <v>456</v>
      </c>
      <c r="T35" s="4" t="s">
        <v>457</v>
      </c>
      <c r="U35" s="4" t="s">
        <v>458</v>
      </c>
      <c r="V35" s="4" t="s">
        <v>459</v>
      </c>
      <c r="W35" s="4" t="s">
        <v>460</v>
      </c>
      <c r="X35" s="4" t="s">
        <v>461</v>
      </c>
      <c r="Y35" s="4" t="s">
        <v>462</v>
      </c>
      <c r="Z35" s="4" t="s">
        <v>463</v>
      </c>
      <c r="AA35" s="4" t="s">
        <v>464</v>
      </c>
      <c r="AB35" s="4" t="s">
        <v>465</v>
      </c>
      <c r="AC35" s="4" t="s">
        <v>466</v>
      </c>
      <c r="AD35" s="4" t="s">
        <v>467</v>
      </c>
      <c r="AE35" s="4" t="s">
        <v>468</v>
      </c>
      <c r="AF35" s="4" t="s">
        <v>469</v>
      </c>
      <c r="AG35" s="4" t="s">
        <v>470</v>
      </c>
      <c r="AH35" s="4" t="s">
        <v>471</v>
      </c>
      <c r="AI35" s="4" t="s">
        <v>472</v>
      </c>
      <c r="AJ35" s="4" t="s">
        <v>473</v>
      </c>
      <c r="AK35" s="4" t="s">
        <v>474</v>
      </c>
      <c r="AL35" s="4" t="s">
        <v>475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/>
    </row>
    <row r="36" spans="1:169" x14ac:dyDescent="0.3">
      <c r="A36" s="2">
        <v>28</v>
      </c>
      <c r="B36" s="5">
        <v>5</v>
      </c>
      <c r="C36" s="6">
        <v>2101187</v>
      </c>
      <c r="D36" s="6" t="s">
        <v>241</v>
      </c>
      <c r="E36" s="6">
        <v>2911010</v>
      </c>
      <c r="F36" s="6">
        <v>2911010</v>
      </c>
      <c r="G36" s="6">
        <v>0</v>
      </c>
      <c r="H36" s="6">
        <v>0</v>
      </c>
      <c r="I36" s="6">
        <v>51.48</v>
      </c>
      <c r="J36" s="6" t="s">
        <v>194</v>
      </c>
      <c r="K36" s="6" t="s">
        <v>195</v>
      </c>
      <c r="L36" s="7" t="s">
        <v>196</v>
      </c>
      <c r="M36" s="7" t="s">
        <v>172</v>
      </c>
      <c r="N36" s="8" t="s">
        <v>455</v>
      </c>
      <c r="O36" s="5">
        <v>2636.55</v>
      </c>
      <c r="P36" s="6">
        <v>20303.400000000001</v>
      </c>
      <c r="Q36" s="6">
        <v>833.17600000000004</v>
      </c>
      <c r="R36" s="12">
        <v>20184</v>
      </c>
      <c r="S36" s="4" t="s">
        <v>456</v>
      </c>
      <c r="T36" s="4" t="s">
        <v>457</v>
      </c>
      <c r="U36" s="4" t="s">
        <v>458</v>
      </c>
      <c r="V36" s="4" t="s">
        <v>459</v>
      </c>
      <c r="W36" s="4" t="s">
        <v>460</v>
      </c>
      <c r="X36" s="4" t="s">
        <v>461</v>
      </c>
      <c r="Y36" s="4" t="s">
        <v>462</v>
      </c>
      <c r="Z36" s="4" t="s">
        <v>463</v>
      </c>
      <c r="AA36" s="4" t="s">
        <v>464</v>
      </c>
      <c r="AB36" s="4" t="s">
        <v>465</v>
      </c>
      <c r="AC36" s="4" t="s">
        <v>466</v>
      </c>
      <c r="AD36" s="4" t="s">
        <v>467</v>
      </c>
      <c r="AE36" s="4" t="s">
        <v>468</v>
      </c>
      <c r="AF36" s="4" t="s">
        <v>469</v>
      </c>
      <c r="AG36" s="4" t="s">
        <v>470</v>
      </c>
      <c r="AH36" s="4" t="s">
        <v>471</v>
      </c>
      <c r="AI36" s="4" t="s">
        <v>472</v>
      </c>
      <c r="AJ36" s="4" t="s">
        <v>473</v>
      </c>
      <c r="AK36" s="4" t="s">
        <v>474</v>
      </c>
      <c r="AL36" s="4" t="s">
        <v>475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/>
    </row>
    <row r="37" spans="1:169" x14ac:dyDescent="0.3">
      <c r="A37" s="2">
        <v>29</v>
      </c>
      <c r="B37" s="5">
        <v>5</v>
      </c>
      <c r="C37" s="6">
        <v>1101134</v>
      </c>
      <c r="D37" s="6" t="s">
        <v>263</v>
      </c>
      <c r="E37" s="6">
        <v>2911010</v>
      </c>
      <c r="F37" s="6">
        <v>1911012</v>
      </c>
      <c r="G37" s="6">
        <v>3911010</v>
      </c>
      <c r="H37" s="6">
        <v>1911011</v>
      </c>
      <c r="I37" s="6">
        <v>57.914999999999999</v>
      </c>
      <c r="J37" s="6" t="s">
        <v>169</v>
      </c>
      <c r="K37" s="6" t="s">
        <v>170</v>
      </c>
      <c r="L37" s="7" t="s">
        <v>171</v>
      </c>
      <c r="M37" s="7" t="s">
        <v>172</v>
      </c>
      <c r="N37" s="8" t="s">
        <v>476</v>
      </c>
      <c r="O37" s="5">
        <v>1478.75</v>
      </c>
      <c r="P37" s="6">
        <v>1759.27</v>
      </c>
      <c r="Q37" s="6">
        <v>3388.8</v>
      </c>
      <c r="R37" s="12">
        <v>33471.199999999997</v>
      </c>
      <c r="S37" s="4" t="s">
        <v>477</v>
      </c>
      <c r="T37" s="4" t="s">
        <v>478</v>
      </c>
      <c r="U37" s="4" t="s">
        <v>479</v>
      </c>
      <c r="V37" s="4" t="s">
        <v>480</v>
      </c>
      <c r="W37" s="4" t="s">
        <v>481</v>
      </c>
      <c r="X37" s="4" t="s">
        <v>482</v>
      </c>
      <c r="Y37" s="4" t="s">
        <v>483</v>
      </c>
      <c r="Z37" s="4" t="s">
        <v>484</v>
      </c>
      <c r="AA37" s="4" t="s">
        <v>485</v>
      </c>
      <c r="AB37" s="4" t="s">
        <v>486</v>
      </c>
      <c r="AC37" s="4" t="s">
        <v>487</v>
      </c>
      <c r="AD37" s="4" t="s">
        <v>488</v>
      </c>
      <c r="AE37" s="4" t="s">
        <v>489</v>
      </c>
      <c r="AF37" s="4" t="s">
        <v>490</v>
      </c>
      <c r="AG37" s="4" t="s">
        <v>491</v>
      </c>
      <c r="AH37" s="4" t="s">
        <v>492</v>
      </c>
      <c r="AI37" s="4" t="s">
        <v>493</v>
      </c>
      <c r="AJ37" s="4" t="s">
        <v>494</v>
      </c>
      <c r="AK37" s="4" t="s">
        <v>495</v>
      </c>
      <c r="AL37" s="4" t="s">
        <v>496</v>
      </c>
      <c r="AM37" s="3">
        <v>1871.72</v>
      </c>
      <c r="AN37" s="3">
        <v>1819.17</v>
      </c>
      <c r="AO37" s="3">
        <v>1778.2</v>
      </c>
      <c r="AP37" s="3">
        <v>1733.22</v>
      </c>
      <c r="AQ37" s="3">
        <v>1683.56</v>
      </c>
      <c r="AR37" s="3">
        <v>1628.37</v>
      </c>
      <c r="AS37" s="3">
        <v>1575.14</v>
      </c>
      <c r="AT37" s="3">
        <v>1532.46</v>
      </c>
      <c r="AU37" s="3">
        <v>1498.5</v>
      </c>
      <c r="AV37" s="3">
        <v>1456.04</v>
      </c>
      <c r="AW37" s="3">
        <v>1388.99</v>
      </c>
      <c r="AX37" s="3">
        <v>1362.8</v>
      </c>
      <c r="AY37" s="3">
        <v>1344.5</v>
      </c>
      <c r="AZ37" s="3">
        <v>1332.13</v>
      </c>
      <c r="BA37" s="3">
        <v>1330.43</v>
      </c>
      <c r="BB37" s="3">
        <v>1337.66</v>
      </c>
      <c r="BC37" s="3">
        <v>1457.55</v>
      </c>
      <c r="BD37" s="3">
        <v>1571.37</v>
      </c>
      <c r="BE37" s="3">
        <v>1674.9</v>
      </c>
      <c r="BF37" s="3">
        <v>1774.05</v>
      </c>
      <c r="BG37" s="3">
        <v>-114.96299999999999</v>
      </c>
      <c r="BH37" s="3">
        <v>-98.509200000000007</v>
      </c>
      <c r="BI37" s="3">
        <v>-84.846000000000004</v>
      </c>
      <c r="BJ37" s="3">
        <v>-70.807900000000004</v>
      </c>
      <c r="BK37" s="3">
        <v>-53.534100000000002</v>
      </c>
      <c r="BL37" s="3">
        <v>-32.496400000000001</v>
      </c>
      <c r="BM37" s="3">
        <v>-77.4101</v>
      </c>
      <c r="BN37" s="3">
        <v>-126.514</v>
      </c>
      <c r="BO37" s="3">
        <v>-179.13900000000001</v>
      </c>
      <c r="BP37" s="3">
        <v>-230.559</v>
      </c>
      <c r="BQ37" s="3">
        <v>-274.24200000000002</v>
      </c>
      <c r="BR37" s="3">
        <v>-255.60400000000001</v>
      </c>
      <c r="BS37" s="3">
        <v>-237.71799999999999</v>
      </c>
      <c r="BT37" s="3">
        <v>-223.80600000000001</v>
      </c>
      <c r="BU37" s="3">
        <v>-220.845</v>
      </c>
      <c r="BV37" s="3">
        <v>-225.63200000000001</v>
      </c>
      <c r="BW37" s="3">
        <v>-205.34100000000001</v>
      </c>
      <c r="BX37" s="3">
        <v>-184.624</v>
      </c>
      <c r="BY37" s="3">
        <v>-160.53200000000001</v>
      </c>
      <c r="BZ37" s="3">
        <v>-136.00899999999999</v>
      </c>
      <c r="CA37" s="3">
        <v>-375.19099999999997</v>
      </c>
      <c r="CB37" s="3">
        <v>-402.43599999999998</v>
      </c>
      <c r="CC37" s="3">
        <v>-435.48399999999998</v>
      </c>
      <c r="CD37" s="3">
        <v>-477.79300000000001</v>
      </c>
      <c r="CE37" s="3">
        <v>-521.35799999999995</v>
      </c>
      <c r="CF37" s="3">
        <v>-563.67899999999997</v>
      </c>
      <c r="CG37" s="3">
        <v>-616.10199999999998</v>
      </c>
      <c r="CH37" s="3">
        <v>-648.351</v>
      </c>
      <c r="CI37" s="3">
        <v>-654.721</v>
      </c>
      <c r="CJ37" s="3">
        <v>-643.80899999999997</v>
      </c>
      <c r="CK37" s="3">
        <v>-619.04700000000003</v>
      </c>
      <c r="CL37" s="3">
        <v>-581.51800000000003</v>
      </c>
      <c r="CM37" s="3">
        <v>-546.04100000000005</v>
      </c>
      <c r="CN37" s="3">
        <v>-512.53300000000002</v>
      </c>
      <c r="CO37" s="3">
        <v>-484.74599999999998</v>
      </c>
      <c r="CP37" s="3">
        <v>-463.80900000000003</v>
      </c>
      <c r="CQ37" s="3">
        <v>-459.59800000000001</v>
      </c>
      <c r="CR37" s="3">
        <v>-453.79399999999998</v>
      </c>
      <c r="CS37" s="3">
        <v>-438.827</v>
      </c>
      <c r="CT37" s="3">
        <v>-411.31700000000001</v>
      </c>
      <c r="CU37" s="3">
        <v>2151.1999999999998</v>
      </c>
      <c r="CV37" s="3">
        <v>3070.46</v>
      </c>
      <c r="CW37" s="3">
        <v>3208.86</v>
      </c>
      <c r="CX37" s="3">
        <v>3472.18</v>
      </c>
      <c r="CY37" s="3">
        <v>4306.68</v>
      </c>
      <c r="CZ37" s="3">
        <v>6018.06</v>
      </c>
      <c r="DA37" s="3">
        <v>6006.08</v>
      </c>
      <c r="DB37" s="3">
        <v>6070.91</v>
      </c>
      <c r="DC37" s="3">
        <v>6306.98</v>
      </c>
      <c r="DD37" s="3">
        <v>6669.81</v>
      </c>
      <c r="DE37" s="3">
        <v>7155.14</v>
      </c>
      <c r="DF37" s="3">
        <v>5800.96</v>
      </c>
      <c r="DG37" s="3">
        <v>5271.2</v>
      </c>
      <c r="DH37" s="3">
        <v>5136.03</v>
      </c>
      <c r="DI37" s="3">
        <v>4984.26</v>
      </c>
      <c r="DJ37" s="3">
        <v>4173.7</v>
      </c>
      <c r="DK37" s="3">
        <v>4016.11</v>
      </c>
      <c r="DL37" s="3">
        <v>3814.16</v>
      </c>
      <c r="DM37" s="3">
        <v>3395.34</v>
      </c>
      <c r="DN37" s="3">
        <v>2831.76</v>
      </c>
      <c r="DO37" s="3">
        <v>-465.56200000000001</v>
      </c>
      <c r="DP37" s="3">
        <v>-358.42599999999999</v>
      </c>
      <c r="DQ37" s="3">
        <v>-102.97499999999999</v>
      </c>
      <c r="DR37" s="3">
        <v>218.94900000000001</v>
      </c>
      <c r="DS37" s="3">
        <v>467.762</v>
      </c>
      <c r="DT37" s="3">
        <v>608.76499999999999</v>
      </c>
      <c r="DU37" s="3">
        <v>720.70299999999997</v>
      </c>
      <c r="DV37" s="3">
        <v>876.21299999999997</v>
      </c>
      <c r="DW37" s="3">
        <v>1491.78</v>
      </c>
      <c r="DX37" s="3">
        <v>2381.63</v>
      </c>
      <c r="DY37" s="3">
        <v>2925.15</v>
      </c>
      <c r="DZ37" s="3">
        <v>2915.43</v>
      </c>
      <c r="EA37" s="3">
        <v>2726.53</v>
      </c>
      <c r="EB37" s="3">
        <v>2520.9899999999998</v>
      </c>
      <c r="EC37" s="3">
        <v>2305.31</v>
      </c>
      <c r="ED37" s="3">
        <v>2285.77</v>
      </c>
      <c r="EE37" s="3">
        <v>2121.33</v>
      </c>
      <c r="EF37" s="3">
        <v>1747.08</v>
      </c>
      <c r="EG37" s="3">
        <v>953.71100000000001</v>
      </c>
      <c r="EH37" s="3">
        <v>88.823800000000006</v>
      </c>
      <c r="EI37" s="3">
        <v>-188.67</v>
      </c>
      <c r="EJ37" s="3">
        <v>-560.53300000000002</v>
      </c>
      <c r="EK37" s="3">
        <v>-886.476</v>
      </c>
      <c r="EL37" s="3">
        <v>-876.23099999999999</v>
      </c>
      <c r="EM37" s="3">
        <v>-712.55100000000004</v>
      </c>
      <c r="EN37" s="3">
        <v>-525.154</v>
      </c>
      <c r="EO37" s="3">
        <v>-387.02</v>
      </c>
      <c r="EP37" s="3">
        <v>-592.01099999999997</v>
      </c>
      <c r="EQ37" s="3">
        <v>-939.58799999999997</v>
      </c>
      <c r="ER37" s="3">
        <v>-912.91800000000001</v>
      </c>
      <c r="ES37" s="3">
        <v>-577.88900000000001</v>
      </c>
      <c r="ET37" s="3">
        <v>-346.52699999999999</v>
      </c>
      <c r="EU37" s="3">
        <v>-139.94300000000001</v>
      </c>
      <c r="EV37" s="3">
        <v>-179.107</v>
      </c>
      <c r="EW37" s="3">
        <v>-400.11799999999999</v>
      </c>
      <c r="EX37" s="3">
        <v>-546.15800000000002</v>
      </c>
      <c r="EY37" s="3">
        <v>-611.77099999999996</v>
      </c>
      <c r="EZ37" s="3">
        <v>-449.15800000000002</v>
      </c>
      <c r="FA37" s="3">
        <v>-162.458</v>
      </c>
      <c r="FB37" s="3">
        <v>-61.323</v>
      </c>
      <c r="FC37" s="3">
        <v>1513.25</v>
      </c>
      <c r="FD37" s="3">
        <v>1614.54</v>
      </c>
      <c r="FE37" s="3">
        <v>-75.859399999999994</v>
      </c>
      <c r="FF37" s="3">
        <v>-239.64099999999999</v>
      </c>
      <c r="FG37" s="3">
        <v>-433.75599999999997</v>
      </c>
      <c r="FH37" s="3">
        <v>-624.28499999999997</v>
      </c>
      <c r="FI37" s="3">
        <v>-4884.1000000000004</v>
      </c>
      <c r="FJ37" s="3">
        <v>-1337.31</v>
      </c>
      <c r="FK37" s="3">
        <v>495.56099999999998</v>
      </c>
      <c r="FL37" s="3">
        <v>0</v>
      </c>
      <c r="FM37" s="3"/>
    </row>
    <row r="38" spans="1:169" x14ac:dyDescent="0.3">
      <c r="A38" s="2">
        <v>30</v>
      </c>
      <c r="B38" s="5">
        <v>5</v>
      </c>
      <c r="C38" s="6">
        <v>1101134</v>
      </c>
      <c r="D38" s="6" t="s">
        <v>263</v>
      </c>
      <c r="E38" s="6">
        <v>2911010</v>
      </c>
      <c r="F38" s="6">
        <v>1911012</v>
      </c>
      <c r="G38" s="6">
        <v>3911010</v>
      </c>
      <c r="H38" s="6">
        <v>1911011</v>
      </c>
      <c r="I38" s="6">
        <v>57.914999999999999</v>
      </c>
      <c r="J38" s="6" t="s">
        <v>194</v>
      </c>
      <c r="K38" s="6" t="s">
        <v>195</v>
      </c>
      <c r="L38" s="7" t="s">
        <v>196</v>
      </c>
      <c r="M38" s="7" t="s">
        <v>172</v>
      </c>
      <c r="N38" s="8" t="s">
        <v>476</v>
      </c>
      <c r="O38" s="5">
        <v>-88.460899999999995</v>
      </c>
      <c r="P38" s="6">
        <v>-1444.71</v>
      </c>
      <c r="Q38" s="6">
        <v>-2886.85</v>
      </c>
      <c r="R38" s="12">
        <v>20184</v>
      </c>
      <c r="S38" s="4" t="s">
        <v>477</v>
      </c>
      <c r="T38" s="4" t="s">
        <v>478</v>
      </c>
      <c r="U38" s="4" t="s">
        <v>479</v>
      </c>
      <c r="V38" s="4" t="s">
        <v>480</v>
      </c>
      <c r="W38" s="4" t="s">
        <v>481</v>
      </c>
      <c r="X38" s="4" t="s">
        <v>482</v>
      </c>
      <c r="Y38" s="4" t="s">
        <v>483</v>
      </c>
      <c r="Z38" s="4" t="s">
        <v>484</v>
      </c>
      <c r="AA38" s="4" t="s">
        <v>485</v>
      </c>
      <c r="AB38" s="4" t="s">
        <v>486</v>
      </c>
      <c r="AC38" s="4" t="s">
        <v>487</v>
      </c>
      <c r="AD38" s="4" t="s">
        <v>488</v>
      </c>
      <c r="AE38" s="4" t="s">
        <v>489</v>
      </c>
      <c r="AF38" s="4" t="s">
        <v>490</v>
      </c>
      <c r="AG38" s="4" t="s">
        <v>491</v>
      </c>
      <c r="AH38" s="4" t="s">
        <v>492</v>
      </c>
      <c r="AI38" s="4" t="s">
        <v>493</v>
      </c>
      <c r="AJ38" s="4" t="s">
        <v>494</v>
      </c>
      <c r="AK38" s="4" t="s">
        <v>495</v>
      </c>
      <c r="AL38" s="4" t="s">
        <v>496</v>
      </c>
      <c r="AM38" s="3">
        <v>-2100.77</v>
      </c>
      <c r="AN38" s="3">
        <v>-2087.09</v>
      </c>
      <c r="AO38" s="3">
        <v>-2089.29</v>
      </c>
      <c r="AP38" s="3">
        <v>-2094.75</v>
      </c>
      <c r="AQ38" s="3">
        <v>-2104.27</v>
      </c>
      <c r="AR38" s="3">
        <v>-2118.9299999999998</v>
      </c>
      <c r="AS38" s="3">
        <v>-1951.76</v>
      </c>
      <c r="AT38" s="3">
        <v>-1773.24</v>
      </c>
      <c r="AU38" s="3">
        <v>-1590.65</v>
      </c>
      <c r="AV38" s="3">
        <v>-1406.19</v>
      </c>
      <c r="AW38" s="3">
        <v>-1219.93</v>
      </c>
      <c r="AX38" s="3">
        <v>-1234.81</v>
      </c>
      <c r="AY38" s="3">
        <v>-1247.57</v>
      </c>
      <c r="AZ38" s="3">
        <v>-1261.5899999999999</v>
      </c>
      <c r="BA38" s="3">
        <v>-1278.8</v>
      </c>
      <c r="BB38" s="3">
        <v>-1300.57</v>
      </c>
      <c r="BC38" s="3">
        <v>-1471.51</v>
      </c>
      <c r="BD38" s="3">
        <v>-1641.17</v>
      </c>
      <c r="BE38" s="3">
        <v>-1803.83</v>
      </c>
      <c r="BF38" s="3">
        <v>-1958.25</v>
      </c>
      <c r="BG38" s="3">
        <v>237.61</v>
      </c>
      <c r="BH38" s="3">
        <v>237.62700000000001</v>
      </c>
      <c r="BI38" s="3">
        <v>238.565</v>
      </c>
      <c r="BJ38" s="3">
        <v>239.84200000000001</v>
      </c>
      <c r="BK38" s="3">
        <v>239.72900000000001</v>
      </c>
      <c r="BL38" s="3">
        <v>238.864</v>
      </c>
      <c r="BM38" s="3">
        <v>241.93</v>
      </c>
      <c r="BN38" s="3">
        <v>241.73599999999999</v>
      </c>
      <c r="BO38" s="3">
        <v>241.27600000000001</v>
      </c>
      <c r="BP38" s="3">
        <v>242.52600000000001</v>
      </c>
      <c r="BQ38" s="3">
        <v>244.417</v>
      </c>
      <c r="BR38" s="3">
        <v>238.69900000000001</v>
      </c>
      <c r="BS38" s="3">
        <v>231.8</v>
      </c>
      <c r="BT38" s="3">
        <v>227.90299999999999</v>
      </c>
      <c r="BU38" s="3">
        <v>231.63900000000001</v>
      </c>
      <c r="BV38" s="3">
        <v>240.19800000000001</v>
      </c>
      <c r="BW38" s="3">
        <v>241.57400000000001</v>
      </c>
      <c r="BX38" s="3">
        <v>243.738</v>
      </c>
      <c r="BY38" s="3">
        <v>243.09200000000001</v>
      </c>
      <c r="BZ38" s="3">
        <v>240.494</v>
      </c>
      <c r="CA38" s="3">
        <v>278.50700000000001</v>
      </c>
      <c r="CB38" s="3">
        <v>284.04500000000002</v>
      </c>
      <c r="CC38" s="3">
        <v>294.84100000000001</v>
      </c>
      <c r="CD38" s="3">
        <v>310.291</v>
      </c>
      <c r="CE38" s="3">
        <v>323.87799999999999</v>
      </c>
      <c r="CF38" s="3">
        <v>331.363</v>
      </c>
      <c r="CG38" s="3">
        <v>318.41500000000002</v>
      </c>
      <c r="CH38" s="3">
        <v>313.55799999999999</v>
      </c>
      <c r="CI38" s="3">
        <v>317.13600000000002</v>
      </c>
      <c r="CJ38" s="3">
        <v>326.44799999999998</v>
      </c>
      <c r="CK38" s="3">
        <v>339.68799999999999</v>
      </c>
      <c r="CL38" s="3">
        <v>337.11</v>
      </c>
      <c r="CM38" s="3">
        <v>332.50299999999999</v>
      </c>
      <c r="CN38" s="3">
        <v>328.91500000000002</v>
      </c>
      <c r="CO38" s="3">
        <v>328.11399999999998</v>
      </c>
      <c r="CP38" s="3">
        <v>328.94799999999998</v>
      </c>
      <c r="CQ38" s="3">
        <v>316.02999999999997</v>
      </c>
      <c r="CR38" s="3">
        <v>306.59800000000001</v>
      </c>
      <c r="CS38" s="3">
        <v>296.11</v>
      </c>
      <c r="CT38" s="3">
        <v>285.91500000000002</v>
      </c>
      <c r="CU38" s="3">
        <v>-2324.2800000000002</v>
      </c>
      <c r="CV38" s="3">
        <v>-3226.48</v>
      </c>
      <c r="CW38" s="3">
        <v>-3266.72</v>
      </c>
      <c r="CX38" s="3">
        <v>-3413.65</v>
      </c>
      <c r="CY38" s="3">
        <v>-4147.25</v>
      </c>
      <c r="CZ38" s="3">
        <v>-5801.13</v>
      </c>
      <c r="DA38" s="3">
        <v>-5823.64</v>
      </c>
      <c r="DB38" s="3">
        <v>-5900.02</v>
      </c>
      <c r="DC38" s="3">
        <v>-6127.41</v>
      </c>
      <c r="DD38" s="3">
        <v>-6472.53</v>
      </c>
      <c r="DE38" s="3">
        <v>-6928.88</v>
      </c>
      <c r="DF38" s="3">
        <v>-5654.84</v>
      </c>
      <c r="DG38" s="3">
        <v>-5250.8</v>
      </c>
      <c r="DH38" s="3">
        <v>-5227.92</v>
      </c>
      <c r="DI38" s="3">
        <v>-5146.3</v>
      </c>
      <c r="DJ38" s="3">
        <v>-4333.2299999999996</v>
      </c>
      <c r="DK38" s="3">
        <v>-4216.43</v>
      </c>
      <c r="DL38" s="3">
        <v>-4041.72</v>
      </c>
      <c r="DM38" s="3">
        <v>-3628.36</v>
      </c>
      <c r="DN38" s="3">
        <v>-3048.4</v>
      </c>
      <c r="DO38" s="3">
        <v>124.563</v>
      </c>
      <c r="DP38" s="3">
        <v>9.6791599999999995</v>
      </c>
      <c r="DQ38" s="3">
        <v>-265.77699999999999</v>
      </c>
      <c r="DR38" s="3">
        <v>-608.82100000000003</v>
      </c>
      <c r="DS38" s="3">
        <v>-876.69200000000001</v>
      </c>
      <c r="DT38" s="3">
        <v>-1026.99</v>
      </c>
      <c r="DU38" s="3">
        <v>-1021.25</v>
      </c>
      <c r="DV38" s="3">
        <v>-1064.19</v>
      </c>
      <c r="DW38" s="3">
        <v>-1589.88</v>
      </c>
      <c r="DX38" s="3">
        <v>-2375.5700000000002</v>
      </c>
      <c r="DY38" s="3">
        <v>-2765.67</v>
      </c>
      <c r="DZ38" s="3">
        <v>-2853.47</v>
      </c>
      <c r="EA38" s="3">
        <v>-2725.93</v>
      </c>
      <c r="EB38" s="3">
        <v>-2576.17</v>
      </c>
      <c r="EC38" s="3">
        <v>-2404.19</v>
      </c>
      <c r="ED38" s="3">
        <v>-2431.15</v>
      </c>
      <c r="EE38" s="3">
        <v>-2394.71</v>
      </c>
      <c r="EF38" s="3">
        <v>-2093.37</v>
      </c>
      <c r="EG38" s="3">
        <v>-1297.6600000000001</v>
      </c>
      <c r="EH38" s="3">
        <v>-413.57799999999997</v>
      </c>
      <c r="EI38" s="3">
        <v>269.09500000000003</v>
      </c>
      <c r="EJ38" s="3">
        <v>685.4</v>
      </c>
      <c r="EK38" s="3">
        <v>1047.4000000000001</v>
      </c>
      <c r="EL38" s="3">
        <v>1045.73</v>
      </c>
      <c r="EM38" s="3">
        <v>888.39400000000001</v>
      </c>
      <c r="EN38" s="3">
        <v>724.78200000000004</v>
      </c>
      <c r="EO38" s="3">
        <v>606.87900000000002</v>
      </c>
      <c r="EP38" s="3">
        <v>830.19299999999998</v>
      </c>
      <c r="EQ38" s="3">
        <v>1170.28</v>
      </c>
      <c r="ER38" s="3">
        <v>1080.0999999999999</v>
      </c>
      <c r="ES38" s="3">
        <v>651.80899999999997</v>
      </c>
      <c r="ET38" s="3">
        <v>404.209</v>
      </c>
      <c r="EU38" s="3">
        <v>195.69800000000001</v>
      </c>
      <c r="EV38" s="3">
        <v>257.553</v>
      </c>
      <c r="EW38" s="3">
        <v>516.245</v>
      </c>
      <c r="EX38" s="3">
        <v>678.99</v>
      </c>
      <c r="EY38" s="3">
        <v>761.25099999999998</v>
      </c>
      <c r="EZ38" s="3">
        <v>580.92600000000004</v>
      </c>
      <c r="FA38" s="3">
        <v>262.45299999999997</v>
      </c>
      <c r="FB38" s="3">
        <v>145.416</v>
      </c>
      <c r="FC38" s="3">
        <v>-1676.78</v>
      </c>
      <c r="FD38" s="3">
        <v>-1712.69</v>
      </c>
      <c r="FE38" s="3">
        <v>235.77600000000001</v>
      </c>
      <c r="FF38" s="3">
        <v>238.70599999999999</v>
      </c>
      <c r="FG38" s="3">
        <v>302.01799999999997</v>
      </c>
      <c r="FH38" s="3">
        <v>332.54599999999999</v>
      </c>
      <c r="FI38" s="3">
        <v>4887.17</v>
      </c>
      <c r="FJ38" s="3">
        <v>1533.39</v>
      </c>
      <c r="FK38" s="3">
        <v>-630.31200000000001</v>
      </c>
      <c r="FL38" s="3">
        <v>0.32093500000000003</v>
      </c>
      <c r="FM38" s="3"/>
    </row>
    <row r="39" spans="1:169" x14ac:dyDescent="0.3">
      <c r="A39" s="2">
        <v>31</v>
      </c>
      <c r="B39" s="5">
        <v>5</v>
      </c>
      <c r="C39" s="6">
        <v>3101095</v>
      </c>
      <c r="D39" s="6" t="s">
        <v>285</v>
      </c>
      <c r="E39" s="6">
        <v>3911010</v>
      </c>
      <c r="F39" s="6">
        <v>3911012</v>
      </c>
      <c r="G39" s="6">
        <v>4911010</v>
      </c>
      <c r="H39" s="6">
        <v>3911013</v>
      </c>
      <c r="I39" s="6">
        <v>51.48</v>
      </c>
      <c r="J39" s="6" t="s">
        <v>169</v>
      </c>
      <c r="K39" s="6" t="s">
        <v>170</v>
      </c>
      <c r="L39" s="7" t="s">
        <v>171</v>
      </c>
      <c r="M39" s="7" t="s">
        <v>172</v>
      </c>
      <c r="N39" s="8" t="s">
        <v>497</v>
      </c>
      <c r="O39" s="5">
        <v>20634.400000000001</v>
      </c>
      <c r="P39" s="6">
        <v>1532.43</v>
      </c>
      <c r="Q39" s="6">
        <v>-503.83300000000003</v>
      </c>
      <c r="R39" s="12">
        <v>33471.199999999997</v>
      </c>
      <c r="S39" s="4" t="s">
        <v>498</v>
      </c>
      <c r="T39" s="4" t="s">
        <v>499</v>
      </c>
      <c r="U39" s="4" t="s">
        <v>500</v>
      </c>
      <c r="V39" s="4" t="s">
        <v>501</v>
      </c>
      <c r="W39" s="4" t="s">
        <v>502</v>
      </c>
      <c r="X39" s="4" t="s">
        <v>503</v>
      </c>
      <c r="Y39" s="4" t="s">
        <v>504</v>
      </c>
      <c r="Z39" s="4" t="s">
        <v>505</v>
      </c>
      <c r="AA39" s="4" t="s">
        <v>506</v>
      </c>
      <c r="AB39" s="4" t="s">
        <v>507</v>
      </c>
      <c r="AC39" s="4" t="s">
        <v>508</v>
      </c>
      <c r="AD39" s="4" t="s">
        <v>509</v>
      </c>
      <c r="AE39" s="4" t="s">
        <v>510</v>
      </c>
      <c r="AF39" s="4" t="s">
        <v>511</v>
      </c>
      <c r="AG39" s="4" t="s">
        <v>512</v>
      </c>
      <c r="AH39" s="4" t="s">
        <v>513</v>
      </c>
      <c r="AI39" s="4" t="s">
        <v>514</v>
      </c>
      <c r="AJ39" s="4" t="s">
        <v>515</v>
      </c>
      <c r="AK39" s="4" t="s">
        <v>516</v>
      </c>
      <c r="AL39" s="4" t="s">
        <v>517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/>
    </row>
    <row r="40" spans="1:169" x14ac:dyDescent="0.3">
      <c r="A40" s="2">
        <v>32</v>
      </c>
      <c r="B40" s="5">
        <v>5</v>
      </c>
      <c r="C40" s="6">
        <v>3101095</v>
      </c>
      <c r="D40" s="6" t="s">
        <v>285</v>
      </c>
      <c r="E40" s="6">
        <v>3911010</v>
      </c>
      <c r="F40" s="6">
        <v>3911012</v>
      </c>
      <c r="G40" s="6">
        <v>4911010</v>
      </c>
      <c r="H40" s="6">
        <v>3911013</v>
      </c>
      <c r="I40" s="6">
        <v>51.48</v>
      </c>
      <c r="J40" s="6" t="s">
        <v>194</v>
      </c>
      <c r="K40" s="6" t="s">
        <v>195</v>
      </c>
      <c r="L40" s="7" t="s">
        <v>196</v>
      </c>
      <c r="M40" s="7" t="s">
        <v>172</v>
      </c>
      <c r="N40" s="8" t="s">
        <v>497</v>
      </c>
      <c r="O40" s="5">
        <v>-19385.2</v>
      </c>
      <c r="P40" s="6">
        <v>1060.92</v>
      </c>
      <c r="Q40" s="6">
        <v>465.57400000000001</v>
      </c>
      <c r="R40" s="12">
        <v>20184</v>
      </c>
      <c r="S40" s="4" t="s">
        <v>498</v>
      </c>
      <c r="T40" s="4" t="s">
        <v>499</v>
      </c>
      <c r="U40" s="4" t="s">
        <v>500</v>
      </c>
      <c r="V40" s="4" t="s">
        <v>501</v>
      </c>
      <c r="W40" s="4" t="s">
        <v>502</v>
      </c>
      <c r="X40" s="4" t="s">
        <v>503</v>
      </c>
      <c r="Y40" s="4" t="s">
        <v>504</v>
      </c>
      <c r="Z40" s="4" t="s">
        <v>505</v>
      </c>
      <c r="AA40" s="4" t="s">
        <v>506</v>
      </c>
      <c r="AB40" s="4" t="s">
        <v>507</v>
      </c>
      <c r="AC40" s="4" t="s">
        <v>508</v>
      </c>
      <c r="AD40" s="4" t="s">
        <v>509</v>
      </c>
      <c r="AE40" s="4" t="s">
        <v>510</v>
      </c>
      <c r="AF40" s="4" t="s">
        <v>511</v>
      </c>
      <c r="AG40" s="4" t="s">
        <v>512</v>
      </c>
      <c r="AH40" s="4" t="s">
        <v>513</v>
      </c>
      <c r="AI40" s="4" t="s">
        <v>514</v>
      </c>
      <c r="AJ40" s="4" t="s">
        <v>515</v>
      </c>
      <c r="AK40" s="4" t="s">
        <v>516</v>
      </c>
      <c r="AL40" s="4" t="s">
        <v>517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/>
    </row>
    <row r="41" spans="1:169" x14ac:dyDescent="0.3">
      <c r="A41" s="2">
        <v>33</v>
      </c>
      <c r="B41" s="5">
        <v>5</v>
      </c>
      <c r="C41" s="6">
        <v>4100254</v>
      </c>
      <c r="D41" s="6" t="s">
        <v>307</v>
      </c>
      <c r="E41" s="6">
        <v>4911010</v>
      </c>
      <c r="F41" s="6">
        <v>4911010</v>
      </c>
      <c r="G41" s="6">
        <v>0</v>
      </c>
      <c r="H41" s="6">
        <v>0</v>
      </c>
      <c r="I41" s="6">
        <v>57.914999999999999</v>
      </c>
      <c r="J41" s="6" t="s">
        <v>169</v>
      </c>
      <c r="K41" s="6" t="s">
        <v>170</v>
      </c>
      <c r="L41" s="7" t="s">
        <v>171</v>
      </c>
      <c r="M41" s="7" t="s">
        <v>172</v>
      </c>
      <c r="N41" s="8" t="s">
        <v>518</v>
      </c>
      <c r="O41" s="5">
        <v>33366.300000000003</v>
      </c>
      <c r="P41" s="6">
        <v>-12544.4</v>
      </c>
      <c r="Q41" s="6">
        <v>-2991.22</v>
      </c>
      <c r="R41" s="12">
        <v>33471.199999999997</v>
      </c>
      <c r="S41" s="4" t="s">
        <v>519</v>
      </c>
      <c r="T41" s="4" t="s">
        <v>520</v>
      </c>
      <c r="U41" s="4" t="s">
        <v>521</v>
      </c>
      <c r="V41" s="4" t="s">
        <v>522</v>
      </c>
      <c r="W41" s="4" t="s">
        <v>523</v>
      </c>
      <c r="X41" s="4" t="s">
        <v>524</v>
      </c>
      <c r="Y41" s="4" t="s">
        <v>525</v>
      </c>
      <c r="Z41" s="4" t="s">
        <v>526</v>
      </c>
      <c r="AA41" s="4" t="s">
        <v>527</v>
      </c>
      <c r="AB41" s="4" t="s">
        <v>528</v>
      </c>
      <c r="AC41" s="4" t="s">
        <v>529</v>
      </c>
      <c r="AD41" s="4" t="s">
        <v>530</v>
      </c>
      <c r="AE41" s="4" t="s">
        <v>531</v>
      </c>
      <c r="AF41" s="4" t="s">
        <v>532</v>
      </c>
      <c r="AG41" s="4" t="s">
        <v>533</v>
      </c>
      <c r="AH41" s="4" t="s">
        <v>534</v>
      </c>
      <c r="AI41" s="4" t="s">
        <v>535</v>
      </c>
      <c r="AJ41" s="4" t="s">
        <v>536</v>
      </c>
      <c r="AK41" s="4" t="s">
        <v>537</v>
      </c>
      <c r="AL41" s="4" t="s">
        <v>538</v>
      </c>
      <c r="AM41" s="3">
        <v>232.505</v>
      </c>
      <c r="AN41" s="3">
        <v>180.27699999999999</v>
      </c>
      <c r="AO41" s="3">
        <v>169.14099999999999</v>
      </c>
      <c r="AP41" s="3">
        <v>163.47999999999999</v>
      </c>
      <c r="AQ41" s="3">
        <v>116.25</v>
      </c>
      <c r="AR41" s="3">
        <v>58.317100000000003</v>
      </c>
      <c r="AS41" s="3">
        <v>0.81307700000000005</v>
      </c>
      <c r="AT41" s="3">
        <v>-45.6449</v>
      </c>
      <c r="AU41" s="3">
        <v>-46.913400000000003</v>
      </c>
      <c r="AV41" s="3">
        <v>11.945600000000001</v>
      </c>
      <c r="AW41" s="3">
        <v>59.526499999999999</v>
      </c>
      <c r="AX41" s="3">
        <v>101.482</v>
      </c>
      <c r="AY41" s="3">
        <v>152.24</v>
      </c>
      <c r="AZ41" s="3">
        <v>192.81</v>
      </c>
      <c r="BA41" s="3">
        <v>262.39800000000002</v>
      </c>
      <c r="BB41" s="3">
        <v>338.71100000000001</v>
      </c>
      <c r="BC41" s="3">
        <v>321.87099999999998</v>
      </c>
      <c r="BD41" s="3">
        <v>276.20100000000002</v>
      </c>
      <c r="BE41" s="3">
        <v>239.85900000000001</v>
      </c>
      <c r="BF41" s="3">
        <v>228.29</v>
      </c>
      <c r="BG41" s="3">
        <v>23.4602</v>
      </c>
      <c r="BH41" s="3">
        <v>19.291499999999999</v>
      </c>
      <c r="BI41" s="3">
        <v>-5.4222400000000004</v>
      </c>
      <c r="BJ41" s="3">
        <v>-23.779199999999999</v>
      </c>
      <c r="BK41" s="3">
        <v>3.86226</v>
      </c>
      <c r="BL41" s="3">
        <v>87.618099999999998</v>
      </c>
      <c r="BM41" s="3">
        <v>133.99700000000001</v>
      </c>
      <c r="BN41" s="3">
        <v>154.637</v>
      </c>
      <c r="BO41" s="3">
        <v>125.69</v>
      </c>
      <c r="BP41" s="3">
        <v>72.727999999999994</v>
      </c>
      <c r="BQ41" s="3">
        <v>26.101400000000002</v>
      </c>
      <c r="BR41" s="3">
        <v>29.2194</v>
      </c>
      <c r="BS41" s="3">
        <v>70.905100000000004</v>
      </c>
      <c r="BT41" s="3">
        <v>131.74199999999999</v>
      </c>
      <c r="BU41" s="3">
        <v>117.645</v>
      </c>
      <c r="BV41" s="3">
        <v>59.002400000000002</v>
      </c>
      <c r="BW41" s="3">
        <v>37.742100000000001</v>
      </c>
      <c r="BX41" s="3">
        <v>15.7073</v>
      </c>
      <c r="BY41" s="3">
        <v>2.6277599999999999</v>
      </c>
      <c r="BZ41" s="3">
        <v>11.324999999999999</v>
      </c>
      <c r="CA41" s="3">
        <v>31.771000000000001</v>
      </c>
      <c r="CB41" s="3">
        <v>5.6700400000000002</v>
      </c>
      <c r="CC41" s="3">
        <v>-3.3786299999999998</v>
      </c>
      <c r="CD41" s="3">
        <v>30.488099999999999</v>
      </c>
      <c r="CE41" s="3">
        <v>107.13800000000001</v>
      </c>
      <c r="CF41" s="3">
        <v>135.48599999999999</v>
      </c>
      <c r="CG41" s="3">
        <v>91.665000000000006</v>
      </c>
      <c r="CH41" s="3">
        <v>33.347799999999999</v>
      </c>
      <c r="CI41" s="3">
        <v>-41.831200000000003</v>
      </c>
      <c r="CJ41" s="3">
        <v>-62.043300000000002</v>
      </c>
      <c r="CK41" s="3">
        <v>-37.094299999999997</v>
      </c>
      <c r="CL41" s="3">
        <v>-75.119</v>
      </c>
      <c r="CM41" s="3">
        <v>-103.85</v>
      </c>
      <c r="CN41" s="3">
        <v>-139.75800000000001</v>
      </c>
      <c r="CO41" s="3">
        <v>-192.833</v>
      </c>
      <c r="CP41" s="3">
        <v>-231.506</v>
      </c>
      <c r="CQ41" s="3">
        <v>-213.52099999999999</v>
      </c>
      <c r="CR41" s="3">
        <v>-129.172</v>
      </c>
      <c r="CS41" s="3">
        <v>-45.726599999999998</v>
      </c>
      <c r="CT41" s="3">
        <v>7.8897000000000004</v>
      </c>
      <c r="CU41" s="3">
        <v>211.76499999999999</v>
      </c>
      <c r="CV41" s="3">
        <v>223.02099999999999</v>
      </c>
      <c r="CW41" s="3">
        <v>177.477</v>
      </c>
      <c r="CX41" s="3">
        <v>72.204099999999997</v>
      </c>
      <c r="CY41" s="3">
        <v>-57.246400000000001</v>
      </c>
      <c r="CZ41" s="3">
        <v>-78.041600000000003</v>
      </c>
      <c r="DA41" s="3">
        <v>-3.3018800000000001</v>
      </c>
      <c r="DB41" s="3">
        <v>71.002499999999998</v>
      </c>
      <c r="DC41" s="3">
        <v>108.661</v>
      </c>
      <c r="DD41" s="3">
        <v>139.06700000000001</v>
      </c>
      <c r="DE41" s="3">
        <v>170.45599999999999</v>
      </c>
      <c r="DF41" s="3">
        <v>420.21600000000001</v>
      </c>
      <c r="DG41" s="3">
        <v>737.23500000000001</v>
      </c>
      <c r="DH41" s="3">
        <v>939.76800000000003</v>
      </c>
      <c r="DI41" s="3">
        <v>769.19100000000003</v>
      </c>
      <c r="DJ41" s="3">
        <v>500.012</v>
      </c>
      <c r="DK41" s="3">
        <v>389.18900000000002</v>
      </c>
      <c r="DL41" s="3">
        <v>265.95100000000002</v>
      </c>
      <c r="DM41" s="3">
        <v>177.89400000000001</v>
      </c>
      <c r="DN41" s="3">
        <v>179.506</v>
      </c>
      <c r="DO41" s="3">
        <v>-6.1172700000000004</v>
      </c>
      <c r="DP41" s="3">
        <v>75.063500000000005</v>
      </c>
      <c r="DQ41" s="3">
        <v>104.01</v>
      </c>
      <c r="DR41" s="3">
        <v>7.6751699999999996</v>
      </c>
      <c r="DS41" s="3">
        <v>-194.702</v>
      </c>
      <c r="DT41" s="3">
        <v>-179.078</v>
      </c>
      <c r="DU41" s="3">
        <v>23.269400000000001</v>
      </c>
      <c r="DV41" s="3">
        <v>263.39999999999998</v>
      </c>
      <c r="DW41" s="3">
        <v>526.33299999999997</v>
      </c>
      <c r="DX41" s="3">
        <v>681.74</v>
      </c>
      <c r="DY41" s="3">
        <v>692.46</v>
      </c>
      <c r="DZ41" s="3">
        <v>823.91200000000003</v>
      </c>
      <c r="EA41" s="3">
        <v>923.32799999999997</v>
      </c>
      <c r="EB41" s="3">
        <v>936.17100000000005</v>
      </c>
      <c r="EC41" s="3">
        <v>890.08799999999997</v>
      </c>
      <c r="ED41" s="3">
        <v>814.34400000000005</v>
      </c>
      <c r="EE41" s="3">
        <v>713.01300000000003</v>
      </c>
      <c r="EF41" s="3">
        <v>489.911</v>
      </c>
      <c r="EG41" s="3">
        <v>266.351</v>
      </c>
      <c r="EH41" s="3">
        <v>101.61</v>
      </c>
      <c r="EI41" s="3">
        <v>-116.545</v>
      </c>
      <c r="EJ41" s="3">
        <v>-37.691200000000002</v>
      </c>
      <c r="EK41" s="3">
        <v>-17.376899999999999</v>
      </c>
      <c r="EL41" s="3">
        <v>-30.694299999999998</v>
      </c>
      <c r="EM41" s="3">
        <v>-36.998199999999997</v>
      </c>
      <c r="EN41" s="3">
        <v>-37.162199999999999</v>
      </c>
      <c r="EO41" s="3">
        <v>60.113199999999999</v>
      </c>
      <c r="EP41" s="3">
        <v>142.94999999999999</v>
      </c>
      <c r="EQ41" s="3">
        <v>191.87200000000001</v>
      </c>
      <c r="ER41" s="3">
        <v>115.9</v>
      </c>
      <c r="ES41" s="3">
        <v>47.808900000000001</v>
      </c>
      <c r="ET41" s="3">
        <v>-30.212700000000002</v>
      </c>
      <c r="EU41" s="3">
        <v>-117.633</v>
      </c>
      <c r="EV41" s="3">
        <v>-98.979399999999998</v>
      </c>
      <c r="EW41" s="3">
        <v>-50.081499999999998</v>
      </c>
      <c r="EX41" s="3">
        <v>-28.486999999999998</v>
      </c>
      <c r="EY41" s="3">
        <v>-21.063700000000001</v>
      </c>
      <c r="EZ41" s="3">
        <v>-100.366</v>
      </c>
      <c r="FA41" s="3">
        <v>-160.358</v>
      </c>
      <c r="FB41" s="3">
        <v>-153.36699999999999</v>
      </c>
      <c r="FC41" s="3">
        <v>6.3406599999999997</v>
      </c>
      <c r="FD41" s="3">
        <v>272.90600000000001</v>
      </c>
      <c r="FE41" s="3">
        <v>17.505099999999999</v>
      </c>
      <c r="FF41" s="3">
        <v>72.4358</v>
      </c>
      <c r="FG41" s="3">
        <v>19.921700000000001</v>
      </c>
      <c r="FH41" s="3">
        <v>-130.02699999999999</v>
      </c>
      <c r="FI41" s="3">
        <v>-177.68</v>
      </c>
      <c r="FJ41" s="3">
        <v>-407.26299999999998</v>
      </c>
      <c r="FK41" s="3">
        <v>25.531500000000001</v>
      </c>
      <c r="FL41" s="3">
        <v>0</v>
      </c>
      <c r="FM41" s="3"/>
    </row>
    <row r="42" spans="1:169" x14ac:dyDescent="0.3">
      <c r="A42" s="2">
        <v>34</v>
      </c>
      <c r="B42" s="5">
        <v>5</v>
      </c>
      <c r="C42" s="6">
        <v>4100254</v>
      </c>
      <c r="D42" s="6" t="s">
        <v>307</v>
      </c>
      <c r="E42" s="6">
        <v>4911010</v>
      </c>
      <c r="F42" s="6">
        <v>4911010</v>
      </c>
      <c r="G42" s="6">
        <v>0</v>
      </c>
      <c r="H42" s="6">
        <v>0</v>
      </c>
      <c r="I42" s="6">
        <v>57.914999999999999</v>
      </c>
      <c r="J42" s="6" t="s">
        <v>194</v>
      </c>
      <c r="K42" s="6" t="s">
        <v>195</v>
      </c>
      <c r="L42" s="7" t="s">
        <v>196</v>
      </c>
      <c r="M42" s="7" t="s">
        <v>172</v>
      </c>
      <c r="N42" s="8" t="s">
        <v>518</v>
      </c>
      <c r="O42" s="5">
        <v>-33342.199999999997</v>
      </c>
      <c r="P42" s="6">
        <v>12142.1</v>
      </c>
      <c r="Q42" s="6">
        <v>2845.94</v>
      </c>
      <c r="R42" s="12">
        <v>20184</v>
      </c>
      <c r="S42" s="4" t="s">
        <v>519</v>
      </c>
      <c r="T42" s="4" t="s">
        <v>520</v>
      </c>
      <c r="U42" s="4" t="s">
        <v>521</v>
      </c>
      <c r="V42" s="4" t="s">
        <v>522</v>
      </c>
      <c r="W42" s="4" t="s">
        <v>523</v>
      </c>
      <c r="X42" s="4" t="s">
        <v>524</v>
      </c>
      <c r="Y42" s="4" t="s">
        <v>525</v>
      </c>
      <c r="Z42" s="4" t="s">
        <v>526</v>
      </c>
      <c r="AA42" s="4" t="s">
        <v>527</v>
      </c>
      <c r="AB42" s="4" t="s">
        <v>528</v>
      </c>
      <c r="AC42" s="4" t="s">
        <v>529</v>
      </c>
      <c r="AD42" s="4" t="s">
        <v>530</v>
      </c>
      <c r="AE42" s="4" t="s">
        <v>531</v>
      </c>
      <c r="AF42" s="4" t="s">
        <v>532</v>
      </c>
      <c r="AG42" s="4" t="s">
        <v>533</v>
      </c>
      <c r="AH42" s="4" t="s">
        <v>534</v>
      </c>
      <c r="AI42" s="4" t="s">
        <v>535</v>
      </c>
      <c r="AJ42" s="4" t="s">
        <v>536</v>
      </c>
      <c r="AK42" s="4" t="s">
        <v>537</v>
      </c>
      <c r="AL42" s="4" t="s">
        <v>538</v>
      </c>
      <c r="AM42" s="3">
        <v>-233.85300000000001</v>
      </c>
      <c r="AN42" s="3">
        <v>-180.48</v>
      </c>
      <c r="AO42" s="3">
        <v>-168.41499999999999</v>
      </c>
      <c r="AP42" s="3">
        <v>-162.39699999999999</v>
      </c>
      <c r="AQ42" s="3">
        <v>-115.565</v>
      </c>
      <c r="AR42" s="3">
        <v>-58.093200000000003</v>
      </c>
      <c r="AS42" s="3">
        <v>-0.75947600000000004</v>
      </c>
      <c r="AT42" s="3">
        <v>45.734699999999997</v>
      </c>
      <c r="AU42" s="3">
        <v>47.567399999999999</v>
      </c>
      <c r="AV42" s="3">
        <v>-10.8261</v>
      </c>
      <c r="AW42" s="3">
        <v>-58.476999999999997</v>
      </c>
      <c r="AX42" s="3">
        <v>-100.208</v>
      </c>
      <c r="AY42" s="3">
        <v>-150.87899999999999</v>
      </c>
      <c r="AZ42" s="3">
        <v>-191.03299999999999</v>
      </c>
      <c r="BA42" s="3">
        <v>-259.27100000000002</v>
      </c>
      <c r="BB42" s="3">
        <v>-334.33499999999998</v>
      </c>
      <c r="BC42" s="3">
        <v>-318.54199999999997</v>
      </c>
      <c r="BD42" s="3">
        <v>-274.10399999999998</v>
      </c>
      <c r="BE42" s="3">
        <v>-239.17699999999999</v>
      </c>
      <c r="BF42" s="3">
        <v>-228.958</v>
      </c>
      <c r="BG42" s="3">
        <v>-23.542200000000001</v>
      </c>
      <c r="BH42" s="3">
        <v>-19.514800000000001</v>
      </c>
      <c r="BI42" s="3">
        <v>5.0427099999999996</v>
      </c>
      <c r="BJ42" s="3">
        <v>23.420500000000001</v>
      </c>
      <c r="BK42" s="3">
        <v>-3.7915199999999998</v>
      </c>
      <c r="BL42" s="3">
        <v>-86.796800000000005</v>
      </c>
      <c r="BM42" s="3">
        <v>-132.75399999999999</v>
      </c>
      <c r="BN42" s="3">
        <v>-153.15600000000001</v>
      </c>
      <c r="BO42" s="3">
        <v>-124.00700000000001</v>
      </c>
      <c r="BP42" s="3">
        <v>-70.666499999999999</v>
      </c>
      <c r="BQ42" s="3">
        <v>-23.7027</v>
      </c>
      <c r="BR42" s="3">
        <v>-25.845800000000001</v>
      </c>
      <c r="BS42" s="3">
        <v>-66.506799999999998</v>
      </c>
      <c r="BT42" s="3">
        <v>-126.764</v>
      </c>
      <c r="BU42" s="3">
        <v>-113.002</v>
      </c>
      <c r="BV42" s="3">
        <v>-55.258499999999998</v>
      </c>
      <c r="BW42" s="3">
        <v>-35.406700000000001</v>
      </c>
      <c r="BX42" s="3">
        <v>-14.5281</v>
      </c>
      <c r="BY42" s="3">
        <v>-2.1936200000000001</v>
      </c>
      <c r="BZ42" s="3">
        <v>-11.1358</v>
      </c>
      <c r="CA42" s="3">
        <v>-33.197699999999998</v>
      </c>
      <c r="CB42" s="3">
        <v>-6.6813700000000003</v>
      </c>
      <c r="CC42" s="3">
        <v>2.84029</v>
      </c>
      <c r="CD42" s="3">
        <v>-30.3948</v>
      </c>
      <c r="CE42" s="3">
        <v>-106.318</v>
      </c>
      <c r="CF42" s="3">
        <v>-134.517</v>
      </c>
      <c r="CG42" s="3">
        <v>-91.082800000000006</v>
      </c>
      <c r="CH42" s="3">
        <v>-33.034399999999998</v>
      </c>
      <c r="CI42" s="3">
        <v>42.3414</v>
      </c>
      <c r="CJ42" s="3">
        <v>63.035600000000002</v>
      </c>
      <c r="CK42" s="3">
        <v>38.557200000000002</v>
      </c>
      <c r="CL42" s="3">
        <v>76.311400000000006</v>
      </c>
      <c r="CM42" s="3">
        <v>104.319</v>
      </c>
      <c r="CN42" s="3">
        <v>139.38499999999999</v>
      </c>
      <c r="CO42" s="3">
        <v>192.48400000000001</v>
      </c>
      <c r="CP42" s="3">
        <v>231.524</v>
      </c>
      <c r="CQ42" s="3">
        <v>213.084</v>
      </c>
      <c r="CR42" s="3">
        <v>128.512</v>
      </c>
      <c r="CS42" s="3">
        <v>44.842799999999997</v>
      </c>
      <c r="CT42" s="3">
        <v>-9.0929000000000002</v>
      </c>
      <c r="CU42" s="3">
        <v>-213.04499999999999</v>
      </c>
      <c r="CV42" s="3">
        <v>-224.03800000000001</v>
      </c>
      <c r="CW42" s="3">
        <v>-177.619</v>
      </c>
      <c r="CX42" s="3">
        <v>-70.036000000000001</v>
      </c>
      <c r="CY42" s="3">
        <v>62.954999999999998</v>
      </c>
      <c r="CZ42" s="3">
        <v>85.005399999999995</v>
      </c>
      <c r="DA42" s="3">
        <v>10.885999999999999</v>
      </c>
      <c r="DB42" s="3">
        <v>-63.604799999999997</v>
      </c>
      <c r="DC42" s="3">
        <v>-101.20099999999999</v>
      </c>
      <c r="DD42" s="3">
        <v>-131.27699999999999</v>
      </c>
      <c r="DE42" s="3">
        <v>-163.30000000000001</v>
      </c>
      <c r="DF42" s="3">
        <v>-416.34399999999999</v>
      </c>
      <c r="DG42" s="3">
        <v>-740.8</v>
      </c>
      <c r="DH42" s="3">
        <v>-952.80200000000002</v>
      </c>
      <c r="DI42" s="3">
        <v>-782.85900000000004</v>
      </c>
      <c r="DJ42" s="3">
        <v>-510.29899999999998</v>
      </c>
      <c r="DK42" s="3">
        <v>-395.30500000000001</v>
      </c>
      <c r="DL42" s="3">
        <v>-269.34300000000002</v>
      </c>
      <c r="DM42" s="3">
        <v>-179.49</v>
      </c>
      <c r="DN42" s="3">
        <v>-180.423</v>
      </c>
      <c r="DO42" s="3">
        <v>6.8324499999999997</v>
      </c>
      <c r="DP42" s="3">
        <v>-73.047200000000004</v>
      </c>
      <c r="DQ42" s="3">
        <v>-101.818</v>
      </c>
      <c r="DR42" s="3">
        <v>-5.6060699999999999</v>
      </c>
      <c r="DS42" s="3">
        <v>197.881</v>
      </c>
      <c r="DT42" s="3">
        <v>185.56899999999999</v>
      </c>
      <c r="DU42" s="3">
        <v>-12.2363</v>
      </c>
      <c r="DV42" s="3">
        <v>-249.27600000000001</v>
      </c>
      <c r="DW42" s="3">
        <v>-511.40800000000002</v>
      </c>
      <c r="DX42" s="3">
        <v>-671.71299999999997</v>
      </c>
      <c r="DY42" s="3">
        <v>-692.89</v>
      </c>
      <c r="DZ42" s="3">
        <v>-825.54200000000003</v>
      </c>
      <c r="EA42" s="3">
        <v>-929.79200000000003</v>
      </c>
      <c r="EB42" s="3">
        <v>-947.85</v>
      </c>
      <c r="EC42" s="3">
        <v>-902.27700000000004</v>
      </c>
      <c r="ED42" s="3">
        <v>-827.17600000000004</v>
      </c>
      <c r="EE42" s="3">
        <v>-715.87800000000004</v>
      </c>
      <c r="EF42" s="3">
        <v>-488.64499999999998</v>
      </c>
      <c r="EG42" s="3">
        <v>-263.86399999999998</v>
      </c>
      <c r="EH42" s="3">
        <v>-99.783100000000005</v>
      </c>
      <c r="EI42" s="3">
        <v>122.30200000000001</v>
      </c>
      <c r="EJ42" s="3">
        <v>42.163499999999999</v>
      </c>
      <c r="EK42" s="3">
        <v>20.4315</v>
      </c>
      <c r="EL42" s="3">
        <v>33.644399999999997</v>
      </c>
      <c r="EM42" s="3">
        <v>42.125399999999999</v>
      </c>
      <c r="EN42" s="3">
        <v>44.239199999999997</v>
      </c>
      <c r="EO42" s="3">
        <v>-51.807400000000001</v>
      </c>
      <c r="EP42" s="3">
        <v>-135.11699999999999</v>
      </c>
      <c r="EQ42" s="3">
        <v>-187.87</v>
      </c>
      <c r="ER42" s="3">
        <v>-115.139</v>
      </c>
      <c r="ES42" s="3">
        <v>-49.387500000000003</v>
      </c>
      <c r="ET42" s="3">
        <v>25.7898</v>
      </c>
      <c r="EU42" s="3">
        <v>116.806</v>
      </c>
      <c r="EV42" s="3">
        <v>108.78700000000001</v>
      </c>
      <c r="EW42" s="3">
        <v>69.147199999999998</v>
      </c>
      <c r="EX42" s="3">
        <v>49.279400000000003</v>
      </c>
      <c r="EY42" s="3">
        <v>35.167499999999997</v>
      </c>
      <c r="EZ42" s="3">
        <v>109.423</v>
      </c>
      <c r="FA42" s="3">
        <v>166.22900000000001</v>
      </c>
      <c r="FB42" s="3">
        <v>158.55699999999999</v>
      </c>
      <c r="FC42" s="3">
        <v>-5.8089500000000003</v>
      </c>
      <c r="FD42" s="3">
        <v>-271.495</v>
      </c>
      <c r="FE42" s="3">
        <v>-17.5304</v>
      </c>
      <c r="FF42" s="3">
        <v>-68.513400000000004</v>
      </c>
      <c r="FG42" s="3">
        <v>-19.116700000000002</v>
      </c>
      <c r="FH42" s="3">
        <v>130.43</v>
      </c>
      <c r="FI42" s="3">
        <v>175.95</v>
      </c>
      <c r="FJ42" s="3">
        <v>409.64299999999997</v>
      </c>
      <c r="FK42" s="3">
        <v>-32.133499999999998</v>
      </c>
      <c r="FL42" s="3">
        <v>0</v>
      </c>
      <c r="FM42" s="3"/>
    </row>
    <row r="43" spans="1:169" x14ac:dyDescent="0.3">
      <c r="A43" s="2">
        <v>35</v>
      </c>
      <c r="B43" s="5">
        <v>6</v>
      </c>
      <c r="C43" s="6">
        <v>4100164</v>
      </c>
      <c r="D43" s="6" t="s">
        <v>307</v>
      </c>
      <c r="E43" s="6">
        <v>4916010</v>
      </c>
      <c r="F43" s="6">
        <v>4916010</v>
      </c>
      <c r="G43" s="6">
        <v>0</v>
      </c>
      <c r="H43" s="6">
        <v>0</v>
      </c>
      <c r="I43" s="6">
        <v>57.914999999999999</v>
      </c>
      <c r="J43" s="6" t="s">
        <v>169</v>
      </c>
      <c r="K43" s="6" t="s">
        <v>170</v>
      </c>
      <c r="L43" s="7" t="s">
        <v>171</v>
      </c>
      <c r="M43" s="7" t="s">
        <v>172</v>
      </c>
      <c r="N43" s="8" t="s">
        <v>539</v>
      </c>
      <c r="O43" s="5">
        <v>34044</v>
      </c>
      <c r="P43" s="6">
        <v>-8867.91</v>
      </c>
      <c r="Q43" s="6">
        <v>-7692.11</v>
      </c>
      <c r="R43" s="12">
        <v>34305.199999999997</v>
      </c>
      <c r="S43" s="4" t="s">
        <v>540</v>
      </c>
      <c r="T43" s="4" t="s">
        <v>541</v>
      </c>
      <c r="U43" s="4" t="s">
        <v>542</v>
      </c>
      <c r="V43" s="4" t="s">
        <v>543</v>
      </c>
      <c r="W43" s="4" t="s">
        <v>544</v>
      </c>
      <c r="X43" s="4" t="s">
        <v>545</v>
      </c>
      <c r="Y43" s="4" t="s">
        <v>546</v>
      </c>
      <c r="Z43" s="4" t="s">
        <v>547</v>
      </c>
      <c r="AA43" s="4" t="s">
        <v>548</v>
      </c>
      <c r="AB43" s="4" t="s">
        <v>549</v>
      </c>
      <c r="AC43" s="4" t="s">
        <v>550</v>
      </c>
      <c r="AD43" s="4" t="s">
        <v>551</v>
      </c>
      <c r="AE43" s="4" t="s">
        <v>552</v>
      </c>
      <c r="AF43" s="4" t="s">
        <v>553</v>
      </c>
      <c r="AG43" s="4" t="s">
        <v>554</v>
      </c>
      <c r="AH43" s="4" t="s">
        <v>555</v>
      </c>
      <c r="AI43" s="4" t="s">
        <v>556</v>
      </c>
      <c r="AJ43" s="4" t="s">
        <v>557</v>
      </c>
      <c r="AK43" s="4" t="s">
        <v>558</v>
      </c>
      <c r="AL43" s="4" t="s">
        <v>559</v>
      </c>
      <c r="AM43" s="3">
        <v>610.83000000000004</v>
      </c>
      <c r="AN43" s="3">
        <v>583.64599999999996</v>
      </c>
      <c r="AO43" s="3">
        <v>557.76499999999999</v>
      </c>
      <c r="AP43" s="3">
        <v>510.76100000000002</v>
      </c>
      <c r="AQ43" s="3">
        <v>444.065</v>
      </c>
      <c r="AR43" s="3">
        <v>364.18599999999998</v>
      </c>
      <c r="AS43" s="3">
        <v>331.75</v>
      </c>
      <c r="AT43" s="3">
        <v>313.69099999999997</v>
      </c>
      <c r="AU43" s="3">
        <v>310.74900000000002</v>
      </c>
      <c r="AV43" s="3">
        <v>320.916</v>
      </c>
      <c r="AW43" s="3">
        <v>334.42200000000003</v>
      </c>
      <c r="AX43" s="3">
        <v>389.13499999999999</v>
      </c>
      <c r="AY43" s="3">
        <v>452.34100000000001</v>
      </c>
      <c r="AZ43" s="3">
        <v>506.95499999999998</v>
      </c>
      <c r="BA43" s="3">
        <v>558.99800000000005</v>
      </c>
      <c r="BB43" s="3">
        <v>623.84299999999996</v>
      </c>
      <c r="BC43" s="3">
        <v>583.72500000000002</v>
      </c>
      <c r="BD43" s="3">
        <v>566.54499999999996</v>
      </c>
      <c r="BE43" s="3">
        <v>575.36199999999997</v>
      </c>
      <c r="BF43" s="3">
        <v>594.49</v>
      </c>
      <c r="BG43" s="3">
        <v>86.431799999999996</v>
      </c>
      <c r="BH43" s="3">
        <v>63.724400000000003</v>
      </c>
      <c r="BI43" s="3">
        <v>-7.4684900000000001</v>
      </c>
      <c r="BJ43" s="3">
        <v>-67.192099999999996</v>
      </c>
      <c r="BK43" s="3">
        <v>-76.338399999999993</v>
      </c>
      <c r="BL43" s="3">
        <v>-24.886700000000001</v>
      </c>
      <c r="BM43" s="3">
        <v>-15.8087</v>
      </c>
      <c r="BN43" s="3">
        <v>-13.448399999999999</v>
      </c>
      <c r="BO43" s="3">
        <v>-38.764899999999997</v>
      </c>
      <c r="BP43" s="3">
        <v>-99.451800000000006</v>
      </c>
      <c r="BQ43" s="3">
        <v>-139.82499999999999</v>
      </c>
      <c r="BR43" s="3">
        <v>-99.736199999999997</v>
      </c>
      <c r="BS43" s="3">
        <v>-11.827500000000001</v>
      </c>
      <c r="BT43" s="3">
        <v>83.299400000000006</v>
      </c>
      <c r="BU43" s="3">
        <v>60.089599999999997</v>
      </c>
      <c r="BV43" s="3">
        <v>-16.488900000000001</v>
      </c>
      <c r="BW43" s="3">
        <v>-46.7746</v>
      </c>
      <c r="BX43" s="3">
        <v>-53.3446</v>
      </c>
      <c r="BY43" s="3">
        <v>-10.176399999999999</v>
      </c>
      <c r="BZ43" s="3">
        <v>51.319299999999998</v>
      </c>
      <c r="CA43" s="3">
        <v>-232.85</v>
      </c>
      <c r="CB43" s="3">
        <v>-230.66499999999999</v>
      </c>
      <c r="CC43" s="3">
        <v>-234.89</v>
      </c>
      <c r="CD43" s="3">
        <v>-210.548</v>
      </c>
      <c r="CE43" s="3">
        <v>-182.17599999999999</v>
      </c>
      <c r="CF43" s="3">
        <v>-158.37899999999999</v>
      </c>
      <c r="CG43" s="3">
        <v>-151.124</v>
      </c>
      <c r="CH43" s="3">
        <v>-217.84700000000001</v>
      </c>
      <c r="CI43" s="3">
        <v>-311.66000000000003</v>
      </c>
      <c r="CJ43" s="3">
        <v>-392.66</v>
      </c>
      <c r="CK43" s="3">
        <v>-419.279</v>
      </c>
      <c r="CL43" s="3">
        <v>-351.84100000000001</v>
      </c>
      <c r="CM43" s="3">
        <v>-318.29000000000002</v>
      </c>
      <c r="CN43" s="3">
        <v>-337.34300000000002</v>
      </c>
      <c r="CO43" s="3">
        <v>-472.71100000000001</v>
      </c>
      <c r="CP43" s="3">
        <v>-511.036</v>
      </c>
      <c r="CQ43" s="3">
        <v>-449.14</v>
      </c>
      <c r="CR43" s="3">
        <v>-371.99</v>
      </c>
      <c r="CS43" s="3">
        <v>-303.76799999999997</v>
      </c>
      <c r="CT43" s="3">
        <v>-251.262</v>
      </c>
      <c r="CU43" s="3">
        <v>183.47399999999999</v>
      </c>
      <c r="CV43" s="3">
        <v>412.21</v>
      </c>
      <c r="CW43" s="3">
        <v>323.952</v>
      </c>
      <c r="CX43" s="3">
        <v>110.93600000000001</v>
      </c>
      <c r="CY43" s="3">
        <v>6.5191400000000002</v>
      </c>
      <c r="CZ43" s="3">
        <v>100.123</v>
      </c>
      <c r="DA43" s="3">
        <v>-11.0281</v>
      </c>
      <c r="DB43" s="3">
        <v>-125.08499999999999</v>
      </c>
      <c r="DC43" s="3">
        <v>-278.44099999999997</v>
      </c>
      <c r="DD43" s="3">
        <v>-493.23599999999999</v>
      </c>
      <c r="DE43" s="3">
        <v>-622.67100000000005</v>
      </c>
      <c r="DF43" s="3">
        <v>-429.02600000000001</v>
      </c>
      <c r="DG43" s="3">
        <v>-292.59800000000001</v>
      </c>
      <c r="DH43" s="3">
        <v>-268.36099999999999</v>
      </c>
      <c r="DI43" s="3">
        <v>-346.37200000000001</v>
      </c>
      <c r="DJ43" s="3">
        <v>-331.19499999999999</v>
      </c>
      <c r="DK43" s="3">
        <v>-301.42899999999997</v>
      </c>
      <c r="DL43" s="3">
        <v>-209.50800000000001</v>
      </c>
      <c r="DM43" s="3">
        <v>-66.315700000000007</v>
      </c>
      <c r="DN43" s="3">
        <v>86.6006</v>
      </c>
      <c r="DO43" s="3">
        <v>23.581</v>
      </c>
      <c r="DP43" s="3">
        <v>229.61</v>
      </c>
      <c r="DQ43" s="3">
        <v>341.27600000000001</v>
      </c>
      <c r="DR43" s="3">
        <v>376.19299999999998</v>
      </c>
      <c r="DS43" s="3">
        <v>422.96199999999999</v>
      </c>
      <c r="DT43" s="3">
        <v>515.27800000000002</v>
      </c>
      <c r="DU43" s="3">
        <v>351.10899999999998</v>
      </c>
      <c r="DV43" s="3">
        <v>115.843</v>
      </c>
      <c r="DW43" s="3">
        <v>-210.43299999999999</v>
      </c>
      <c r="DX43" s="3">
        <v>-625.89099999999996</v>
      </c>
      <c r="DY43" s="3">
        <v>-867.80399999999997</v>
      </c>
      <c r="DZ43" s="3">
        <v>-689.27800000000002</v>
      </c>
      <c r="EA43" s="3">
        <v>-719.86400000000003</v>
      </c>
      <c r="EB43" s="3">
        <v>-928.88599999999997</v>
      </c>
      <c r="EC43" s="3">
        <v>-916.49300000000005</v>
      </c>
      <c r="ED43" s="3">
        <v>-659.74900000000002</v>
      </c>
      <c r="EE43" s="3">
        <v>-427.363</v>
      </c>
      <c r="EF43" s="3">
        <v>-136.19800000000001</v>
      </c>
      <c r="EG43" s="3">
        <v>-12.289400000000001</v>
      </c>
      <c r="EH43" s="3">
        <v>6.7391100000000002</v>
      </c>
      <c r="EI43" s="3">
        <v>-79.882800000000003</v>
      </c>
      <c r="EJ43" s="3">
        <v>36.268500000000003</v>
      </c>
      <c r="EK43" s="3">
        <v>150.899</v>
      </c>
      <c r="EL43" s="3">
        <v>150.50800000000001</v>
      </c>
      <c r="EM43" s="3">
        <v>57.222000000000001</v>
      </c>
      <c r="EN43" s="3">
        <v>-100.91500000000001</v>
      </c>
      <c r="EO43" s="3">
        <v>-10.9887</v>
      </c>
      <c r="EP43" s="3">
        <v>174.11099999999999</v>
      </c>
      <c r="EQ43" s="3">
        <v>330.60500000000002</v>
      </c>
      <c r="ER43" s="3">
        <v>377.31700000000001</v>
      </c>
      <c r="ES43" s="3">
        <v>311.80200000000002</v>
      </c>
      <c r="ET43" s="3">
        <v>20.041599999999999</v>
      </c>
      <c r="EU43" s="3">
        <v>-90.241900000000001</v>
      </c>
      <c r="EV43" s="3">
        <v>26.569400000000002</v>
      </c>
      <c r="EW43" s="3">
        <v>403.83</v>
      </c>
      <c r="EX43" s="3">
        <v>454.36399999999998</v>
      </c>
      <c r="EY43" s="3">
        <v>457.62099999999998</v>
      </c>
      <c r="EZ43" s="3">
        <v>343.28</v>
      </c>
      <c r="FA43" s="3">
        <v>171.601</v>
      </c>
      <c r="FB43" s="3">
        <v>-6.1138700000000004</v>
      </c>
      <c r="FC43" s="3">
        <v>329.286</v>
      </c>
      <c r="FD43" s="3">
        <v>592.46600000000001</v>
      </c>
      <c r="FE43" s="3">
        <v>-4.2882300000000004</v>
      </c>
      <c r="FF43" s="3">
        <v>-20.748100000000001</v>
      </c>
      <c r="FG43" s="3">
        <v>-208.251</v>
      </c>
      <c r="FH43" s="3">
        <v>-401.75</v>
      </c>
      <c r="FI43" s="3">
        <v>172.393</v>
      </c>
      <c r="FJ43" s="3">
        <v>239.43100000000001</v>
      </c>
      <c r="FK43" s="3">
        <v>-156.803</v>
      </c>
      <c r="FL43" s="3">
        <v>0</v>
      </c>
      <c r="FM43" s="3" t="s">
        <v>560</v>
      </c>
    </row>
    <row r="44" spans="1:169" x14ac:dyDescent="0.3">
      <c r="A44" s="2">
        <v>36</v>
      </c>
      <c r="B44" s="5">
        <v>6</v>
      </c>
      <c r="C44" s="6">
        <v>4100164</v>
      </c>
      <c r="D44" s="6" t="s">
        <v>307</v>
      </c>
      <c r="E44" s="6">
        <v>4916010</v>
      </c>
      <c r="F44" s="6">
        <v>4916010</v>
      </c>
      <c r="G44" s="6">
        <v>0</v>
      </c>
      <c r="H44" s="6">
        <v>0</v>
      </c>
      <c r="I44" s="6">
        <v>57.914999999999999</v>
      </c>
      <c r="J44" s="6" t="s">
        <v>194</v>
      </c>
      <c r="K44" s="6" t="s">
        <v>195</v>
      </c>
      <c r="L44" s="7" t="s">
        <v>196</v>
      </c>
      <c r="M44" s="7" t="s">
        <v>172</v>
      </c>
      <c r="N44" s="8" t="s">
        <v>539</v>
      </c>
      <c r="O44" s="5">
        <v>-33377.300000000003</v>
      </c>
      <c r="P44" s="6">
        <v>9260.7900000000009</v>
      </c>
      <c r="Q44" s="6">
        <v>7587.23</v>
      </c>
      <c r="R44" s="12">
        <v>14200.5</v>
      </c>
      <c r="S44" s="4" t="s">
        <v>540</v>
      </c>
      <c r="T44" s="4" t="s">
        <v>541</v>
      </c>
      <c r="U44" s="4" t="s">
        <v>542</v>
      </c>
      <c r="V44" s="4" t="s">
        <v>543</v>
      </c>
      <c r="W44" s="4" t="s">
        <v>544</v>
      </c>
      <c r="X44" s="4" t="s">
        <v>545</v>
      </c>
      <c r="Y44" s="4" t="s">
        <v>546</v>
      </c>
      <c r="Z44" s="4" t="s">
        <v>547</v>
      </c>
      <c r="AA44" s="4" t="s">
        <v>548</v>
      </c>
      <c r="AB44" s="4" t="s">
        <v>549</v>
      </c>
      <c r="AC44" s="4" t="s">
        <v>550</v>
      </c>
      <c r="AD44" s="4" t="s">
        <v>551</v>
      </c>
      <c r="AE44" s="4" t="s">
        <v>552</v>
      </c>
      <c r="AF44" s="4" t="s">
        <v>553</v>
      </c>
      <c r="AG44" s="4" t="s">
        <v>554</v>
      </c>
      <c r="AH44" s="4" t="s">
        <v>555</v>
      </c>
      <c r="AI44" s="4" t="s">
        <v>556</v>
      </c>
      <c r="AJ44" s="4" t="s">
        <v>557</v>
      </c>
      <c r="AK44" s="4" t="s">
        <v>558</v>
      </c>
      <c r="AL44" s="4" t="s">
        <v>559</v>
      </c>
      <c r="AM44" s="3">
        <v>-595.73199999999997</v>
      </c>
      <c r="AN44" s="3">
        <v>-570.95100000000002</v>
      </c>
      <c r="AO44" s="3">
        <v>-547.59400000000005</v>
      </c>
      <c r="AP44" s="3">
        <v>-502.31599999999997</v>
      </c>
      <c r="AQ44" s="3">
        <v>-436.92599999999999</v>
      </c>
      <c r="AR44" s="3">
        <v>-358.012</v>
      </c>
      <c r="AS44" s="3">
        <v>-325.19299999999998</v>
      </c>
      <c r="AT44" s="3">
        <v>-306.16300000000001</v>
      </c>
      <c r="AU44" s="3">
        <v>-301.53699999999998</v>
      </c>
      <c r="AV44" s="3">
        <v>-309.50900000000001</v>
      </c>
      <c r="AW44" s="3">
        <v>-321.77300000000002</v>
      </c>
      <c r="AX44" s="3">
        <v>-372.911</v>
      </c>
      <c r="AY44" s="3">
        <v>-434.392</v>
      </c>
      <c r="AZ44" s="3">
        <v>-489.22500000000002</v>
      </c>
      <c r="BA44" s="3">
        <v>-542.04700000000003</v>
      </c>
      <c r="BB44" s="3">
        <v>-606.52499999999998</v>
      </c>
      <c r="BC44" s="3">
        <v>-567.04999999999995</v>
      </c>
      <c r="BD44" s="3">
        <v>-549.44399999999996</v>
      </c>
      <c r="BE44" s="3">
        <v>-557.66300000000001</v>
      </c>
      <c r="BF44" s="3">
        <v>-577.17399999999998</v>
      </c>
      <c r="BG44" s="3">
        <v>-88.044300000000007</v>
      </c>
      <c r="BH44" s="3">
        <v>-63.319899999999997</v>
      </c>
      <c r="BI44" s="3">
        <v>9.2372800000000002</v>
      </c>
      <c r="BJ44" s="3">
        <v>69.489800000000002</v>
      </c>
      <c r="BK44" s="3">
        <v>79.115200000000002</v>
      </c>
      <c r="BL44" s="3">
        <v>28.385999999999999</v>
      </c>
      <c r="BM44" s="3">
        <v>20.071100000000001</v>
      </c>
      <c r="BN44" s="3">
        <v>18.912299999999998</v>
      </c>
      <c r="BO44" s="3">
        <v>44.95</v>
      </c>
      <c r="BP44" s="3">
        <v>105.17400000000001</v>
      </c>
      <c r="BQ44" s="3">
        <v>144.41399999999999</v>
      </c>
      <c r="BR44" s="3">
        <v>106.03400000000001</v>
      </c>
      <c r="BS44" s="3">
        <v>18.090399999999999</v>
      </c>
      <c r="BT44" s="3">
        <v>-78.927800000000005</v>
      </c>
      <c r="BU44" s="3">
        <v>-58.383299999999998</v>
      </c>
      <c r="BV44" s="3">
        <v>17.339200000000002</v>
      </c>
      <c r="BW44" s="3">
        <v>46.915999999999997</v>
      </c>
      <c r="BX44" s="3">
        <v>51.969900000000003</v>
      </c>
      <c r="BY44" s="3">
        <v>7.9171199999999997</v>
      </c>
      <c r="BZ44" s="3">
        <v>-53.6297</v>
      </c>
      <c r="CA44" s="3">
        <v>242.39</v>
      </c>
      <c r="CB44" s="3">
        <v>239.27</v>
      </c>
      <c r="CC44" s="3">
        <v>241.03800000000001</v>
      </c>
      <c r="CD44" s="3">
        <v>214.46299999999999</v>
      </c>
      <c r="CE44" s="3">
        <v>184.476</v>
      </c>
      <c r="CF44" s="3">
        <v>159.79900000000001</v>
      </c>
      <c r="CG44" s="3">
        <v>152.37299999999999</v>
      </c>
      <c r="CH44" s="3">
        <v>218.125</v>
      </c>
      <c r="CI44" s="3">
        <v>311.16000000000003</v>
      </c>
      <c r="CJ44" s="3">
        <v>392.32400000000001</v>
      </c>
      <c r="CK44" s="3">
        <v>419.851</v>
      </c>
      <c r="CL44" s="3">
        <v>351.57799999999997</v>
      </c>
      <c r="CM44" s="3">
        <v>318.82100000000003</v>
      </c>
      <c r="CN44" s="3">
        <v>340.46600000000001</v>
      </c>
      <c r="CO44" s="3">
        <v>479.95</v>
      </c>
      <c r="CP44" s="3">
        <v>520.81399999999996</v>
      </c>
      <c r="CQ44" s="3">
        <v>458.59899999999999</v>
      </c>
      <c r="CR44" s="3">
        <v>381.53699999999998</v>
      </c>
      <c r="CS44" s="3">
        <v>313.67899999999997</v>
      </c>
      <c r="CT44" s="3">
        <v>261.32400000000001</v>
      </c>
      <c r="CU44" s="3">
        <v>-200.46</v>
      </c>
      <c r="CV44" s="3">
        <v>-434.101</v>
      </c>
      <c r="CW44" s="3">
        <v>-341.11200000000002</v>
      </c>
      <c r="CX44" s="3">
        <v>-118.875</v>
      </c>
      <c r="CY44" s="3">
        <v>-9.3683399999999999</v>
      </c>
      <c r="CZ44" s="3">
        <v>-105.462</v>
      </c>
      <c r="DA44" s="3">
        <v>4.2174399999999999</v>
      </c>
      <c r="DB44" s="3">
        <v>114.893</v>
      </c>
      <c r="DC44" s="3">
        <v>265.80700000000002</v>
      </c>
      <c r="DD44" s="3">
        <v>481.16</v>
      </c>
      <c r="DE44" s="3">
        <v>612.82500000000005</v>
      </c>
      <c r="DF44" s="3">
        <v>421.274</v>
      </c>
      <c r="DG44" s="3">
        <v>280.346</v>
      </c>
      <c r="DH44" s="3">
        <v>249.20500000000001</v>
      </c>
      <c r="DI44" s="3">
        <v>328.92399999999998</v>
      </c>
      <c r="DJ44" s="3">
        <v>318.33699999999999</v>
      </c>
      <c r="DK44" s="3">
        <v>290.35899999999998</v>
      </c>
      <c r="DL44" s="3">
        <v>200.327</v>
      </c>
      <c r="DM44" s="3">
        <v>54.893599999999999</v>
      </c>
      <c r="DN44" s="3">
        <v>-101.746</v>
      </c>
      <c r="DO44" s="3">
        <v>-49.9529</v>
      </c>
      <c r="DP44" s="3">
        <v>-258.93</v>
      </c>
      <c r="DQ44" s="3">
        <v>-370.976</v>
      </c>
      <c r="DR44" s="3">
        <v>-405.51400000000001</v>
      </c>
      <c r="DS44" s="3">
        <v>-451.73</v>
      </c>
      <c r="DT44" s="3">
        <v>-544.27499999999998</v>
      </c>
      <c r="DU44" s="3">
        <v>-384.85199999999998</v>
      </c>
      <c r="DV44" s="3">
        <v>-152.51599999999999</v>
      </c>
      <c r="DW44" s="3">
        <v>171.98500000000001</v>
      </c>
      <c r="DX44" s="3">
        <v>586.93200000000002</v>
      </c>
      <c r="DY44" s="3">
        <v>831.82299999999998</v>
      </c>
      <c r="DZ44" s="3">
        <v>650.48099999999999</v>
      </c>
      <c r="EA44" s="3">
        <v>679.654</v>
      </c>
      <c r="EB44" s="3">
        <v>891.85599999999999</v>
      </c>
      <c r="EC44" s="3">
        <v>892.36599999999999</v>
      </c>
      <c r="ED44" s="3">
        <v>640.42499999999995</v>
      </c>
      <c r="EE44" s="3">
        <v>404.25400000000002</v>
      </c>
      <c r="EF44" s="3">
        <v>109.38200000000001</v>
      </c>
      <c r="EG44" s="3">
        <v>-17.0657</v>
      </c>
      <c r="EH44" s="3">
        <v>-35.982900000000001</v>
      </c>
      <c r="EI44" s="3">
        <v>98.340699999999998</v>
      </c>
      <c r="EJ44" s="3">
        <v>-23.394200000000001</v>
      </c>
      <c r="EK44" s="3">
        <v>-145.97999999999999</v>
      </c>
      <c r="EL44" s="3">
        <v>-144.523</v>
      </c>
      <c r="EM44" s="3">
        <v>-43.532299999999999</v>
      </c>
      <c r="EN44" s="3">
        <v>126.65300000000001</v>
      </c>
      <c r="EO44" s="3">
        <v>36.828000000000003</v>
      </c>
      <c r="EP44" s="3">
        <v>-156.654</v>
      </c>
      <c r="EQ44" s="3">
        <v>-325.59800000000001</v>
      </c>
      <c r="ER44" s="3">
        <v>-384.45800000000003</v>
      </c>
      <c r="ES44" s="3">
        <v>-322.53800000000001</v>
      </c>
      <c r="ET44" s="3">
        <v>-21.190799999999999</v>
      </c>
      <c r="EU44" s="3">
        <v>98.977400000000003</v>
      </c>
      <c r="EV44" s="3">
        <v>-11.184200000000001</v>
      </c>
      <c r="EW44" s="3">
        <v>-397.38400000000001</v>
      </c>
      <c r="EX44" s="3">
        <v>-455.25900000000001</v>
      </c>
      <c r="EY44" s="3">
        <v>-460.06</v>
      </c>
      <c r="EZ44" s="3">
        <v>-342.53899999999999</v>
      </c>
      <c r="FA44" s="3">
        <v>-163.88800000000001</v>
      </c>
      <c r="FB44" s="3">
        <v>21.2988</v>
      </c>
      <c r="FC44" s="3">
        <v>-320.36500000000001</v>
      </c>
      <c r="FD44" s="3">
        <v>-575.59799999999996</v>
      </c>
      <c r="FE44" s="3">
        <v>5.8106600000000004</v>
      </c>
      <c r="FF44" s="3">
        <v>24.761099999999999</v>
      </c>
      <c r="FG44" s="3">
        <v>213.57300000000001</v>
      </c>
      <c r="FH44" s="3">
        <v>405.24700000000001</v>
      </c>
      <c r="FI44" s="3">
        <v>-161.26300000000001</v>
      </c>
      <c r="FJ44" s="3">
        <v>-208.76900000000001</v>
      </c>
      <c r="FK44" s="3">
        <v>148.70400000000001</v>
      </c>
      <c r="FL44" s="3">
        <v>0</v>
      </c>
      <c r="FM44" s="3" t="s">
        <v>560</v>
      </c>
    </row>
    <row r="45" spans="1:169" x14ac:dyDescent="0.3">
      <c r="A45" s="2">
        <v>37</v>
      </c>
      <c r="B45" s="5">
        <v>6</v>
      </c>
      <c r="C45" s="6">
        <v>3102613</v>
      </c>
      <c r="D45" s="6" t="s">
        <v>285</v>
      </c>
      <c r="E45" s="6">
        <v>4916010</v>
      </c>
      <c r="F45" s="6">
        <v>3916013</v>
      </c>
      <c r="G45" s="6">
        <v>3916010</v>
      </c>
      <c r="H45" s="6">
        <v>3916012</v>
      </c>
      <c r="I45" s="6">
        <v>51.48</v>
      </c>
      <c r="J45" s="6" t="s">
        <v>169</v>
      </c>
      <c r="K45" s="6" t="s">
        <v>170</v>
      </c>
      <c r="L45" s="7" t="s">
        <v>171</v>
      </c>
      <c r="M45" s="7" t="s">
        <v>172</v>
      </c>
      <c r="N45" s="8" t="s">
        <v>561</v>
      </c>
      <c r="O45" s="5">
        <v>28869.599999999999</v>
      </c>
      <c r="P45" s="6">
        <v>-2216.5500000000002</v>
      </c>
      <c r="Q45" s="6">
        <v>368.38900000000001</v>
      </c>
      <c r="R45" s="12">
        <v>34305.199999999997</v>
      </c>
      <c r="S45" s="4" t="s">
        <v>562</v>
      </c>
      <c r="T45" s="4" t="s">
        <v>563</v>
      </c>
      <c r="U45" s="4" t="s">
        <v>564</v>
      </c>
      <c r="V45" s="4" t="s">
        <v>565</v>
      </c>
      <c r="W45" s="4" t="s">
        <v>566</v>
      </c>
      <c r="X45" s="4" t="s">
        <v>567</v>
      </c>
      <c r="Y45" s="4" t="s">
        <v>568</v>
      </c>
      <c r="Z45" s="4" t="s">
        <v>569</v>
      </c>
      <c r="AA45" s="4" t="s">
        <v>570</v>
      </c>
      <c r="AB45" s="4" t="s">
        <v>571</v>
      </c>
      <c r="AC45" s="4" t="s">
        <v>572</v>
      </c>
      <c r="AD45" s="4" t="s">
        <v>573</v>
      </c>
      <c r="AE45" s="4" t="s">
        <v>574</v>
      </c>
      <c r="AF45" s="4" t="s">
        <v>575</v>
      </c>
      <c r="AG45" s="4" t="s">
        <v>576</v>
      </c>
      <c r="AH45" s="4" t="s">
        <v>577</v>
      </c>
      <c r="AI45" s="4" t="s">
        <v>578</v>
      </c>
      <c r="AJ45" s="4" t="s">
        <v>579</v>
      </c>
      <c r="AK45" s="4" t="s">
        <v>580</v>
      </c>
      <c r="AL45" s="4" t="s">
        <v>581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/>
    </row>
    <row r="46" spans="1:169" x14ac:dyDescent="0.3">
      <c r="A46" s="2">
        <v>38</v>
      </c>
      <c r="B46" s="5">
        <v>6</v>
      </c>
      <c r="C46" s="6">
        <v>3102613</v>
      </c>
      <c r="D46" s="6" t="s">
        <v>285</v>
      </c>
      <c r="E46" s="6">
        <v>4916010</v>
      </c>
      <c r="F46" s="6">
        <v>3916013</v>
      </c>
      <c r="G46" s="6">
        <v>3916010</v>
      </c>
      <c r="H46" s="6">
        <v>3916012</v>
      </c>
      <c r="I46" s="6">
        <v>51.48</v>
      </c>
      <c r="J46" s="6" t="s">
        <v>194</v>
      </c>
      <c r="K46" s="6" t="s">
        <v>195</v>
      </c>
      <c r="L46" s="7" t="s">
        <v>196</v>
      </c>
      <c r="M46" s="7" t="s">
        <v>172</v>
      </c>
      <c r="N46" s="8" t="s">
        <v>561</v>
      </c>
      <c r="O46" s="5">
        <v>-26758.400000000001</v>
      </c>
      <c r="P46" s="6">
        <v>4247.03</v>
      </c>
      <c r="Q46" s="6">
        <v>-417.541</v>
      </c>
      <c r="R46" s="12">
        <v>14200.5</v>
      </c>
      <c r="S46" s="4" t="s">
        <v>562</v>
      </c>
      <c r="T46" s="4" t="s">
        <v>563</v>
      </c>
      <c r="U46" s="4" t="s">
        <v>564</v>
      </c>
      <c r="V46" s="4" t="s">
        <v>565</v>
      </c>
      <c r="W46" s="4" t="s">
        <v>566</v>
      </c>
      <c r="X46" s="4" t="s">
        <v>567</v>
      </c>
      <c r="Y46" s="4" t="s">
        <v>568</v>
      </c>
      <c r="Z46" s="4" t="s">
        <v>569</v>
      </c>
      <c r="AA46" s="4" t="s">
        <v>570</v>
      </c>
      <c r="AB46" s="4" t="s">
        <v>571</v>
      </c>
      <c r="AC46" s="4" t="s">
        <v>572</v>
      </c>
      <c r="AD46" s="4" t="s">
        <v>573</v>
      </c>
      <c r="AE46" s="4" t="s">
        <v>574</v>
      </c>
      <c r="AF46" s="4" t="s">
        <v>575</v>
      </c>
      <c r="AG46" s="4" t="s">
        <v>576</v>
      </c>
      <c r="AH46" s="4" t="s">
        <v>577</v>
      </c>
      <c r="AI46" s="4" t="s">
        <v>578</v>
      </c>
      <c r="AJ46" s="4" t="s">
        <v>579</v>
      </c>
      <c r="AK46" s="4" t="s">
        <v>580</v>
      </c>
      <c r="AL46" s="4" t="s">
        <v>581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/>
    </row>
    <row r="47" spans="1:169" x14ac:dyDescent="0.3">
      <c r="A47" s="2">
        <v>39</v>
      </c>
      <c r="B47" s="5">
        <v>6</v>
      </c>
      <c r="C47" s="6">
        <v>1101874</v>
      </c>
      <c r="D47" s="6" t="s">
        <v>263</v>
      </c>
      <c r="E47" s="6">
        <v>3916010</v>
      </c>
      <c r="F47" s="6">
        <v>1916011</v>
      </c>
      <c r="G47" s="6">
        <v>2916010</v>
      </c>
      <c r="H47" s="6">
        <v>1916012</v>
      </c>
      <c r="I47" s="6">
        <v>57.914999999999999</v>
      </c>
      <c r="J47" s="6" t="s">
        <v>169</v>
      </c>
      <c r="K47" s="6" t="s">
        <v>170</v>
      </c>
      <c r="L47" s="7" t="s">
        <v>171</v>
      </c>
      <c r="M47" s="7" t="s">
        <v>172</v>
      </c>
      <c r="N47" s="8" t="s">
        <v>582</v>
      </c>
      <c r="O47" s="5">
        <v>6731.33</v>
      </c>
      <c r="P47" s="6">
        <v>2719.45</v>
      </c>
      <c r="Q47" s="6">
        <v>6608.51</v>
      </c>
      <c r="R47" s="12">
        <v>34305.199999999997</v>
      </c>
      <c r="S47" s="4" t="s">
        <v>583</v>
      </c>
      <c r="T47" s="4" t="s">
        <v>584</v>
      </c>
      <c r="U47" s="4" t="s">
        <v>585</v>
      </c>
      <c r="V47" s="4" t="s">
        <v>586</v>
      </c>
      <c r="W47" s="4" t="s">
        <v>587</v>
      </c>
      <c r="X47" s="4" t="s">
        <v>588</v>
      </c>
      <c r="Y47" s="4" t="s">
        <v>589</v>
      </c>
      <c r="Z47" s="4" t="s">
        <v>590</v>
      </c>
      <c r="AA47" s="4" t="s">
        <v>591</v>
      </c>
      <c r="AB47" s="4" t="s">
        <v>592</v>
      </c>
      <c r="AC47" s="4" t="s">
        <v>593</v>
      </c>
      <c r="AD47" s="4" t="s">
        <v>594</v>
      </c>
      <c r="AE47" s="4" t="s">
        <v>595</v>
      </c>
      <c r="AF47" s="4" t="s">
        <v>596</v>
      </c>
      <c r="AG47" s="4" t="s">
        <v>597</v>
      </c>
      <c r="AH47" s="4" t="s">
        <v>598</v>
      </c>
      <c r="AI47" s="4" t="s">
        <v>599</v>
      </c>
      <c r="AJ47" s="4" t="s">
        <v>600</v>
      </c>
      <c r="AK47" s="4" t="s">
        <v>601</v>
      </c>
      <c r="AL47" s="4" t="s">
        <v>602</v>
      </c>
      <c r="AM47" s="3">
        <v>2254.56</v>
      </c>
      <c r="AN47" s="3">
        <v>2195.31</v>
      </c>
      <c r="AO47" s="3">
        <v>2138.14</v>
      </c>
      <c r="AP47" s="3">
        <v>2095.54</v>
      </c>
      <c r="AQ47" s="3">
        <v>2058.0300000000002</v>
      </c>
      <c r="AR47" s="3">
        <v>2021.3</v>
      </c>
      <c r="AS47" s="3">
        <v>2113.8000000000002</v>
      </c>
      <c r="AT47" s="3">
        <v>2191.9499999999998</v>
      </c>
      <c r="AU47" s="3">
        <v>2245.4499999999998</v>
      </c>
      <c r="AV47" s="3">
        <v>2370.9699999999998</v>
      </c>
      <c r="AW47" s="3">
        <v>2468.21</v>
      </c>
      <c r="AX47" s="3">
        <v>2509.46</v>
      </c>
      <c r="AY47" s="3">
        <v>2544.59</v>
      </c>
      <c r="AZ47" s="3">
        <v>2573.19</v>
      </c>
      <c r="BA47" s="3">
        <v>2592.62</v>
      </c>
      <c r="BB47" s="3">
        <v>2607.81</v>
      </c>
      <c r="BC47" s="3">
        <v>2542.5</v>
      </c>
      <c r="BD47" s="3">
        <v>2531.0300000000002</v>
      </c>
      <c r="BE47" s="3">
        <v>2514.0700000000002</v>
      </c>
      <c r="BF47" s="3">
        <v>2421.21</v>
      </c>
      <c r="BG47" s="3">
        <v>-171.59</v>
      </c>
      <c r="BH47" s="3">
        <v>-150.297</v>
      </c>
      <c r="BI47" s="3">
        <v>-132.94900000000001</v>
      </c>
      <c r="BJ47" s="3">
        <v>-123.398</v>
      </c>
      <c r="BK47" s="3">
        <v>-115.039</v>
      </c>
      <c r="BL47" s="3">
        <v>-103.30200000000001</v>
      </c>
      <c r="BM47" s="3">
        <v>-91.946799999999996</v>
      </c>
      <c r="BN47" s="3">
        <v>-78.9465</v>
      </c>
      <c r="BO47" s="3">
        <v>-72.129800000000003</v>
      </c>
      <c r="BP47" s="3">
        <v>-71.915899999999993</v>
      </c>
      <c r="BQ47" s="3">
        <v>-65.632599999999996</v>
      </c>
      <c r="BR47" s="3">
        <v>-78.938100000000006</v>
      </c>
      <c r="BS47" s="3">
        <v>-86.6203</v>
      </c>
      <c r="BT47" s="3">
        <v>-87.793499999999995</v>
      </c>
      <c r="BU47" s="3">
        <v>-89.601500000000001</v>
      </c>
      <c r="BV47" s="3">
        <v>-98.664400000000001</v>
      </c>
      <c r="BW47" s="3">
        <v>-107.946</v>
      </c>
      <c r="BX47" s="3">
        <v>-132.46299999999999</v>
      </c>
      <c r="BY47" s="3">
        <v>-167.845</v>
      </c>
      <c r="BZ47" s="3">
        <v>-180.958</v>
      </c>
      <c r="CA47" s="3">
        <v>-285.67899999999997</v>
      </c>
      <c r="CB47" s="3">
        <v>-278.00900000000001</v>
      </c>
      <c r="CC47" s="3">
        <v>-287.13499999999999</v>
      </c>
      <c r="CD47" s="3">
        <v>-299.18099999999998</v>
      </c>
      <c r="CE47" s="3">
        <v>-309.846</v>
      </c>
      <c r="CF47" s="3">
        <v>-318.73700000000002</v>
      </c>
      <c r="CG47" s="3">
        <v>-280.92399999999998</v>
      </c>
      <c r="CH47" s="3">
        <v>-261.83999999999997</v>
      </c>
      <c r="CI47" s="3">
        <v>-258.27199999999999</v>
      </c>
      <c r="CJ47" s="3">
        <v>-242.52099999999999</v>
      </c>
      <c r="CK47" s="3">
        <v>-201.59700000000001</v>
      </c>
      <c r="CL47" s="3">
        <v>-190.57300000000001</v>
      </c>
      <c r="CM47" s="3">
        <v>-170.64400000000001</v>
      </c>
      <c r="CN47" s="3">
        <v>-146.303</v>
      </c>
      <c r="CO47" s="3">
        <v>-129.72399999999999</v>
      </c>
      <c r="CP47" s="3">
        <v>-120.76300000000001</v>
      </c>
      <c r="CQ47" s="3">
        <v>-132.56800000000001</v>
      </c>
      <c r="CR47" s="3">
        <v>-136.41300000000001</v>
      </c>
      <c r="CS47" s="3">
        <v>-154.64099999999999</v>
      </c>
      <c r="CT47" s="3">
        <v>-213.995</v>
      </c>
      <c r="CU47" s="3">
        <v>134.304</v>
      </c>
      <c r="CV47" s="3">
        <v>336.14400000000001</v>
      </c>
      <c r="CW47" s="3">
        <v>297.92</v>
      </c>
      <c r="CX47" s="3">
        <v>308.93799999999999</v>
      </c>
      <c r="CY47" s="3">
        <v>523.18700000000001</v>
      </c>
      <c r="CZ47" s="3">
        <v>948.10400000000004</v>
      </c>
      <c r="DA47" s="3">
        <v>474.50900000000001</v>
      </c>
      <c r="DB47" s="3">
        <v>318.42500000000001</v>
      </c>
      <c r="DC47" s="3">
        <v>147.02199999999999</v>
      </c>
      <c r="DD47" s="3">
        <v>-87.450199999999995</v>
      </c>
      <c r="DE47" s="3">
        <v>-64.441599999999994</v>
      </c>
      <c r="DF47" s="3">
        <v>-634.49400000000003</v>
      </c>
      <c r="DG47" s="3">
        <v>-931.13</v>
      </c>
      <c r="DH47" s="3">
        <v>-895.95100000000002</v>
      </c>
      <c r="DI47" s="3">
        <v>-706.56299999999999</v>
      </c>
      <c r="DJ47" s="3">
        <v>-606.93299999999999</v>
      </c>
      <c r="DK47" s="3">
        <v>-408.24700000000001</v>
      </c>
      <c r="DL47" s="3">
        <v>-230.75200000000001</v>
      </c>
      <c r="DM47" s="3">
        <v>-157.41999999999999</v>
      </c>
      <c r="DN47" s="3">
        <v>-29.771599999999999</v>
      </c>
      <c r="DO47" s="3">
        <v>-1262.1400000000001</v>
      </c>
      <c r="DP47" s="3">
        <v>-1175.3800000000001</v>
      </c>
      <c r="DQ47" s="3">
        <v>-1051.0899999999999</v>
      </c>
      <c r="DR47" s="3">
        <v>-913.70500000000004</v>
      </c>
      <c r="DS47" s="3">
        <v>-847.69600000000003</v>
      </c>
      <c r="DT47" s="3">
        <v>-869.18299999999999</v>
      </c>
      <c r="DU47" s="3">
        <v>-1447.72</v>
      </c>
      <c r="DV47" s="3">
        <v>-2205.56</v>
      </c>
      <c r="DW47" s="3">
        <v>-2678.51</v>
      </c>
      <c r="DX47" s="3">
        <v>-2629.5</v>
      </c>
      <c r="DY47" s="3">
        <v>-2223.0300000000002</v>
      </c>
      <c r="DZ47" s="3">
        <v>-2208.4899999999998</v>
      </c>
      <c r="EA47" s="3">
        <v>-2206.3200000000002</v>
      </c>
      <c r="EB47" s="3">
        <v>-2191.06</v>
      </c>
      <c r="EC47" s="3">
        <v>-2131.25</v>
      </c>
      <c r="ED47" s="3">
        <v>-1996.36</v>
      </c>
      <c r="EE47" s="3">
        <v>-2155.66</v>
      </c>
      <c r="EF47" s="3">
        <v>-2035.06</v>
      </c>
      <c r="EG47" s="3">
        <v>-1787.69</v>
      </c>
      <c r="EH47" s="3">
        <v>-1559.32</v>
      </c>
      <c r="EI47" s="3">
        <v>-164.434</v>
      </c>
      <c r="EJ47" s="3">
        <v>-119.96899999999999</v>
      </c>
      <c r="EK47" s="3">
        <v>-26.320900000000002</v>
      </c>
      <c r="EL47" s="3">
        <v>9.7105700000000006</v>
      </c>
      <c r="EM47" s="3">
        <v>-81.075500000000005</v>
      </c>
      <c r="EN47" s="3">
        <v>-274.524</v>
      </c>
      <c r="EO47" s="3">
        <v>-472.10700000000003</v>
      </c>
      <c r="EP47" s="3">
        <v>-504.96699999999998</v>
      </c>
      <c r="EQ47" s="3">
        <v>-318.28399999999999</v>
      </c>
      <c r="ER47" s="3">
        <v>-268.52800000000002</v>
      </c>
      <c r="ES47" s="3">
        <v>-401.51499999999999</v>
      </c>
      <c r="ET47" s="3">
        <v>-390.14499999999998</v>
      </c>
      <c r="EU47" s="3">
        <v>-462.20100000000002</v>
      </c>
      <c r="EV47" s="3">
        <v>-545.24099999999999</v>
      </c>
      <c r="EW47" s="3">
        <v>-508.92500000000001</v>
      </c>
      <c r="EX47" s="3">
        <v>-396.06400000000002</v>
      </c>
      <c r="EY47" s="3">
        <v>-150.137</v>
      </c>
      <c r="EZ47" s="3">
        <v>122.898</v>
      </c>
      <c r="FA47" s="3">
        <v>101.792</v>
      </c>
      <c r="FB47" s="3">
        <v>-76.326599999999999</v>
      </c>
      <c r="FC47" s="3">
        <v>2235.2800000000002</v>
      </c>
      <c r="FD47" s="3">
        <v>2478.5300000000002</v>
      </c>
      <c r="FE47" s="3">
        <v>-84.541700000000006</v>
      </c>
      <c r="FF47" s="3">
        <v>-132.76300000000001</v>
      </c>
      <c r="FG47" s="3">
        <v>-159.934</v>
      </c>
      <c r="FH47" s="3">
        <v>-296.43099999999998</v>
      </c>
      <c r="FI47" s="3">
        <v>-36.445700000000002</v>
      </c>
      <c r="FJ47" s="3">
        <v>1589.64</v>
      </c>
      <c r="FK47" s="3">
        <v>256.78800000000001</v>
      </c>
      <c r="FL47" s="3">
        <v>0</v>
      </c>
      <c r="FM47" s="3"/>
    </row>
    <row r="48" spans="1:169" x14ac:dyDescent="0.3">
      <c r="A48" s="2">
        <v>40</v>
      </c>
      <c r="B48" s="5">
        <v>6</v>
      </c>
      <c r="C48" s="6">
        <v>1101874</v>
      </c>
      <c r="D48" s="6" t="s">
        <v>263</v>
      </c>
      <c r="E48" s="6">
        <v>3916010</v>
      </c>
      <c r="F48" s="6">
        <v>1916011</v>
      </c>
      <c r="G48" s="6">
        <v>2916010</v>
      </c>
      <c r="H48" s="6">
        <v>1916012</v>
      </c>
      <c r="I48" s="6">
        <v>57.914999999999999</v>
      </c>
      <c r="J48" s="6" t="s">
        <v>194</v>
      </c>
      <c r="K48" s="6" t="s">
        <v>195</v>
      </c>
      <c r="L48" s="7" t="s">
        <v>196</v>
      </c>
      <c r="M48" s="7" t="s">
        <v>172</v>
      </c>
      <c r="N48" s="8" t="s">
        <v>582</v>
      </c>
      <c r="O48" s="5">
        <v>-5219.6000000000004</v>
      </c>
      <c r="P48" s="6">
        <v>-2605.86</v>
      </c>
      <c r="Q48" s="6">
        <v>-6321.56</v>
      </c>
      <c r="R48" s="12">
        <v>14200.5</v>
      </c>
      <c r="S48" s="4" t="s">
        <v>583</v>
      </c>
      <c r="T48" s="4" t="s">
        <v>584</v>
      </c>
      <c r="U48" s="4" t="s">
        <v>585</v>
      </c>
      <c r="V48" s="4" t="s">
        <v>586</v>
      </c>
      <c r="W48" s="4" t="s">
        <v>587</v>
      </c>
      <c r="X48" s="4" t="s">
        <v>588</v>
      </c>
      <c r="Y48" s="4" t="s">
        <v>589</v>
      </c>
      <c r="Z48" s="4" t="s">
        <v>590</v>
      </c>
      <c r="AA48" s="4" t="s">
        <v>591</v>
      </c>
      <c r="AB48" s="4" t="s">
        <v>592</v>
      </c>
      <c r="AC48" s="4" t="s">
        <v>593</v>
      </c>
      <c r="AD48" s="4" t="s">
        <v>594</v>
      </c>
      <c r="AE48" s="4" t="s">
        <v>595</v>
      </c>
      <c r="AF48" s="4" t="s">
        <v>596</v>
      </c>
      <c r="AG48" s="4" t="s">
        <v>597</v>
      </c>
      <c r="AH48" s="4" t="s">
        <v>598</v>
      </c>
      <c r="AI48" s="4" t="s">
        <v>599</v>
      </c>
      <c r="AJ48" s="4" t="s">
        <v>600</v>
      </c>
      <c r="AK48" s="4" t="s">
        <v>601</v>
      </c>
      <c r="AL48" s="4" t="s">
        <v>602</v>
      </c>
      <c r="AM48" s="3">
        <v>-2368.4299999999998</v>
      </c>
      <c r="AN48" s="3">
        <v>-2326.98</v>
      </c>
      <c r="AO48" s="3">
        <v>-2290.44</v>
      </c>
      <c r="AP48" s="3">
        <v>-2272.16</v>
      </c>
      <c r="AQ48" s="3">
        <v>-2264.2399999999998</v>
      </c>
      <c r="AR48" s="3">
        <v>-2261.86</v>
      </c>
      <c r="AS48" s="3">
        <v>-2366.5700000000002</v>
      </c>
      <c r="AT48" s="3">
        <v>-2443.23</v>
      </c>
      <c r="AU48" s="3">
        <v>-2478.17</v>
      </c>
      <c r="AV48" s="3">
        <v>-2574.15</v>
      </c>
      <c r="AW48" s="3">
        <v>-2630.36</v>
      </c>
      <c r="AX48" s="3">
        <v>-2649.54</v>
      </c>
      <c r="AY48" s="3">
        <v>-2667.09</v>
      </c>
      <c r="AZ48" s="3">
        <v>-2680.49</v>
      </c>
      <c r="BA48" s="3">
        <v>-2686.75</v>
      </c>
      <c r="BB48" s="3">
        <v>-2690.32</v>
      </c>
      <c r="BC48" s="3">
        <v>-2637.85</v>
      </c>
      <c r="BD48" s="3">
        <v>-2633.48</v>
      </c>
      <c r="BE48" s="3">
        <v>-2624.12</v>
      </c>
      <c r="BF48" s="3">
        <v>-2537.2800000000002</v>
      </c>
      <c r="BG48" s="3">
        <v>238.96199999999999</v>
      </c>
      <c r="BH48" s="3">
        <v>227.51599999999999</v>
      </c>
      <c r="BI48" s="3">
        <v>220.03399999999999</v>
      </c>
      <c r="BJ48" s="3">
        <v>221.476</v>
      </c>
      <c r="BK48" s="3">
        <v>226.43199999999999</v>
      </c>
      <c r="BL48" s="3">
        <v>230.23</v>
      </c>
      <c r="BM48" s="3">
        <v>225.077</v>
      </c>
      <c r="BN48" s="3">
        <v>213.351</v>
      </c>
      <c r="BO48" s="3">
        <v>200.1</v>
      </c>
      <c r="BP48" s="3">
        <v>190.38900000000001</v>
      </c>
      <c r="BQ48" s="3">
        <v>170.149</v>
      </c>
      <c r="BR48" s="3">
        <v>168.74</v>
      </c>
      <c r="BS48" s="3">
        <v>164.815</v>
      </c>
      <c r="BT48" s="3">
        <v>156.333</v>
      </c>
      <c r="BU48" s="3">
        <v>149.178</v>
      </c>
      <c r="BV48" s="3">
        <v>149.47499999999999</v>
      </c>
      <c r="BW48" s="3">
        <v>165.488</v>
      </c>
      <c r="BX48" s="3">
        <v>193.934</v>
      </c>
      <c r="BY48" s="3">
        <v>233.18</v>
      </c>
      <c r="BZ48" s="3">
        <v>249.34100000000001</v>
      </c>
      <c r="CA48" s="3">
        <v>267.62200000000001</v>
      </c>
      <c r="CB48" s="3">
        <v>256.01400000000001</v>
      </c>
      <c r="CC48" s="3">
        <v>258.66699999999997</v>
      </c>
      <c r="CD48" s="3">
        <v>264.07100000000003</v>
      </c>
      <c r="CE48" s="3">
        <v>268.22899999999998</v>
      </c>
      <c r="CF48" s="3">
        <v>270.98099999999999</v>
      </c>
      <c r="CG48" s="3">
        <v>269.70100000000002</v>
      </c>
      <c r="CH48" s="3">
        <v>282.19200000000001</v>
      </c>
      <c r="CI48" s="3">
        <v>303.31200000000001</v>
      </c>
      <c r="CJ48" s="3">
        <v>313.411</v>
      </c>
      <c r="CK48" s="3">
        <v>298.09800000000001</v>
      </c>
      <c r="CL48" s="3">
        <v>272.74</v>
      </c>
      <c r="CM48" s="3">
        <v>240.346</v>
      </c>
      <c r="CN48" s="3">
        <v>205.364</v>
      </c>
      <c r="CO48" s="3">
        <v>179.059</v>
      </c>
      <c r="CP48" s="3">
        <v>161.63900000000001</v>
      </c>
      <c r="CQ48" s="3">
        <v>161.25</v>
      </c>
      <c r="CR48" s="3">
        <v>153.41200000000001</v>
      </c>
      <c r="CS48" s="3">
        <v>162.55000000000001</v>
      </c>
      <c r="CT48" s="3">
        <v>210.71700000000001</v>
      </c>
      <c r="CU48" s="3">
        <v>-320.31900000000002</v>
      </c>
      <c r="CV48" s="3">
        <v>-533.32500000000005</v>
      </c>
      <c r="CW48" s="3">
        <v>-486.67</v>
      </c>
      <c r="CX48" s="3">
        <v>-478.26499999999999</v>
      </c>
      <c r="CY48" s="3">
        <v>-669.63499999999999</v>
      </c>
      <c r="CZ48" s="3">
        <v>-1071.1099999999999</v>
      </c>
      <c r="DA48" s="3">
        <v>-561.21100000000001</v>
      </c>
      <c r="DB48" s="3">
        <v>-389.86799999999999</v>
      </c>
      <c r="DC48" s="3">
        <v>-207.70599999999999</v>
      </c>
      <c r="DD48" s="3">
        <v>45.2119</v>
      </c>
      <c r="DE48" s="3">
        <v>34.004100000000001</v>
      </c>
      <c r="DF48" s="3">
        <v>579.63199999999995</v>
      </c>
      <c r="DG48" s="3">
        <v>854.37599999999998</v>
      </c>
      <c r="DH48" s="3">
        <v>798.029</v>
      </c>
      <c r="DI48" s="3">
        <v>594.78</v>
      </c>
      <c r="DJ48" s="3">
        <v>496.14699999999999</v>
      </c>
      <c r="DK48" s="3">
        <v>272.78300000000002</v>
      </c>
      <c r="DL48" s="3">
        <v>73.758300000000006</v>
      </c>
      <c r="DM48" s="3">
        <v>-7.9231999999999996</v>
      </c>
      <c r="DN48" s="3">
        <v>-145.28100000000001</v>
      </c>
      <c r="DO48" s="3">
        <v>991.53800000000001</v>
      </c>
      <c r="DP48" s="3">
        <v>880.95299999999997</v>
      </c>
      <c r="DQ48" s="3">
        <v>734.00300000000004</v>
      </c>
      <c r="DR48" s="3">
        <v>571.37699999999995</v>
      </c>
      <c r="DS48" s="3">
        <v>482.81799999999998</v>
      </c>
      <c r="DT48" s="3">
        <v>486.50099999999998</v>
      </c>
      <c r="DU48" s="3">
        <v>1049.8599999999999</v>
      </c>
      <c r="DV48" s="3">
        <v>1833.16</v>
      </c>
      <c r="DW48" s="3">
        <v>2374.52</v>
      </c>
      <c r="DX48" s="3">
        <v>2391.58</v>
      </c>
      <c r="DY48" s="3">
        <v>2027.67</v>
      </c>
      <c r="DZ48" s="3">
        <v>2022.5</v>
      </c>
      <c r="EA48" s="3">
        <v>2033.15</v>
      </c>
      <c r="EB48" s="3">
        <v>2032.52</v>
      </c>
      <c r="EC48" s="3">
        <v>1985.95</v>
      </c>
      <c r="ED48" s="3">
        <v>1860.78</v>
      </c>
      <c r="EE48" s="3">
        <v>1989.12</v>
      </c>
      <c r="EF48" s="3">
        <v>1817.33</v>
      </c>
      <c r="EG48" s="3">
        <v>1526.58</v>
      </c>
      <c r="EH48" s="3">
        <v>1284.31</v>
      </c>
      <c r="EI48" s="3">
        <v>216.066</v>
      </c>
      <c r="EJ48" s="3">
        <v>170.999</v>
      </c>
      <c r="EK48" s="3">
        <v>66.472300000000004</v>
      </c>
      <c r="EL48" s="3">
        <v>20.332699999999999</v>
      </c>
      <c r="EM48" s="3">
        <v>114.383</v>
      </c>
      <c r="EN48" s="3">
        <v>325.98500000000001</v>
      </c>
      <c r="EO48" s="3">
        <v>506.74299999999999</v>
      </c>
      <c r="EP48" s="3">
        <v>513.50300000000004</v>
      </c>
      <c r="EQ48" s="3">
        <v>288.22500000000002</v>
      </c>
      <c r="ER48" s="3">
        <v>204.99299999999999</v>
      </c>
      <c r="ES48" s="3">
        <v>321.608</v>
      </c>
      <c r="ET48" s="3">
        <v>315.09399999999999</v>
      </c>
      <c r="EU48" s="3">
        <v>395.72800000000001</v>
      </c>
      <c r="EV48" s="3">
        <v>485.36799999999999</v>
      </c>
      <c r="EW48" s="3">
        <v>448.28</v>
      </c>
      <c r="EX48" s="3">
        <v>330.072</v>
      </c>
      <c r="EY48" s="3">
        <v>85.840500000000006</v>
      </c>
      <c r="EZ48" s="3">
        <v>-178.809</v>
      </c>
      <c r="FA48" s="3">
        <v>-122.49</v>
      </c>
      <c r="FB48" s="3">
        <v>98.925700000000006</v>
      </c>
      <c r="FC48" s="3">
        <v>-2459.06</v>
      </c>
      <c r="FD48" s="3">
        <v>-2581.91</v>
      </c>
      <c r="FE48" s="3">
        <v>159.78200000000001</v>
      </c>
      <c r="FF48" s="3">
        <v>227.44200000000001</v>
      </c>
      <c r="FG48" s="3">
        <v>186.19800000000001</v>
      </c>
      <c r="FH48" s="3">
        <v>289.61599999999999</v>
      </c>
      <c r="FI48" s="3">
        <v>148.46</v>
      </c>
      <c r="FJ48" s="3">
        <v>-1342.48</v>
      </c>
      <c r="FK48" s="3">
        <v>-241.71</v>
      </c>
      <c r="FL48" s="3">
        <v>0</v>
      </c>
      <c r="FM48" s="3"/>
    </row>
    <row r="49" spans="1:169" x14ac:dyDescent="0.3">
      <c r="A49" s="2">
        <v>41</v>
      </c>
      <c r="B49" s="5">
        <v>6</v>
      </c>
      <c r="C49" s="6">
        <v>2101331</v>
      </c>
      <c r="D49" s="6" t="s">
        <v>241</v>
      </c>
      <c r="E49" s="6">
        <v>2916010</v>
      </c>
      <c r="F49" s="6">
        <v>2916010</v>
      </c>
      <c r="G49" s="6">
        <v>0</v>
      </c>
      <c r="H49" s="6">
        <v>0</v>
      </c>
      <c r="I49" s="6">
        <v>51.48</v>
      </c>
      <c r="J49" s="6" t="s">
        <v>169</v>
      </c>
      <c r="K49" s="6" t="s">
        <v>170</v>
      </c>
      <c r="L49" s="7" t="s">
        <v>171</v>
      </c>
      <c r="M49" s="7" t="s">
        <v>172</v>
      </c>
      <c r="N49" s="8" t="s">
        <v>603</v>
      </c>
      <c r="O49" s="5">
        <v>-13940.3</v>
      </c>
      <c r="P49" s="6">
        <v>3339.51</v>
      </c>
      <c r="Q49" s="6">
        <v>-305.34300000000002</v>
      </c>
      <c r="R49" s="12">
        <v>34305.199999999997</v>
      </c>
      <c r="S49" s="4" t="s">
        <v>604</v>
      </c>
      <c r="T49" s="4" t="s">
        <v>605</v>
      </c>
      <c r="U49" s="4" t="s">
        <v>606</v>
      </c>
      <c r="V49" s="4" t="s">
        <v>607</v>
      </c>
      <c r="W49" s="4" t="s">
        <v>608</v>
      </c>
      <c r="X49" s="4" t="s">
        <v>609</v>
      </c>
      <c r="Y49" s="4" t="s">
        <v>610</v>
      </c>
      <c r="Z49" s="4" t="s">
        <v>611</v>
      </c>
      <c r="AA49" s="4" t="s">
        <v>612</v>
      </c>
      <c r="AB49" s="4" t="s">
        <v>613</v>
      </c>
      <c r="AC49" s="4" t="s">
        <v>614</v>
      </c>
      <c r="AD49" s="4" t="s">
        <v>615</v>
      </c>
      <c r="AE49" s="4" t="s">
        <v>616</v>
      </c>
      <c r="AF49" s="4" t="s">
        <v>617</v>
      </c>
      <c r="AG49" s="4" t="s">
        <v>618</v>
      </c>
      <c r="AH49" s="4" t="s">
        <v>619</v>
      </c>
      <c r="AI49" s="4" t="s">
        <v>620</v>
      </c>
      <c r="AJ49" s="4" t="s">
        <v>621</v>
      </c>
      <c r="AK49" s="4" t="s">
        <v>622</v>
      </c>
      <c r="AL49" s="4" t="s">
        <v>623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/>
    </row>
    <row r="50" spans="1:169" x14ac:dyDescent="0.3">
      <c r="A50" s="2">
        <v>42</v>
      </c>
      <c r="B50" s="5">
        <v>6</v>
      </c>
      <c r="C50" s="6">
        <v>2101331</v>
      </c>
      <c r="D50" s="6" t="s">
        <v>241</v>
      </c>
      <c r="E50" s="6">
        <v>2916010</v>
      </c>
      <c r="F50" s="6">
        <v>2916010</v>
      </c>
      <c r="G50" s="6">
        <v>0</v>
      </c>
      <c r="H50" s="6">
        <v>0</v>
      </c>
      <c r="I50" s="6">
        <v>51.48</v>
      </c>
      <c r="J50" s="6" t="s">
        <v>194</v>
      </c>
      <c r="K50" s="6" t="s">
        <v>195</v>
      </c>
      <c r="L50" s="7" t="s">
        <v>196</v>
      </c>
      <c r="M50" s="7" t="s">
        <v>172</v>
      </c>
      <c r="N50" s="8" t="s">
        <v>603</v>
      </c>
      <c r="O50" s="5">
        <v>14401.3</v>
      </c>
      <c r="P50" s="6">
        <v>-4164.68</v>
      </c>
      <c r="Q50" s="6">
        <v>407.66500000000002</v>
      </c>
      <c r="R50" s="12">
        <v>14200.5</v>
      </c>
      <c r="S50" s="4" t="s">
        <v>604</v>
      </c>
      <c r="T50" s="4" t="s">
        <v>605</v>
      </c>
      <c r="U50" s="4" t="s">
        <v>606</v>
      </c>
      <c r="V50" s="4" t="s">
        <v>607</v>
      </c>
      <c r="W50" s="4" t="s">
        <v>608</v>
      </c>
      <c r="X50" s="4" t="s">
        <v>609</v>
      </c>
      <c r="Y50" s="4" t="s">
        <v>610</v>
      </c>
      <c r="Z50" s="4" t="s">
        <v>611</v>
      </c>
      <c r="AA50" s="4" t="s">
        <v>612</v>
      </c>
      <c r="AB50" s="4" t="s">
        <v>613</v>
      </c>
      <c r="AC50" s="4" t="s">
        <v>614</v>
      </c>
      <c r="AD50" s="4" t="s">
        <v>615</v>
      </c>
      <c r="AE50" s="4" t="s">
        <v>616</v>
      </c>
      <c r="AF50" s="4" t="s">
        <v>617</v>
      </c>
      <c r="AG50" s="4" t="s">
        <v>618</v>
      </c>
      <c r="AH50" s="4" t="s">
        <v>619</v>
      </c>
      <c r="AI50" s="4" t="s">
        <v>620</v>
      </c>
      <c r="AJ50" s="4" t="s">
        <v>621</v>
      </c>
      <c r="AK50" s="4" t="s">
        <v>622</v>
      </c>
      <c r="AL50" s="4" t="s">
        <v>623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/>
    </row>
    <row r="51" spans="1:169" x14ac:dyDescent="0.3">
      <c r="A51" s="2">
        <v>43</v>
      </c>
      <c r="B51" s="5">
        <v>7</v>
      </c>
      <c r="C51" s="6">
        <v>2100868</v>
      </c>
      <c r="D51" s="6" t="s">
        <v>241</v>
      </c>
      <c r="E51" s="6">
        <v>2902010</v>
      </c>
      <c r="F51" s="6">
        <v>2902010</v>
      </c>
      <c r="G51" s="6">
        <v>0</v>
      </c>
      <c r="H51" s="6">
        <v>0</v>
      </c>
      <c r="I51" s="6">
        <v>51.48</v>
      </c>
      <c r="J51" s="6" t="s">
        <v>169</v>
      </c>
      <c r="K51" s="6" t="s">
        <v>170</v>
      </c>
      <c r="L51" s="7" t="s">
        <v>171</v>
      </c>
      <c r="M51" s="7" t="s">
        <v>172</v>
      </c>
      <c r="N51" s="8" t="s">
        <v>624</v>
      </c>
      <c r="O51" s="5">
        <v>-7368.69</v>
      </c>
      <c r="P51" s="6">
        <v>9776.4</v>
      </c>
      <c r="Q51" s="6">
        <v>638.35799999999995</v>
      </c>
      <c r="R51" s="12">
        <v>1339.43</v>
      </c>
      <c r="S51" s="4" t="s">
        <v>625</v>
      </c>
      <c r="T51" s="4" t="s">
        <v>626</v>
      </c>
      <c r="U51" s="4" t="s">
        <v>627</v>
      </c>
      <c r="V51" s="4" t="s">
        <v>628</v>
      </c>
      <c r="W51" s="4" t="s">
        <v>629</v>
      </c>
      <c r="X51" s="4" t="s">
        <v>630</v>
      </c>
      <c r="Y51" s="4" t="s">
        <v>631</v>
      </c>
      <c r="Z51" s="4" t="s">
        <v>632</v>
      </c>
      <c r="AA51" s="4" t="s">
        <v>633</v>
      </c>
      <c r="AB51" s="4" t="s">
        <v>634</v>
      </c>
      <c r="AC51" s="4" t="s">
        <v>635</v>
      </c>
      <c r="AD51" s="4" t="s">
        <v>636</v>
      </c>
      <c r="AE51" s="4" t="s">
        <v>637</v>
      </c>
      <c r="AF51" s="4" t="s">
        <v>638</v>
      </c>
      <c r="AG51" s="4" t="s">
        <v>639</v>
      </c>
      <c r="AH51" s="4" t="s">
        <v>640</v>
      </c>
      <c r="AI51" s="4" t="s">
        <v>641</v>
      </c>
      <c r="AJ51" s="4" t="s">
        <v>642</v>
      </c>
      <c r="AK51" s="4" t="s">
        <v>643</v>
      </c>
      <c r="AL51" s="4" t="s">
        <v>644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/>
    </row>
    <row r="52" spans="1:169" x14ac:dyDescent="0.3">
      <c r="A52" s="2">
        <v>44</v>
      </c>
      <c r="B52" s="5">
        <v>7</v>
      </c>
      <c r="C52" s="6">
        <v>2100868</v>
      </c>
      <c r="D52" s="6" t="s">
        <v>241</v>
      </c>
      <c r="E52" s="6">
        <v>2902010</v>
      </c>
      <c r="F52" s="6">
        <v>2902010</v>
      </c>
      <c r="G52" s="6">
        <v>0</v>
      </c>
      <c r="H52" s="6">
        <v>0</v>
      </c>
      <c r="I52" s="6">
        <v>51.48</v>
      </c>
      <c r="J52" s="6" t="s">
        <v>194</v>
      </c>
      <c r="K52" s="6" t="s">
        <v>195</v>
      </c>
      <c r="L52" s="7" t="s">
        <v>196</v>
      </c>
      <c r="M52" s="7" t="s">
        <v>172</v>
      </c>
      <c r="N52" s="8" t="s">
        <v>624</v>
      </c>
      <c r="O52" s="5">
        <v>9326.3799999999992</v>
      </c>
      <c r="P52" s="6">
        <v>-9204.5</v>
      </c>
      <c r="Q52" s="6">
        <v>-839.64800000000002</v>
      </c>
      <c r="R52" s="12">
        <v>68260.800000000003</v>
      </c>
      <c r="S52" s="4" t="s">
        <v>625</v>
      </c>
      <c r="T52" s="4" t="s">
        <v>626</v>
      </c>
      <c r="U52" s="4" t="s">
        <v>627</v>
      </c>
      <c r="V52" s="4" t="s">
        <v>628</v>
      </c>
      <c r="W52" s="4" t="s">
        <v>629</v>
      </c>
      <c r="X52" s="4" t="s">
        <v>630</v>
      </c>
      <c r="Y52" s="4" t="s">
        <v>631</v>
      </c>
      <c r="Z52" s="4" t="s">
        <v>632</v>
      </c>
      <c r="AA52" s="4" t="s">
        <v>633</v>
      </c>
      <c r="AB52" s="4" t="s">
        <v>634</v>
      </c>
      <c r="AC52" s="4" t="s">
        <v>635</v>
      </c>
      <c r="AD52" s="4" t="s">
        <v>636</v>
      </c>
      <c r="AE52" s="4" t="s">
        <v>637</v>
      </c>
      <c r="AF52" s="4" t="s">
        <v>638</v>
      </c>
      <c r="AG52" s="4" t="s">
        <v>639</v>
      </c>
      <c r="AH52" s="4" t="s">
        <v>640</v>
      </c>
      <c r="AI52" s="4" t="s">
        <v>641</v>
      </c>
      <c r="AJ52" s="4" t="s">
        <v>642</v>
      </c>
      <c r="AK52" s="4" t="s">
        <v>643</v>
      </c>
      <c r="AL52" s="4" t="s">
        <v>644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/>
    </row>
    <row r="53" spans="1:169" x14ac:dyDescent="0.3">
      <c r="A53" s="2">
        <v>45</v>
      </c>
      <c r="B53" s="5">
        <v>7</v>
      </c>
      <c r="C53" s="6">
        <v>1107611</v>
      </c>
      <c r="D53" s="6" t="s">
        <v>263</v>
      </c>
      <c r="E53" s="6">
        <v>2902010</v>
      </c>
      <c r="F53" s="6">
        <v>1902012</v>
      </c>
      <c r="G53" s="6">
        <v>3902010</v>
      </c>
      <c r="H53" s="6">
        <v>1902011</v>
      </c>
      <c r="I53" s="6">
        <v>57.914999999999999</v>
      </c>
      <c r="J53" s="6" t="s">
        <v>169</v>
      </c>
      <c r="K53" s="6" t="s">
        <v>170</v>
      </c>
      <c r="L53" s="7" t="s">
        <v>171</v>
      </c>
      <c r="M53" s="7" t="s">
        <v>172</v>
      </c>
      <c r="N53" s="8" t="s">
        <v>645</v>
      </c>
      <c r="O53" s="5">
        <v>8061.73</v>
      </c>
      <c r="P53" s="6">
        <v>-1726.9</v>
      </c>
      <c r="Q53" s="6">
        <v>-16011.9</v>
      </c>
      <c r="R53" s="12">
        <v>1339.43</v>
      </c>
      <c r="S53" s="4" t="s">
        <v>646</v>
      </c>
      <c r="T53" s="4" t="s">
        <v>647</v>
      </c>
      <c r="U53" s="4" t="s">
        <v>648</v>
      </c>
      <c r="V53" s="4" t="s">
        <v>649</v>
      </c>
      <c r="W53" s="4" t="s">
        <v>650</v>
      </c>
      <c r="X53" s="4" t="s">
        <v>651</v>
      </c>
      <c r="Y53" s="4" t="s">
        <v>652</v>
      </c>
      <c r="Z53" s="4" t="s">
        <v>653</v>
      </c>
      <c r="AA53" s="4" t="s">
        <v>654</v>
      </c>
      <c r="AB53" s="4" t="s">
        <v>655</v>
      </c>
      <c r="AC53" s="4" t="s">
        <v>656</v>
      </c>
      <c r="AD53" s="4" t="s">
        <v>657</v>
      </c>
      <c r="AE53" s="4" t="s">
        <v>658</v>
      </c>
      <c r="AF53" s="4" t="s">
        <v>659</v>
      </c>
      <c r="AG53" s="4" t="s">
        <v>660</v>
      </c>
      <c r="AH53" s="4" t="s">
        <v>661</v>
      </c>
      <c r="AI53" s="4" t="s">
        <v>662</v>
      </c>
      <c r="AJ53" s="4" t="s">
        <v>663</v>
      </c>
      <c r="AK53" s="4" t="s">
        <v>664</v>
      </c>
      <c r="AL53" s="4" t="s">
        <v>665</v>
      </c>
      <c r="AM53" s="3">
        <v>-51.134</v>
      </c>
      <c r="AN53" s="3">
        <v>-99.194900000000004</v>
      </c>
      <c r="AO53" s="3">
        <v>-148.51599999999999</v>
      </c>
      <c r="AP53" s="3">
        <v>-194.72900000000001</v>
      </c>
      <c r="AQ53" s="3">
        <v>-257.83800000000002</v>
      </c>
      <c r="AR53" s="3">
        <v>-354.39499999999998</v>
      </c>
      <c r="AS53" s="3">
        <v>-757.601</v>
      </c>
      <c r="AT53" s="3">
        <v>-1113.21</v>
      </c>
      <c r="AU53" s="3">
        <v>-1354.38</v>
      </c>
      <c r="AV53" s="3">
        <v>-1492.41</v>
      </c>
      <c r="AW53" s="3">
        <v>-1534.58</v>
      </c>
      <c r="AX53" s="3">
        <v>-1460.02</v>
      </c>
      <c r="AY53" s="3">
        <v>-1394.44</v>
      </c>
      <c r="AZ53" s="3">
        <v>-1312.95</v>
      </c>
      <c r="BA53" s="3">
        <v>-1236.0999999999999</v>
      </c>
      <c r="BB53" s="3">
        <v>-1169.04</v>
      </c>
      <c r="BC53" s="3">
        <v>-967.221</v>
      </c>
      <c r="BD53" s="3">
        <v>-747.63499999999999</v>
      </c>
      <c r="BE53" s="3">
        <v>-523.07100000000003</v>
      </c>
      <c r="BF53" s="3">
        <v>-299.15899999999999</v>
      </c>
      <c r="BG53" s="3">
        <v>-355.73500000000001</v>
      </c>
      <c r="BH53" s="3">
        <v>-334.75299999999999</v>
      </c>
      <c r="BI53" s="3">
        <v>-318.709</v>
      </c>
      <c r="BJ53" s="3">
        <v>-306.44299999999998</v>
      </c>
      <c r="BK53" s="3">
        <v>-290.35199999999998</v>
      </c>
      <c r="BL53" s="3">
        <v>-266.76799999999997</v>
      </c>
      <c r="BM53" s="3">
        <v>-266.48399999999998</v>
      </c>
      <c r="BN53" s="3">
        <v>-264.25200000000001</v>
      </c>
      <c r="BO53" s="3">
        <v>-291.685</v>
      </c>
      <c r="BP53" s="3">
        <v>-352.58199999999999</v>
      </c>
      <c r="BQ53" s="3">
        <v>-387.399</v>
      </c>
      <c r="BR53" s="3">
        <v>-378.56700000000001</v>
      </c>
      <c r="BS53" s="3">
        <v>-375.15300000000002</v>
      </c>
      <c r="BT53" s="3">
        <v>-365.214</v>
      </c>
      <c r="BU53" s="3">
        <v>-355.31700000000001</v>
      </c>
      <c r="BV53" s="3">
        <v>-355.97800000000001</v>
      </c>
      <c r="BW53" s="3">
        <v>-350.21</v>
      </c>
      <c r="BX53" s="3">
        <v>-354.005</v>
      </c>
      <c r="BY53" s="3">
        <v>-351.91699999999997</v>
      </c>
      <c r="BZ53" s="3">
        <v>-347.22</v>
      </c>
      <c r="CA53" s="3">
        <v>-393.62799999999999</v>
      </c>
      <c r="CB53" s="3">
        <v>-375.423</v>
      </c>
      <c r="CC53" s="3">
        <v>-354.05399999999997</v>
      </c>
      <c r="CD53" s="3">
        <v>-324.45600000000002</v>
      </c>
      <c r="CE53" s="3">
        <v>-313.29500000000002</v>
      </c>
      <c r="CF53" s="3">
        <v>-313.59500000000003</v>
      </c>
      <c r="CG53" s="3">
        <v>-397.41399999999999</v>
      </c>
      <c r="CH53" s="3">
        <v>-492.98899999999998</v>
      </c>
      <c r="CI53" s="3">
        <v>-594.23500000000001</v>
      </c>
      <c r="CJ53" s="3">
        <v>-706.91300000000001</v>
      </c>
      <c r="CK53" s="3">
        <v>-766.54</v>
      </c>
      <c r="CL53" s="3">
        <v>-733.803</v>
      </c>
      <c r="CM53" s="3">
        <v>-714.06799999999998</v>
      </c>
      <c r="CN53" s="3">
        <v>-686.91800000000001</v>
      </c>
      <c r="CO53" s="3">
        <v>-662.81299999999999</v>
      </c>
      <c r="CP53" s="3">
        <v>-647.60699999999997</v>
      </c>
      <c r="CQ53" s="3">
        <v>-585.92899999999997</v>
      </c>
      <c r="CR53" s="3">
        <v>-535.11599999999999</v>
      </c>
      <c r="CS53" s="3">
        <v>-494.20100000000002</v>
      </c>
      <c r="CT53" s="3">
        <v>-443.05099999999999</v>
      </c>
      <c r="CU53" s="3">
        <v>9022.1</v>
      </c>
      <c r="CV53" s="3">
        <v>10245.1</v>
      </c>
      <c r="CW53" s="3">
        <v>11573.2</v>
      </c>
      <c r="CX53" s="3">
        <v>12332.2</v>
      </c>
      <c r="CY53" s="3">
        <v>12093.5</v>
      </c>
      <c r="CZ53" s="3">
        <v>11170.6</v>
      </c>
      <c r="DA53" s="3">
        <v>11281.5</v>
      </c>
      <c r="DB53" s="3">
        <v>11107.3</v>
      </c>
      <c r="DC53" s="3">
        <v>10928.7</v>
      </c>
      <c r="DD53" s="3">
        <v>10497.8</v>
      </c>
      <c r="DE53" s="3">
        <v>10055.5</v>
      </c>
      <c r="DF53" s="3">
        <v>9272.0499999999993</v>
      </c>
      <c r="DG53" s="3">
        <v>8209.5300000000007</v>
      </c>
      <c r="DH53" s="3">
        <v>7196.9</v>
      </c>
      <c r="DI53" s="3">
        <v>6197.3</v>
      </c>
      <c r="DJ53" s="3">
        <v>5951.42</v>
      </c>
      <c r="DK53" s="3">
        <v>6518.23</v>
      </c>
      <c r="DL53" s="3">
        <v>7106.45</v>
      </c>
      <c r="DM53" s="3">
        <v>7611.86</v>
      </c>
      <c r="DN53" s="3">
        <v>8269.75</v>
      </c>
      <c r="DO53" s="3">
        <v>2740.53</v>
      </c>
      <c r="DP53" s="3">
        <v>2881.95</v>
      </c>
      <c r="DQ53" s="3">
        <v>2959.92</v>
      </c>
      <c r="DR53" s="3">
        <v>2790.77</v>
      </c>
      <c r="DS53" s="3">
        <v>2589.29</v>
      </c>
      <c r="DT53" s="3">
        <v>2256.16</v>
      </c>
      <c r="DU53" s="3">
        <v>2528.63</v>
      </c>
      <c r="DV53" s="3">
        <v>2792.61</v>
      </c>
      <c r="DW53" s="3">
        <v>2095.5500000000002</v>
      </c>
      <c r="DX53" s="3">
        <v>1261.48</v>
      </c>
      <c r="DY53" s="3">
        <v>1016.47</v>
      </c>
      <c r="DZ53" s="3">
        <v>937.84400000000005</v>
      </c>
      <c r="EA53" s="3">
        <v>895.83299999999997</v>
      </c>
      <c r="EB53" s="3">
        <v>1010</v>
      </c>
      <c r="EC53" s="3">
        <v>1000.34</v>
      </c>
      <c r="ED53" s="3">
        <v>1116.25</v>
      </c>
      <c r="EE53" s="3">
        <v>1275.01</v>
      </c>
      <c r="EF53" s="3">
        <v>1630.55</v>
      </c>
      <c r="EG53" s="3">
        <v>2425.2399999999998</v>
      </c>
      <c r="EH53" s="3">
        <v>2887.67</v>
      </c>
      <c r="EI53" s="3">
        <v>1458.5</v>
      </c>
      <c r="EJ53" s="3">
        <v>1858.85</v>
      </c>
      <c r="EK53" s="3">
        <v>2068.92</v>
      </c>
      <c r="EL53" s="3">
        <v>1742.78</v>
      </c>
      <c r="EM53" s="3">
        <v>1400.33</v>
      </c>
      <c r="EN53" s="3">
        <v>1122.1400000000001</v>
      </c>
      <c r="EO53" s="3">
        <v>1633.3</v>
      </c>
      <c r="EP53" s="3">
        <v>2642.09</v>
      </c>
      <c r="EQ53" s="3">
        <v>3418.59</v>
      </c>
      <c r="ER53" s="3">
        <v>3529.47</v>
      </c>
      <c r="ES53" s="3">
        <v>3431.18</v>
      </c>
      <c r="ET53" s="3">
        <v>2991.49</v>
      </c>
      <c r="EU53" s="3">
        <v>2477.58</v>
      </c>
      <c r="EV53" s="3">
        <v>1980.85</v>
      </c>
      <c r="EW53" s="3">
        <v>1834.28</v>
      </c>
      <c r="EX53" s="3">
        <v>1596.09</v>
      </c>
      <c r="EY53" s="3">
        <v>1352.14</v>
      </c>
      <c r="EZ53" s="3">
        <v>1073.51</v>
      </c>
      <c r="FA53" s="3">
        <v>1030.6500000000001</v>
      </c>
      <c r="FB53" s="3">
        <v>1332.44</v>
      </c>
      <c r="FC53" s="3">
        <v>-626.21</v>
      </c>
      <c r="FD53" s="3">
        <v>-1101.0899999999999</v>
      </c>
      <c r="FE53" s="3">
        <v>-312.12700000000001</v>
      </c>
      <c r="FF53" s="3">
        <v>-369.60500000000002</v>
      </c>
      <c r="FG53" s="3">
        <v>-345.74200000000002</v>
      </c>
      <c r="FH53" s="3">
        <v>-701.95799999999997</v>
      </c>
      <c r="FI53" s="3">
        <v>-9126.77</v>
      </c>
      <c r="FJ53" s="3">
        <v>-1849.61</v>
      </c>
      <c r="FK53" s="3">
        <v>-1982.63</v>
      </c>
      <c r="FL53" s="3">
        <v>1.9162800000000001E-2</v>
      </c>
      <c r="FM53" s="3" t="s">
        <v>666</v>
      </c>
    </row>
    <row r="54" spans="1:169" x14ac:dyDescent="0.3">
      <c r="A54" s="2">
        <v>46</v>
      </c>
      <c r="B54" s="5">
        <v>7</v>
      </c>
      <c r="C54" s="6">
        <v>1107611</v>
      </c>
      <c r="D54" s="6" t="s">
        <v>263</v>
      </c>
      <c r="E54" s="6">
        <v>2902010</v>
      </c>
      <c r="F54" s="6">
        <v>1902012</v>
      </c>
      <c r="G54" s="6">
        <v>3902010</v>
      </c>
      <c r="H54" s="6">
        <v>1902011</v>
      </c>
      <c r="I54" s="6">
        <v>57.914999999999999</v>
      </c>
      <c r="J54" s="6" t="s">
        <v>194</v>
      </c>
      <c r="K54" s="6" t="s">
        <v>195</v>
      </c>
      <c r="L54" s="7" t="s">
        <v>196</v>
      </c>
      <c r="M54" s="7" t="s">
        <v>172</v>
      </c>
      <c r="N54" s="8" t="s">
        <v>645</v>
      </c>
      <c r="O54" s="5">
        <v>-7251.47</v>
      </c>
      <c r="P54" s="6">
        <v>1206.79</v>
      </c>
      <c r="Q54" s="6">
        <v>14477.2</v>
      </c>
      <c r="R54" s="12">
        <v>68260.800000000003</v>
      </c>
      <c r="S54" s="4" t="s">
        <v>646</v>
      </c>
      <c r="T54" s="4" t="s">
        <v>647</v>
      </c>
      <c r="U54" s="4" t="s">
        <v>648</v>
      </c>
      <c r="V54" s="4" t="s">
        <v>649</v>
      </c>
      <c r="W54" s="4" t="s">
        <v>650</v>
      </c>
      <c r="X54" s="4" t="s">
        <v>651</v>
      </c>
      <c r="Y54" s="4" t="s">
        <v>652</v>
      </c>
      <c r="Z54" s="4" t="s">
        <v>653</v>
      </c>
      <c r="AA54" s="4" t="s">
        <v>654</v>
      </c>
      <c r="AB54" s="4" t="s">
        <v>655</v>
      </c>
      <c r="AC54" s="4" t="s">
        <v>656</v>
      </c>
      <c r="AD54" s="4" t="s">
        <v>657</v>
      </c>
      <c r="AE54" s="4" t="s">
        <v>658</v>
      </c>
      <c r="AF54" s="4" t="s">
        <v>659</v>
      </c>
      <c r="AG54" s="4" t="s">
        <v>660</v>
      </c>
      <c r="AH54" s="4" t="s">
        <v>661</v>
      </c>
      <c r="AI54" s="4" t="s">
        <v>662</v>
      </c>
      <c r="AJ54" s="4" t="s">
        <v>663</v>
      </c>
      <c r="AK54" s="4" t="s">
        <v>664</v>
      </c>
      <c r="AL54" s="4" t="s">
        <v>665</v>
      </c>
      <c r="AM54" s="3">
        <v>188.1</v>
      </c>
      <c r="AN54" s="3">
        <v>216.84</v>
      </c>
      <c r="AO54" s="3">
        <v>239.25299999999999</v>
      </c>
      <c r="AP54" s="3">
        <v>244.86</v>
      </c>
      <c r="AQ54" s="3">
        <v>255.94300000000001</v>
      </c>
      <c r="AR54" s="3">
        <v>277.40499999999997</v>
      </c>
      <c r="AS54" s="3">
        <v>464.79700000000003</v>
      </c>
      <c r="AT54" s="3">
        <v>673.74699999999996</v>
      </c>
      <c r="AU54" s="3">
        <v>856.60900000000004</v>
      </c>
      <c r="AV54" s="3">
        <v>1019.49</v>
      </c>
      <c r="AW54" s="3">
        <v>1105.3800000000001</v>
      </c>
      <c r="AX54" s="3">
        <v>1116.3399999999999</v>
      </c>
      <c r="AY54" s="3">
        <v>1116.9100000000001</v>
      </c>
      <c r="AZ54" s="3">
        <v>1082.2</v>
      </c>
      <c r="BA54" s="3">
        <v>1044.73</v>
      </c>
      <c r="BB54" s="3">
        <v>1013.72</v>
      </c>
      <c r="BC54" s="3">
        <v>817.221</v>
      </c>
      <c r="BD54" s="3">
        <v>627.89499999999998</v>
      </c>
      <c r="BE54" s="3">
        <v>463.495</v>
      </c>
      <c r="BF54" s="3">
        <v>327.09399999999999</v>
      </c>
      <c r="BG54" s="3">
        <v>368.04300000000001</v>
      </c>
      <c r="BH54" s="3">
        <v>367.61</v>
      </c>
      <c r="BI54" s="3">
        <v>375.83100000000002</v>
      </c>
      <c r="BJ54" s="3">
        <v>395.10199999999998</v>
      </c>
      <c r="BK54" s="3">
        <v>408.94</v>
      </c>
      <c r="BL54" s="3">
        <v>412.39600000000002</v>
      </c>
      <c r="BM54" s="3">
        <v>391.88900000000001</v>
      </c>
      <c r="BN54" s="3">
        <v>353.79599999999999</v>
      </c>
      <c r="BO54" s="3">
        <v>326.108</v>
      </c>
      <c r="BP54" s="3">
        <v>315.33199999999999</v>
      </c>
      <c r="BQ54" s="3">
        <v>315.44299999999998</v>
      </c>
      <c r="BR54" s="3">
        <v>335.286</v>
      </c>
      <c r="BS54" s="3">
        <v>355.21899999999999</v>
      </c>
      <c r="BT54" s="3">
        <v>368.02499999999998</v>
      </c>
      <c r="BU54" s="3">
        <v>373.15100000000001</v>
      </c>
      <c r="BV54" s="3">
        <v>380.49099999999999</v>
      </c>
      <c r="BW54" s="3">
        <v>388.83600000000001</v>
      </c>
      <c r="BX54" s="3">
        <v>399.23099999999999</v>
      </c>
      <c r="BY54" s="3">
        <v>395.416</v>
      </c>
      <c r="BZ54" s="3">
        <v>380.07900000000001</v>
      </c>
      <c r="CA54" s="3">
        <v>572.99800000000005</v>
      </c>
      <c r="CB54" s="3">
        <v>581.57899999999995</v>
      </c>
      <c r="CC54" s="3">
        <v>584.28700000000003</v>
      </c>
      <c r="CD54" s="3">
        <v>581.16700000000003</v>
      </c>
      <c r="CE54" s="3">
        <v>578.86500000000001</v>
      </c>
      <c r="CF54" s="3">
        <v>567.55499999999995</v>
      </c>
      <c r="CG54" s="3">
        <v>567.43299999999999</v>
      </c>
      <c r="CH54" s="3">
        <v>556.99599999999998</v>
      </c>
      <c r="CI54" s="3">
        <v>548.39400000000001</v>
      </c>
      <c r="CJ54" s="3">
        <v>563.58699999999999</v>
      </c>
      <c r="CK54" s="3">
        <v>588.01900000000001</v>
      </c>
      <c r="CL54" s="3">
        <v>609.66999999999996</v>
      </c>
      <c r="CM54" s="3">
        <v>632.79</v>
      </c>
      <c r="CN54" s="3">
        <v>645.41200000000003</v>
      </c>
      <c r="CO54" s="3">
        <v>650.02499999999998</v>
      </c>
      <c r="CP54" s="3">
        <v>655.96299999999997</v>
      </c>
      <c r="CQ54" s="3">
        <v>631.54499999999996</v>
      </c>
      <c r="CR54" s="3">
        <v>621.23800000000006</v>
      </c>
      <c r="CS54" s="3">
        <v>619.61</v>
      </c>
      <c r="CT54" s="3">
        <v>601.529</v>
      </c>
      <c r="CU54" s="3">
        <v>-7344.45</v>
      </c>
      <c r="CV54" s="3">
        <v>-8296.0400000000009</v>
      </c>
      <c r="CW54" s="3">
        <v>-9362.9699999999993</v>
      </c>
      <c r="CX54" s="3">
        <v>-9892.91</v>
      </c>
      <c r="CY54" s="3">
        <v>-9487.01</v>
      </c>
      <c r="CZ54" s="3">
        <v>-8434.57</v>
      </c>
      <c r="DA54" s="3">
        <v>-8745.81</v>
      </c>
      <c r="DB54" s="3">
        <v>-8710.89</v>
      </c>
      <c r="DC54" s="3">
        <v>-8657.39</v>
      </c>
      <c r="DD54" s="3">
        <v>-8348.81</v>
      </c>
      <c r="DE54" s="3">
        <v>-7983.35</v>
      </c>
      <c r="DF54" s="3">
        <v>-7372.78</v>
      </c>
      <c r="DG54" s="3">
        <v>-6478.52</v>
      </c>
      <c r="DH54" s="3">
        <v>-5607.74</v>
      </c>
      <c r="DI54" s="3">
        <v>-4791.88</v>
      </c>
      <c r="DJ54" s="3">
        <v>-4796.92</v>
      </c>
      <c r="DK54" s="3">
        <v>-5222.4399999999996</v>
      </c>
      <c r="DL54" s="3">
        <v>-5678.31</v>
      </c>
      <c r="DM54" s="3">
        <v>-6057.69</v>
      </c>
      <c r="DN54" s="3">
        <v>-6628.59</v>
      </c>
      <c r="DO54" s="3">
        <v>-2360.5100000000002</v>
      </c>
      <c r="DP54" s="3">
        <v>-2553.7800000000002</v>
      </c>
      <c r="DQ54" s="3">
        <v>-2701.74</v>
      </c>
      <c r="DR54" s="3">
        <v>-2632.2</v>
      </c>
      <c r="DS54" s="3">
        <v>-2529.7399999999998</v>
      </c>
      <c r="DT54" s="3">
        <v>-2287.13</v>
      </c>
      <c r="DU54" s="3">
        <v>-2464.9899999999998</v>
      </c>
      <c r="DV54" s="3">
        <v>-2705.34</v>
      </c>
      <c r="DW54" s="3">
        <v>-2032.79</v>
      </c>
      <c r="DX54" s="3">
        <v>-1251.04</v>
      </c>
      <c r="DY54" s="3">
        <v>-1031.18</v>
      </c>
      <c r="DZ54" s="3">
        <v>-920.06500000000005</v>
      </c>
      <c r="EA54" s="3">
        <v>-859.12900000000002</v>
      </c>
      <c r="EB54" s="3">
        <v>-957.31299999999999</v>
      </c>
      <c r="EC54" s="3">
        <v>-935.85400000000004</v>
      </c>
      <c r="ED54" s="3">
        <v>-1062.24</v>
      </c>
      <c r="EE54" s="3">
        <v>-1103.74</v>
      </c>
      <c r="EF54" s="3">
        <v>-1346.03</v>
      </c>
      <c r="EG54" s="3">
        <v>-2090.54</v>
      </c>
      <c r="EH54" s="3">
        <v>-2541.5500000000002</v>
      </c>
      <c r="EI54" s="3">
        <v>-1652.85</v>
      </c>
      <c r="EJ54" s="3">
        <v>-2052.11</v>
      </c>
      <c r="EK54" s="3">
        <v>-2250.0100000000002</v>
      </c>
      <c r="EL54" s="3">
        <v>-1872.58</v>
      </c>
      <c r="EM54" s="3">
        <v>-1440.13</v>
      </c>
      <c r="EN54" s="3">
        <v>-1031.6099999999999</v>
      </c>
      <c r="EO54" s="3">
        <v>-1462.18</v>
      </c>
      <c r="EP54" s="3">
        <v>-2424.8000000000002</v>
      </c>
      <c r="EQ54" s="3">
        <v>-3120.18</v>
      </c>
      <c r="ER54" s="3">
        <v>-3126.57</v>
      </c>
      <c r="ES54" s="3">
        <v>-2981.28</v>
      </c>
      <c r="ET54" s="3">
        <v>-2581.19</v>
      </c>
      <c r="EU54" s="3">
        <v>-2130.5500000000002</v>
      </c>
      <c r="EV54" s="3">
        <v>-1724.92</v>
      </c>
      <c r="EW54" s="3">
        <v>-1680.35</v>
      </c>
      <c r="EX54" s="3">
        <v>-1509.17</v>
      </c>
      <c r="EY54" s="3">
        <v>-1301.48</v>
      </c>
      <c r="EZ54" s="3">
        <v>-1058.18</v>
      </c>
      <c r="FA54" s="3">
        <v>-1058.02</v>
      </c>
      <c r="FB54" s="3">
        <v>-1435.83</v>
      </c>
      <c r="FC54" s="3">
        <v>572.91999999999996</v>
      </c>
      <c r="FD54" s="3">
        <v>732.90599999999995</v>
      </c>
      <c r="FE54" s="3">
        <v>354.60199999999998</v>
      </c>
      <c r="FF54" s="3">
        <v>387.98700000000002</v>
      </c>
      <c r="FG54" s="3">
        <v>565.33100000000002</v>
      </c>
      <c r="FH54" s="3">
        <v>630.31299999999999</v>
      </c>
      <c r="FI54" s="3">
        <v>7217.44</v>
      </c>
      <c r="FJ54" s="3">
        <v>1735.91</v>
      </c>
      <c r="FK54" s="3">
        <v>1877.87</v>
      </c>
      <c r="FL54" s="3">
        <v>0</v>
      </c>
      <c r="FM54" s="3" t="s">
        <v>666</v>
      </c>
    </row>
    <row r="55" spans="1:169" x14ac:dyDescent="0.3">
      <c r="A55" s="2">
        <v>47</v>
      </c>
      <c r="B55" s="5">
        <v>7</v>
      </c>
      <c r="C55" s="6">
        <v>3102255</v>
      </c>
      <c r="D55" s="6" t="s">
        <v>285</v>
      </c>
      <c r="E55" s="6">
        <v>3902010</v>
      </c>
      <c r="F55" s="6">
        <v>3902012</v>
      </c>
      <c r="G55" s="6">
        <v>5902010</v>
      </c>
      <c r="H55" s="6">
        <v>3902013</v>
      </c>
      <c r="I55" s="6">
        <v>51.48</v>
      </c>
      <c r="J55" s="6" t="s">
        <v>169</v>
      </c>
      <c r="K55" s="6" t="s">
        <v>170</v>
      </c>
      <c r="L55" s="7" t="s">
        <v>171</v>
      </c>
      <c r="M55" s="7" t="s">
        <v>172</v>
      </c>
      <c r="N55" s="8" t="s">
        <v>667</v>
      </c>
      <c r="O55" s="5">
        <v>12269.3</v>
      </c>
      <c r="P55" s="6">
        <v>61375</v>
      </c>
      <c r="Q55" s="6">
        <v>-3142.75</v>
      </c>
      <c r="R55" s="12">
        <v>1339.43</v>
      </c>
      <c r="S55" s="4" t="s">
        <v>668</v>
      </c>
      <c r="T55" s="4" t="s">
        <v>669</v>
      </c>
      <c r="U55" s="4" t="s">
        <v>670</v>
      </c>
      <c r="V55" s="4" t="s">
        <v>671</v>
      </c>
      <c r="W55" s="4" t="s">
        <v>672</v>
      </c>
      <c r="X55" s="4" t="s">
        <v>673</v>
      </c>
      <c r="Y55" s="4" t="s">
        <v>674</v>
      </c>
      <c r="Z55" s="4" t="s">
        <v>675</v>
      </c>
      <c r="AA55" s="4" t="s">
        <v>676</v>
      </c>
      <c r="AB55" s="4" t="s">
        <v>677</v>
      </c>
      <c r="AC55" s="4" t="s">
        <v>678</v>
      </c>
      <c r="AD55" s="4" t="s">
        <v>679</v>
      </c>
      <c r="AE55" s="4" t="s">
        <v>680</v>
      </c>
      <c r="AF55" s="4" t="s">
        <v>681</v>
      </c>
      <c r="AG55" s="4" t="s">
        <v>682</v>
      </c>
      <c r="AH55" s="4" t="s">
        <v>683</v>
      </c>
      <c r="AI55" s="4" t="s">
        <v>684</v>
      </c>
      <c r="AJ55" s="4" t="s">
        <v>685</v>
      </c>
      <c r="AK55" s="4" t="s">
        <v>686</v>
      </c>
      <c r="AL55" s="4" t="s">
        <v>687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/>
    </row>
    <row r="56" spans="1:169" x14ac:dyDescent="0.3">
      <c r="A56" s="2">
        <v>48</v>
      </c>
      <c r="B56" s="5">
        <v>7</v>
      </c>
      <c r="C56" s="6">
        <v>3102255</v>
      </c>
      <c r="D56" s="6" t="s">
        <v>285</v>
      </c>
      <c r="E56" s="6">
        <v>3902010</v>
      </c>
      <c r="F56" s="6">
        <v>3902012</v>
      </c>
      <c r="G56" s="6">
        <v>5902010</v>
      </c>
      <c r="H56" s="6">
        <v>3902013</v>
      </c>
      <c r="I56" s="6">
        <v>51.48</v>
      </c>
      <c r="J56" s="6" t="s">
        <v>194</v>
      </c>
      <c r="K56" s="6" t="s">
        <v>195</v>
      </c>
      <c r="L56" s="7" t="s">
        <v>196</v>
      </c>
      <c r="M56" s="7" t="s">
        <v>172</v>
      </c>
      <c r="N56" s="8" t="s">
        <v>667</v>
      </c>
      <c r="O56" s="5">
        <v>-12506.7</v>
      </c>
      <c r="P56" s="6">
        <v>-56850.9</v>
      </c>
      <c r="Q56" s="6">
        <v>2129.5500000000002</v>
      </c>
      <c r="R56" s="12">
        <v>68260.800000000003</v>
      </c>
      <c r="S56" s="4" t="s">
        <v>668</v>
      </c>
      <c r="T56" s="4" t="s">
        <v>669</v>
      </c>
      <c r="U56" s="4" t="s">
        <v>670</v>
      </c>
      <c r="V56" s="4" t="s">
        <v>671</v>
      </c>
      <c r="W56" s="4" t="s">
        <v>672</v>
      </c>
      <c r="X56" s="4" t="s">
        <v>673</v>
      </c>
      <c r="Y56" s="4" t="s">
        <v>674</v>
      </c>
      <c r="Z56" s="4" t="s">
        <v>675</v>
      </c>
      <c r="AA56" s="4" t="s">
        <v>676</v>
      </c>
      <c r="AB56" s="4" t="s">
        <v>677</v>
      </c>
      <c r="AC56" s="4" t="s">
        <v>678</v>
      </c>
      <c r="AD56" s="4" t="s">
        <v>679</v>
      </c>
      <c r="AE56" s="4" t="s">
        <v>680</v>
      </c>
      <c r="AF56" s="4" t="s">
        <v>681</v>
      </c>
      <c r="AG56" s="4" t="s">
        <v>682</v>
      </c>
      <c r="AH56" s="4" t="s">
        <v>683</v>
      </c>
      <c r="AI56" s="4" t="s">
        <v>684</v>
      </c>
      <c r="AJ56" s="4" t="s">
        <v>685</v>
      </c>
      <c r="AK56" s="4" t="s">
        <v>686</v>
      </c>
      <c r="AL56" s="4" t="s">
        <v>687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/>
    </row>
    <row r="57" spans="1:169" x14ac:dyDescent="0.3">
      <c r="A57" s="2">
        <v>49</v>
      </c>
      <c r="B57" s="5">
        <v>7</v>
      </c>
      <c r="C57" s="6">
        <v>610969</v>
      </c>
      <c r="D57" s="6" t="s">
        <v>688</v>
      </c>
      <c r="E57" s="6">
        <v>5902010</v>
      </c>
      <c r="F57" s="6">
        <v>610748</v>
      </c>
      <c r="G57" s="6">
        <v>0</v>
      </c>
      <c r="H57" s="6">
        <v>0</v>
      </c>
      <c r="I57" s="6">
        <v>51.48</v>
      </c>
      <c r="J57" s="6" t="s">
        <v>169</v>
      </c>
      <c r="K57" s="6" t="s">
        <v>170</v>
      </c>
      <c r="L57" s="7" t="s">
        <v>171</v>
      </c>
      <c r="M57" s="7" t="s">
        <v>172</v>
      </c>
      <c r="N57" s="8" t="s">
        <v>689</v>
      </c>
      <c r="O57" s="5">
        <v>18250.400000000001</v>
      </c>
      <c r="P57" s="6">
        <v>-71643.3</v>
      </c>
      <c r="Q57" s="6">
        <v>20980.5</v>
      </c>
      <c r="R57" s="12">
        <v>1339.43</v>
      </c>
      <c r="S57" s="4" t="s">
        <v>690</v>
      </c>
      <c r="T57" s="4" t="s">
        <v>691</v>
      </c>
      <c r="U57" s="4" t="s">
        <v>692</v>
      </c>
      <c r="V57" s="4" t="s">
        <v>693</v>
      </c>
      <c r="W57" s="4" t="s">
        <v>694</v>
      </c>
      <c r="X57" s="4" t="s">
        <v>695</v>
      </c>
      <c r="Y57" s="4" t="s">
        <v>696</v>
      </c>
      <c r="Z57" s="4" t="s">
        <v>697</v>
      </c>
      <c r="AA57" s="4" t="s">
        <v>698</v>
      </c>
      <c r="AB57" s="4" t="s">
        <v>699</v>
      </c>
      <c r="AC57" s="4" t="s">
        <v>700</v>
      </c>
      <c r="AD57" s="4" t="s">
        <v>701</v>
      </c>
      <c r="AE57" s="4" t="s">
        <v>702</v>
      </c>
      <c r="AF57" s="4" t="s">
        <v>703</v>
      </c>
      <c r="AG57" s="4" t="s">
        <v>704</v>
      </c>
      <c r="AH57" s="4" t="s">
        <v>705</v>
      </c>
      <c r="AI57" s="4" t="s">
        <v>706</v>
      </c>
      <c r="AJ57" s="4" t="s">
        <v>707</v>
      </c>
      <c r="AK57" s="4" t="s">
        <v>708</v>
      </c>
      <c r="AL57" s="4" t="s">
        <v>709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 t="s">
        <v>710</v>
      </c>
    </row>
    <row r="58" spans="1:169" x14ac:dyDescent="0.3">
      <c r="A58" s="2">
        <v>50</v>
      </c>
      <c r="B58" s="5">
        <v>7</v>
      </c>
      <c r="C58" s="6">
        <v>610969</v>
      </c>
      <c r="D58" s="6" t="s">
        <v>688</v>
      </c>
      <c r="E58" s="6">
        <v>5902010</v>
      </c>
      <c r="F58" s="6">
        <v>610748</v>
      </c>
      <c r="G58" s="6">
        <v>0</v>
      </c>
      <c r="H58" s="6">
        <v>0</v>
      </c>
      <c r="I58" s="6">
        <v>51.48</v>
      </c>
      <c r="J58" s="6" t="s">
        <v>194</v>
      </c>
      <c r="K58" s="6" t="s">
        <v>195</v>
      </c>
      <c r="L58" s="7" t="s">
        <v>196</v>
      </c>
      <c r="M58" s="7" t="s">
        <v>172</v>
      </c>
      <c r="N58" s="8" t="s">
        <v>689</v>
      </c>
      <c r="O58" s="5">
        <v>-17483.3</v>
      </c>
      <c r="P58" s="6">
        <v>68730.899999999994</v>
      </c>
      <c r="Q58" s="6">
        <v>-18612</v>
      </c>
      <c r="R58" s="12">
        <v>68260.800000000003</v>
      </c>
      <c r="S58" s="4" t="s">
        <v>690</v>
      </c>
      <c r="T58" s="4" t="s">
        <v>691</v>
      </c>
      <c r="U58" s="4" t="s">
        <v>692</v>
      </c>
      <c r="V58" s="4" t="s">
        <v>693</v>
      </c>
      <c r="W58" s="4" t="s">
        <v>694</v>
      </c>
      <c r="X58" s="4" t="s">
        <v>695</v>
      </c>
      <c r="Y58" s="4" t="s">
        <v>696</v>
      </c>
      <c r="Z58" s="4" t="s">
        <v>697</v>
      </c>
      <c r="AA58" s="4" t="s">
        <v>698</v>
      </c>
      <c r="AB58" s="4" t="s">
        <v>699</v>
      </c>
      <c r="AC58" s="4" t="s">
        <v>700</v>
      </c>
      <c r="AD58" s="4" t="s">
        <v>701</v>
      </c>
      <c r="AE58" s="4" t="s">
        <v>702</v>
      </c>
      <c r="AF58" s="4" t="s">
        <v>703</v>
      </c>
      <c r="AG58" s="4" t="s">
        <v>704</v>
      </c>
      <c r="AH58" s="4" t="s">
        <v>705</v>
      </c>
      <c r="AI58" s="4" t="s">
        <v>706</v>
      </c>
      <c r="AJ58" s="4" t="s">
        <v>707</v>
      </c>
      <c r="AK58" s="4" t="s">
        <v>708</v>
      </c>
      <c r="AL58" s="4" t="s">
        <v>709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 t="s">
        <v>710</v>
      </c>
    </row>
    <row r="59" spans="1:169" x14ac:dyDescent="0.3">
      <c r="A59" s="2">
        <v>51</v>
      </c>
      <c r="B59" s="5">
        <v>8</v>
      </c>
      <c r="C59" s="6">
        <v>2100963</v>
      </c>
      <c r="D59" s="6" t="s">
        <v>241</v>
      </c>
      <c r="E59" s="6">
        <v>2903010</v>
      </c>
      <c r="F59" s="6">
        <v>2903010</v>
      </c>
      <c r="G59" s="6">
        <v>0</v>
      </c>
      <c r="H59" s="6">
        <v>0</v>
      </c>
      <c r="I59" s="6">
        <v>51.48</v>
      </c>
      <c r="J59" s="6" t="s">
        <v>169</v>
      </c>
      <c r="K59" s="6" t="s">
        <v>170</v>
      </c>
      <c r="L59" s="7" t="s">
        <v>171</v>
      </c>
      <c r="M59" s="7" t="s">
        <v>172</v>
      </c>
      <c r="N59" s="8" t="s">
        <v>711</v>
      </c>
      <c r="O59" s="5">
        <v>-3416.54</v>
      </c>
      <c r="P59" s="6">
        <v>-317.238</v>
      </c>
      <c r="Q59" s="6">
        <v>-707.36199999999997</v>
      </c>
      <c r="R59" s="12">
        <v>35983.9</v>
      </c>
      <c r="S59" s="4" t="s">
        <v>712</v>
      </c>
      <c r="T59" s="4" t="s">
        <v>713</v>
      </c>
      <c r="U59" s="4" t="s">
        <v>714</v>
      </c>
      <c r="V59" s="4" t="s">
        <v>715</v>
      </c>
      <c r="W59" s="4" t="s">
        <v>716</v>
      </c>
      <c r="X59" s="4" t="s">
        <v>717</v>
      </c>
      <c r="Y59" s="4" t="s">
        <v>718</v>
      </c>
      <c r="Z59" s="4" t="s">
        <v>719</v>
      </c>
      <c r="AA59" s="4" t="s">
        <v>720</v>
      </c>
      <c r="AB59" s="4" t="s">
        <v>721</v>
      </c>
      <c r="AC59" s="4" t="s">
        <v>722</v>
      </c>
      <c r="AD59" s="4" t="s">
        <v>723</v>
      </c>
      <c r="AE59" s="4" t="s">
        <v>724</v>
      </c>
      <c r="AF59" s="4" t="s">
        <v>725</v>
      </c>
      <c r="AG59" s="4" t="s">
        <v>726</v>
      </c>
      <c r="AH59" s="4" t="s">
        <v>727</v>
      </c>
      <c r="AI59" s="4" t="s">
        <v>728</v>
      </c>
      <c r="AJ59" s="4" t="s">
        <v>729</v>
      </c>
      <c r="AK59" s="4" t="s">
        <v>730</v>
      </c>
      <c r="AL59" s="4" t="s">
        <v>731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/>
    </row>
    <row r="60" spans="1:169" x14ac:dyDescent="0.3">
      <c r="A60" s="2">
        <v>52</v>
      </c>
      <c r="B60" s="5">
        <v>8</v>
      </c>
      <c r="C60" s="6">
        <v>2100963</v>
      </c>
      <c r="D60" s="6" t="s">
        <v>241</v>
      </c>
      <c r="E60" s="6">
        <v>2903010</v>
      </c>
      <c r="F60" s="6">
        <v>2903010</v>
      </c>
      <c r="G60" s="6">
        <v>0</v>
      </c>
      <c r="H60" s="6">
        <v>0</v>
      </c>
      <c r="I60" s="6">
        <v>51.48</v>
      </c>
      <c r="J60" s="6" t="s">
        <v>194</v>
      </c>
      <c r="K60" s="6" t="s">
        <v>195</v>
      </c>
      <c r="L60" s="7" t="s">
        <v>196</v>
      </c>
      <c r="M60" s="7" t="s">
        <v>172</v>
      </c>
      <c r="N60" s="8" t="s">
        <v>711</v>
      </c>
      <c r="O60" s="5">
        <v>5661.76</v>
      </c>
      <c r="P60" s="6">
        <v>250.84700000000001</v>
      </c>
      <c r="Q60" s="6">
        <v>297.12799999999999</v>
      </c>
      <c r="R60" s="12">
        <v>5467.71</v>
      </c>
      <c r="S60" s="4" t="s">
        <v>712</v>
      </c>
      <c r="T60" s="4" t="s">
        <v>713</v>
      </c>
      <c r="U60" s="4" t="s">
        <v>714</v>
      </c>
      <c r="V60" s="4" t="s">
        <v>715</v>
      </c>
      <c r="W60" s="4" t="s">
        <v>716</v>
      </c>
      <c r="X60" s="4" t="s">
        <v>717</v>
      </c>
      <c r="Y60" s="4" t="s">
        <v>718</v>
      </c>
      <c r="Z60" s="4" t="s">
        <v>719</v>
      </c>
      <c r="AA60" s="4" t="s">
        <v>720</v>
      </c>
      <c r="AB60" s="4" t="s">
        <v>721</v>
      </c>
      <c r="AC60" s="4" t="s">
        <v>722</v>
      </c>
      <c r="AD60" s="4" t="s">
        <v>723</v>
      </c>
      <c r="AE60" s="4" t="s">
        <v>724</v>
      </c>
      <c r="AF60" s="4" t="s">
        <v>725</v>
      </c>
      <c r="AG60" s="4" t="s">
        <v>726</v>
      </c>
      <c r="AH60" s="4" t="s">
        <v>727</v>
      </c>
      <c r="AI60" s="4" t="s">
        <v>728</v>
      </c>
      <c r="AJ60" s="4" t="s">
        <v>729</v>
      </c>
      <c r="AK60" s="4" t="s">
        <v>730</v>
      </c>
      <c r="AL60" s="4" t="s">
        <v>731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/>
    </row>
    <row r="61" spans="1:169" x14ac:dyDescent="0.3">
      <c r="A61" s="2">
        <v>53</v>
      </c>
      <c r="B61" s="5">
        <v>8</v>
      </c>
      <c r="C61" s="6">
        <v>1101343</v>
      </c>
      <c r="D61" s="6" t="s">
        <v>263</v>
      </c>
      <c r="E61" s="6">
        <v>2903010</v>
      </c>
      <c r="F61" s="6">
        <v>1903012</v>
      </c>
      <c r="G61" s="6">
        <v>3903010</v>
      </c>
      <c r="H61" s="6">
        <v>1903011</v>
      </c>
      <c r="I61" s="6">
        <v>57.914999999999999</v>
      </c>
      <c r="J61" s="6" t="s">
        <v>169</v>
      </c>
      <c r="K61" s="6" t="s">
        <v>170</v>
      </c>
      <c r="L61" s="7" t="s">
        <v>171</v>
      </c>
      <c r="M61" s="7" t="s">
        <v>172</v>
      </c>
      <c r="N61" s="8" t="s">
        <v>732</v>
      </c>
      <c r="O61" s="5">
        <v>-4788.4799999999996</v>
      </c>
      <c r="P61" s="6">
        <v>2207.5300000000002</v>
      </c>
      <c r="Q61" s="6">
        <v>-13210</v>
      </c>
      <c r="R61" s="12">
        <v>35983.9</v>
      </c>
      <c r="S61" s="4" t="s">
        <v>733</v>
      </c>
      <c r="T61" s="4" t="s">
        <v>734</v>
      </c>
      <c r="U61" s="4" t="s">
        <v>735</v>
      </c>
      <c r="V61" s="4" t="s">
        <v>736</v>
      </c>
      <c r="W61" s="4" t="s">
        <v>737</v>
      </c>
      <c r="X61" s="4" t="s">
        <v>738</v>
      </c>
      <c r="Y61" s="4" t="s">
        <v>739</v>
      </c>
      <c r="Z61" s="4" t="s">
        <v>740</v>
      </c>
      <c r="AA61" s="4" t="s">
        <v>741</v>
      </c>
      <c r="AB61" s="4" t="s">
        <v>742</v>
      </c>
      <c r="AC61" s="4" t="s">
        <v>743</v>
      </c>
      <c r="AD61" s="4" t="s">
        <v>744</v>
      </c>
      <c r="AE61" s="4" t="s">
        <v>745</v>
      </c>
      <c r="AF61" s="4" t="s">
        <v>746</v>
      </c>
      <c r="AG61" s="4" t="s">
        <v>747</v>
      </c>
      <c r="AH61" s="4" t="s">
        <v>748</v>
      </c>
      <c r="AI61" s="4" t="s">
        <v>749</v>
      </c>
      <c r="AJ61" s="4" t="s">
        <v>750</v>
      </c>
      <c r="AK61" s="4" t="s">
        <v>751</v>
      </c>
      <c r="AL61" s="4" t="s">
        <v>752</v>
      </c>
      <c r="AM61" s="3">
        <v>1450.83</v>
      </c>
      <c r="AN61" s="3">
        <v>1555.03</v>
      </c>
      <c r="AO61" s="3">
        <v>1683.04</v>
      </c>
      <c r="AP61" s="3">
        <v>1838.64</v>
      </c>
      <c r="AQ61" s="3">
        <v>2026.8</v>
      </c>
      <c r="AR61" s="3">
        <v>2239.4</v>
      </c>
      <c r="AS61" s="3">
        <v>2047.94</v>
      </c>
      <c r="AT61" s="3">
        <v>1738.97</v>
      </c>
      <c r="AU61" s="3">
        <v>1353.13</v>
      </c>
      <c r="AV61" s="3">
        <v>911.27800000000002</v>
      </c>
      <c r="AW61" s="3">
        <v>464.03800000000001</v>
      </c>
      <c r="AX61" s="3">
        <v>461.72899999999998</v>
      </c>
      <c r="AY61" s="3">
        <v>454.97800000000001</v>
      </c>
      <c r="AZ61" s="3">
        <v>449.70499999999998</v>
      </c>
      <c r="BA61" s="3">
        <v>443.58</v>
      </c>
      <c r="BB61" s="3">
        <v>432.584</v>
      </c>
      <c r="BC61" s="3">
        <v>677.798</v>
      </c>
      <c r="BD61" s="3">
        <v>897.54399999999998</v>
      </c>
      <c r="BE61" s="3">
        <v>1105.17</v>
      </c>
      <c r="BF61" s="3">
        <v>1301.1400000000001</v>
      </c>
      <c r="BG61" s="3">
        <v>-395.52699999999999</v>
      </c>
      <c r="BH61" s="3">
        <v>-434.53899999999999</v>
      </c>
      <c r="BI61" s="3">
        <v>-477.51900000000001</v>
      </c>
      <c r="BJ61" s="3">
        <v>-517.57299999999998</v>
      </c>
      <c r="BK61" s="3">
        <v>-549.16300000000001</v>
      </c>
      <c r="BL61" s="3">
        <v>-563.36800000000005</v>
      </c>
      <c r="BM61" s="3">
        <v>-533.42499999999995</v>
      </c>
      <c r="BN61" s="3">
        <v>-484.44600000000003</v>
      </c>
      <c r="BO61" s="3">
        <v>-426.89100000000002</v>
      </c>
      <c r="BP61" s="3">
        <v>-367.37799999999999</v>
      </c>
      <c r="BQ61" s="3">
        <v>-325.80900000000003</v>
      </c>
      <c r="BR61" s="3">
        <v>-347.43700000000001</v>
      </c>
      <c r="BS61" s="3">
        <v>-361.726</v>
      </c>
      <c r="BT61" s="3">
        <v>-374.315</v>
      </c>
      <c r="BU61" s="3">
        <v>-386.53100000000001</v>
      </c>
      <c r="BV61" s="3">
        <v>-390.755</v>
      </c>
      <c r="BW61" s="3">
        <v>-392.34100000000001</v>
      </c>
      <c r="BX61" s="3">
        <v>-400.28300000000002</v>
      </c>
      <c r="BY61" s="3">
        <v>-409.65600000000001</v>
      </c>
      <c r="BZ61" s="3">
        <v>-414.31200000000001</v>
      </c>
      <c r="CA61" s="3">
        <v>-658.89700000000005</v>
      </c>
      <c r="CB61" s="3">
        <v>-692.64300000000003</v>
      </c>
      <c r="CC61" s="3">
        <v>-730.19</v>
      </c>
      <c r="CD61" s="3">
        <v>-760.18100000000004</v>
      </c>
      <c r="CE61" s="3">
        <v>-772.90200000000004</v>
      </c>
      <c r="CF61" s="3">
        <v>-765.68899999999996</v>
      </c>
      <c r="CG61" s="3">
        <v>-548.44399999999996</v>
      </c>
      <c r="CH61" s="3">
        <v>-394.28800000000001</v>
      </c>
      <c r="CI61" s="3">
        <v>-303.536</v>
      </c>
      <c r="CJ61" s="3">
        <v>-258.137</v>
      </c>
      <c r="CK61" s="3">
        <v>-247.51599999999999</v>
      </c>
      <c r="CL61" s="3">
        <v>-280.31200000000001</v>
      </c>
      <c r="CM61" s="3">
        <v>-314.48700000000002</v>
      </c>
      <c r="CN61" s="3">
        <v>-339.98399999999998</v>
      </c>
      <c r="CO61" s="3">
        <v>-365.95699999999999</v>
      </c>
      <c r="CP61" s="3">
        <v>-383.178</v>
      </c>
      <c r="CQ61" s="3">
        <v>-398.65300000000002</v>
      </c>
      <c r="CR61" s="3">
        <v>-443.15</v>
      </c>
      <c r="CS61" s="3">
        <v>-498.28199999999998</v>
      </c>
      <c r="CT61" s="3">
        <v>-570.41700000000003</v>
      </c>
      <c r="CU61" s="3">
        <v>12378.2</v>
      </c>
      <c r="CV61" s="3">
        <v>13335.7</v>
      </c>
      <c r="CW61" s="3">
        <v>13574.1</v>
      </c>
      <c r="CX61" s="3">
        <v>13065.3</v>
      </c>
      <c r="CY61" s="3">
        <v>12085.2</v>
      </c>
      <c r="CZ61" s="3">
        <v>11144.5</v>
      </c>
      <c r="DA61" s="3">
        <v>11030.6</v>
      </c>
      <c r="DB61" s="3">
        <v>10827.5</v>
      </c>
      <c r="DC61" s="3">
        <v>10802.6</v>
      </c>
      <c r="DD61" s="3">
        <v>10773.4</v>
      </c>
      <c r="DE61" s="3">
        <v>10980.3</v>
      </c>
      <c r="DF61" s="3">
        <v>11174</v>
      </c>
      <c r="DG61" s="3">
        <v>11173.1</v>
      </c>
      <c r="DH61" s="3">
        <v>10976.6</v>
      </c>
      <c r="DI61" s="3">
        <v>10498.6</v>
      </c>
      <c r="DJ61" s="3">
        <v>9253.02</v>
      </c>
      <c r="DK61" s="3">
        <v>10210.5</v>
      </c>
      <c r="DL61" s="3">
        <v>11171</v>
      </c>
      <c r="DM61" s="3">
        <v>11764.9</v>
      </c>
      <c r="DN61" s="3">
        <v>12170</v>
      </c>
      <c r="DO61" s="3">
        <v>3344.14</v>
      </c>
      <c r="DP61" s="3">
        <v>3319.97</v>
      </c>
      <c r="DQ61" s="3">
        <v>3272.52</v>
      </c>
      <c r="DR61" s="3">
        <v>3170.53</v>
      </c>
      <c r="DS61" s="3">
        <v>2946.96</v>
      </c>
      <c r="DT61" s="3">
        <v>2485.27</v>
      </c>
      <c r="DU61" s="3">
        <v>2839.56</v>
      </c>
      <c r="DV61" s="3">
        <v>2733.13</v>
      </c>
      <c r="DW61" s="3">
        <v>2361.66</v>
      </c>
      <c r="DX61" s="3">
        <v>2279.36</v>
      </c>
      <c r="DY61" s="3">
        <v>2369.14</v>
      </c>
      <c r="DZ61" s="3">
        <v>2385.38</v>
      </c>
      <c r="EA61" s="3">
        <v>2453.98</v>
      </c>
      <c r="EB61" s="3">
        <v>2458.52</v>
      </c>
      <c r="EC61" s="3">
        <v>2478.5</v>
      </c>
      <c r="ED61" s="3">
        <v>2522.58</v>
      </c>
      <c r="EE61" s="3">
        <v>3345.96</v>
      </c>
      <c r="EF61" s="3">
        <v>4282.91</v>
      </c>
      <c r="EG61" s="3">
        <v>4748.3100000000004</v>
      </c>
      <c r="EH61" s="3">
        <v>4196.57</v>
      </c>
      <c r="EI61" s="3">
        <v>265.048</v>
      </c>
      <c r="EJ61" s="3">
        <v>412.66</v>
      </c>
      <c r="EK61" s="3">
        <v>327.85399999999998</v>
      </c>
      <c r="EL61" s="3">
        <v>130.04900000000001</v>
      </c>
      <c r="EM61" s="3">
        <v>62.300199999999997</v>
      </c>
      <c r="EN61" s="3">
        <v>230.53299999999999</v>
      </c>
      <c r="EO61" s="3">
        <v>708.07299999999998</v>
      </c>
      <c r="EP61" s="3">
        <v>1269.3399999999999</v>
      </c>
      <c r="EQ61" s="3">
        <v>1527.84</v>
      </c>
      <c r="ER61" s="3">
        <v>1467.5</v>
      </c>
      <c r="ES61" s="3">
        <v>1401.49</v>
      </c>
      <c r="ET61" s="3">
        <v>1586.73</v>
      </c>
      <c r="EU61" s="3">
        <v>1729.86</v>
      </c>
      <c r="EV61" s="3">
        <v>1650.74</v>
      </c>
      <c r="EW61" s="3">
        <v>1322.46</v>
      </c>
      <c r="EX61" s="3">
        <v>810.625</v>
      </c>
      <c r="EY61" s="3">
        <v>402.226</v>
      </c>
      <c r="EZ61" s="3">
        <v>16.485800000000001</v>
      </c>
      <c r="FA61" s="3">
        <v>176.279</v>
      </c>
      <c r="FB61" s="3">
        <v>419.26600000000002</v>
      </c>
      <c r="FC61" s="3">
        <v>977.51099999999997</v>
      </c>
      <c r="FD61" s="3">
        <v>1459.13</v>
      </c>
      <c r="FE61" s="3">
        <v>-364.42899999999997</v>
      </c>
      <c r="FF61" s="3">
        <v>-489.61500000000001</v>
      </c>
      <c r="FG61" s="3">
        <v>-321.90600000000001</v>
      </c>
      <c r="FH61" s="3">
        <v>-730.08399999999995</v>
      </c>
      <c r="FI61" s="3">
        <v>-11042.2</v>
      </c>
      <c r="FJ61" s="3">
        <v>-2767.29</v>
      </c>
      <c r="FK61" s="3">
        <v>-776.04399999999998</v>
      </c>
      <c r="FL61" s="3">
        <v>0</v>
      </c>
      <c r="FM61" s="3"/>
    </row>
    <row r="62" spans="1:169" x14ac:dyDescent="0.3">
      <c r="A62" s="2">
        <v>54</v>
      </c>
      <c r="B62" s="5">
        <v>8</v>
      </c>
      <c r="C62" s="6">
        <v>1101343</v>
      </c>
      <c r="D62" s="6" t="s">
        <v>263</v>
      </c>
      <c r="E62" s="6">
        <v>2903010</v>
      </c>
      <c r="F62" s="6">
        <v>1903012</v>
      </c>
      <c r="G62" s="6">
        <v>3903010</v>
      </c>
      <c r="H62" s="6">
        <v>1903011</v>
      </c>
      <c r="I62" s="6">
        <v>57.914999999999999</v>
      </c>
      <c r="J62" s="6" t="s">
        <v>194</v>
      </c>
      <c r="K62" s="6" t="s">
        <v>195</v>
      </c>
      <c r="L62" s="7" t="s">
        <v>196</v>
      </c>
      <c r="M62" s="7" t="s">
        <v>172</v>
      </c>
      <c r="N62" s="8" t="s">
        <v>732</v>
      </c>
      <c r="O62" s="5">
        <v>4612.47</v>
      </c>
      <c r="P62" s="6">
        <v>-2900.54</v>
      </c>
      <c r="Q62" s="6">
        <v>14475.3</v>
      </c>
      <c r="R62" s="12">
        <v>5467.71</v>
      </c>
      <c r="S62" s="4" t="s">
        <v>733</v>
      </c>
      <c r="T62" s="4" t="s">
        <v>734</v>
      </c>
      <c r="U62" s="4" t="s">
        <v>735</v>
      </c>
      <c r="V62" s="4" t="s">
        <v>736</v>
      </c>
      <c r="W62" s="4" t="s">
        <v>737</v>
      </c>
      <c r="X62" s="4" t="s">
        <v>738</v>
      </c>
      <c r="Y62" s="4" t="s">
        <v>739</v>
      </c>
      <c r="Z62" s="4" t="s">
        <v>740</v>
      </c>
      <c r="AA62" s="4" t="s">
        <v>741</v>
      </c>
      <c r="AB62" s="4" t="s">
        <v>742</v>
      </c>
      <c r="AC62" s="4" t="s">
        <v>743</v>
      </c>
      <c r="AD62" s="4" t="s">
        <v>744</v>
      </c>
      <c r="AE62" s="4" t="s">
        <v>745</v>
      </c>
      <c r="AF62" s="4" t="s">
        <v>746</v>
      </c>
      <c r="AG62" s="4" t="s">
        <v>747</v>
      </c>
      <c r="AH62" s="4" t="s">
        <v>748</v>
      </c>
      <c r="AI62" s="4" t="s">
        <v>749</v>
      </c>
      <c r="AJ62" s="4" t="s">
        <v>750</v>
      </c>
      <c r="AK62" s="4" t="s">
        <v>751</v>
      </c>
      <c r="AL62" s="4" t="s">
        <v>752</v>
      </c>
      <c r="AM62" s="3">
        <v>-897.20100000000002</v>
      </c>
      <c r="AN62" s="3">
        <v>-871.33900000000006</v>
      </c>
      <c r="AO62" s="3">
        <v>-844.053</v>
      </c>
      <c r="AP62" s="3">
        <v>-813.72699999999998</v>
      </c>
      <c r="AQ62" s="3">
        <v>-777.56899999999996</v>
      </c>
      <c r="AR62" s="3">
        <v>-740.23400000000004</v>
      </c>
      <c r="AS62" s="3">
        <v>-614.33000000000004</v>
      </c>
      <c r="AT62" s="3">
        <v>-506.61399999999998</v>
      </c>
      <c r="AU62" s="3">
        <v>-380.76400000000001</v>
      </c>
      <c r="AV62" s="3">
        <v>-219.619</v>
      </c>
      <c r="AW62" s="3">
        <v>-47.1111</v>
      </c>
      <c r="AX62" s="3">
        <v>-45.560200000000002</v>
      </c>
      <c r="AY62" s="3">
        <v>-47.445399999999999</v>
      </c>
      <c r="AZ62" s="3">
        <v>-60.677399999999999</v>
      </c>
      <c r="BA62" s="3">
        <v>-80.327500000000001</v>
      </c>
      <c r="BB62" s="3">
        <v>-101.408</v>
      </c>
      <c r="BC62" s="3">
        <v>-241.97900000000001</v>
      </c>
      <c r="BD62" s="3">
        <v>-367.46899999999999</v>
      </c>
      <c r="BE62" s="3">
        <v>-510.495</v>
      </c>
      <c r="BF62" s="3">
        <v>-697.06299999999999</v>
      </c>
      <c r="BG62" s="3">
        <v>263.58600000000001</v>
      </c>
      <c r="BH62" s="3">
        <v>279.90600000000001</v>
      </c>
      <c r="BI62" s="3">
        <v>304.01</v>
      </c>
      <c r="BJ62" s="3">
        <v>332.79599999999999</v>
      </c>
      <c r="BK62" s="3">
        <v>366.983</v>
      </c>
      <c r="BL62" s="3">
        <v>418.51299999999998</v>
      </c>
      <c r="BM62" s="3">
        <v>437.279</v>
      </c>
      <c r="BN62" s="3">
        <v>449.41699999999997</v>
      </c>
      <c r="BO62" s="3">
        <v>449.07900000000001</v>
      </c>
      <c r="BP62" s="3">
        <v>434.767</v>
      </c>
      <c r="BQ62" s="3">
        <v>424.03399999999999</v>
      </c>
      <c r="BR62" s="3">
        <v>393.452</v>
      </c>
      <c r="BS62" s="3">
        <v>366.76600000000002</v>
      </c>
      <c r="BT62" s="3">
        <v>351.64</v>
      </c>
      <c r="BU62" s="3">
        <v>345.77300000000002</v>
      </c>
      <c r="BV62" s="3">
        <v>340.21600000000001</v>
      </c>
      <c r="BW62" s="3">
        <v>310.77600000000001</v>
      </c>
      <c r="BX62" s="3">
        <v>289.11200000000002</v>
      </c>
      <c r="BY62" s="3">
        <v>275.51100000000002</v>
      </c>
      <c r="BZ62" s="3">
        <v>272.35000000000002</v>
      </c>
      <c r="CA62" s="3">
        <v>377.58600000000001</v>
      </c>
      <c r="CB62" s="3">
        <v>393.78399999999999</v>
      </c>
      <c r="CC62" s="3">
        <v>419.67</v>
      </c>
      <c r="CD62" s="3">
        <v>449.32100000000003</v>
      </c>
      <c r="CE62" s="3">
        <v>475.06900000000002</v>
      </c>
      <c r="CF62" s="3">
        <v>494.202</v>
      </c>
      <c r="CG62" s="3">
        <v>523.40499999999997</v>
      </c>
      <c r="CH62" s="3">
        <v>541.10400000000004</v>
      </c>
      <c r="CI62" s="3">
        <v>560.16600000000005</v>
      </c>
      <c r="CJ62" s="3">
        <v>569.84900000000005</v>
      </c>
      <c r="CK62" s="3">
        <v>568.61199999999997</v>
      </c>
      <c r="CL62" s="3">
        <v>572.95500000000004</v>
      </c>
      <c r="CM62" s="3">
        <v>566.10400000000004</v>
      </c>
      <c r="CN62" s="3">
        <v>551.351</v>
      </c>
      <c r="CO62" s="3">
        <v>535.83500000000004</v>
      </c>
      <c r="CP62" s="3">
        <v>518.41600000000005</v>
      </c>
      <c r="CQ62" s="3">
        <v>489.56400000000002</v>
      </c>
      <c r="CR62" s="3">
        <v>470.98099999999999</v>
      </c>
      <c r="CS62" s="3">
        <v>439.75099999999998</v>
      </c>
      <c r="CT62" s="3">
        <v>403.99</v>
      </c>
      <c r="CU62" s="3">
        <v>-11695.9</v>
      </c>
      <c r="CV62" s="3">
        <v>-12392.3</v>
      </c>
      <c r="CW62" s="3">
        <v>-12230.6</v>
      </c>
      <c r="CX62" s="3">
        <v>-11198.3</v>
      </c>
      <c r="CY62" s="3">
        <v>-9612.2900000000009</v>
      </c>
      <c r="CZ62" s="3">
        <v>-8006.78</v>
      </c>
      <c r="DA62" s="3">
        <v>-7609.07</v>
      </c>
      <c r="DB62" s="3">
        <v>-7336.73</v>
      </c>
      <c r="DC62" s="3">
        <v>-7390.83</v>
      </c>
      <c r="DD62" s="3">
        <v>-7530</v>
      </c>
      <c r="DE62" s="3">
        <v>-7960.22</v>
      </c>
      <c r="DF62" s="3">
        <v>-8454.68</v>
      </c>
      <c r="DG62" s="3">
        <v>-8812.9500000000007</v>
      </c>
      <c r="DH62" s="3">
        <v>-8988.75</v>
      </c>
      <c r="DI62" s="3">
        <v>-8853.0400000000009</v>
      </c>
      <c r="DJ62" s="3">
        <v>-7857.9</v>
      </c>
      <c r="DK62" s="3">
        <v>-8909.77</v>
      </c>
      <c r="DL62" s="3">
        <v>-9959.07</v>
      </c>
      <c r="DM62" s="3">
        <v>-10693.2</v>
      </c>
      <c r="DN62" s="3">
        <v>-11290.5</v>
      </c>
      <c r="DO62" s="3">
        <v>-2506.7600000000002</v>
      </c>
      <c r="DP62" s="3">
        <v>-2273.4699999999998</v>
      </c>
      <c r="DQ62" s="3">
        <v>-2002.16</v>
      </c>
      <c r="DR62" s="3">
        <v>-1660.13</v>
      </c>
      <c r="DS62" s="3">
        <v>-1179.01</v>
      </c>
      <c r="DT62" s="3">
        <v>-463.00200000000001</v>
      </c>
      <c r="DU62" s="3">
        <v>-1316.58</v>
      </c>
      <c r="DV62" s="3">
        <v>-1657.89</v>
      </c>
      <c r="DW62" s="3">
        <v>-1676.58</v>
      </c>
      <c r="DX62" s="3">
        <v>-1921.98</v>
      </c>
      <c r="DY62" s="3">
        <v>-2216.31</v>
      </c>
      <c r="DZ62" s="3">
        <v>-2095.0700000000002</v>
      </c>
      <c r="EA62" s="3">
        <v>-2055.69</v>
      </c>
      <c r="EB62" s="3">
        <v>-1986.52</v>
      </c>
      <c r="EC62" s="3">
        <v>-1962.04</v>
      </c>
      <c r="ED62" s="3">
        <v>-1996.98</v>
      </c>
      <c r="EE62" s="3">
        <v>-2762.9</v>
      </c>
      <c r="EF62" s="3">
        <v>-3659.75</v>
      </c>
      <c r="EG62" s="3">
        <v>-4052.54</v>
      </c>
      <c r="EH62" s="3">
        <v>-3389.49</v>
      </c>
      <c r="EI62" s="3">
        <v>-513.54600000000005</v>
      </c>
      <c r="EJ62" s="3">
        <v>-770.33600000000001</v>
      </c>
      <c r="EK62" s="3">
        <v>-804.06</v>
      </c>
      <c r="EL62" s="3">
        <v>-754.03399999999999</v>
      </c>
      <c r="EM62" s="3">
        <v>-895.904</v>
      </c>
      <c r="EN62" s="3">
        <v>-1335.19</v>
      </c>
      <c r="EO62" s="3">
        <v>-1810.88</v>
      </c>
      <c r="EP62" s="3">
        <v>-2227.16</v>
      </c>
      <c r="EQ62" s="3">
        <v>-2279.37</v>
      </c>
      <c r="ER62" s="3">
        <v>-2008.59</v>
      </c>
      <c r="ES62" s="3">
        <v>-1737.59</v>
      </c>
      <c r="ET62" s="3">
        <v>-1991.85</v>
      </c>
      <c r="EU62" s="3">
        <v>-2162.06</v>
      </c>
      <c r="EV62" s="3">
        <v>-2059.59</v>
      </c>
      <c r="EW62" s="3">
        <v>-1673.08</v>
      </c>
      <c r="EX62" s="3">
        <v>-1092.26</v>
      </c>
      <c r="EY62" s="3">
        <v>-736.92</v>
      </c>
      <c r="EZ62" s="3">
        <v>-405.08100000000002</v>
      </c>
      <c r="FA62" s="3">
        <v>-601.67700000000002</v>
      </c>
      <c r="FB62" s="3">
        <v>-793.85699999999997</v>
      </c>
      <c r="FC62" s="3">
        <v>-418.11200000000002</v>
      </c>
      <c r="FD62" s="3">
        <v>-469.26900000000001</v>
      </c>
      <c r="FE62" s="3">
        <v>327.63200000000001</v>
      </c>
      <c r="FF62" s="3">
        <v>370.31400000000002</v>
      </c>
      <c r="FG62" s="3">
        <v>434.93900000000002</v>
      </c>
      <c r="FH62" s="3">
        <v>552.21199999999999</v>
      </c>
      <c r="FI62" s="3">
        <v>8853.34</v>
      </c>
      <c r="FJ62" s="3">
        <v>1866.43</v>
      </c>
      <c r="FK62" s="3">
        <v>1305.49</v>
      </c>
      <c r="FL62" s="3">
        <v>0</v>
      </c>
      <c r="FM62" s="3"/>
    </row>
    <row r="63" spans="1:169" x14ac:dyDescent="0.3">
      <c r="A63" s="2">
        <v>55</v>
      </c>
      <c r="B63" s="5">
        <v>8</v>
      </c>
      <c r="C63" s="6">
        <v>3102658</v>
      </c>
      <c r="D63" s="6" t="s">
        <v>285</v>
      </c>
      <c r="E63" s="6">
        <v>3903010</v>
      </c>
      <c r="F63" s="6">
        <v>3903012</v>
      </c>
      <c r="G63" s="6">
        <v>5903010</v>
      </c>
      <c r="H63" s="6">
        <v>3903013</v>
      </c>
      <c r="I63" s="6">
        <v>51.48</v>
      </c>
      <c r="J63" s="6" t="s">
        <v>169</v>
      </c>
      <c r="K63" s="6" t="s">
        <v>170</v>
      </c>
      <c r="L63" s="7" t="s">
        <v>171</v>
      </c>
      <c r="M63" s="7" t="s">
        <v>172</v>
      </c>
      <c r="N63" s="8" t="s">
        <v>753</v>
      </c>
      <c r="O63" s="5">
        <v>39355.300000000003</v>
      </c>
      <c r="P63" s="6">
        <v>22985.7</v>
      </c>
      <c r="Q63" s="6">
        <v>173.21899999999999</v>
      </c>
      <c r="R63" s="12">
        <v>35983.9</v>
      </c>
      <c r="S63" s="4" t="s">
        <v>754</v>
      </c>
      <c r="T63" s="4" t="s">
        <v>755</v>
      </c>
      <c r="U63" s="4" t="s">
        <v>756</v>
      </c>
      <c r="V63" s="4" t="s">
        <v>757</v>
      </c>
      <c r="W63" s="4" t="s">
        <v>758</v>
      </c>
      <c r="X63" s="4" t="s">
        <v>759</v>
      </c>
      <c r="Y63" s="4" t="s">
        <v>760</v>
      </c>
      <c r="Z63" s="4" t="s">
        <v>761</v>
      </c>
      <c r="AA63" s="4" t="s">
        <v>762</v>
      </c>
      <c r="AB63" s="4" t="s">
        <v>763</v>
      </c>
      <c r="AC63" s="4" t="s">
        <v>764</v>
      </c>
      <c r="AD63" s="4" t="s">
        <v>765</v>
      </c>
      <c r="AE63" s="4" t="s">
        <v>766</v>
      </c>
      <c r="AF63" s="4" t="s">
        <v>767</v>
      </c>
      <c r="AG63" s="4" t="s">
        <v>768</v>
      </c>
      <c r="AH63" s="4" t="s">
        <v>769</v>
      </c>
      <c r="AI63" s="4" t="s">
        <v>770</v>
      </c>
      <c r="AJ63" s="4" t="s">
        <v>771</v>
      </c>
      <c r="AK63" s="4" t="s">
        <v>772</v>
      </c>
      <c r="AL63" s="4" t="s">
        <v>773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/>
    </row>
    <row r="64" spans="1:169" x14ac:dyDescent="0.3">
      <c r="A64" s="2">
        <v>56</v>
      </c>
      <c r="B64" s="5">
        <v>8</v>
      </c>
      <c r="C64" s="6">
        <v>3102658</v>
      </c>
      <c r="D64" s="6" t="s">
        <v>285</v>
      </c>
      <c r="E64" s="6">
        <v>3903010</v>
      </c>
      <c r="F64" s="6">
        <v>3903012</v>
      </c>
      <c r="G64" s="6">
        <v>5903010</v>
      </c>
      <c r="H64" s="6">
        <v>3903013</v>
      </c>
      <c r="I64" s="6">
        <v>51.48</v>
      </c>
      <c r="J64" s="6" t="s">
        <v>194</v>
      </c>
      <c r="K64" s="6" t="s">
        <v>195</v>
      </c>
      <c r="L64" s="7" t="s">
        <v>196</v>
      </c>
      <c r="M64" s="7" t="s">
        <v>172</v>
      </c>
      <c r="N64" s="8" t="s">
        <v>753</v>
      </c>
      <c r="O64" s="5">
        <v>-39715.199999999997</v>
      </c>
      <c r="P64" s="6">
        <v>-19863.599999999999</v>
      </c>
      <c r="Q64" s="6">
        <v>680.88699999999994</v>
      </c>
      <c r="R64" s="12">
        <v>5467.71</v>
      </c>
      <c r="S64" s="4" t="s">
        <v>754</v>
      </c>
      <c r="T64" s="4" t="s">
        <v>755</v>
      </c>
      <c r="U64" s="4" t="s">
        <v>756</v>
      </c>
      <c r="V64" s="4" t="s">
        <v>757</v>
      </c>
      <c r="W64" s="4" t="s">
        <v>758</v>
      </c>
      <c r="X64" s="4" t="s">
        <v>759</v>
      </c>
      <c r="Y64" s="4" t="s">
        <v>760</v>
      </c>
      <c r="Z64" s="4" t="s">
        <v>761</v>
      </c>
      <c r="AA64" s="4" t="s">
        <v>762</v>
      </c>
      <c r="AB64" s="4" t="s">
        <v>763</v>
      </c>
      <c r="AC64" s="4" t="s">
        <v>764</v>
      </c>
      <c r="AD64" s="4" t="s">
        <v>765</v>
      </c>
      <c r="AE64" s="4" t="s">
        <v>766</v>
      </c>
      <c r="AF64" s="4" t="s">
        <v>767</v>
      </c>
      <c r="AG64" s="4" t="s">
        <v>768</v>
      </c>
      <c r="AH64" s="4" t="s">
        <v>769</v>
      </c>
      <c r="AI64" s="4" t="s">
        <v>770</v>
      </c>
      <c r="AJ64" s="4" t="s">
        <v>771</v>
      </c>
      <c r="AK64" s="4" t="s">
        <v>772</v>
      </c>
      <c r="AL64" s="4" t="s">
        <v>773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/>
    </row>
    <row r="65" spans="1:169" x14ac:dyDescent="0.3">
      <c r="A65" s="2">
        <v>57</v>
      </c>
      <c r="B65" s="5">
        <v>8</v>
      </c>
      <c r="C65" s="6">
        <v>6303881</v>
      </c>
      <c r="D65" s="6" t="s">
        <v>774</v>
      </c>
      <c r="E65" s="6">
        <v>5903010</v>
      </c>
      <c r="F65" s="6">
        <v>5903010</v>
      </c>
      <c r="G65" s="6">
        <v>0</v>
      </c>
      <c r="H65" s="6">
        <v>0</v>
      </c>
      <c r="I65" s="6">
        <v>51.48</v>
      </c>
      <c r="J65" s="6" t="s">
        <v>169</v>
      </c>
      <c r="K65" s="6" t="s">
        <v>170</v>
      </c>
      <c r="L65" s="7" t="s">
        <v>171</v>
      </c>
      <c r="M65" s="7" t="s">
        <v>172</v>
      </c>
      <c r="N65" s="8" t="s">
        <v>775</v>
      </c>
      <c r="O65" s="5">
        <v>-43398.1</v>
      </c>
      <c r="P65" s="6">
        <v>-28400.2</v>
      </c>
      <c r="Q65" s="6">
        <v>13374.7</v>
      </c>
      <c r="R65" s="12">
        <v>35983.9</v>
      </c>
      <c r="S65" s="4" t="s">
        <v>776</v>
      </c>
      <c r="T65" s="4" t="s">
        <v>777</v>
      </c>
      <c r="U65" s="4" t="s">
        <v>778</v>
      </c>
      <c r="V65" s="4" t="s">
        <v>779</v>
      </c>
      <c r="W65" s="4" t="s">
        <v>780</v>
      </c>
      <c r="X65" s="4" t="s">
        <v>781</v>
      </c>
      <c r="Y65" s="4" t="s">
        <v>782</v>
      </c>
      <c r="Z65" s="4" t="s">
        <v>783</v>
      </c>
      <c r="AA65" s="4" t="s">
        <v>784</v>
      </c>
      <c r="AB65" s="4" t="s">
        <v>785</v>
      </c>
      <c r="AC65" s="4" t="s">
        <v>786</v>
      </c>
      <c r="AD65" s="4" t="s">
        <v>787</v>
      </c>
      <c r="AE65" s="4" t="s">
        <v>788</v>
      </c>
      <c r="AF65" s="4" t="s">
        <v>789</v>
      </c>
      <c r="AG65" s="4" t="s">
        <v>790</v>
      </c>
      <c r="AH65" s="4" t="s">
        <v>791</v>
      </c>
      <c r="AI65" s="4" t="s">
        <v>792</v>
      </c>
      <c r="AJ65" s="4" t="s">
        <v>793</v>
      </c>
      <c r="AK65" s="4" t="s">
        <v>794</v>
      </c>
      <c r="AL65" s="4" t="s">
        <v>795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 t="s">
        <v>796</v>
      </c>
    </row>
    <row r="66" spans="1:169" x14ac:dyDescent="0.3">
      <c r="A66" s="2">
        <v>58</v>
      </c>
      <c r="B66" s="5">
        <v>8</v>
      </c>
      <c r="C66" s="6">
        <v>6303881</v>
      </c>
      <c r="D66" s="6" t="s">
        <v>774</v>
      </c>
      <c r="E66" s="6">
        <v>5903010</v>
      </c>
      <c r="F66" s="6">
        <v>5903010</v>
      </c>
      <c r="G66" s="6">
        <v>0</v>
      </c>
      <c r="H66" s="6">
        <v>0</v>
      </c>
      <c r="I66" s="6">
        <v>51.48</v>
      </c>
      <c r="J66" s="6" t="s">
        <v>194</v>
      </c>
      <c r="K66" s="6" t="s">
        <v>195</v>
      </c>
      <c r="L66" s="7" t="s">
        <v>196</v>
      </c>
      <c r="M66" s="7" t="s">
        <v>172</v>
      </c>
      <c r="N66" s="8" t="s">
        <v>775</v>
      </c>
      <c r="O66" s="5">
        <v>43879.199999999997</v>
      </c>
      <c r="P66" s="6">
        <v>27137.9</v>
      </c>
      <c r="Q66" s="6">
        <v>-15861.7</v>
      </c>
      <c r="R66" s="12">
        <v>5467.71</v>
      </c>
      <c r="S66" s="4" t="s">
        <v>776</v>
      </c>
      <c r="T66" s="4" t="s">
        <v>777</v>
      </c>
      <c r="U66" s="4" t="s">
        <v>778</v>
      </c>
      <c r="V66" s="4" t="s">
        <v>779</v>
      </c>
      <c r="W66" s="4" t="s">
        <v>780</v>
      </c>
      <c r="X66" s="4" t="s">
        <v>781</v>
      </c>
      <c r="Y66" s="4" t="s">
        <v>782</v>
      </c>
      <c r="Z66" s="4" t="s">
        <v>783</v>
      </c>
      <c r="AA66" s="4" t="s">
        <v>784</v>
      </c>
      <c r="AB66" s="4" t="s">
        <v>785</v>
      </c>
      <c r="AC66" s="4" t="s">
        <v>786</v>
      </c>
      <c r="AD66" s="4" t="s">
        <v>787</v>
      </c>
      <c r="AE66" s="4" t="s">
        <v>788</v>
      </c>
      <c r="AF66" s="4" t="s">
        <v>789</v>
      </c>
      <c r="AG66" s="4" t="s">
        <v>790</v>
      </c>
      <c r="AH66" s="4" t="s">
        <v>791</v>
      </c>
      <c r="AI66" s="4" t="s">
        <v>792</v>
      </c>
      <c r="AJ66" s="4" t="s">
        <v>793</v>
      </c>
      <c r="AK66" s="4" t="s">
        <v>794</v>
      </c>
      <c r="AL66" s="4" t="s">
        <v>795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 t="s">
        <v>796</v>
      </c>
    </row>
    <row r="67" spans="1:169" x14ac:dyDescent="0.3">
      <c r="A67" s="2">
        <v>59</v>
      </c>
      <c r="B67" s="5">
        <v>9</v>
      </c>
      <c r="C67" s="6">
        <v>3102161</v>
      </c>
      <c r="D67" s="6" t="s">
        <v>285</v>
      </c>
      <c r="E67" s="6">
        <v>3904010</v>
      </c>
      <c r="F67" s="6">
        <v>3904012</v>
      </c>
      <c r="G67" s="6">
        <v>0</v>
      </c>
      <c r="H67" s="6">
        <v>0</v>
      </c>
      <c r="I67" s="6">
        <v>51.48</v>
      </c>
      <c r="J67" s="6" t="s">
        <v>169</v>
      </c>
      <c r="K67" s="6" t="s">
        <v>170</v>
      </c>
      <c r="L67" s="7" t="s">
        <v>171</v>
      </c>
      <c r="M67" s="7" t="s">
        <v>172</v>
      </c>
      <c r="N67" s="8" t="s">
        <v>797</v>
      </c>
      <c r="O67" s="5">
        <v>-3005.13</v>
      </c>
      <c r="P67" s="6">
        <v>-13071.5</v>
      </c>
      <c r="Q67" s="6">
        <v>17611.8</v>
      </c>
      <c r="R67" s="12">
        <v>12424.1</v>
      </c>
      <c r="S67" s="4" t="s">
        <v>798</v>
      </c>
      <c r="T67" s="4" t="s">
        <v>799</v>
      </c>
      <c r="U67" s="4" t="s">
        <v>800</v>
      </c>
      <c r="V67" s="4" t="s">
        <v>801</v>
      </c>
      <c r="W67" s="4" t="s">
        <v>802</v>
      </c>
      <c r="X67" s="4" t="s">
        <v>803</v>
      </c>
      <c r="Y67" s="4" t="s">
        <v>804</v>
      </c>
      <c r="Z67" s="4" t="s">
        <v>805</v>
      </c>
      <c r="AA67" s="4" t="s">
        <v>806</v>
      </c>
      <c r="AB67" s="4" t="s">
        <v>807</v>
      </c>
      <c r="AC67" s="4" t="s">
        <v>808</v>
      </c>
      <c r="AD67" s="4" t="s">
        <v>809</v>
      </c>
      <c r="AE67" s="4" t="s">
        <v>810</v>
      </c>
      <c r="AF67" s="4" t="s">
        <v>811</v>
      </c>
      <c r="AG67" s="4" t="s">
        <v>812</v>
      </c>
      <c r="AH67" s="4" t="s">
        <v>813</v>
      </c>
      <c r="AI67" s="4" t="s">
        <v>814</v>
      </c>
      <c r="AJ67" s="4" t="s">
        <v>815</v>
      </c>
      <c r="AK67" s="4" t="s">
        <v>816</v>
      </c>
      <c r="AL67" s="4" t="s">
        <v>817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/>
    </row>
    <row r="68" spans="1:169" x14ac:dyDescent="0.3">
      <c r="A68" s="2">
        <v>60</v>
      </c>
      <c r="B68" s="5">
        <v>9</v>
      </c>
      <c r="C68" s="6">
        <v>3102161</v>
      </c>
      <c r="D68" s="6" t="s">
        <v>285</v>
      </c>
      <c r="E68" s="6">
        <v>3904010</v>
      </c>
      <c r="F68" s="6">
        <v>3904012</v>
      </c>
      <c r="G68" s="6">
        <v>0</v>
      </c>
      <c r="H68" s="6">
        <v>0</v>
      </c>
      <c r="I68" s="6">
        <v>51.48</v>
      </c>
      <c r="J68" s="6" t="s">
        <v>194</v>
      </c>
      <c r="K68" s="6" t="s">
        <v>195</v>
      </c>
      <c r="L68" s="7" t="s">
        <v>196</v>
      </c>
      <c r="M68" s="7" t="s">
        <v>172</v>
      </c>
      <c r="N68" s="8" t="s">
        <v>797</v>
      </c>
      <c r="O68" s="5">
        <v>1765.63</v>
      </c>
      <c r="P68" s="6">
        <v>19692.7</v>
      </c>
      <c r="Q68" s="6">
        <v>-18170.599999999999</v>
      </c>
      <c r="R68" s="12">
        <v>17029.5</v>
      </c>
      <c r="S68" s="4" t="s">
        <v>798</v>
      </c>
      <c r="T68" s="4" t="s">
        <v>799</v>
      </c>
      <c r="U68" s="4" t="s">
        <v>800</v>
      </c>
      <c r="V68" s="4" t="s">
        <v>801</v>
      </c>
      <c r="W68" s="4" t="s">
        <v>802</v>
      </c>
      <c r="X68" s="4" t="s">
        <v>803</v>
      </c>
      <c r="Y68" s="4" t="s">
        <v>804</v>
      </c>
      <c r="Z68" s="4" t="s">
        <v>805</v>
      </c>
      <c r="AA68" s="4" t="s">
        <v>806</v>
      </c>
      <c r="AB68" s="4" t="s">
        <v>807</v>
      </c>
      <c r="AC68" s="4" t="s">
        <v>808</v>
      </c>
      <c r="AD68" s="4" t="s">
        <v>809</v>
      </c>
      <c r="AE68" s="4" t="s">
        <v>810</v>
      </c>
      <c r="AF68" s="4" t="s">
        <v>811</v>
      </c>
      <c r="AG68" s="4" t="s">
        <v>812</v>
      </c>
      <c r="AH68" s="4" t="s">
        <v>813</v>
      </c>
      <c r="AI68" s="4" t="s">
        <v>814</v>
      </c>
      <c r="AJ68" s="4" t="s">
        <v>815</v>
      </c>
      <c r="AK68" s="4" t="s">
        <v>816</v>
      </c>
      <c r="AL68" s="4" t="s">
        <v>817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/>
    </row>
    <row r="69" spans="1:169" x14ac:dyDescent="0.3">
      <c r="A69" s="2">
        <v>61</v>
      </c>
      <c r="B69" s="5">
        <v>9</v>
      </c>
      <c r="C69" s="6">
        <v>1101310</v>
      </c>
      <c r="D69" s="6" t="s">
        <v>263</v>
      </c>
      <c r="E69" s="6">
        <v>3904010</v>
      </c>
      <c r="F69" s="6">
        <v>1904011</v>
      </c>
      <c r="G69" s="6">
        <v>2904010</v>
      </c>
      <c r="H69" s="6">
        <v>1904012</v>
      </c>
      <c r="I69" s="6">
        <v>57.914999999999999</v>
      </c>
      <c r="J69" s="6" t="s">
        <v>169</v>
      </c>
      <c r="K69" s="6" t="s">
        <v>170</v>
      </c>
      <c r="L69" s="7" t="s">
        <v>171</v>
      </c>
      <c r="M69" s="7" t="s">
        <v>172</v>
      </c>
      <c r="N69" s="8" t="s">
        <v>818</v>
      </c>
      <c r="O69" s="5">
        <v>853.70699999999999</v>
      </c>
      <c r="P69" s="6">
        <v>5224.18</v>
      </c>
      <c r="Q69" s="6">
        <v>-18174.099999999999</v>
      </c>
      <c r="R69" s="12">
        <v>12424.1</v>
      </c>
      <c r="S69" s="4" t="s">
        <v>819</v>
      </c>
      <c r="T69" s="4" t="s">
        <v>820</v>
      </c>
      <c r="U69" s="4" t="s">
        <v>821</v>
      </c>
      <c r="V69" s="4" t="s">
        <v>822</v>
      </c>
      <c r="W69" s="4" t="s">
        <v>823</v>
      </c>
      <c r="X69" s="4" t="s">
        <v>824</v>
      </c>
      <c r="Y69" s="4" t="s">
        <v>825</v>
      </c>
      <c r="Z69" s="4" t="s">
        <v>826</v>
      </c>
      <c r="AA69" s="4" t="s">
        <v>827</v>
      </c>
      <c r="AB69" s="4" t="s">
        <v>828</v>
      </c>
      <c r="AC69" s="4" t="s">
        <v>829</v>
      </c>
      <c r="AD69" s="4" t="s">
        <v>830</v>
      </c>
      <c r="AE69" s="4" t="s">
        <v>831</v>
      </c>
      <c r="AF69" s="4" t="s">
        <v>832</v>
      </c>
      <c r="AG69" s="4" t="s">
        <v>833</v>
      </c>
      <c r="AH69" s="4" t="s">
        <v>834</v>
      </c>
      <c r="AI69" s="4" t="s">
        <v>835</v>
      </c>
      <c r="AJ69" s="4" t="s">
        <v>836</v>
      </c>
      <c r="AK69" s="4" t="s">
        <v>837</v>
      </c>
      <c r="AL69" s="4" t="s">
        <v>838</v>
      </c>
      <c r="AM69" s="3">
        <v>1489.63</v>
      </c>
      <c r="AN69" s="3">
        <v>1559.21</v>
      </c>
      <c r="AO69" s="3">
        <v>1641.76</v>
      </c>
      <c r="AP69" s="3">
        <v>1758.46</v>
      </c>
      <c r="AQ69" s="3">
        <v>1910.34</v>
      </c>
      <c r="AR69" s="3">
        <v>2087.35</v>
      </c>
      <c r="AS69" s="3">
        <v>1971.49</v>
      </c>
      <c r="AT69" s="3">
        <v>1717.3</v>
      </c>
      <c r="AU69" s="3">
        <v>1392.64</v>
      </c>
      <c r="AV69" s="3">
        <v>1084.26</v>
      </c>
      <c r="AW69" s="3">
        <v>865.846</v>
      </c>
      <c r="AX69" s="3">
        <v>1034.5999999999999</v>
      </c>
      <c r="AY69" s="3">
        <v>1171.3</v>
      </c>
      <c r="AZ69" s="3">
        <v>1287.72</v>
      </c>
      <c r="BA69" s="3">
        <v>1375.47</v>
      </c>
      <c r="BB69" s="3">
        <v>1458.02</v>
      </c>
      <c r="BC69" s="3">
        <v>1464.07</v>
      </c>
      <c r="BD69" s="3">
        <v>1493.66</v>
      </c>
      <c r="BE69" s="3">
        <v>1528.75</v>
      </c>
      <c r="BF69" s="3">
        <v>1530.66</v>
      </c>
      <c r="BG69" s="3">
        <v>-326.928</v>
      </c>
      <c r="BH69" s="3">
        <v>-349.916</v>
      </c>
      <c r="BI69" s="3">
        <v>-378.291</v>
      </c>
      <c r="BJ69" s="3">
        <v>-424.625</v>
      </c>
      <c r="BK69" s="3">
        <v>-480.06900000000002</v>
      </c>
      <c r="BL69" s="3">
        <v>-527.42200000000003</v>
      </c>
      <c r="BM69" s="3">
        <v>-469.80099999999999</v>
      </c>
      <c r="BN69" s="3">
        <v>-380.38200000000001</v>
      </c>
      <c r="BO69" s="3">
        <v>-272.62799999999999</v>
      </c>
      <c r="BP69" s="3">
        <v>-171.75899999999999</v>
      </c>
      <c r="BQ69" s="3">
        <v>-93.192300000000003</v>
      </c>
      <c r="BR69" s="3">
        <v>-67.179699999999997</v>
      </c>
      <c r="BS69" s="3">
        <v>-42.699599999999997</v>
      </c>
      <c r="BT69" s="3">
        <v>-19.314</v>
      </c>
      <c r="BU69" s="3">
        <v>0.62355400000000005</v>
      </c>
      <c r="BV69" s="3">
        <v>3.9735999999999998</v>
      </c>
      <c r="BW69" s="3">
        <v>-66.216700000000003</v>
      </c>
      <c r="BX69" s="3">
        <v>-140.334</v>
      </c>
      <c r="BY69" s="3">
        <v>-213.267</v>
      </c>
      <c r="BZ69" s="3">
        <v>-275.505</v>
      </c>
      <c r="CA69" s="3">
        <v>-710.85900000000004</v>
      </c>
      <c r="CB69" s="3">
        <v>-760.57100000000003</v>
      </c>
      <c r="CC69" s="3">
        <v>-825.72</v>
      </c>
      <c r="CD69" s="3">
        <v>-898.2</v>
      </c>
      <c r="CE69" s="3">
        <v>-961.90599999999995</v>
      </c>
      <c r="CF69" s="3">
        <v>-1010.18</v>
      </c>
      <c r="CG69" s="3">
        <v>-1190.97</v>
      </c>
      <c r="CH69" s="3">
        <v>-1304.83</v>
      </c>
      <c r="CI69" s="3">
        <v>-1332.69</v>
      </c>
      <c r="CJ69" s="3">
        <v>-1272.7</v>
      </c>
      <c r="CK69" s="3">
        <v>-1118.55</v>
      </c>
      <c r="CL69" s="3">
        <v>-1042.6400000000001</v>
      </c>
      <c r="CM69" s="3">
        <v>-957.55</v>
      </c>
      <c r="CN69" s="3">
        <v>-861.70299999999997</v>
      </c>
      <c r="CO69" s="3">
        <v>-772.03899999999999</v>
      </c>
      <c r="CP69" s="3">
        <v>-697.31399999999996</v>
      </c>
      <c r="CQ69" s="3">
        <v>-764.39599999999996</v>
      </c>
      <c r="CR69" s="3">
        <v>-803.08799999999997</v>
      </c>
      <c r="CS69" s="3">
        <v>-802.83900000000006</v>
      </c>
      <c r="CT69" s="3">
        <v>-765.17200000000003</v>
      </c>
      <c r="CU69" s="3">
        <v>11659.3</v>
      </c>
      <c r="CV69" s="3">
        <v>12953.9</v>
      </c>
      <c r="CW69" s="3">
        <v>13317.5</v>
      </c>
      <c r="CX69" s="3">
        <v>12885.4</v>
      </c>
      <c r="CY69" s="3">
        <v>12247.3</v>
      </c>
      <c r="CZ69" s="3">
        <v>11564.8</v>
      </c>
      <c r="DA69" s="3">
        <v>11057.1</v>
      </c>
      <c r="DB69" s="3">
        <v>10756.6</v>
      </c>
      <c r="DC69" s="3">
        <v>10440.1</v>
      </c>
      <c r="DD69" s="3">
        <v>10490.1</v>
      </c>
      <c r="DE69" s="3">
        <v>10732.8</v>
      </c>
      <c r="DF69" s="3">
        <v>11938.3</v>
      </c>
      <c r="DG69" s="3">
        <v>13099.6</v>
      </c>
      <c r="DH69" s="3">
        <v>13655.7</v>
      </c>
      <c r="DI69" s="3">
        <v>12959.2</v>
      </c>
      <c r="DJ69" s="3">
        <v>11288.5</v>
      </c>
      <c r="DK69" s="3">
        <v>11720</v>
      </c>
      <c r="DL69" s="3">
        <v>12010.2</v>
      </c>
      <c r="DM69" s="3">
        <v>12178.1</v>
      </c>
      <c r="DN69" s="3">
        <v>12043.3</v>
      </c>
      <c r="DO69" s="3">
        <v>2879.63</v>
      </c>
      <c r="DP69" s="3">
        <v>2653.78</v>
      </c>
      <c r="DQ69" s="3">
        <v>2591.56</v>
      </c>
      <c r="DR69" s="3">
        <v>2515.41</v>
      </c>
      <c r="DS69" s="3">
        <v>2385.6999999999998</v>
      </c>
      <c r="DT69" s="3">
        <v>2169.2600000000002</v>
      </c>
      <c r="DU69" s="3">
        <v>1568.01</v>
      </c>
      <c r="DV69" s="3">
        <v>1202.54</v>
      </c>
      <c r="DW69" s="3">
        <v>1298.57</v>
      </c>
      <c r="DX69" s="3">
        <v>1365.88</v>
      </c>
      <c r="DY69" s="3">
        <v>1128.19</v>
      </c>
      <c r="DZ69" s="3">
        <v>1369.91</v>
      </c>
      <c r="EA69" s="3">
        <v>1340.99</v>
      </c>
      <c r="EB69" s="3">
        <v>1230.05</v>
      </c>
      <c r="EC69" s="3">
        <v>1172.3</v>
      </c>
      <c r="ED69" s="3">
        <v>1099.96</v>
      </c>
      <c r="EE69" s="3">
        <v>2265.3200000000002</v>
      </c>
      <c r="EF69" s="3">
        <v>3275.62</v>
      </c>
      <c r="EG69" s="3">
        <v>3418.23</v>
      </c>
      <c r="EH69" s="3">
        <v>2990.68</v>
      </c>
      <c r="EI69" s="3">
        <v>-449.69299999999998</v>
      </c>
      <c r="EJ69" s="3">
        <v>-12.731299999999999</v>
      </c>
      <c r="EK69" s="3">
        <v>298.46600000000001</v>
      </c>
      <c r="EL69" s="3">
        <v>329.23500000000001</v>
      </c>
      <c r="EM69" s="3">
        <v>136.37700000000001</v>
      </c>
      <c r="EN69" s="3">
        <v>-59.618600000000001</v>
      </c>
      <c r="EO69" s="3">
        <v>-228.256</v>
      </c>
      <c r="EP69" s="3">
        <v>-266.23899999999998</v>
      </c>
      <c r="EQ69" s="3">
        <v>-399.94099999999997</v>
      </c>
      <c r="ER69" s="3">
        <v>-750.86199999999997</v>
      </c>
      <c r="ES69" s="3">
        <v>-971.92</v>
      </c>
      <c r="ET69" s="3">
        <v>-1259.1500000000001</v>
      </c>
      <c r="EU69" s="3">
        <v>-1283.1600000000001</v>
      </c>
      <c r="EV69" s="3">
        <v>-1043.67</v>
      </c>
      <c r="EW69" s="3">
        <v>-623.30700000000002</v>
      </c>
      <c r="EX69" s="3">
        <v>-430.02100000000002</v>
      </c>
      <c r="EY69" s="3">
        <v>-295.91500000000002</v>
      </c>
      <c r="EZ69" s="3">
        <v>-615.47</v>
      </c>
      <c r="FA69" s="3">
        <v>-1061.52</v>
      </c>
      <c r="FB69" s="3">
        <v>-941.78499999999997</v>
      </c>
      <c r="FC69" s="3">
        <v>1494.13</v>
      </c>
      <c r="FD69" s="3">
        <v>1519.82</v>
      </c>
      <c r="FE69" s="3">
        <v>-36.298099999999998</v>
      </c>
      <c r="FF69" s="3">
        <v>-414.54199999999997</v>
      </c>
      <c r="FG69" s="3">
        <v>-757.27800000000002</v>
      </c>
      <c r="FH69" s="3">
        <v>-1204.99</v>
      </c>
      <c r="FI69" s="3">
        <v>-11328.4</v>
      </c>
      <c r="FJ69" s="3">
        <v>-1878.06</v>
      </c>
      <c r="FK69" s="3">
        <v>493.351</v>
      </c>
      <c r="FL69" s="3">
        <v>4.1835799999999999E-2</v>
      </c>
      <c r="FM69" s="3"/>
    </row>
    <row r="70" spans="1:169" x14ac:dyDescent="0.3">
      <c r="A70" s="2">
        <v>62</v>
      </c>
      <c r="B70" s="5">
        <v>9</v>
      </c>
      <c r="C70" s="6">
        <v>1101310</v>
      </c>
      <c r="D70" s="6" t="s">
        <v>263</v>
      </c>
      <c r="E70" s="6">
        <v>3904010</v>
      </c>
      <c r="F70" s="6">
        <v>1904011</v>
      </c>
      <c r="G70" s="6">
        <v>2904010</v>
      </c>
      <c r="H70" s="6">
        <v>1904012</v>
      </c>
      <c r="I70" s="6">
        <v>57.914999999999999</v>
      </c>
      <c r="J70" s="6" t="s">
        <v>194</v>
      </c>
      <c r="K70" s="6" t="s">
        <v>195</v>
      </c>
      <c r="L70" s="7" t="s">
        <v>196</v>
      </c>
      <c r="M70" s="7" t="s">
        <v>172</v>
      </c>
      <c r="N70" s="8" t="s">
        <v>818</v>
      </c>
      <c r="O70" s="5">
        <v>2579.2800000000002</v>
      </c>
      <c r="P70" s="6">
        <v>-4512.92</v>
      </c>
      <c r="Q70" s="6">
        <v>19515.400000000001</v>
      </c>
      <c r="R70" s="12">
        <v>17029.5</v>
      </c>
      <c r="S70" s="4" t="s">
        <v>819</v>
      </c>
      <c r="T70" s="4" t="s">
        <v>820</v>
      </c>
      <c r="U70" s="4" t="s">
        <v>821</v>
      </c>
      <c r="V70" s="4" t="s">
        <v>822</v>
      </c>
      <c r="W70" s="4" t="s">
        <v>823</v>
      </c>
      <c r="X70" s="4" t="s">
        <v>824</v>
      </c>
      <c r="Y70" s="4" t="s">
        <v>825</v>
      </c>
      <c r="Z70" s="4" t="s">
        <v>826</v>
      </c>
      <c r="AA70" s="4" t="s">
        <v>827</v>
      </c>
      <c r="AB70" s="4" t="s">
        <v>828</v>
      </c>
      <c r="AC70" s="4" t="s">
        <v>829</v>
      </c>
      <c r="AD70" s="4" t="s">
        <v>830</v>
      </c>
      <c r="AE70" s="4" t="s">
        <v>831</v>
      </c>
      <c r="AF70" s="4" t="s">
        <v>832</v>
      </c>
      <c r="AG70" s="4" t="s">
        <v>833</v>
      </c>
      <c r="AH70" s="4" t="s">
        <v>834</v>
      </c>
      <c r="AI70" s="4" t="s">
        <v>835</v>
      </c>
      <c r="AJ70" s="4" t="s">
        <v>836</v>
      </c>
      <c r="AK70" s="4" t="s">
        <v>837</v>
      </c>
      <c r="AL70" s="4" t="s">
        <v>838</v>
      </c>
      <c r="AM70" s="3">
        <v>-1153.46</v>
      </c>
      <c r="AN70" s="3">
        <v>-1128.8800000000001</v>
      </c>
      <c r="AO70" s="3">
        <v>-1098.94</v>
      </c>
      <c r="AP70" s="3">
        <v>-1068.42</v>
      </c>
      <c r="AQ70" s="3">
        <v>-1033.0899999999999</v>
      </c>
      <c r="AR70" s="3">
        <v>-989.98599999999999</v>
      </c>
      <c r="AS70" s="3">
        <v>-1239.92</v>
      </c>
      <c r="AT70" s="3">
        <v>-1547.76</v>
      </c>
      <c r="AU70" s="3">
        <v>-1877.53</v>
      </c>
      <c r="AV70" s="3">
        <v>-2205.7199999999998</v>
      </c>
      <c r="AW70" s="3">
        <v>-2496.21</v>
      </c>
      <c r="AX70" s="3">
        <v>-2401.09</v>
      </c>
      <c r="AY70" s="3">
        <v>-2324.36</v>
      </c>
      <c r="AZ70" s="3">
        <v>-2253.54</v>
      </c>
      <c r="BA70" s="3">
        <v>-2195.8000000000002</v>
      </c>
      <c r="BB70" s="3">
        <v>-2157.1999999999998</v>
      </c>
      <c r="BC70" s="3">
        <v>-1961.31</v>
      </c>
      <c r="BD70" s="3">
        <v>-1753.23</v>
      </c>
      <c r="BE70" s="3">
        <v>-1551.14</v>
      </c>
      <c r="BF70" s="3">
        <v>-1354.36</v>
      </c>
      <c r="BG70" s="3">
        <v>251.58</v>
      </c>
      <c r="BH70" s="3">
        <v>252.69800000000001</v>
      </c>
      <c r="BI70" s="3">
        <v>257.31799999999998</v>
      </c>
      <c r="BJ70" s="3">
        <v>276.63799999999998</v>
      </c>
      <c r="BK70" s="3">
        <v>309.34899999999999</v>
      </c>
      <c r="BL70" s="3">
        <v>351.53199999999998</v>
      </c>
      <c r="BM70" s="3">
        <v>348.71600000000001</v>
      </c>
      <c r="BN70" s="3">
        <v>367.8</v>
      </c>
      <c r="BO70" s="3">
        <v>391.012</v>
      </c>
      <c r="BP70" s="3">
        <v>409.476</v>
      </c>
      <c r="BQ70" s="3">
        <v>409.678</v>
      </c>
      <c r="BR70" s="3">
        <v>373.31200000000001</v>
      </c>
      <c r="BS70" s="3">
        <v>338.22199999999998</v>
      </c>
      <c r="BT70" s="3">
        <v>299.464</v>
      </c>
      <c r="BU70" s="3">
        <v>265.33600000000001</v>
      </c>
      <c r="BV70" s="3">
        <v>245.78700000000001</v>
      </c>
      <c r="BW70" s="3">
        <v>252.66900000000001</v>
      </c>
      <c r="BX70" s="3">
        <v>251.85499999999999</v>
      </c>
      <c r="BY70" s="3">
        <v>250.411</v>
      </c>
      <c r="BZ70" s="3">
        <v>250.31200000000001</v>
      </c>
      <c r="CA70" s="3">
        <v>343.94</v>
      </c>
      <c r="CB70" s="3">
        <v>347.70499999999998</v>
      </c>
      <c r="CC70" s="3">
        <v>364.02800000000002</v>
      </c>
      <c r="CD70" s="3">
        <v>388.25900000000001</v>
      </c>
      <c r="CE70" s="3">
        <v>408.755</v>
      </c>
      <c r="CF70" s="3">
        <v>423.58600000000001</v>
      </c>
      <c r="CG70" s="3">
        <v>370.529</v>
      </c>
      <c r="CH70" s="3">
        <v>324.40300000000002</v>
      </c>
      <c r="CI70" s="3">
        <v>316.03800000000001</v>
      </c>
      <c r="CJ70" s="3">
        <v>359.74299999999999</v>
      </c>
      <c r="CK70" s="3">
        <v>452.81200000000001</v>
      </c>
      <c r="CL70" s="3">
        <v>442.464</v>
      </c>
      <c r="CM70" s="3">
        <v>420.798</v>
      </c>
      <c r="CN70" s="3">
        <v>391.3</v>
      </c>
      <c r="CO70" s="3">
        <v>362.34699999999998</v>
      </c>
      <c r="CP70" s="3">
        <v>342.18200000000002</v>
      </c>
      <c r="CQ70" s="3">
        <v>318.44799999999998</v>
      </c>
      <c r="CR70" s="3">
        <v>312.13799999999998</v>
      </c>
      <c r="CS70" s="3">
        <v>318.267</v>
      </c>
      <c r="CT70" s="3">
        <v>327.91800000000001</v>
      </c>
      <c r="CU70" s="3">
        <v>-11341.4</v>
      </c>
      <c r="CV70" s="3">
        <v>-12542.9</v>
      </c>
      <c r="CW70" s="3">
        <v>-12633.2</v>
      </c>
      <c r="CX70" s="3">
        <v>-11761.9</v>
      </c>
      <c r="CY70" s="3">
        <v>-10632.9</v>
      </c>
      <c r="CZ70" s="3">
        <v>-9439.2900000000009</v>
      </c>
      <c r="DA70" s="3">
        <v>-9280.01</v>
      </c>
      <c r="DB70" s="3">
        <v>-9285.93</v>
      </c>
      <c r="DC70" s="3">
        <v>-9079.06</v>
      </c>
      <c r="DD70" s="3">
        <v>-9028.7999999999993</v>
      </c>
      <c r="DE70" s="3">
        <v>-9035.4699999999993</v>
      </c>
      <c r="DF70" s="3">
        <v>-10424.1</v>
      </c>
      <c r="DG70" s="3">
        <v>-11890.7</v>
      </c>
      <c r="DH70" s="3">
        <v>-12798.2</v>
      </c>
      <c r="DI70" s="3">
        <v>-12416.2</v>
      </c>
      <c r="DJ70" s="3">
        <v>-10928.2</v>
      </c>
      <c r="DK70" s="3">
        <v>-11532.4</v>
      </c>
      <c r="DL70" s="3">
        <v>-11919.2</v>
      </c>
      <c r="DM70" s="3">
        <v>-12094.5</v>
      </c>
      <c r="DN70" s="3">
        <v>-11877.7</v>
      </c>
      <c r="DO70" s="3">
        <v>-2357.7399999999998</v>
      </c>
      <c r="DP70" s="3">
        <v>-1899.72</v>
      </c>
      <c r="DQ70" s="3">
        <v>-1596.04</v>
      </c>
      <c r="DR70" s="3">
        <v>-1219.6400000000001</v>
      </c>
      <c r="DS70" s="3">
        <v>-719.58</v>
      </c>
      <c r="DT70" s="3">
        <v>-69.6203</v>
      </c>
      <c r="DU70" s="3">
        <v>612.596</v>
      </c>
      <c r="DV70" s="3">
        <v>826.43499999999995</v>
      </c>
      <c r="DW70" s="3">
        <v>182.23699999999999</v>
      </c>
      <c r="DX70" s="3">
        <v>-751.99800000000005</v>
      </c>
      <c r="DY70" s="3">
        <v>-1461.98</v>
      </c>
      <c r="DZ70" s="3">
        <v>-1713.29</v>
      </c>
      <c r="EA70" s="3">
        <v>-1690.79</v>
      </c>
      <c r="EB70" s="3">
        <v>-1572.96</v>
      </c>
      <c r="EC70" s="3">
        <v>-1520.85</v>
      </c>
      <c r="ED70" s="3">
        <v>-1479.54</v>
      </c>
      <c r="EE70" s="3">
        <v>-2514.4699999999998</v>
      </c>
      <c r="EF70" s="3">
        <v>-3438.25</v>
      </c>
      <c r="EG70" s="3">
        <v>-3424.32</v>
      </c>
      <c r="EH70" s="3">
        <v>-2722.49</v>
      </c>
      <c r="EI70" s="3">
        <v>473.34</v>
      </c>
      <c r="EJ70" s="3">
        <v>-54.897799999999997</v>
      </c>
      <c r="EK70" s="3">
        <v>-485.12900000000002</v>
      </c>
      <c r="EL70" s="3">
        <v>-628.322</v>
      </c>
      <c r="EM70" s="3">
        <v>-553.30499999999995</v>
      </c>
      <c r="EN70" s="3">
        <v>-529.14599999999996</v>
      </c>
      <c r="EO70" s="3">
        <v>106.798</v>
      </c>
      <c r="EP70" s="3">
        <v>732.74300000000005</v>
      </c>
      <c r="EQ70" s="3">
        <v>1365</v>
      </c>
      <c r="ER70" s="3">
        <v>2068.69</v>
      </c>
      <c r="ES70" s="3">
        <v>2367.89</v>
      </c>
      <c r="ET70" s="3">
        <v>2402.33</v>
      </c>
      <c r="EU70" s="3">
        <v>2234.13</v>
      </c>
      <c r="EV70" s="3">
        <v>1805.23</v>
      </c>
      <c r="EW70" s="3">
        <v>1185.0999999999999</v>
      </c>
      <c r="EX70" s="3">
        <v>830.30100000000004</v>
      </c>
      <c r="EY70" s="3">
        <v>655.21199999999999</v>
      </c>
      <c r="EZ70" s="3">
        <v>922.06200000000001</v>
      </c>
      <c r="FA70" s="3">
        <v>1334.41</v>
      </c>
      <c r="FB70" s="3">
        <v>1123.45</v>
      </c>
      <c r="FC70" s="3">
        <v>-1655.12</v>
      </c>
      <c r="FD70" s="3">
        <v>-1726.19</v>
      </c>
      <c r="FE70" s="3">
        <v>283.18599999999998</v>
      </c>
      <c r="FF70" s="3">
        <v>321.96699999999998</v>
      </c>
      <c r="FG70" s="3">
        <v>327.149</v>
      </c>
      <c r="FH70" s="3">
        <v>401.98399999999998</v>
      </c>
      <c r="FI70" s="3">
        <v>10403.5</v>
      </c>
      <c r="FJ70" s="3">
        <v>1441.81</v>
      </c>
      <c r="FK70" s="3">
        <v>-854.09500000000003</v>
      </c>
      <c r="FL70" s="3">
        <v>0</v>
      </c>
      <c r="FM70" s="3"/>
    </row>
    <row r="71" spans="1:169" x14ac:dyDescent="0.3">
      <c r="A71" s="2">
        <v>63</v>
      </c>
      <c r="B71" s="5">
        <v>9</v>
      </c>
      <c r="C71" s="6">
        <v>2100616</v>
      </c>
      <c r="D71" s="6" t="s">
        <v>241</v>
      </c>
      <c r="E71" s="6">
        <v>2904010</v>
      </c>
      <c r="F71" s="6">
        <v>2904010</v>
      </c>
      <c r="G71" s="6">
        <v>0</v>
      </c>
      <c r="H71" s="6">
        <v>0</v>
      </c>
      <c r="I71" s="6">
        <v>51.48</v>
      </c>
      <c r="J71" s="6" t="s">
        <v>169</v>
      </c>
      <c r="K71" s="6" t="s">
        <v>170</v>
      </c>
      <c r="L71" s="7" t="s">
        <v>171</v>
      </c>
      <c r="M71" s="7" t="s">
        <v>172</v>
      </c>
      <c r="N71" s="8" t="s">
        <v>839</v>
      </c>
      <c r="O71" s="5">
        <v>-400.71100000000001</v>
      </c>
      <c r="P71" s="6">
        <v>-14157.8</v>
      </c>
      <c r="Q71" s="6">
        <v>-456.548</v>
      </c>
      <c r="R71" s="12">
        <v>12424.1</v>
      </c>
      <c r="S71" s="4" t="s">
        <v>840</v>
      </c>
      <c r="T71" s="4" t="s">
        <v>841</v>
      </c>
      <c r="U71" s="4" t="s">
        <v>842</v>
      </c>
      <c r="V71" s="4" t="s">
        <v>843</v>
      </c>
      <c r="W71" s="4" t="s">
        <v>844</v>
      </c>
      <c r="X71" s="4" t="s">
        <v>845</v>
      </c>
      <c r="Y71" s="4" t="s">
        <v>846</v>
      </c>
      <c r="Z71" s="4" t="s">
        <v>847</v>
      </c>
      <c r="AA71" s="4" t="s">
        <v>848</v>
      </c>
      <c r="AB71" s="4" t="s">
        <v>849</v>
      </c>
      <c r="AC71" s="4" t="s">
        <v>850</v>
      </c>
      <c r="AD71" s="4" t="s">
        <v>851</v>
      </c>
      <c r="AE71" s="4" t="s">
        <v>852</v>
      </c>
      <c r="AF71" s="4" t="s">
        <v>853</v>
      </c>
      <c r="AG71" s="4" t="s">
        <v>854</v>
      </c>
      <c r="AH71" s="4" t="s">
        <v>855</v>
      </c>
      <c r="AI71" s="4" t="s">
        <v>856</v>
      </c>
      <c r="AJ71" s="4" t="s">
        <v>857</v>
      </c>
      <c r="AK71" s="4" t="s">
        <v>858</v>
      </c>
      <c r="AL71" s="4" t="s">
        <v>859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/>
    </row>
    <row r="72" spans="1:169" x14ac:dyDescent="0.3">
      <c r="A72" s="2">
        <v>64</v>
      </c>
      <c r="B72" s="5">
        <v>9</v>
      </c>
      <c r="C72" s="6">
        <v>2100616</v>
      </c>
      <c r="D72" s="6" t="s">
        <v>241</v>
      </c>
      <c r="E72" s="6">
        <v>2904010</v>
      </c>
      <c r="F72" s="6">
        <v>2904010</v>
      </c>
      <c r="G72" s="6">
        <v>0</v>
      </c>
      <c r="H72" s="6">
        <v>0</v>
      </c>
      <c r="I72" s="6">
        <v>51.48</v>
      </c>
      <c r="J72" s="6" t="s">
        <v>194</v>
      </c>
      <c r="K72" s="6" t="s">
        <v>195</v>
      </c>
      <c r="L72" s="7" t="s">
        <v>196</v>
      </c>
      <c r="M72" s="7" t="s">
        <v>172</v>
      </c>
      <c r="N72" s="8" t="s">
        <v>839</v>
      </c>
      <c r="O72" s="5">
        <v>697.11400000000003</v>
      </c>
      <c r="P72" s="6">
        <v>17370.8</v>
      </c>
      <c r="Q72" s="6">
        <v>1176.47</v>
      </c>
      <c r="R72" s="12">
        <v>17029.5</v>
      </c>
      <c r="S72" s="4" t="s">
        <v>840</v>
      </c>
      <c r="T72" s="4" t="s">
        <v>841</v>
      </c>
      <c r="U72" s="4" t="s">
        <v>842</v>
      </c>
      <c r="V72" s="4" t="s">
        <v>843</v>
      </c>
      <c r="W72" s="4" t="s">
        <v>844</v>
      </c>
      <c r="X72" s="4" t="s">
        <v>845</v>
      </c>
      <c r="Y72" s="4" t="s">
        <v>846</v>
      </c>
      <c r="Z72" s="4" t="s">
        <v>847</v>
      </c>
      <c r="AA72" s="4" t="s">
        <v>848</v>
      </c>
      <c r="AB72" s="4" t="s">
        <v>849</v>
      </c>
      <c r="AC72" s="4" t="s">
        <v>850</v>
      </c>
      <c r="AD72" s="4" t="s">
        <v>851</v>
      </c>
      <c r="AE72" s="4" t="s">
        <v>852</v>
      </c>
      <c r="AF72" s="4" t="s">
        <v>853</v>
      </c>
      <c r="AG72" s="4" t="s">
        <v>854</v>
      </c>
      <c r="AH72" s="4" t="s">
        <v>855</v>
      </c>
      <c r="AI72" s="4" t="s">
        <v>856</v>
      </c>
      <c r="AJ72" s="4" t="s">
        <v>857</v>
      </c>
      <c r="AK72" s="4" t="s">
        <v>858</v>
      </c>
      <c r="AL72" s="4" t="s">
        <v>859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/>
    </row>
    <row r="73" spans="1:169" x14ac:dyDescent="0.3">
      <c r="A73" s="2">
        <v>65</v>
      </c>
      <c r="B73" s="5">
        <v>10</v>
      </c>
      <c r="C73" s="6">
        <v>51810095</v>
      </c>
      <c r="D73" s="6" t="s">
        <v>860</v>
      </c>
      <c r="E73" s="6">
        <v>2906020</v>
      </c>
      <c r="F73" s="6">
        <v>1906022</v>
      </c>
      <c r="G73" s="6">
        <v>0</v>
      </c>
      <c r="H73" s="6">
        <v>0</v>
      </c>
      <c r="I73" s="6">
        <v>51.48</v>
      </c>
      <c r="J73" s="6" t="s">
        <v>169</v>
      </c>
      <c r="K73" s="6" t="s">
        <v>170</v>
      </c>
      <c r="L73" s="7" t="s">
        <v>171</v>
      </c>
      <c r="M73" s="7" t="s">
        <v>172</v>
      </c>
      <c r="N73" s="8" t="s">
        <v>861</v>
      </c>
      <c r="O73" s="5">
        <v>2976.87</v>
      </c>
      <c r="P73" s="6">
        <v>-6574.07</v>
      </c>
      <c r="Q73" s="6">
        <v>-2270.3000000000002</v>
      </c>
      <c r="R73" s="12">
        <v>3016.12</v>
      </c>
      <c r="S73" s="4" t="s">
        <v>862</v>
      </c>
      <c r="T73" s="4" t="s">
        <v>863</v>
      </c>
      <c r="U73" s="4" t="s">
        <v>864</v>
      </c>
      <c r="V73" s="4" t="s">
        <v>865</v>
      </c>
      <c r="W73" s="4" t="s">
        <v>866</v>
      </c>
      <c r="X73" s="4" t="s">
        <v>867</v>
      </c>
      <c r="Y73" s="4" t="s">
        <v>868</v>
      </c>
      <c r="Z73" s="4" t="s">
        <v>869</v>
      </c>
      <c r="AA73" s="4" t="s">
        <v>870</v>
      </c>
      <c r="AB73" s="4" t="s">
        <v>871</v>
      </c>
      <c r="AC73" s="4" t="s">
        <v>872</v>
      </c>
      <c r="AD73" s="4" t="s">
        <v>873</v>
      </c>
      <c r="AE73" s="4" t="s">
        <v>874</v>
      </c>
      <c r="AF73" s="4" t="s">
        <v>875</v>
      </c>
      <c r="AG73" s="4" t="s">
        <v>876</v>
      </c>
      <c r="AH73" s="4" t="s">
        <v>877</v>
      </c>
      <c r="AI73" s="4" t="s">
        <v>878</v>
      </c>
      <c r="AJ73" s="4" t="s">
        <v>879</v>
      </c>
      <c r="AK73" s="4" t="s">
        <v>880</v>
      </c>
      <c r="AL73" s="4" t="s">
        <v>881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 t="s">
        <v>882</v>
      </c>
    </row>
    <row r="74" spans="1:169" x14ac:dyDescent="0.3">
      <c r="A74" s="2">
        <v>66</v>
      </c>
      <c r="B74" s="5">
        <v>10</v>
      </c>
      <c r="C74" s="6">
        <v>51810095</v>
      </c>
      <c r="D74" s="6" t="s">
        <v>860</v>
      </c>
      <c r="E74" s="6">
        <v>2906020</v>
      </c>
      <c r="F74" s="6">
        <v>1906022</v>
      </c>
      <c r="G74" s="6">
        <v>0</v>
      </c>
      <c r="H74" s="6">
        <v>0</v>
      </c>
      <c r="I74" s="6">
        <v>51.48</v>
      </c>
      <c r="J74" s="6" t="s">
        <v>194</v>
      </c>
      <c r="K74" s="6" t="s">
        <v>195</v>
      </c>
      <c r="L74" s="7" t="s">
        <v>196</v>
      </c>
      <c r="M74" s="7" t="s">
        <v>172</v>
      </c>
      <c r="N74" s="8" t="s">
        <v>861</v>
      </c>
      <c r="O74" s="5">
        <v>-3579.15</v>
      </c>
      <c r="P74" s="6">
        <v>8413.68</v>
      </c>
      <c r="Q74" s="6">
        <v>1940.78</v>
      </c>
      <c r="R74" s="12">
        <v>0</v>
      </c>
      <c r="S74" s="4" t="s">
        <v>862</v>
      </c>
      <c r="T74" s="4" t="s">
        <v>863</v>
      </c>
      <c r="U74" s="4" t="s">
        <v>864</v>
      </c>
      <c r="V74" s="4" t="s">
        <v>865</v>
      </c>
      <c r="W74" s="4" t="s">
        <v>866</v>
      </c>
      <c r="X74" s="4" t="s">
        <v>867</v>
      </c>
      <c r="Y74" s="4" t="s">
        <v>868</v>
      </c>
      <c r="Z74" s="4" t="s">
        <v>869</v>
      </c>
      <c r="AA74" s="4" t="s">
        <v>870</v>
      </c>
      <c r="AB74" s="4" t="s">
        <v>871</v>
      </c>
      <c r="AC74" s="4" t="s">
        <v>872</v>
      </c>
      <c r="AD74" s="4" t="s">
        <v>873</v>
      </c>
      <c r="AE74" s="4" t="s">
        <v>874</v>
      </c>
      <c r="AF74" s="4" t="s">
        <v>875</v>
      </c>
      <c r="AG74" s="4" t="s">
        <v>876</v>
      </c>
      <c r="AH74" s="4" t="s">
        <v>877</v>
      </c>
      <c r="AI74" s="4" t="s">
        <v>878</v>
      </c>
      <c r="AJ74" s="4" t="s">
        <v>879</v>
      </c>
      <c r="AK74" s="4" t="s">
        <v>880</v>
      </c>
      <c r="AL74" s="4" t="s">
        <v>881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 t="s">
        <v>882</v>
      </c>
    </row>
    <row r="75" spans="1:169" x14ac:dyDescent="0.3">
      <c r="A75" s="2">
        <v>67</v>
      </c>
      <c r="B75" s="5">
        <v>10</v>
      </c>
      <c r="C75" s="6">
        <v>2500638</v>
      </c>
      <c r="D75" s="6" t="s">
        <v>168</v>
      </c>
      <c r="E75" s="6">
        <v>2906020</v>
      </c>
      <c r="F75" s="6">
        <v>2906020</v>
      </c>
      <c r="G75" s="6">
        <v>0</v>
      </c>
      <c r="H75" s="6">
        <v>0</v>
      </c>
      <c r="I75" s="6">
        <v>51.48</v>
      </c>
      <c r="J75" s="6" t="s">
        <v>169</v>
      </c>
      <c r="K75" s="6" t="s">
        <v>170</v>
      </c>
      <c r="L75" s="7" t="s">
        <v>171</v>
      </c>
      <c r="M75" s="7" t="s">
        <v>172</v>
      </c>
      <c r="N75" s="8" t="s">
        <v>883</v>
      </c>
      <c r="O75" s="5">
        <v>6367.07</v>
      </c>
      <c r="P75" s="6">
        <v>3968.1</v>
      </c>
      <c r="Q75" s="6">
        <v>-974.197</v>
      </c>
      <c r="R75" s="12">
        <v>3016.12</v>
      </c>
      <c r="S75" s="4" t="s">
        <v>884</v>
      </c>
      <c r="T75" s="4" t="s">
        <v>885</v>
      </c>
      <c r="U75" s="4" t="s">
        <v>886</v>
      </c>
      <c r="V75" s="4" t="s">
        <v>887</v>
      </c>
      <c r="W75" s="4" t="s">
        <v>888</v>
      </c>
      <c r="X75" s="4" t="s">
        <v>889</v>
      </c>
      <c r="Y75" s="4" t="s">
        <v>890</v>
      </c>
      <c r="Z75" s="4" t="s">
        <v>891</v>
      </c>
      <c r="AA75" s="4" t="s">
        <v>892</v>
      </c>
      <c r="AB75" s="4" t="s">
        <v>893</v>
      </c>
      <c r="AC75" s="4" t="s">
        <v>894</v>
      </c>
      <c r="AD75" s="4" t="s">
        <v>895</v>
      </c>
      <c r="AE75" s="4" t="s">
        <v>896</v>
      </c>
      <c r="AF75" s="4" t="s">
        <v>897</v>
      </c>
      <c r="AG75" s="4" t="s">
        <v>898</v>
      </c>
      <c r="AH75" s="4" t="s">
        <v>899</v>
      </c>
      <c r="AI75" s="4" t="s">
        <v>900</v>
      </c>
      <c r="AJ75" s="4" t="s">
        <v>901</v>
      </c>
      <c r="AK75" s="4" t="s">
        <v>902</v>
      </c>
      <c r="AL75" s="4" t="s">
        <v>903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/>
    </row>
    <row r="76" spans="1:169" x14ac:dyDescent="0.3">
      <c r="A76" s="2">
        <v>68</v>
      </c>
      <c r="B76" s="5">
        <v>10</v>
      </c>
      <c r="C76" s="6">
        <v>2500638</v>
      </c>
      <c r="D76" s="6" t="s">
        <v>168</v>
      </c>
      <c r="E76" s="6">
        <v>2906020</v>
      </c>
      <c r="F76" s="6">
        <v>2906020</v>
      </c>
      <c r="G76" s="6">
        <v>0</v>
      </c>
      <c r="H76" s="6">
        <v>0</v>
      </c>
      <c r="I76" s="6">
        <v>51.48</v>
      </c>
      <c r="J76" s="6" t="s">
        <v>194</v>
      </c>
      <c r="K76" s="6" t="s">
        <v>195</v>
      </c>
      <c r="L76" s="7" t="s">
        <v>196</v>
      </c>
      <c r="M76" s="7" t="s">
        <v>172</v>
      </c>
      <c r="N76" s="8" t="s">
        <v>883</v>
      </c>
      <c r="O76" s="5">
        <v>-7876.53</v>
      </c>
      <c r="P76" s="6">
        <v>-5023.99</v>
      </c>
      <c r="Q76" s="6">
        <v>294.41300000000001</v>
      </c>
      <c r="R76" s="12">
        <v>0</v>
      </c>
      <c r="S76" s="4" t="s">
        <v>884</v>
      </c>
      <c r="T76" s="4" t="s">
        <v>885</v>
      </c>
      <c r="U76" s="4" t="s">
        <v>886</v>
      </c>
      <c r="V76" s="4" t="s">
        <v>887</v>
      </c>
      <c r="W76" s="4" t="s">
        <v>888</v>
      </c>
      <c r="X76" s="4" t="s">
        <v>889</v>
      </c>
      <c r="Y76" s="4" t="s">
        <v>890</v>
      </c>
      <c r="Z76" s="4" t="s">
        <v>891</v>
      </c>
      <c r="AA76" s="4" t="s">
        <v>892</v>
      </c>
      <c r="AB76" s="4" t="s">
        <v>893</v>
      </c>
      <c r="AC76" s="4" t="s">
        <v>894</v>
      </c>
      <c r="AD76" s="4" t="s">
        <v>895</v>
      </c>
      <c r="AE76" s="4" t="s">
        <v>896</v>
      </c>
      <c r="AF76" s="4" t="s">
        <v>897</v>
      </c>
      <c r="AG76" s="4" t="s">
        <v>898</v>
      </c>
      <c r="AH76" s="4" t="s">
        <v>899</v>
      </c>
      <c r="AI76" s="4" t="s">
        <v>900</v>
      </c>
      <c r="AJ76" s="4" t="s">
        <v>901</v>
      </c>
      <c r="AK76" s="4" t="s">
        <v>902</v>
      </c>
      <c r="AL76" s="4" t="s">
        <v>903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/>
    </row>
    <row r="77" spans="1:169" x14ac:dyDescent="0.3">
      <c r="A77" s="2">
        <v>69</v>
      </c>
      <c r="B77" s="5">
        <v>11</v>
      </c>
      <c r="C77" s="6">
        <v>2100512</v>
      </c>
      <c r="D77" s="6" t="s">
        <v>241</v>
      </c>
      <c r="E77" s="6">
        <v>2905010</v>
      </c>
      <c r="F77" s="6">
        <v>2905010</v>
      </c>
      <c r="G77" s="6">
        <v>0</v>
      </c>
      <c r="H77" s="6">
        <v>0</v>
      </c>
      <c r="I77" s="6">
        <v>51.48</v>
      </c>
      <c r="J77" s="6" t="s">
        <v>169</v>
      </c>
      <c r="K77" s="6" t="s">
        <v>170</v>
      </c>
      <c r="L77" s="7" t="s">
        <v>171</v>
      </c>
      <c r="M77" s="7" t="s">
        <v>172</v>
      </c>
      <c r="N77" s="8" t="s">
        <v>904</v>
      </c>
      <c r="O77" s="5">
        <v>2470.59</v>
      </c>
      <c r="P77" s="6">
        <v>-15750.4</v>
      </c>
      <c r="Q77" s="6">
        <v>76.818100000000001</v>
      </c>
      <c r="R77" s="12">
        <v>0</v>
      </c>
      <c r="S77" s="4" t="s">
        <v>905</v>
      </c>
      <c r="T77" s="4" t="s">
        <v>906</v>
      </c>
      <c r="U77" s="4" t="s">
        <v>907</v>
      </c>
      <c r="V77" s="4" t="s">
        <v>908</v>
      </c>
      <c r="W77" s="4" t="s">
        <v>909</v>
      </c>
      <c r="X77" s="4" t="s">
        <v>910</v>
      </c>
      <c r="Y77" s="4" t="s">
        <v>911</v>
      </c>
      <c r="Z77" s="4" t="s">
        <v>912</v>
      </c>
      <c r="AA77" s="4" t="s">
        <v>913</v>
      </c>
      <c r="AB77" s="4" t="s">
        <v>914</v>
      </c>
      <c r="AC77" s="4" t="s">
        <v>915</v>
      </c>
      <c r="AD77" s="4" t="s">
        <v>916</v>
      </c>
      <c r="AE77" s="4" t="s">
        <v>917</v>
      </c>
      <c r="AF77" s="4" t="s">
        <v>918</v>
      </c>
      <c r="AG77" s="4" t="s">
        <v>919</v>
      </c>
      <c r="AH77" s="4" t="s">
        <v>920</v>
      </c>
      <c r="AI77" s="4" t="s">
        <v>921</v>
      </c>
      <c r="AJ77" s="4" t="s">
        <v>922</v>
      </c>
      <c r="AK77" s="4" t="s">
        <v>923</v>
      </c>
      <c r="AL77" s="4" t="s">
        <v>924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/>
    </row>
    <row r="78" spans="1:169" x14ac:dyDescent="0.3">
      <c r="A78" s="2">
        <v>70</v>
      </c>
      <c r="B78" s="5">
        <v>11</v>
      </c>
      <c r="C78" s="6">
        <v>2100512</v>
      </c>
      <c r="D78" s="6" t="s">
        <v>241</v>
      </c>
      <c r="E78" s="6">
        <v>2905010</v>
      </c>
      <c r="F78" s="6">
        <v>2905010</v>
      </c>
      <c r="G78" s="6">
        <v>0</v>
      </c>
      <c r="H78" s="6">
        <v>0</v>
      </c>
      <c r="I78" s="6">
        <v>51.48</v>
      </c>
      <c r="J78" s="6" t="s">
        <v>194</v>
      </c>
      <c r="K78" s="6" t="s">
        <v>195</v>
      </c>
      <c r="L78" s="7" t="s">
        <v>196</v>
      </c>
      <c r="M78" s="7" t="s">
        <v>172</v>
      </c>
      <c r="N78" s="8" t="s">
        <v>904</v>
      </c>
      <c r="O78" s="5">
        <v>-293.637</v>
      </c>
      <c r="P78" s="6">
        <v>15929.2</v>
      </c>
      <c r="Q78" s="6">
        <v>-1.8193999999999999</v>
      </c>
      <c r="R78" s="12">
        <v>15807</v>
      </c>
      <c r="S78" s="4" t="s">
        <v>905</v>
      </c>
      <c r="T78" s="4" t="s">
        <v>906</v>
      </c>
      <c r="U78" s="4" t="s">
        <v>907</v>
      </c>
      <c r="V78" s="4" t="s">
        <v>908</v>
      </c>
      <c r="W78" s="4" t="s">
        <v>909</v>
      </c>
      <c r="X78" s="4" t="s">
        <v>910</v>
      </c>
      <c r="Y78" s="4" t="s">
        <v>911</v>
      </c>
      <c r="Z78" s="4" t="s">
        <v>912</v>
      </c>
      <c r="AA78" s="4" t="s">
        <v>913</v>
      </c>
      <c r="AB78" s="4" t="s">
        <v>914</v>
      </c>
      <c r="AC78" s="4" t="s">
        <v>915</v>
      </c>
      <c r="AD78" s="4" t="s">
        <v>916</v>
      </c>
      <c r="AE78" s="4" t="s">
        <v>917</v>
      </c>
      <c r="AF78" s="4" t="s">
        <v>918</v>
      </c>
      <c r="AG78" s="4" t="s">
        <v>919</v>
      </c>
      <c r="AH78" s="4" t="s">
        <v>920</v>
      </c>
      <c r="AI78" s="4" t="s">
        <v>921</v>
      </c>
      <c r="AJ78" s="4" t="s">
        <v>922</v>
      </c>
      <c r="AK78" s="4" t="s">
        <v>923</v>
      </c>
      <c r="AL78" s="4" t="s">
        <v>924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/>
    </row>
    <row r="79" spans="1:169" x14ac:dyDescent="0.3">
      <c r="A79" s="2">
        <v>71</v>
      </c>
      <c r="B79" s="5">
        <v>11</v>
      </c>
      <c r="C79" s="6">
        <v>1101742</v>
      </c>
      <c r="D79" s="6" t="s">
        <v>263</v>
      </c>
      <c r="E79" s="6">
        <v>2905010</v>
      </c>
      <c r="F79" s="6">
        <v>1905012</v>
      </c>
      <c r="G79" s="6">
        <v>0</v>
      </c>
      <c r="H79" s="6">
        <v>0</v>
      </c>
      <c r="I79" s="6">
        <v>57.914999999999999</v>
      </c>
      <c r="J79" s="6" t="s">
        <v>169</v>
      </c>
      <c r="K79" s="6" t="s">
        <v>170</v>
      </c>
      <c r="L79" s="7" t="s">
        <v>171</v>
      </c>
      <c r="M79" s="7" t="s">
        <v>172</v>
      </c>
      <c r="N79" s="8" t="s">
        <v>925</v>
      </c>
      <c r="O79" s="5">
        <v>15941.3</v>
      </c>
      <c r="P79" s="6">
        <v>-190.29599999999999</v>
      </c>
      <c r="Q79" s="6">
        <v>-153.06299999999999</v>
      </c>
      <c r="R79" s="12">
        <v>0</v>
      </c>
      <c r="S79" s="4" t="s">
        <v>926</v>
      </c>
      <c r="T79" s="4" t="s">
        <v>927</v>
      </c>
      <c r="U79" s="4" t="s">
        <v>928</v>
      </c>
      <c r="V79" s="4" t="s">
        <v>929</v>
      </c>
      <c r="W79" s="4" t="s">
        <v>930</v>
      </c>
      <c r="X79" s="4" t="s">
        <v>931</v>
      </c>
      <c r="Y79" s="4" t="s">
        <v>932</v>
      </c>
      <c r="Z79" s="4" t="s">
        <v>933</v>
      </c>
      <c r="AA79" s="4" t="s">
        <v>934</v>
      </c>
      <c r="AB79" s="4" t="s">
        <v>935</v>
      </c>
      <c r="AC79" s="4" t="s">
        <v>936</v>
      </c>
      <c r="AD79" s="4" t="s">
        <v>937</v>
      </c>
      <c r="AE79" s="4" t="s">
        <v>938</v>
      </c>
      <c r="AF79" s="4" t="s">
        <v>939</v>
      </c>
      <c r="AG79" s="4" t="s">
        <v>940</v>
      </c>
      <c r="AH79" s="4" t="s">
        <v>941</v>
      </c>
      <c r="AI79" s="4" t="s">
        <v>942</v>
      </c>
      <c r="AJ79" s="4" t="s">
        <v>943</v>
      </c>
      <c r="AK79" s="4" t="s">
        <v>944</v>
      </c>
      <c r="AL79" s="4" t="s">
        <v>945</v>
      </c>
      <c r="AM79" s="3">
        <v>2064.44</v>
      </c>
      <c r="AN79" s="3">
        <v>1993.84</v>
      </c>
      <c r="AO79" s="3">
        <v>1925.94</v>
      </c>
      <c r="AP79" s="3">
        <v>1853.14</v>
      </c>
      <c r="AQ79" s="3">
        <v>1774.34</v>
      </c>
      <c r="AR79" s="3">
        <v>1700.92</v>
      </c>
      <c r="AS79" s="3">
        <v>1466.08</v>
      </c>
      <c r="AT79" s="3">
        <v>1215.19</v>
      </c>
      <c r="AU79" s="3">
        <v>1043.4100000000001</v>
      </c>
      <c r="AV79" s="3">
        <v>958.50099999999998</v>
      </c>
      <c r="AW79" s="3">
        <v>935.71799999999996</v>
      </c>
      <c r="AX79" s="3">
        <v>1108.21</v>
      </c>
      <c r="AY79" s="3">
        <v>1246.54</v>
      </c>
      <c r="AZ79" s="3">
        <v>1366.63</v>
      </c>
      <c r="BA79" s="3">
        <v>1485.79</v>
      </c>
      <c r="BB79" s="3">
        <v>1590.52</v>
      </c>
      <c r="BC79" s="3">
        <v>1677.23</v>
      </c>
      <c r="BD79" s="3">
        <v>1779.81</v>
      </c>
      <c r="BE79" s="3">
        <v>1863.22</v>
      </c>
      <c r="BF79" s="3">
        <v>1949.85</v>
      </c>
      <c r="BG79" s="3">
        <v>91.719300000000004</v>
      </c>
      <c r="BH79" s="3">
        <v>97.334999999999994</v>
      </c>
      <c r="BI79" s="3">
        <v>79.607699999999994</v>
      </c>
      <c r="BJ79" s="3">
        <v>47.890999999999998</v>
      </c>
      <c r="BK79" s="3">
        <v>9.8021499999999993</v>
      </c>
      <c r="BL79" s="3">
        <v>-41.845999999999997</v>
      </c>
      <c r="BM79" s="3">
        <v>-22.314299999999999</v>
      </c>
      <c r="BN79" s="3">
        <v>14.606999999999999</v>
      </c>
      <c r="BO79" s="3">
        <v>35.142400000000002</v>
      </c>
      <c r="BP79" s="3">
        <v>29.455100000000002</v>
      </c>
      <c r="BQ79" s="3">
        <v>3.5479500000000002</v>
      </c>
      <c r="BR79" s="3">
        <v>40.218899999999998</v>
      </c>
      <c r="BS79" s="3">
        <v>76.571399999999997</v>
      </c>
      <c r="BT79" s="3">
        <v>93.258099999999999</v>
      </c>
      <c r="BU79" s="3">
        <v>80.193200000000004</v>
      </c>
      <c r="BV79" s="3">
        <v>47.427700000000002</v>
      </c>
      <c r="BW79" s="3">
        <v>73.766199999999998</v>
      </c>
      <c r="BX79" s="3">
        <v>83.079099999999997</v>
      </c>
      <c r="BY79" s="3">
        <v>92.382199999999997</v>
      </c>
      <c r="BZ79" s="3">
        <v>98.647199999999998</v>
      </c>
      <c r="CA79" s="3">
        <v>-262.59100000000001</v>
      </c>
      <c r="CB79" s="3">
        <v>-251.22200000000001</v>
      </c>
      <c r="CC79" s="3">
        <v>-252.798</v>
      </c>
      <c r="CD79" s="3">
        <v>-277.73399999999998</v>
      </c>
      <c r="CE79" s="3">
        <v>-299.91300000000001</v>
      </c>
      <c r="CF79" s="3">
        <v>-305.63600000000002</v>
      </c>
      <c r="CG79" s="3">
        <v>-370.64100000000002</v>
      </c>
      <c r="CH79" s="3">
        <v>-435.78899999999999</v>
      </c>
      <c r="CI79" s="3">
        <v>-522.70699999999999</v>
      </c>
      <c r="CJ79" s="3">
        <v>-668.57600000000002</v>
      </c>
      <c r="CK79" s="3">
        <v>-848.89800000000002</v>
      </c>
      <c r="CL79" s="3">
        <v>-800.89</v>
      </c>
      <c r="CM79" s="3">
        <v>-740.01599999999996</v>
      </c>
      <c r="CN79" s="3">
        <v>-664.98599999999999</v>
      </c>
      <c r="CO79" s="3">
        <v>-595.20600000000002</v>
      </c>
      <c r="CP79" s="3">
        <v>-547.65</v>
      </c>
      <c r="CQ79" s="3">
        <v>-461.97899999999998</v>
      </c>
      <c r="CR79" s="3">
        <v>-407.63799999999998</v>
      </c>
      <c r="CS79" s="3">
        <v>-379.995</v>
      </c>
      <c r="CT79" s="3">
        <v>-329.56200000000001</v>
      </c>
      <c r="CU79" s="3">
        <v>8579.24</v>
      </c>
      <c r="CV79" s="3">
        <v>11121.6</v>
      </c>
      <c r="CW79" s="3">
        <v>12981.2</v>
      </c>
      <c r="CX79" s="3">
        <v>13391.9</v>
      </c>
      <c r="CY79" s="3">
        <v>12875.9</v>
      </c>
      <c r="CZ79" s="3">
        <v>11875.6</v>
      </c>
      <c r="DA79" s="3">
        <v>11844.3</v>
      </c>
      <c r="DB79" s="3">
        <v>11793.9</v>
      </c>
      <c r="DC79" s="3">
        <v>11895.6</v>
      </c>
      <c r="DD79" s="3">
        <v>11934.7</v>
      </c>
      <c r="DE79" s="3">
        <v>11880</v>
      </c>
      <c r="DF79" s="3">
        <v>12555.9</v>
      </c>
      <c r="DG79" s="3">
        <v>12718.6</v>
      </c>
      <c r="DH79" s="3">
        <v>12201.7</v>
      </c>
      <c r="DI79" s="3">
        <v>11010.7</v>
      </c>
      <c r="DJ79" s="3">
        <v>9167.52</v>
      </c>
      <c r="DK79" s="3">
        <v>9133.17</v>
      </c>
      <c r="DL79" s="3">
        <v>9039.85</v>
      </c>
      <c r="DM79" s="3">
        <v>8858.4699999999993</v>
      </c>
      <c r="DN79" s="3">
        <v>8724.08</v>
      </c>
      <c r="DO79" s="3">
        <v>-247.173</v>
      </c>
      <c r="DP79" s="3">
        <v>155.773</v>
      </c>
      <c r="DQ79" s="3">
        <v>413.803</v>
      </c>
      <c r="DR79" s="3">
        <v>691.80499999999995</v>
      </c>
      <c r="DS79" s="3">
        <v>841.07399999999996</v>
      </c>
      <c r="DT79" s="3">
        <v>901.92100000000005</v>
      </c>
      <c r="DU79" s="3">
        <v>1640.04</v>
      </c>
      <c r="DV79" s="3">
        <v>1808.13</v>
      </c>
      <c r="DW79" s="3">
        <v>1204.75</v>
      </c>
      <c r="DX79" s="3">
        <v>656.38699999999994</v>
      </c>
      <c r="DY79" s="3">
        <v>709.16800000000001</v>
      </c>
      <c r="DZ79" s="3">
        <v>575.61599999999999</v>
      </c>
      <c r="EA79" s="3">
        <v>426.06400000000002</v>
      </c>
      <c r="EB79" s="3">
        <v>269.233</v>
      </c>
      <c r="EC79" s="3">
        <v>238.55199999999999</v>
      </c>
      <c r="ED79" s="3">
        <v>273.87099999999998</v>
      </c>
      <c r="EE79" s="3">
        <v>71.179400000000001</v>
      </c>
      <c r="EF79" s="3">
        <v>280.279</v>
      </c>
      <c r="EG79" s="3">
        <v>553.75699999999995</v>
      </c>
      <c r="EH79" s="3">
        <v>303.45400000000001</v>
      </c>
      <c r="EI79" s="3">
        <v>130.453</v>
      </c>
      <c r="EJ79" s="3">
        <v>47.911900000000003</v>
      </c>
      <c r="EK79" s="3">
        <v>-344.464</v>
      </c>
      <c r="EL79" s="3">
        <v>-823.30600000000004</v>
      </c>
      <c r="EM79" s="3">
        <v>-1146.08</v>
      </c>
      <c r="EN79" s="3">
        <v>-1135.3</v>
      </c>
      <c r="EO79" s="3">
        <v>-977.99099999999999</v>
      </c>
      <c r="EP79" s="3">
        <v>-566.67499999999995</v>
      </c>
      <c r="EQ79" s="3">
        <v>-357.06599999999997</v>
      </c>
      <c r="ER79" s="3">
        <v>-624.56100000000004</v>
      </c>
      <c r="ES79" s="3">
        <v>-973.97199999999998</v>
      </c>
      <c r="ET79" s="3">
        <v>-991.16200000000003</v>
      </c>
      <c r="EU79" s="3">
        <v>-895.83</v>
      </c>
      <c r="EV79" s="3">
        <v>-816.66700000000003</v>
      </c>
      <c r="EW79" s="3">
        <v>-811.726</v>
      </c>
      <c r="EX79" s="3">
        <v>-900.38300000000004</v>
      </c>
      <c r="EY79" s="3">
        <v>-1403.05</v>
      </c>
      <c r="EZ79" s="3">
        <v>-1500.81</v>
      </c>
      <c r="FA79" s="3">
        <v>-913.60400000000004</v>
      </c>
      <c r="FB79" s="3">
        <v>-123.27200000000001</v>
      </c>
      <c r="FC79" s="3">
        <v>1219.97</v>
      </c>
      <c r="FD79" s="3">
        <v>1820.85</v>
      </c>
      <c r="FE79" s="3">
        <v>47.418199999999999</v>
      </c>
      <c r="FF79" s="3">
        <v>56.869599999999998</v>
      </c>
      <c r="FG79" s="3">
        <v>-274.98200000000003</v>
      </c>
      <c r="FH79" s="3">
        <v>-699.60799999999995</v>
      </c>
      <c r="FI79" s="3">
        <v>-10393.9</v>
      </c>
      <c r="FJ79" s="3">
        <v>-437.476</v>
      </c>
      <c r="FK79" s="3">
        <v>750.28200000000004</v>
      </c>
      <c r="FL79" s="3">
        <v>0</v>
      </c>
      <c r="FM79" s="3"/>
    </row>
    <row r="80" spans="1:169" x14ac:dyDescent="0.3">
      <c r="A80" s="2">
        <v>72</v>
      </c>
      <c r="B80" s="5">
        <v>11</v>
      </c>
      <c r="C80" s="6">
        <v>1101742</v>
      </c>
      <c r="D80" s="6" t="s">
        <v>263</v>
      </c>
      <c r="E80" s="6">
        <v>2905010</v>
      </c>
      <c r="F80" s="6">
        <v>1905012</v>
      </c>
      <c r="G80" s="6">
        <v>0</v>
      </c>
      <c r="H80" s="6">
        <v>0</v>
      </c>
      <c r="I80" s="6">
        <v>57.914999999999999</v>
      </c>
      <c r="J80" s="6" t="s">
        <v>194</v>
      </c>
      <c r="K80" s="6" t="s">
        <v>195</v>
      </c>
      <c r="L80" s="7" t="s">
        <v>196</v>
      </c>
      <c r="M80" s="7" t="s">
        <v>172</v>
      </c>
      <c r="N80" s="8" t="s">
        <v>925</v>
      </c>
      <c r="O80" s="5">
        <v>-15805.2</v>
      </c>
      <c r="P80" s="6">
        <v>-1988.5</v>
      </c>
      <c r="Q80" s="6">
        <v>258.10199999999998</v>
      </c>
      <c r="R80" s="12">
        <v>15807</v>
      </c>
      <c r="S80" s="4" t="s">
        <v>926</v>
      </c>
      <c r="T80" s="4" t="s">
        <v>927</v>
      </c>
      <c r="U80" s="4" t="s">
        <v>928</v>
      </c>
      <c r="V80" s="4" t="s">
        <v>929</v>
      </c>
      <c r="W80" s="4" t="s">
        <v>930</v>
      </c>
      <c r="X80" s="4" t="s">
        <v>931</v>
      </c>
      <c r="Y80" s="4" t="s">
        <v>932</v>
      </c>
      <c r="Z80" s="4" t="s">
        <v>933</v>
      </c>
      <c r="AA80" s="4" t="s">
        <v>934</v>
      </c>
      <c r="AB80" s="4" t="s">
        <v>935</v>
      </c>
      <c r="AC80" s="4" t="s">
        <v>936</v>
      </c>
      <c r="AD80" s="4" t="s">
        <v>937</v>
      </c>
      <c r="AE80" s="4" t="s">
        <v>938</v>
      </c>
      <c r="AF80" s="4" t="s">
        <v>939</v>
      </c>
      <c r="AG80" s="4" t="s">
        <v>940</v>
      </c>
      <c r="AH80" s="4" t="s">
        <v>941</v>
      </c>
      <c r="AI80" s="4" t="s">
        <v>942</v>
      </c>
      <c r="AJ80" s="4" t="s">
        <v>943</v>
      </c>
      <c r="AK80" s="4" t="s">
        <v>944</v>
      </c>
      <c r="AL80" s="4" t="s">
        <v>945</v>
      </c>
      <c r="AM80" s="3">
        <v>-2530.38</v>
      </c>
      <c r="AN80" s="3">
        <v>-2525.89</v>
      </c>
      <c r="AO80" s="3">
        <v>-2524.31</v>
      </c>
      <c r="AP80" s="3">
        <v>-2508.9299999999998</v>
      </c>
      <c r="AQ80" s="3">
        <v>-2481.34</v>
      </c>
      <c r="AR80" s="3">
        <v>-2447.83</v>
      </c>
      <c r="AS80" s="3">
        <v>-2581.6999999999998</v>
      </c>
      <c r="AT80" s="3">
        <v>-2680.47</v>
      </c>
      <c r="AU80" s="3">
        <v>-2746.42</v>
      </c>
      <c r="AV80" s="3">
        <v>-2740.97</v>
      </c>
      <c r="AW80" s="3">
        <v>-2638.36</v>
      </c>
      <c r="AX80" s="3">
        <v>-2534.81</v>
      </c>
      <c r="AY80" s="3">
        <v>-2448.39</v>
      </c>
      <c r="AZ80" s="3">
        <v>-2390.1999999999998</v>
      </c>
      <c r="BA80" s="3">
        <v>-2352.34</v>
      </c>
      <c r="BB80" s="3">
        <v>-2322.85</v>
      </c>
      <c r="BC80" s="3">
        <v>-2451.23</v>
      </c>
      <c r="BD80" s="3">
        <v>-2531.33</v>
      </c>
      <c r="BE80" s="3">
        <v>-2552.31</v>
      </c>
      <c r="BF80" s="3">
        <v>-2544.7600000000002</v>
      </c>
      <c r="BG80" s="3">
        <v>119.66</v>
      </c>
      <c r="BH80" s="3">
        <v>118.331</v>
      </c>
      <c r="BI80" s="3">
        <v>123.074</v>
      </c>
      <c r="BJ80" s="3">
        <v>114.896</v>
      </c>
      <c r="BK80" s="3">
        <v>92.211399999999998</v>
      </c>
      <c r="BL80" s="3">
        <v>61.077800000000003</v>
      </c>
      <c r="BM80" s="3">
        <v>127.236</v>
      </c>
      <c r="BN80" s="3">
        <v>188.435</v>
      </c>
      <c r="BO80" s="3">
        <v>252.19499999999999</v>
      </c>
      <c r="BP80" s="3">
        <v>308.68700000000001</v>
      </c>
      <c r="BQ80" s="3">
        <v>349.85500000000002</v>
      </c>
      <c r="BR80" s="3">
        <v>303.52800000000002</v>
      </c>
      <c r="BS80" s="3">
        <v>254.14</v>
      </c>
      <c r="BT80" s="3">
        <v>224.95</v>
      </c>
      <c r="BU80" s="3">
        <v>221.012</v>
      </c>
      <c r="BV80" s="3">
        <v>229.828</v>
      </c>
      <c r="BW80" s="3">
        <v>220.16800000000001</v>
      </c>
      <c r="BX80" s="3">
        <v>206.905</v>
      </c>
      <c r="BY80" s="3">
        <v>180.983</v>
      </c>
      <c r="BZ80" s="3">
        <v>149.149</v>
      </c>
      <c r="CA80" s="3">
        <v>544.88499999999999</v>
      </c>
      <c r="CB80" s="3">
        <v>580.28899999999999</v>
      </c>
      <c r="CC80" s="3">
        <v>639.70600000000002</v>
      </c>
      <c r="CD80" s="3">
        <v>729.88199999999995</v>
      </c>
      <c r="CE80" s="3">
        <v>821.71500000000003</v>
      </c>
      <c r="CF80" s="3">
        <v>897.98</v>
      </c>
      <c r="CG80" s="3">
        <v>901.70799999999997</v>
      </c>
      <c r="CH80" s="3">
        <v>853.61300000000006</v>
      </c>
      <c r="CI80" s="3">
        <v>761.63</v>
      </c>
      <c r="CJ80" s="3">
        <v>659.65300000000002</v>
      </c>
      <c r="CK80" s="3">
        <v>552.54999999999995</v>
      </c>
      <c r="CL80" s="3">
        <v>518.85799999999995</v>
      </c>
      <c r="CM80" s="3">
        <v>475.66399999999999</v>
      </c>
      <c r="CN80" s="3">
        <v>423.49</v>
      </c>
      <c r="CO80" s="3">
        <v>382.35500000000002</v>
      </c>
      <c r="CP80" s="3">
        <v>365.34800000000001</v>
      </c>
      <c r="CQ80" s="3">
        <v>401.97199999999998</v>
      </c>
      <c r="CR80" s="3">
        <v>456.72699999999998</v>
      </c>
      <c r="CS80" s="3">
        <v>514.47500000000002</v>
      </c>
      <c r="CT80" s="3">
        <v>541.62400000000002</v>
      </c>
      <c r="CU80" s="3">
        <v>-7637.92</v>
      </c>
      <c r="CV80" s="3">
        <v>-9862.9599999999991</v>
      </c>
      <c r="CW80" s="3">
        <v>-11343.9</v>
      </c>
      <c r="CX80" s="3">
        <v>-11467.7</v>
      </c>
      <c r="CY80" s="3">
        <v>-10813.9</v>
      </c>
      <c r="CZ80" s="3">
        <v>-9847.59</v>
      </c>
      <c r="DA80" s="3">
        <v>-9816.98</v>
      </c>
      <c r="DB80" s="3">
        <v>-9754.16</v>
      </c>
      <c r="DC80" s="3">
        <v>-9862.94</v>
      </c>
      <c r="DD80" s="3">
        <v>-9990.1299999999992</v>
      </c>
      <c r="DE80" s="3">
        <v>-10124.9</v>
      </c>
      <c r="DF80" s="3">
        <v>-11072</v>
      </c>
      <c r="DG80" s="3">
        <v>-11573.5</v>
      </c>
      <c r="DH80" s="3">
        <v>-11382.5</v>
      </c>
      <c r="DI80" s="3">
        <v>-10443.799999999999</v>
      </c>
      <c r="DJ80" s="3">
        <v>-8743.6</v>
      </c>
      <c r="DK80" s="3">
        <v>-8579.67</v>
      </c>
      <c r="DL80" s="3">
        <v>-8378.7800000000007</v>
      </c>
      <c r="DM80" s="3">
        <v>-8109.7</v>
      </c>
      <c r="DN80" s="3">
        <v>-7879.3</v>
      </c>
      <c r="DO80" s="3">
        <v>93.2166</v>
      </c>
      <c r="DP80" s="3">
        <v>-311.27699999999999</v>
      </c>
      <c r="DQ80" s="3">
        <v>-606.58100000000002</v>
      </c>
      <c r="DR80" s="3">
        <v>-931.08100000000002</v>
      </c>
      <c r="DS80" s="3">
        <v>-1141.8399999999999</v>
      </c>
      <c r="DT80" s="3">
        <v>-1251.24</v>
      </c>
      <c r="DU80" s="3">
        <v>-2229.7399999999998</v>
      </c>
      <c r="DV80" s="3">
        <v>-2649.8</v>
      </c>
      <c r="DW80" s="3">
        <v>-2295.48</v>
      </c>
      <c r="DX80" s="3">
        <v>-1839.85</v>
      </c>
      <c r="DY80" s="3">
        <v>-1674.92</v>
      </c>
      <c r="DZ80" s="3">
        <v>-1379.81</v>
      </c>
      <c r="EA80" s="3">
        <v>-1117.6199999999999</v>
      </c>
      <c r="EB80" s="3">
        <v>-889.22799999999995</v>
      </c>
      <c r="EC80" s="3">
        <v>-804.44600000000003</v>
      </c>
      <c r="ED80" s="3">
        <v>-816.92399999999998</v>
      </c>
      <c r="EE80" s="3">
        <v>-693.48199999999997</v>
      </c>
      <c r="EF80" s="3">
        <v>-873.33699999999999</v>
      </c>
      <c r="EG80" s="3">
        <v>-1000.63</v>
      </c>
      <c r="EH80" s="3">
        <v>-573.73199999999997</v>
      </c>
      <c r="EI80" s="3">
        <v>-200.40100000000001</v>
      </c>
      <c r="EJ80" s="3">
        <v>-89.191400000000002</v>
      </c>
      <c r="EK80" s="3">
        <v>303.64499999999998</v>
      </c>
      <c r="EL80" s="3">
        <v>731.97199999999998</v>
      </c>
      <c r="EM80" s="3">
        <v>989.44600000000003</v>
      </c>
      <c r="EN80" s="3">
        <v>917.38599999999997</v>
      </c>
      <c r="EO80" s="3">
        <v>863.56700000000001</v>
      </c>
      <c r="EP80" s="3">
        <v>685.64099999999996</v>
      </c>
      <c r="EQ80" s="3">
        <v>802.06799999999998</v>
      </c>
      <c r="ER80" s="3">
        <v>1372.58</v>
      </c>
      <c r="ES80" s="3">
        <v>1977.29</v>
      </c>
      <c r="ET80" s="3">
        <v>1799.35</v>
      </c>
      <c r="EU80" s="3">
        <v>1522.16</v>
      </c>
      <c r="EV80" s="3">
        <v>1301.6300000000001</v>
      </c>
      <c r="EW80" s="3">
        <v>1184.48</v>
      </c>
      <c r="EX80" s="3">
        <v>1180.32</v>
      </c>
      <c r="EY80" s="3">
        <v>1616.33</v>
      </c>
      <c r="EZ80" s="3">
        <v>1612.86</v>
      </c>
      <c r="FA80" s="3">
        <v>930.36</v>
      </c>
      <c r="FB80" s="3">
        <v>92.027799999999999</v>
      </c>
      <c r="FC80" s="3">
        <v>-2488.81</v>
      </c>
      <c r="FD80" s="3">
        <v>-2639.29</v>
      </c>
      <c r="FE80" s="3">
        <v>104.875</v>
      </c>
      <c r="FF80" s="3">
        <v>263.88499999999999</v>
      </c>
      <c r="FG80" s="3">
        <v>453.04399999999998</v>
      </c>
      <c r="FH80" s="3">
        <v>771.18899999999996</v>
      </c>
      <c r="FI80" s="3">
        <v>9060.4699999999993</v>
      </c>
      <c r="FJ80" s="3">
        <v>902.64599999999996</v>
      </c>
      <c r="FK80" s="3">
        <v>-977.83900000000006</v>
      </c>
      <c r="FL80" s="3">
        <v>0</v>
      </c>
      <c r="FM80" s="3"/>
    </row>
    <row r="81" spans="1:169" x14ac:dyDescent="0.3">
      <c r="A81" s="2">
        <v>73</v>
      </c>
      <c r="B81" s="5">
        <v>12</v>
      </c>
      <c r="C81" s="6">
        <v>2500954</v>
      </c>
      <c r="D81" s="6" t="s">
        <v>168</v>
      </c>
      <c r="E81" s="6">
        <v>2903020</v>
      </c>
      <c r="F81" s="6">
        <v>2903020</v>
      </c>
      <c r="G81" s="6">
        <v>0</v>
      </c>
      <c r="H81" s="6">
        <v>0</v>
      </c>
      <c r="I81" s="6">
        <v>51.48</v>
      </c>
      <c r="J81" s="6" t="s">
        <v>169</v>
      </c>
      <c r="K81" s="6" t="s">
        <v>170</v>
      </c>
      <c r="L81" s="7" t="s">
        <v>171</v>
      </c>
      <c r="M81" s="7" t="s">
        <v>172</v>
      </c>
      <c r="N81" s="8" t="s">
        <v>946</v>
      </c>
      <c r="O81" s="5">
        <v>-292.19600000000003</v>
      </c>
      <c r="P81" s="6">
        <v>6653.34</v>
      </c>
      <c r="Q81" s="6">
        <v>424.745</v>
      </c>
      <c r="R81" s="12">
        <v>6561.7</v>
      </c>
      <c r="S81" s="4" t="s">
        <v>947</v>
      </c>
      <c r="T81" s="4" t="s">
        <v>948</v>
      </c>
      <c r="U81" s="4" t="s">
        <v>949</v>
      </c>
      <c r="V81" s="4" t="s">
        <v>950</v>
      </c>
      <c r="W81" s="4" t="s">
        <v>951</v>
      </c>
      <c r="X81" s="4" t="s">
        <v>952</v>
      </c>
      <c r="Y81" s="4" t="s">
        <v>953</v>
      </c>
      <c r="Z81" s="4" t="s">
        <v>954</v>
      </c>
      <c r="AA81" s="4" t="s">
        <v>955</v>
      </c>
      <c r="AB81" s="4" t="s">
        <v>956</v>
      </c>
      <c r="AC81" s="4" t="s">
        <v>957</v>
      </c>
      <c r="AD81" s="4" t="s">
        <v>958</v>
      </c>
      <c r="AE81" s="4" t="s">
        <v>959</v>
      </c>
      <c r="AF81" s="4" t="s">
        <v>960</v>
      </c>
      <c r="AG81" s="4" t="s">
        <v>961</v>
      </c>
      <c r="AH81" s="4" t="s">
        <v>962</v>
      </c>
      <c r="AI81" s="4" t="s">
        <v>963</v>
      </c>
      <c r="AJ81" s="4" t="s">
        <v>964</v>
      </c>
      <c r="AK81" s="4" t="s">
        <v>965</v>
      </c>
      <c r="AL81" s="4" t="s">
        <v>966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/>
    </row>
    <row r="82" spans="1:169" x14ac:dyDescent="0.3">
      <c r="A82" s="2">
        <v>74</v>
      </c>
      <c r="B82" s="5">
        <v>12</v>
      </c>
      <c r="C82" s="6">
        <v>2500954</v>
      </c>
      <c r="D82" s="6" t="s">
        <v>168</v>
      </c>
      <c r="E82" s="6">
        <v>2903020</v>
      </c>
      <c r="F82" s="6">
        <v>2903020</v>
      </c>
      <c r="G82" s="6">
        <v>0</v>
      </c>
      <c r="H82" s="6">
        <v>0</v>
      </c>
      <c r="I82" s="6">
        <v>51.48</v>
      </c>
      <c r="J82" s="6" t="s">
        <v>194</v>
      </c>
      <c r="K82" s="6" t="s">
        <v>195</v>
      </c>
      <c r="L82" s="7" t="s">
        <v>196</v>
      </c>
      <c r="M82" s="7" t="s">
        <v>172</v>
      </c>
      <c r="N82" s="8" t="s">
        <v>946</v>
      </c>
      <c r="O82" s="5">
        <v>-549.74099999999999</v>
      </c>
      <c r="P82" s="6">
        <v>-4753.46</v>
      </c>
      <c r="Q82" s="6">
        <v>-865.54399999999998</v>
      </c>
      <c r="R82" s="12">
        <v>0</v>
      </c>
      <c r="S82" s="4" t="s">
        <v>947</v>
      </c>
      <c r="T82" s="4" t="s">
        <v>948</v>
      </c>
      <c r="U82" s="4" t="s">
        <v>949</v>
      </c>
      <c r="V82" s="4" t="s">
        <v>950</v>
      </c>
      <c r="W82" s="4" t="s">
        <v>951</v>
      </c>
      <c r="X82" s="4" t="s">
        <v>952</v>
      </c>
      <c r="Y82" s="4" t="s">
        <v>953</v>
      </c>
      <c r="Z82" s="4" t="s">
        <v>954</v>
      </c>
      <c r="AA82" s="4" t="s">
        <v>955</v>
      </c>
      <c r="AB82" s="4" t="s">
        <v>956</v>
      </c>
      <c r="AC82" s="4" t="s">
        <v>957</v>
      </c>
      <c r="AD82" s="4" t="s">
        <v>958</v>
      </c>
      <c r="AE82" s="4" t="s">
        <v>959</v>
      </c>
      <c r="AF82" s="4" t="s">
        <v>960</v>
      </c>
      <c r="AG82" s="4" t="s">
        <v>961</v>
      </c>
      <c r="AH82" s="4" t="s">
        <v>962</v>
      </c>
      <c r="AI82" s="4" t="s">
        <v>963</v>
      </c>
      <c r="AJ82" s="4" t="s">
        <v>964</v>
      </c>
      <c r="AK82" s="4" t="s">
        <v>965</v>
      </c>
      <c r="AL82" s="4" t="s">
        <v>966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/>
    </row>
    <row r="83" spans="1:169" x14ac:dyDescent="0.3">
      <c r="A83" s="2">
        <v>75</v>
      </c>
      <c r="B83" s="5">
        <v>12</v>
      </c>
      <c r="C83" s="6">
        <v>1500743</v>
      </c>
      <c r="D83" s="6" t="s">
        <v>197</v>
      </c>
      <c r="E83" s="6">
        <v>2903020</v>
      </c>
      <c r="F83" s="6">
        <v>1903022</v>
      </c>
      <c r="G83" s="6">
        <v>0</v>
      </c>
      <c r="H83" s="6">
        <v>0</v>
      </c>
      <c r="I83" s="6">
        <v>57.914999999999999</v>
      </c>
      <c r="J83" s="6" t="s">
        <v>169</v>
      </c>
      <c r="K83" s="6" t="s">
        <v>170</v>
      </c>
      <c r="L83" s="7" t="s">
        <v>171</v>
      </c>
      <c r="M83" s="7" t="s">
        <v>172</v>
      </c>
      <c r="N83" s="8" t="s">
        <v>967</v>
      </c>
      <c r="O83" s="5">
        <v>-6547.5</v>
      </c>
      <c r="P83" s="6">
        <v>1198.22</v>
      </c>
      <c r="Q83" s="6">
        <v>476.78300000000002</v>
      </c>
      <c r="R83" s="12">
        <v>6561.7</v>
      </c>
      <c r="S83" s="4" t="s">
        <v>968</v>
      </c>
      <c r="T83" s="4" t="s">
        <v>969</v>
      </c>
      <c r="U83" s="4" t="s">
        <v>970</v>
      </c>
      <c r="V83" s="4" t="s">
        <v>971</v>
      </c>
      <c r="W83" s="4" t="s">
        <v>972</v>
      </c>
      <c r="X83" s="4" t="s">
        <v>973</v>
      </c>
      <c r="Y83" s="4" t="s">
        <v>974</v>
      </c>
      <c r="Z83" s="4" t="s">
        <v>975</v>
      </c>
      <c r="AA83" s="4" t="s">
        <v>976</v>
      </c>
      <c r="AB83" s="4" t="s">
        <v>977</v>
      </c>
      <c r="AC83" s="4" t="s">
        <v>978</v>
      </c>
      <c r="AD83" s="4" t="s">
        <v>979</v>
      </c>
      <c r="AE83" s="4" t="s">
        <v>980</v>
      </c>
      <c r="AF83" s="4" t="s">
        <v>981</v>
      </c>
      <c r="AG83" s="4" t="s">
        <v>982</v>
      </c>
      <c r="AH83" s="4" t="s">
        <v>983</v>
      </c>
      <c r="AI83" s="4" t="s">
        <v>984</v>
      </c>
      <c r="AJ83" s="4" t="s">
        <v>985</v>
      </c>
      <c r="AK83" s="4" t="s">
        <v>986</v>
      </c>
      <c r="AL83" s="4" t="s">
        <v>987</v>
      </c>
      <c r="AM83" s="3">
        <v>-95.638300000000001</v>
      </c>
      <c r="AN83" s="3">
        <v>-77.511799999999994</v>
      </c>
      <c r="AO83" s="3">
        <v>-56.968499999999999</v>
      </c>
      <c r="AP83" s="3">
        <v>-45.9679</v>
      </c>
      <c r="AQ83" s="3">
        <v>-45.021500000000003</v>
      </c>
      <c r="AR83" s="3">
        <v>-47.230499999999999</v>
      </c>
      <c r="AS83" s="3">
        <v>-226.245</v>
      </c>
      <c r="AT83" s="3">
        <v>-397.88299999999998</v>
      </c>
      <c r="AU83" s="3">
        <v>-529.91499999999996</v>
      </c>
      <c r="AV83" s="3">
        <v>-639.49</v>
      </c>
      <c r="AW83" s="3">
        <v>-770.00199999999995</v>
      </c>
      <c r="AX83" s="3">
        <v>-801.94500000000005</v>
      </c>
      <c r="AY83" s="3">
        <v>-833.48</v>
      </c>
      <c r="AZ83" s="3">
        <v>-857.01400000000001</v>
      </c>
      <c r="BA83" s="3">
        <v>-877.596</v>
      </c>
      <c r="BB83" s="3">
        <v>-897.00900000000001</v>
      </c>
      <c r="BC83" s="3">
        <v>-695.096</v>
      </c>
      <c r="BD83" s="3">
        <v>-501.38499999999999</v>
      </c>
      <c r="BE83" s="3">
        <v>-354.721</v>
      </c>
      <c r="BF83" s="3">
        <v>-227.739</v>
      </c>
      <c r="BG83" s="3">
        <v>330.67700000000002</v>
      </c>
      <c r="BH83" s="3">
        <v>344.05599999999998</v>
      </c>
      <c r="BI83" s="3">
        <v>345.49200000000002</v>
      </c>
      <c r="BJ83" s="3">
        <v>359.39499999999998</v>
      </c>
      <c r="BK83" s="3">
        <v>386.072</v>
      </c>
      <c r="BL83" s="3">
        <v>417.33499999999998</v>
      </c>
      <c r="BM83" s="3">
        <v>427.88</v>
      </c>
      <c r="BN83" s="3">
        <v>443.31799999999998</v>
      </c>
      <c r="BO83" s="3">
        <v>443.56700000000001</v>
      </c>
      <c r="BP83" s="3">
        <v>429.322</v>
      </c>
      <c r="BQ83" s="3">
        <v>412.04399999999998</v>
      </c>
      <c r="BR83" s="3">
        <v>366.51</v>
      </c>
      <c r="BS83" s="3">
        <v>336.55200000000002</v>
      </c>
      <c r="BT83" s="3">
        <v>311.33999999999997</v>
      </c>
      <c r="BU83" s="3">
        <v>289.67599999999999</v>
      </c>
      <c r="BV83" s="3">
        <v>274.536</v>
      </c>
      <c r="BW83" s="3">
        <v>280.63299999999998</v>
      </c>
      <c r="BX83" s="3">
        <v>279.55799999999999</v>
      </c>
      <c r="BY83" s="3">
        <v>288.13900000000001</v>
      </c>
      <c r="BZ83" s="3">
        <v>299.17399999999998</v>
      </c>
      <c r="CA83" s="3">
        <v>-497.18099999999998</v>
      </c>
      <c r="CB83" s="3">
        <v>-529.11099999999999</v>
      </c>
      <c r="CC83" s="3">
        <v>-545.32500000000005</v>
      </c>
      <c r="CD83" s="3">
        <v>-562.41099999999994</v>
      </c>
      <c r="CE83" s="3">
        <v>-571.48299999999995</v>
      </c>
      <c r="CF83" s="3">
        <v>-568.98299999999995</v>
      </c>
      <c r="CG83" s="3">
        <v>-571.03</v>
      </c>
      <c r="CH83" s="3">
        <v>-556.90099999999995</v>
      </c>
      <c r="CI83" s="3">
        <v>-530.35699999999997</v>
      </c>
      <c r="CJ83" s="3">
        <v>-508.49599999999998</v>
      </c>
      <c r="CK83" s="3">
        <v>-480.911</v>
      </c>
      <c r="CL83" s="3">
        <v>-464.04399999999998</v>
      </c>
      <c r="CM83" s="3">
        <v>-439.608</v>
      </c>
      <c r="CN83" s="3">
        <v>-410.39499999999998</v>
      </c>
      <c r="CO83" s="3">
        <v>-385.02499999999998</v>
      </c>
      <c r="CP83" s="3">
        <v>-370.17099999999999</v>
      </c>
      <c r="CQ83" s="3">
        <v>-392.20800000000003</v>
      </c>
      <c r="CR83" s="3">
        <v>-426.858</v>
      </c>
      <c r="CS83" s="3">
        <v>-461.255</v>
      </c>
      <c r="CT83" s="3">
        <v>-463.274</v>
      </c>
      <c r="CU83" s="3">
        <v>-7926.06</v>
      </c>
      <c r="CV83" s="3">
        <v>-9141.2900000000009</v>
      </c>
      <c r="CW83" s="3">
        <v>-9069.8700000000008</v>
      </c>
      <c r="CX83" s="3">
        <v>-8676.52</v>
      </c>
      <c r="CY83" s="3">
        <v>-8176.96</v>
      </c>
      <c r="CZ83" s="3">
        <v>-7565.67</v>
      </c>
      <c r="DA83" s="3">
        <v>-7185.1</v>
      </c>
      <c r="DB83" s="3">
        <v>-7164.76</v>
      </c>
      <c r="DC83" s="3">
        <v>-7200.6</v>
      </c>
      <c r="DD83" s="3">
        <v>-7581.91</v>
      </c>
      <c r="DE83" s="3">
        <v>-8132.19</v>
      </c>
      <c r="DF83" s="3">
        <v>-9764.73</v>
      </c>
      <c r="DG83" s="3">
        <v>-11360.5</v>
      </c>
      <c r="DH83" s="3">
        <v>-12448.2</v>
      </c>
      <c r="DI83" s="3">
        <v>-12569.7</v>
      </c>
      <c r="DJ83" s="3">
        <v>-11826</v>
      </c>
      <c r="DK83" s="3">
        <v>-11525.9</v>
      </c>
      <c r="DL83" s="3">
        <v>-11020.9</v>
      </c>
      <c r="DM83" s="3">
        <v>-10250.6</v>
      </c>
      <c r="DN83" s="3">
        <v>-8905.2199999999993</v>
      </c>
      <c r="DO83" s="3">
        <v>-1789.8</v>
      </c>
      <c r="DP83" s="3">
        <v>-1729.41</v>
      </c>
      <c r="DQ83" s="3">
        <v>-1744.93</v>
      </c>
      <c r="DR83" s="3">
        <v>-1778.53</v>
      </c>
      <c r="DS83" s="3">
        <v>-1813.79</v>
      </c>
      <c r="DT83" s="3">
        <v>-1928.96</v>
      </c>
      <c r="DU83" s="3">
        <v>-1722.23</v>
      </c>
      <c r="DV83" s="3">
        <v>-1492.34</v>
      </c>
      <c r="DW83" s="3">
        <v>-1537.48</v>
      </c>
      <c r="DX83" s="3">
        <v>-1261.32</v>
      </c>
      <c r="DY83" s="3">
        <v>-444.30200000000002</v>
      </c>
      <c r="DZ83" s="3">
        <v>-1191.3900000000001</v>
      </c>
      <c r="EA83" s="3">
        <v>-1750.81</v>
      </c>
      <c r="EB83" s="3">
        <v>-2105.27</v>
      </c>
      <c r="EC83" s="3">
        <v>-2399.7399999999998</v>
      </c>
      <c r="ED83" s="3">
        <v>-2637.75</v>
      </c>
      <c r="EE83" s="3">
        <v>-3536.76</v>
      </c>
      <c r="EF83" s="3">
        <v>-4245.7</v>
      </c>
      <c r="EG83" s="3">
        <v>-3804.57</v>
      </c>
      <c r="EH83" s="3">
        <v>-2651.86</v>
      </c>
      <c r="EI83" s="3">
        <v>1045.78</v>
      </c>
      <c r="EJ83" s="3">
        <v>1642.14</v>
      </c>
      <c r="EK83" s="3">
        <v>2035.64</v>
      </c>
      <c r="EL83" s="3">
        <v>2111.62</v>
      </c>
      <c r="EM83" s="3">
        <v>1924.5</v>
      </c>
      <c r="EN83" s="3">
        <v>1660.08</v>
      </c>
      <c r="EO83" s="3">
        <v>1962.76</v>
      </c>
      <c r="EP83" s="3">
        <v>2262.9499999999998</v>
      </c>
      <c r="EQ83" s="3">
        <v>2211.98</v>
      </c>
      <c r="ER83" s="3">
        <v>1734.7</v>
      </c>
      <c r="ES83" s="3">
        <v>1157.28</v>
      </c>
      <c r="ET83" s="3">
        <v>706.77200000000005</v>
      </c>
      <c r="EU83" s="3">
        <v>534.39499999999998</v>
      </c>
      <c r="EV83" s="3">
        <v>611.98800000000006</v>
      </c>
      <c r="EW83" s="3">
        <v>618.81399999999996</v>
      </c>
      <c r="EX83" s="3">
        <v>413.19600000000003</v>
      </c>
      <c r="EY83" s="3">
        <v>690.76199999999994</v>
      </c>
      <c r="EZ83" s="3">
        <v>519.947</v>
      </c>
      <c r="FA83" s="3">
        <v>275.61500000000001</v>
      </c>
      <c r="FB83" s="3">
        <v>628.88099999999997</v>
      </c>
      <c r="FC83" s="3">
        <v>-435.12799999999999</v>
      </c>
      <c r="FD83" s="3">
        <v>-461.93099999999998</v>
      </c>
      <c r="FE83" s="3">
        <v>331.77600000000001</v>
      </c>
      <c r="FF83" s="3">
        <v>363.83800000000002</v>
      </c>
      <c r="FG83" s="3">
        <v>-425.02600000000001</v>
      </c>
      <c r="FH83" s="3">
        <v>-545.74900000000002</v>
      </c>
      <c r="FI83" s="3">
        <v>8857.08</v>
      </c>
      <c r="FJ83" s="3">
        <v>1776.22</v>
      </c>
      <c r="FK83" s="3">
        <v>-1209.42</v>
      </c>
      <c r="FL83" s="3">
        <v>0</v>
      </c>
      <c r="FM83" s="3"/>
    </row>
    <row r="84" spans="1:169" x14ac:dyDescent="0.3">
      <c r="A84" s="2">
        <v>76</v>
      </c>
      <c r="B84" s="5">
        <v>12</v>
      </c>
      <c r="C84" s="6">
        <v>1500743</v>
      </c>
      <c r="D84" s="6" t="s">
        <v>197</v>
      </c>
      <c r="E84" s="6">
        <v>2903020</v>
      </c>
      <c r="F84" s="6">
        <v>1903022</v>
      </c>
      <c r="G84" s="6">
        <v>0</v>
      </c>
      <c r="H84" s="6">
        <v>0</v>
      </c>
      <c r="I84" s="6">
        <v>57.914999999999999</v>
      </c>
      <c r="J84" s="6" t="s">
        <v>194</v>
      </c>
      <c r="K84" s="6" t="s">
        <v>195</v>
      </c>
      <c r="L84" s="7" t="s">
        <v>196</v>
      </c>
      <c r="M84" s="7" t="s">
        <v>172</v>
      </c>
      <c r="N84" s="8" t="s">
        <v>967</v>
      </c>
      <c r="O84" s="5">
        <v>4777.08</v>
      </c>
      <c r="P84" s="6">
        <v>-104.301</v>
      </c>
      <c r="Q84" s="6">
        <v>-903.01</v>
      </c>
      <c r="R84" s="12">
        <v>0</v>
      </c>
      <c r="S84" s="4" t="s">
        <v>968</v>
      </c>
      <c r="T84" s="4" t="s">
        <v>969</v>
      </c>
      <c r="U84" s="4" t="s">
        <v>970</v>
      </c>
      <c r="V84" s="4" t="s">
        <v>971</v>
      </c>
      <c r="W84" s="4" t="s">
        <v>972</v>
      </c>
      <c r="X84" s="4" t="s">
        <v>973</v>
      </c>
      <c r="Y84" s="4" t="s">
        <v>974</v>
      </c>
      <c r="Z84" s="4" t="s">
        <v>975</v>
      </c>
      <c r="AA84" s="4" t="s">
        <v>976</v>
      </c>
      <c r="AB84" s="4" t="s">
        <v>977</v>
      </c>
      <c r="AC84" s="4" t="s">
        <v>978</v>
      </c>
      <c r="AD84" s="4" t="s">
        <v>979</v>
      </c>
      <c r="AE84" s="4" t="s">
        <v>980</v>
      </c>
      <c r="AF84" s="4" t="s">
        <v>981</v>
      </c>
      <c r="AG84" s="4" t="s">
        <v>982</v>
      </c>
      <c r="AH84" s="4" t="s">
        <v>983</v>
      </c>
      <c r="AI84" s="4" t="s">
        <v>984</v>
      </c>
      <c r="AJ84" s="4" t="s">
        <v>985</v>
      </c>
      <c r="AK84" s="4" t="s">
        <v>986</v>
      </c>
      <c r="AL84" s="4" t="s">
        <v>987</v>
      </c>
      <c r="AM84" s="3">
        <v>407.28100000000001</v>
      </c>
      <c r="AN84" s="3">
        <v>428.69400000000002</v>
      </c>
      <c r="AO84" s="3">
        <v>434.40600000000001</v>
      </c>
      <c r="AP84" s="3">
        <v>442.35199999999998</v>
      </c>
      <c r="AQ84" s="3">
        <v>450.327</v>
      </c>
      <c r="AR84" s="3">
        <v>451.08300000000003</v>
      </c>
      <c r="AS84" s="3">
        <v>903.41300000000001</v>
      </c>
      <c r="AT84" s="3">
        <v>1354.81</v>
      </c>
      <c r="AU84" s="3">
        <v>1745.82</v>
      </c>
      <c r="AV84" s="3">
        <v>2051.84</v>
      </c>
      <c r="AW84" s="3">
        <v>2245.15</v>
      </c>
      <c r="AX84" s="3">
        <v>2033.08</v>
      </c>
      <c r="AY84" s="3">
        <v>1836.62</v>
      </c>
      <c r="AZ84" s="3">
        <v>1678.52</v>
      </c>
      <c r="BA84" s="3">
        <v>1545.3</v>
      </c>
      <c r="BB84" s="3">
        <v>1439.74</v>
      </c>
      <c r="BC84" s="3">
        <v>1286.47</v>
      </c>
      <c r="BD84" s="3">
        <v>1083.74</v>
      </c>
      <c r="BE84" s="3">
        <v>872.89</v>
      </c>
      <c r="BF84" s="3">
        <v>639.899</v>
      </c>
      <c r="BG84" s="3">
        <v>-380.63299999999998</v>
      </c>
      <c r="BH84" s="3">
        <v>-386.363</v>
      </c>
      <c r="BI84" s="3">
        <v>-369.85500000000002</v>
      </c>
      <c r="BJ84" s="3">
        <v>-355.108</v>
      </c>
      <c r="BK84" s="3">
        <v>-341.10500000000002</v>
      </c>
      <c r="BL84" s="3">
        <v>-321.24799999999999</v>
      </c>
      <c r="BM84" s="3">
        <v>-361.73399999999998</v>
      </c>
      <c r="BN84" s="3">
        <v>-422.71100000000001</v>
      </c>
      <c r="BO84" s="3">
        <v>-480.43200000000002</v>
      </c>
      <c r="BP84" s="3">
        <v>-527.928</v>
      </c>
      <c r="BQ84" s="3">
        <v>-558.60500000000002</v>
      </c>
      <c r="BR84" s="3">
        <v>-547.11699999999996</v>
      </c>
      <c r="BS84" s="3">
        <v>-518.798</v>
      </c>
      <c r="BT84" s="3">
        <v>-483</v>
      </c>
      <c r="BU84" s="3">
        <v>-441.82400000000001</v>
      </c>
      <c r="BV84" s="3">
        <v>-405.363</v>
      </c>
      <c r="BW84" s="3">
        <v>-421.25400000000002</v>
      </c>
      <c r="BX84" s="3">
        <v>-412.95600000000002</v>
      </c>
      <c r="BY84" s="3">
        <v>-399.29300000000001</v>
      </c>
      <c r="BZ84" s="3">
        <v>-378.86599999999999</v>
      </c>
      <c r="CA84" s="3">
        <v>367.291</v>
      </c>
      <c r="CB84" s="3">
        <v>361.459</v>
      </c>
      <c r="CC84" s="3">
        <v>337.03</v>
      </c>
      <c r="CD84" s="3">
        <v>312.99700000000001</v>
      </c>
      <c r="CE84" s="3">
        <v>281.93099999999998</v>
      </c>
      <c r="CF84" s="3">
        <v>250.11500000000001</v>
      </c>
      <c r="CG84" s="3">
        <v>260.50099999999998</v>
      </c>
      <c r="CH84" s="3">
        <v>302.00400000000002</v>
      </c>
      <c r="CI84" s="3">
        <v>384.08</v>
      </c>
      <c r="CJ84" s="3">
        <v>536.31100000000004</v>
      </c>
      <c r="CK84" s="3">
        <v>754.97799999999995</v>
      </c>
      <c r="CL84" s="3">
        <v>761.22299999999996</v>
      </c>
      <c r="CM84" s="3">
        <v>749.01400000000001</v>
      </c>
      <c r="CN84" s="3">
        <v>718.06600000000003</v>
      </c>
      <c r="CO84" s="3">
        <v>681.40099999999995</v>
      </c>
      <c r="CP84" s="3">
        <v>648.39700000000005</v>
      </c>
      <c r="CQ84" s="3">
        <v>557.697</v>
      </c>
      <c r="CR84" s="3">
        <v>485.87900000000002</v>
      </c>
      <c r="CS84" s="3">
        <v>434.387</v>
      </c>
      <c r="CT84" s="3">
        <v>377.54500000000002</v>
      </c>
      <c r="CU84" s="3">
        <v>9172.1299999999992</v>
      </c>
      <c r="CV84" s="3">
        <v>10655.1</v>
      </c>
      <c r="CW84" s="3">
        <v>10911</v>
      </c>
      <c r="CX84" s="3">
        <v>10887.7</v>
      </c>
      <c r="CY84" s="3">
        <v>10754.4</v>
      </c>
      <c r="CZ84" s="3">
        <v>10463.9</v>
      </c>
      <c r="DA84" s="3">
        <v>10291.700000000001</v>
      </c>
      <c r="DB84" s="3">
        <v>10419.700000000001</v>
      </c>
      <c r="DC84" s="3">
        <v>10511.4</v>
      </c>
      <c r="DD84" s="3">
        <v>10787</v>
      </c>
      <c r="DE84" s="3">
        <v>11023.7</v>
      </c>
      <c r="DF84" s="3">
        <v>12007.4</v>
      </c>
      <c r="DG84" s="3">
        <v>13032</v>
      </c>
      <c r="DH84" s="3">
        <v>13641.2</v>
      </c>
      <c r="DI84" s="3">
        <v>13409.5</v>
      </c>
      <c r="DJ84" s="3">
        <v>12438</v>
      </c>
      <c r="DK84" s="3">
        <v>12321.8</v>
      </c>
      <c r="DL84" s="3">
        <v>11994.5</v>
      </c>
      <c r="DM84" s="3">
        <v>11358.7</v>
      </c>
      <c r="DN84" s="3">
        <v>10054.200000000001</v>
      </c>
      <c r="DO84" s="3">
        <v>2322.3000000000002</v>
      </c>
      <c r="DP84" s="3">
        <v>2281.13</v>
      </c>
      <c r="DQ84" s="3">
        <v>2267.1999999999998</v>
      </c>
      <c r="DR84" s="3">
        <v>2243.87</v>
      </c>
      <c r="DS84" s="3">
        <v>2189.1999999999998</v>
      </c>
      <c r="DT84" s="3">
        <v>2185.6799999999998</v>
      </c>
      <c r="DU84" s="3">
        <v>2190.2600000000002</v>
      </c>
      <c r="DV84" s="3">
        <v>2297.92</v>
      </c>
      <c r="DW84" s="3">
        <v>2754.78</v>
      </c>
      <c r="DX84" s="3">
        <v>2950.27</v>
      </c>
      <c r="DY84" s="3">
        <v>2628.14</v>
      </c>
      <c r="DZ84" s="3">
        <v>3077.24</v>
      </c>
      <c r="EA84" s="3">
        <v>3332.8</v>
      </c>
      <c r="EB84" s="3">
        <v>3421.2</v>
      </c>
      <c r="EC84" s="3">
        <v>3473</v>
      </c>
      <c r="ED84" s="3">
        <v>3496.16</v>
      </c>
      <c r="EE84" s="3">
        <v>4382.72</v>
      </c>
      <c r="EF84" s="3">
        <v>4993.01</v>
      </c>
      <c r="EG84" s="3">
        <v>4470.87</v>
      </c>
      <c r="EH84" s="3">
        <v>3247.24</v>
      </c>
      <c r="EI84" s="3">
        <v>-764.24699999999996</v>
      </c>
      <c r="EJ84" s="3">
        <v>-1287.42</v>
      </c>
      <c r="EK84" s="3">
        <v>-1611.38</v>
      </c>
      <c r="EL84" s="3">
        <v>-1650.34</v>
      </c>
      <c r="EM84" s="3">
        <v>-1471.74</v>
      </c>
      <c r="EN84" s="3">
        <v>-1259.27</v>
      </c>
      <c r="EO84" s="3">
        <v>-1370.19</v>
      </c>
      <c r="EP84" s="3">
        <v>-1486.64</v>
      </c>
      <c r="EQ84" s="3">
        <v>-1264.3499999999999</v>
      </c>
      <c r="ER84" s="3">
        <v>-681.39499999999998</v>
      </c>
      <c r="ES84" s="3">
        <v>-148.101</v>
      </c>
      <c r="ET84" s="3">
        <v>39.374899999999997</v>
      </c>
      <c r="EU84" s="3">
        <v>3.9012199999999999</v>
      </c>
      <c r="EV84" s="3">
        <v>-209.065</v>
      </c>
      <c r="EW84" s="3">
        <v>-324.74799999999999</v>
      </c>
      <c r="EX84" s="3">
        <v>-214.52099999999999</v>
      </c>
      <c r="EY84" s="3">
        <v>-356.36799999999999</v>
      </c>
      <c r="EZ84" s="3">
        <v>-116.244</v>
      </c>
      <c r="FA84" s="3">
        <v>109.04300000000001</v>
      </c>
      <c r="FB84" s="3">
        <v>-304.14</v>
      </c>
      <c r="FC84" s="3">
        <v>955.00400000000002</v>
      </c>
      <c r="FD84" s="3">
        <v>1458.69</v>
      </c>
      <c r="FE84" s="3">
        <v>-359.05200000000002</v>
      </c>
      <c r="FF84" s="3">
        <v>-492.45100000000002</v>
      </c>
      <c r="FG84" s="3">
        <v>318.471</v>
      </c>
      <c r="FH84" s="3">
        <v>718.846</v>
      </c>
      <c r="FI84" s="3">
        <v>-10903.1</v>
      </c>
      <c r="FJ84" s="3">
        <v>-2743.16</v>
      </c>
      <c r="FK84" s="3">
        <v>698.08199999999999</v>
      </c>
      <c r="FL84" s="3">
        <v>0</v>
      </c>
      <c r="FM84" s="3"/>
    </row>
    <row r="85" spans="1:169" x14ac:dyDescent="0.3">
      <c r="A85" s="2">
        <v>77</v>
      </c>
      <c r="B85" s="5">
        <v>13</v>
      </c>
      <c r="C85" s="6">
        <v>3101244</v>
      </c>
      <c r="D85" s="6" t="s">
        <v>285</v>
      </c>
      <c r="E85" s="6">
        <v>3908010</v>
      </c>
      <c r="F85" s="6">
        <v>3908011</v>
      </c>
      <c r="G85" s="6">
        <v>0</v>
      </c>
      <c r="H85" s="6">
        <v>0</v>
      </c>
      <c r="I85" s="6">
        <v>51.48</v>
      </c>
      <c r="J85" s="6" t="s">
        <v>169</v>
      </c>
      <c r="K85" s="6" t="s">
        <v>170</v>
      </c>
      <c r="L85" s="7" t="s">
        <v>171</v>
      </c>
      <c r="M85" s="7" t="s">
        <v>172</v>
      </c>
      <c r="N85" s="8" t="s">
        <v>988</v>
      </c>
      <c r="O85" s="5">
        <v>7477.78</v>
      </c>
      <c r="P85" s="6">
        <v>-3479.56</v>
      </c>
      <c r="Q85" s="6">
        <v>309.72000000000003</v>
      </c>
      <c r="R85" s="12">
        <v>0</v>
      </c>
      <c r="S85" s="4" t="s">
        <v>989</v>
      </c>
      <c r="T85" s="4" t="s">
        <v>990</v>
      </c>
      <c r="U85" s="4" t="s">
        <v>991</v>
      </c>
      <c r="V85" s="4" t="s">
        <v>992</v>
      </c>
      <c r="W85" s="4" t="s">
        <v>993</v>
      </c>
      <c r="X85" s="4" t="s">
        <v>994</v>
      </c>
      <c r="Y85" s="4" t="s">
        <v>995</v>
      </c>
      <c r="Z85" s="4" t="s">
        <v>996</v>
      </c>
      <c r="AA85" s="4" t="s">
        <v>997</v>
      </c>
      <c r="AB85" s="4" t="s">
        <v>998</v>
      </c>
      <c r="AC85" s="4" t="s">
        <v>999</v>
      </c>
      <c r="AD85" s="4" t="s">
        <v>1000</v>
      </c>
      <c r="AE85" s="4" t="s">
        <v>1001</v>
      </c>
      <c r="AF85" s="4" t="s">
        <v>1002</v>
      </c>
      <c r="AG85" s="4" t="s">
        <v>1003</v>
      </c>
      <c r="AH85" s="4" t="s">
        <v>1004</v>
      </c>
      <c r="AI85" s="4" t="s">
        <v>1005</v>
      </c>
      <c r="AJ85" s="4" t="s">
        <v>1006</v>
      </c>
      <c r="AK85" s="4" t="s">
        <v>1007</v>
      </c>
      <c r="AL85" s="4" t="s">
        <v>1008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/>
    </row>
    <row r="86" spans="1:169" x14ac:dyDescent="0.3">
      <c r="A86" s="2">
        <v>78</v>
      </c>
      <c r="B86" s="5">
        <v>13</v>
      </c>
      <c r="C86" s="6">
        <v>3101244</v>
      </c>
      <c r="D86" s="6" t="s">
        <v>285</v>
      </c>
      <c r="E86" s="6">
        <v>3908010</v>
      </c>
      <c r="F86" s="6">
        <v>3908011</v>
      </c>
      <c r="G86" s="6">
        <v>0</v>
      </c>
      <c r="H86" s="6">
        <v>0</v>
      </c>
      <c r="I86" s="6">
        <v>51.48</v>
      </c>
      <c r="J86" s="6" t="s">
        <v>194</v>
      </c>
      <c r="K86" s="6" t="s">
        <v>195</v>
      </c>
      <c r="L86" s="7" t="s">
        <v>196</v>
      </c>
      <c r="M86" s="7" t="s">
        <v>172</v>
      </c>
      <c r="N86" s="8" t="s">
        <v>988</v>
      </c>
      <c r="O86" s="5">
        <v>-7503.89</v>
      </c>
      <c r="P86" s="6">
        <v>3176.84</v>
      </c>
      <c r="Q86" s="6">
        <v>-219.04300000000001</v>
      </c>
      <c r="R86" s="12">
        <v>8080.94</v>
      </c>
      <c r="S86" s="4" t="s">
        <v>989</v>
      </c>
      <c r="T86" s="4" t="s">
        <v>990</v>
      </c>
      <c r="U86" s="4" t="s">
        <v>991</v>
      </c>
      <c r="V86" s="4" t="s">
        <v>992</v>
      </c>
      <c r="W86" s="4" t="s">
        <v>993</v>
      </c>
      <c r="X86" s="4" t="s">
        <v>994</v>
      </c>
      <c r="Y86" s="4" t="s">
        <v>995</v>
      </c>
      <c r="Z86" s="4" t="s">
        <v>996</v>
      </c>
      <c r="AA86" s="4" t="s">
        <v>997</v>
      </c>
      <c r="AB86" s="4" t="s">
        <v>998</v>
      </c>
      <c r="AC86" s="4" t="s">
        <v>999</v>
      </c>
      <c r="AD86" s="4" t="s">
        <v>1000</v>
      </c>
      <c r="AE86" s="4" t="s">
        <v>1001</v>
      </c>
      <c r="AF86" s="4" t="s">
        <v>1002</v>
      </c>
      <c r="AG86" s="4" t="s">
        <v>1003</v>
      </c>
      <c r="AH86" s="4" t="s">
        <v>1004</v>
      </c>
      <c r="AI86" s="4" t="s">
        <v>1005</v>
      </c>
      <c r="AJ86" s="4" t="s">
        <v>1006</v>
      </c>
      <c r="AK86" s="4" t="s">
        <v>1007</v>
      </c>
      <c r="AL86" s="4" t="s">
        <v>1008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/>
    </row>
    <row r="87" spans="1:169" x14ac:dyDescent="0.3">
      <c r="A87" s="2">
        <v>79</v>
      </c>
      <c r="B87" s="5">
        <v>13</v>
      </c>
      <c r="C87" s="6">
        <v>1101388</v>
      </c>
      <c r="D87" s="6" t="s">
        <v>263</v>
      </c>
      <c r="E87" s="6">
        <v>3908010</v>
      </c>
      <c r="F87" s="6">
        <v>1908013</v>
      </c>
      <c r="G87" s="6">
        <v>2908010</v>
      </c>
      <c r="H87" s="6">
        <v>1908012</v>
      </c>
      <c r="I87" s="6">
        <v>57.914999999999999</v>
      </c>
      <c r="J87" s="6" t="s">
        <v>169</v>
      </c>
      <c r="K87" s="6" t="s">
        <v>170</v>
      </c>
      <c r="L87" s="7" t="s">
        <v>171</v>
      </c>
      <c r="M87" s="7" t="s">
        <v>172</v>
      </c>
      <c r="N87" s="8" t="s">
        <v>1009</v>
      </c>
      <c r="O87" s="5">
        <v>-137.93100000000001</v>
      </c>
      <c r="P87" s="6">
        <v>-3873.5</v>
      </c>
      <c r="Q87" s="6">
        <v>-976.78899999999999</v>
      </c>
      <c r="R87" s="12">
        <v>0</v>
      </c>
      <c r="S87" s="4" t="s">
        <v>1010</v>
      </c>
      <c r="T87" s="4" t="s">
        <v>1011</v>
      </c>
      <c r="U87" s="4" t="s">
        <v>1012</v>
      </c>
      <c r="V87" s="4" t="s">
        <v>1013</v>
      </c>
      <c r="W87" s="4" t="s">
        <v>1014</v>
      </c>
      <c r="X87" s="4" t="s">
        <v>1015</v>
      </c>
      <c r="Y87" s="4" t="s">
        <v>1016</v>
      </c>
      <c r="Z87" s="4" t="s">
        <v>1017</v>
      </c>
      <c r="AA87" s="4" t="s">
        <v>1018</v>
      </c>
      <c r="AB87" s="4" t="s">
        <v>1019</v>
      </c>
      <c r="AC87" s="4" t="s">
        <v>1020</v>
      </c>
      <c r="AD87" s="4" t="s">
        <v>1021</v>
      </c>
      <c r="AE87" s="4" t="s">
        <v>1022</v>
      </c>
      <c r="AF87" s="4" t="s">
        <v>1023</v>
      </c>
      <c r="AG87" s="4" t="s">
        <v>1024</v>
      </c>
      <c r="AH87" s="4" t="s">
        <v>1025</v>
      </c>
      <c r="AI87" s="4" t="s">
        <v>1026</v>
      </c>
      <c r="AJ87" s="4" t="s">
        <v>1027</v>
      </c>
      <c r="AK87" s="4" t="s">
        <v>1028</v>
      </c>
      <c r="AL87" s="4" t="s">
        <v>1029</v>
      </c>
      <c r="AM87" s="3">
        <v>828.93100000000004</v>
      </c>
      <c r="AN87" s="3">
        <v>857.20899999999995</v>
      </c>
      <c r="AO87" s="3">
        <v>889.19200000000001</v>
      </c>
      <c r="AP87" s="3">
        <v>929.06399999999996</v>
      </c>
      <c r="AQ87" s="3">
        <v>978.58900000000006</v>
      </c>
      <c r="AR87" s="3">
        <v>967.09500000000003</v>
      </c>
      <c r="AS87" s="3">
        <v>732.13199999999995</v>
      </c>
      <c r="AT87" s="3">
        <v>546.846</v>
      </c>
      <c r="AU87" s="3">
        <v>261.23200000000003</v>
      </c>
      <c r="AV87" s="3">
        <v>-33.5533</v>
      </c>
      <c r="AW87" s="3">
        <v>-287.13200000000001</v>
      </c>
      <c r="AX87" s="3">
        <v>-242.27099999999999</v>
      </c>
      <c r="AY87" s="3">
        <v>-201.25800000000001</v>
      </c>
      <c r="AZ87" s="3">
        <v>-157.55600000000001</v>
      </c>
      <c r="BA87" s="3">
        <v>-123.848</v>
      </c>
      <c r="BB87" s="3">
        <v>-91.6768</v>
      </c>
      <c r="BC87" s="3">
        <v>103.389</v>
      </c>
      <c r="BD87" s="3">
        <v>292.20400000000001</v>
      </c>
      <c r="BE87" s="3">
        <v>479.39800000000002</v>
      </c>
      <c r="BF87" s="3">
        <v>658.44600000000003</v>
      </c>
      <c r="BG87" s="3">
        <v>-345.17</v>
      </c>
      <c r="BH87" s="3">
        <v>-353.21</v>
      </c>
      <c r="BI87" s="3">
        <v>-363.03500000000003</v>
      </c>
      <c r="BJ87" s="3">
        <v>-378.63299999999998</v>
      </c>
      <c r="BK87" s="3">
        <v>-404.17700000000002</v>
      </c>
      <c r="BL87" s="3">
        <v>-405.02</v>
      </c>
      <c r="BM87" s="3">
        <v>-383.16</v>
      </c>
      <c r="BN87" s="3">
        <v>-391.17899999999997</v>
      </c>
      <c r="BO87" s="3">
        <v>-373.07100000000003</v>
      </c>
      <c r="BP87" s="3">
        <v>-355.459</v>
      </c>
      <c r="BQ87" s="3">
        <v>-345.73099999999999</v>
      </c>
      <c r="BR87" s="3">
        <v>-368.92399999999998</v>
      </c>
      <c r="BS87" s="3">
        <v>-387.89400000000001</v>
      </c>
      <c r="BT87" s="3">
        <v>-399.65300000000002</v>
      </c>
      <c r="BU87" s="3">
        <v>-402.15800000000002</v>
      </c>
      <c r="BV87" s="3">
        <v>-401.572</v>
      </c>
      <c r="BW87" s="3">
        <v>-393.9</v>
      </c>
      <c r="BX87" s="3">
        <v>-382.59899999999999</v>
      </c>
      <c r="BY87" s="3">
        <v>-372.47399999999999</v>
      </c>
      <c r="BZ87" s="3">
        <v>-359.06900000000002</v>
      </c>
      <c r="CA87" s="3">
        <v>-476.45600000000002</v>
      </c>
      <c r="CB87" s="3">
        <v>-486.28199999999998</v>
      </c>
      <c r="CC87" s="3">
        <v>-485.76600000000002</v>
      </c>
      <c r="CD87" s="3">
        <v>-477.49400000000003</v>
      </c>
      <c r="CE87" s="3">
        <v>-465.56799999999998</v>
      </c>
      <c r="CF87" s="3">
        <v>-428.53699999999998</v>
      </c>
      <c r="CG87" s="3">
        <v>-376.988</v>
      </c>
      <c r="CH87" s="3">
        <v>-367.28699999999998</v>
      </c>
      <c r="CI87" s="3">
        <v>-365.16300000000001</v>
      </c>
      <c r="CJ87" s="3">
        <v>-389.54500000000002</v>
      </c>
      <c r="CK87" s="3">
        <v>-439.35300000000001</v>
      </c>
      <c r="CL87" s="3">
        <v>-445.30799999999999</v>
      </c>
      <c r="CM87" s="3">
        <v>-457.20499999999998</v>
      </c>
      <c r="CN87" s="3">
        <v>-473.31799999999998</v>
      </c>
      <c r="CO87" s="3">
        <v>-485.858</v>
      </c>
      <c r="CP87" s="3">
        <v>-486.59300000000002</v>
      </c>
      <c r="CQ87" s="3">
        <v>-455.63200000000001</v>
      </c>
      <c r="CR87" s="3">
        <v>-438.14400000000001</v>
      </c>
      <c r="CS87" s="3">
        <v>-436.661</v>
      </c>
      <c r="CT87" s="3">
        <v>-451.46899999999999</v>
      </c>
      <c r="CU87" s="3">
        <v>6625.21</v>
      </c>
      <c r="CV87" s="3">
        <v>7958.9</v>
      </c>
      <c r="CW87" s="3">
        <v>9141.67</v>
      </c>
      <c r="CX87" s="3">
        <v>10261.9</v>
      </c>
      <c r="CY87" s="3">
        <v>11481.8</v>
      </c>
      <c r="CZ87" s="3">
        <v>12551.6</v>
      </c>
      <c r="DA87" s="3">
        <v>11209.1</v>
      </c>
      <c r="DB87" s="3">
        <v>10802.1</v>
      </c>
      <c r="DC87" s="3">
        <v>9953.5</v>
      </c>
      <c r="DD87" s="3">
        <v>9213.7099999999991</v>
      </c>
      <c r="DE87" s="3">
        <v>8420.19</v>
      </c>
      <c r="DF87" s="3">
        <v>7646.82</v>
      </c>
      <c r="DG87" s="3">
        <v>7052</v>
      </c>
      <c r="DH87" s="3">
        <v>6560.1</v>
      </c>
      <c r="DI87" s="3">
        <v>5992.49</v>
      </c>
      <c r="DJ87" s="3">
        <v>5253.62</v>
      </c>
      <c r="DK87" s="3">
        <v>5790.35</v>
      </c>
      <c r="DL87" s="3">
        <v>6182.41</v>
      </c>
      <c r="DM87" s="3">
        <v>6401.66</v>
      </c>
      <c r="DN87" s="3">
        <v>6573.13</v>
      </c>
      <c r="DO87" s="3">
        <v>3015.38</v>
      </c>
      <c r="DP87" s="3">
        <v>3357.94</v>
      </c>
      <c r="DQ87" s="3">
        <v>3692.25</v>
      </c>
      <c r="DR87" s="3">
        <v>4071.57</v>
      </c>
      <c r="DS87" s="3">
        <v>4550.8599999999997</v>
      </c>
      <c r="DT87" s="3">
        <v>4834.93</v>
      </c>
      <c r="DU87" s="3">
        <v>3287.06</v>
      </c>
      <c r="DV87" s="3">
        <v>2555.6</v>
      </c>
      <c r="DW87" s="3">
        <v>2464.7800000000002</v>
      </c>
      <c r="DX87" s="3">
        <v>2727.6</v>
      </c>
      <c r="DY87" s="3">
        <v>2942.71</v>
      </c>
      <c r="DZ87" s="3">
        <v>2581.75</v>
      </c>
      <c r="EA87" s="3">
        <v>2347.2399999999998</v>
      </c>
      <c r="EB87" s="3">
        <v>2194.42</v>
      </c>
      <c r="EC87" s="3">
        <v>2080.85</v>
      </c>
      <c r="ED87" s="3">
        <v>1982.64</v>
      </c>
      <c r="EE87" s="3">
        <v>2555.9299999999998</v>
      </c>
      <c r="EF87" s="3">
        <v>3149.22</v>
      </c>
      <c r="EG87" s="3">
        <v>3425.16</v>
      </c>
      <c r="EH87" s="3">
        <v>3273.82</v>
      </c>
      <c r="EI87" s="3">
        <v>-202.55799999999999</v>
      </c>
      <c r="EJ87" s="3">
        <v>-182.35900000000001</v>
      </c>
      <c r="EK87" s="3">
        <v>-182.04400000000001</v>
      </c>
      <c r="EL87" s="3">
        <v>-118.10299999999999</v>
      </c>
      <c r="EM87" s="3">
        <v>1.59531</v>
      </c>
      <c r="EN87" s="3">
        <v>215.447</v>
      </c>
      <c r="EO87" s="3">
        <v>437.13</v>
      </c>
      <c r="EP87" s="3">
        <v>1182.56</v>
      </c>
      <c r="EQ87" s="3">
        <v>1402.95</v>
      </c>
      <c r="ER87" s="3">
        <v>1505.34</v>
      </c>
      <c r="ES87" s="3">
        <v>1396.58</v>
      </c>
      <c r="ET87" s="3">
        <v>1088.58</v>
      </c>
      <c r="EU87" s="3">
        <v>885.28899999999999</v>
      </c>
      <c r="EV87" s="3">
        <v>694.202</v>
      </c>
      <c r="EW87" s="3">
        <v>446.34100000000001</v>
      </c>
      <c r="EX87" s="3">
        <v>190.78399999999999</v>
      </c>
      <c r="EY87" s="3">
        <v>37.215600000000002</v>
      </c>
      <c r="EZ87" s="3">
        <v>-103.932</v>
      </c>
      <c r="FA87" s="3">
        <v>-182.94800000000001</v>
      </c>
      <c r="FB87" s="3">
        <v>-207.87</v>
      </c>
      <c r="FC87" s="3">
        <v>364.43700000000001</v>
      </c>
      <c r="FD87" s="3">
        <v>378.44900000000001</v>
      </c>
      <c r="FE87" s="3">
        <v>-374.87400000000002</v>
      </c>
      <c r="FF87" s="3">
        <v>-384.322</v>
      </c>
      <c r="FG87" s="3">
        <v>-394.47899999999998</v>
      </c>
      <c r="FH87" s="3">
        <v>-470.017</v>
      </c>
      <c r="FI87" s="3">
        <v>-8248.0400000000009</v>
      </c>
      <c r="FJ87" s="3">
        <v>-3137.71</v>
      </c>
      <c r="FK87" s="3">
        <v>-412.68599999999998</v>
      </c>
      <c r="FL87" s="3">
        <v>0</v>
      </c>
      <c r="FM87" s="3"/>
    </row>
    <row r="88" spans="1:169" x14ac:dyDescent="0.3">
      <c r="A88" s="2">
        <v>80</v>
      </c>
      <c r="B88" s="5">
        <v>13</v>
      </c>
      <c r="C88" s="6">
        <v>1101388</v>
      </c>
      <c r="D88" s="6" t="s">
        <v>263</v>
      </c>
      <c r="E88" s="6">
        <v>3908010</v>
      </c>
      <c r="F88" s="6">
        <v>1908013</v>
      </c>
      <c r="G88" s="6">
        <v>2908010</v>
      </c>
      <c r="H88" s="6">
        <v>1908012</v>
      </c>
      <c r="I88" s="6">
        <v>57.914999999999999</v>
      </c>
      <c r="J88" s="6" t="s">
        <v>194</v>
      </c>
      <c r="K88" s="6" t="s">
        <v>195</v>
      </c>
      <c r="L88" s="7" t="s">
        <v>196</v>
      </c>
      <c r="M88" s="7" t="s">
        <v>172</v>
      </c>
      <c r="N88" s="8" t="s">
        <v>1009</v>
      </c>
      <c r="O88" s="5">
        <v>335.577</v>
      </c>
      <c r="P88" s="6">
        <v>3697.03</v>
      </c>
      <c r="Q88" s="6">
        <v>762.43700000000001</v>
      </c>
      <c r="R88" s="12">
        <v>8080.94</v>
      </c>
      <c r="S88" s="4" t="s">
        <v>1010</v>
      </c>
      <c r="T88" s="4" t="s">
        <v>1011</v>
      </c>
      <c r="U88" s="4" t="s">
        <v>1012</v>
      </c>
      <c r="V88" s="4" t="s">
        <v>1013</v>
      </c>
      <c r="W88" s="4" t="s">
        <v>1014</v>
      </c>
      <c r="X88" s="4" t="s">
        <v>1015</v>
      </c>
      <c r="Y88" s="4" t="s">
        <v>1016</v>
      </c>
      <c r="Z88" s="4" t="s">
        <v>1017</v>
      </c>
      <c r="AA88" s="4" t="s">
        <v>1018</v>
      </c>
      <c r="AB88" s="4" t="s">
        <v>1019</v>
      </c>
      <c r="AC88" s="4" t="s">
        <v>1020</v>
      </c>
      <c r="AD88" s="4" t="s">
        <v>1021</v>
      </c>
      <c r="AE88" s="4" t="s">
        <v>1022</v>
      </c>
      <c r="AF88" s="4" t="s">
        <v>1023</v>
      </c>
      <c r="AG88" s="4" t="s">
        <v>1024</v>
      </c>
      <c r="AH88" s="4" t="s">
        <v>1025</v>
      </c>
      <c r="AI88" s="4" t="s">
        <v>1026</v>
      </c>
      <c r="AJ88" s="4" t="s">
        <v>1027</v>
      </c>
      <c r="AK88" s="4" t="s">
        <v>1028</v>
      </c>
      <c r="AL88" s="4" t="s">
        <v>1029</v>
      </c>
      <c r="AM88" s="3">
        <v>-538.86699999999996</v>
      </c>
      <c r="AN88" s="3">
        <v>-513.79200000000003</v>
      </c>
      <c r="AO88" s="3">
        <v>-481.57100000000003</v>
      </c>
      <c r="AP88" s="3">
        <v>-449.97199999999998</v>
      </c>
      <c r="AQ88" s="3">
        <v>-418.05099999999999</v>
      </c>
      <c r="AR88" s="3">
        <v>-357.35700000000003</v>
      </c>
      <c r="AS88" s="3">
        <v>-243.02099999999999</v>
      </c>
      <c r="AT88" s="3">
        <v>-136.87700000000001</v>
      </c>
      <c r="AU88" s="3">
        <v>18.7591</v>
      </c>
      <c r="AV88" s="3">
        <v>179.80500000000001</v>
      </c>
      <c r="AW88" s="3">
        <v>320.22699999999998</v>
      </c>
      <c r="AX88" s="3">
        <v>296.67399999999998</v>
      </c>
      <c r="AY88" s="3">
        <v>269.84199999999998</v>
      </c>
      <c r="AZ88" s="3">
        <v>237.125</v>
      </c>
      <c r="BA88" s="3">
        <v>208.22499999999999</v>
      </c>
      <c r="BB88" s="3">
        <v>175.815</v>
      </c>
      <c r="BC88" s="3">
        <v>32.041899999999998</v>
      </c>
      <c r="BD88" s="3">
        <v>-104.64700000000001</v>
      </c>
      <c r="BE88" s="3">
        <v>-245.38399999999999</v>
      </c>
      <c r="BF88" s="3">
        <v>-388.93</v>
      </c>
      <c r="BG88" s="3">
        <v>268.916</v>
      </c>
      <c r="BH88" s="3">
        <v>265.01600000000002</v>
      </c>
      <c r="BI88" s="3">
        <v>262.16899999999998</v>
      </c>
      <c r="BJ88" s="3">
        <v>266.44299999999998</v>
      </c>
      <c r="BK88" s="3">
        <v>282.65199999999999</v>
      </c>
      <c r="BL88" s="3">
        <v>286.596</v>
      </c>
      <c r="BM88" s="3">
        <v>299.30399999999997</v>
      </c>
      <c r="BN88" s="3">
        <v>336.59899999999999</v>
      </c>
      <c r="BO88" s="3">
        <v>353.98899999999998</v>
      </c>
      <c r="BP88" s="3">
        <v>367.21899999999999</v>
      </c>
      <c r="BQ88" s="3">
        <v>378.90300000000002</v>
      </c>
      <c r="BR88" s="3">
        <v>387.13200000000001</v>
      </c>
      <c r="BS88" s="3">
        <v>394.75</v>
      </c>
      <c r="BT88" s="3">
        <v>397.68400000000003</v>
      </c>
      <c r="BU88" s="3">
        <v>394.40499999999997</v>
      </c>
      <c r="BV88" s="3">
        <v>390.21600000000001</v>
      </c>
      <c r="BW88" s="3">
        <v>367.21199999999999</v>
      </c>
      <c r="BX88" s="3">
        <v>339.68200000000002</v>
      </c>
      <c r="BY88" s="3">
        <v>314.70699999999999</v>
      </c>
      <c r="BZ88" s="3">
        <v>289.697</v>
      </c>
      <c r="CA88" s="3">
        <v>422.834</v>
      </c>
      <c r="CB88" s="3">
        <v>437.25599999999997</v>
      </c>
      <c r="CC88" s="3">
        <v>446.56099999999998</v>
      </c>
      <c r="CD88" s="3">
        <v>452.13299999999998</v>
      </c>
      <c r="CE88" s="3">
        <v>461.12799999999999</v>
      </c>
      <c r="CF88" s="3">
        <v>447.86900000000003</v>
      </c>
      <c r="CG88" s="3">
        <v>472.173</v>
      </c>
      <c r="CH88" s="3">
        <v>522.46199999999999</v>
      </c>
      <c r="CI88" s="3">
        <v>548.625</v>
      </c>
      <c r="CJ88" s="3">
        <v>572.51499999999999</v>
      </c>
      <c r="CK88" s="3">
        <v>601.60900000000004</v>
      </c>
      <c r="CL88" s="3">
        <v>589.93299999999999</v>
      </c>
      <c r="CM88" s="3">
        <v>583.78800000000001</v>
      </c>
      <c r="CN88" s="3">
        <v>582.36199999999997</v>
      </c>
      <c r="CO88" s="3">
        <v>578.15200000000004</v>
      </c>
      <c r="CP88" s="3">
        <v>564.05100000000004</v>
      </c>
      <c r="CQ88" s="3">
        <v>527.04499999999996</v>
      </c>
      <c r="CR88" s="3">
        <v>493.25700000000001</v>
      </c>
      <c r="CS88" s="3">
        <v>465.33</v>
      </c>
      <c r="CT88" s="3">
        <v>443.62099999999998</v>
      </c>
      <c r="CU88" s="3">
        <v>-6084.53</v>
      </c>
      <c r="CV88" s="3">
        <v>-7281.65</v>
      </c>
      <c r="CW88" s="3">
        <v>-8305.89</v>
      </c>
      <c r="CX88" s="3">
        <v>-9261.43</v>
      </c>
      <c r="CY88" s="3">
        <v>-10315.200000000001</v>
      </c>
      <c r="CZ88" s="3">
        <v>-11333.4</v>
      </c>
      <c r="DA88" s="3">
        <v>-9876.31</v>
      </c>
      <c r="DB88" s="3">
        <v>-9221.5</v>
      </c>
      <c r="DC88" s="3">
        <v>-8258.49</v>
      </c>
      <c r="DD88" s="3">
        <v>-7505.99</v>
      </c>
      <c r="DE88" s="3">
        <v>-6744.67</v>
      </c>
      <c r="DF88" s="3">
        <v>-6232.13</v>
      </c>
      <c r="DG88" s="3">
        <v>-5856.09</v>
      </c>
      <c r="DH88" s="3">
        <v>-5547.26</v>
      </c>
      <c r="DI88" s="3">
        <v>-5141.7299999999996</v>
      </c>
      <c r="DJ88" s="3">
        <v>-4562.92</v>
      </c>
      <c r="DK88" s="3">
        <v>-5098.1899999999996</v>
      </c>
      <c r="DL88" s="3">
        <v>-5494.96</v>
      </c>
      <c r="DM88" s="3">
        <v>-5736.42</v>
      </c>
      <c r="DN88" s="3">
        <v>-5954.5</v>
      </c>
      <c r="DO88" s="3">
        <v>-2526.29</v>
      </c>
      <c r="DP88" s="3">
        <v>-2815.24</v>
      </c>
      <c r="DQ88" s="3">
        <v>-3098.53</v>
      </c>
      <c r="DR88" s="3">
        <v>-3437.68</v>
      </c>
      <c r="DS88" s="3">
        <v>-3902.52</v>
      </c>
      <c r="DT88" s="3">
        <v>-4240.66</v>
      </c>
      <c r="DU88" s="3">
        <v>-2754.17</v>
      </c>
      <c r="DV88" s="3">
        <v>-2012.41</v>
      </c>
      <c r="DW88" s="3">
        <v>-2006.93</v>
      </c>
      <c r="DX88" s="3">
        <v>-2346.5500000000002</v>
      </c>
      <c r="DY88" s="3">
        <v>-2598.27</v>
      </c>
      <c r="DZ88" s="3">
        <v>-2215.67</v>
      </c>
      <c r="EA88" s="3">
        <v>-1977.45</v>
      </c>
      <c r="EB88" s="3">
        <v>-1833.95</v>
      </c>
      <c r="EC88" s="3">
        <v>-1740.07</v>
      </c>
      <c r="ED88" s="3">
        <v>-1665.53</v>
      </c>
      <c r="EE88" s="3">
        <v>-2170.16</v>
      </c>
      <c r="EF88" s="3">
        <v>-2702.33</v>
      </c>
      <c r="EG88" s="3">
        <v>-2940.17</v>
      </c>
      <c r="EH88" s="3">
        <v>-2774.36</v>
      </c>
      <c r="EI88" s="3">
        <v>75.688100000000006</v>
      </c>
      <c r="EJ88" s="3">
        <v>5.3864099999999997</v>
      </c>
      <c r="EK88" s="3">
        <v>-61.133899999999997</v>
      </c>
      <c r="EL88" s="3">
        <v>-202.357</v>
      </c>
      <c r="EM88" s="3">
        <v>-408.56900000000002</v>
      </c>
      <c r="EN88" s="3">
        <v>-687.18600000000004</v>
      </c>
      <c r="EO88" s="3">
        <v>-822.09100000000001</v>
      </c>
      <c r="EP88" s="3">
        <v>-1555.89</v>
      </c>
      <c r="EQ88" s="3">
        <v>-1700.93</v>
      </c>
      <c r="ER88" s="3">
        <v>-1708.34</v>
      </c>
      <c r="ES88" s="3">
        <v>-1504.2</v>
      </c>
      <c r="ET88" s="3">
        <v>-1218.3</v>
      </c>
      <c r="EU88" s="3">
        <v>-1030.8399999999999</v>
      </c>
      <c r="EV88" s="3">
        <v>-846.93499999999995</v>
      </c>
      <c r="EW88" s="3">
        <v>-598.54100000000005</v>
      </c>
      <c r="EX88" s="3">
        <v>-335.54199999999997</v>
      </c>
      <c r="EY88" s="3">
        <v>-199.04400000000001</v>
      </c>
      <c r="EZ88" s="3">
        <v>-74.189800000000005</v>
      </c>
      <c r="FA88" s="3">
        <v>7.9112</v>
      </c>
      <c r="FB88" s="3">
        <v>54.698300000000003</v>
      </c>
      <c r="FC88" s="3">
        <v>-36.410600000000002</v>
      </c>
      <c r="FD88" s="3">
        <v>-178.328</v>
      </c>
      <c r="FE88" s="3">
        <v>271.96499999999997</v>
      </c>
      <c r="FF88" s="3">
        <v>390.51499999999999</v>
      </c>
      <c r="FG88" s="3">
        <v>444.63</v>
      </c>
      <c r="FH88" s="3">
        <v>583.31600000000003</v>
      </c>
      <c r="FI88" s="3">
        <v>7155.99</v>
      </c>
      <c r="FJ88" s="3">
        <v>2670.99</v>
      </c>
      <c r="FK88" s="3">
        <v>635.90200000000004</v>
      </c>
      <c r="FL88" s="3">
        <v>0</v>
      </c>
      <c r="FM88" s="3"/>
    </row>
    <row r="89" spans="1:169" x14ac:dyDescent="0.3">
      <c r="A89" s="2">
        <v>81</v>
      </c>
      <c r="B89" s="5">
        <v>13</v>
      </c>
      <c r="C89" s="6">
        <v>2101521</v>
      </c>
      <c r="D89" s="6" t="s">
        <v>241</v>
      </c>
      <c r="E89" s="6">
        <v>2908010</v>
      </c>
      <c r="F89" s="6">
        <v>2908010</v>
      </c>
      <c r="G89" s="6">
        <v>0</v>
      </c>
      <c r="H89" s="6">
        <v>0</v>
      </c>
      <c r="I89" s="6">
        <v>51.48</v>
      </c>
      <c r="J89" s="6" t="s">
        <v>169</v>
      </c>
      <c r="K89" s="6" t="s">
        <v>170</v>
      </c>
      <c r="L89" s="7" t="s">
        <v>171</v>
      </c>
      <c r="M89" s="7" t="s">
        <v>172</v>
      </c>
      <c r="N89" s="8" t="s">
        <v>1030</v>
      </c>
      <c r="O89" s="5">
        <v>6674.16</v>
      </c>
      <c r="P89" s="6">
        <v>6682.83</v>
      </c>
      <c r="Q89" s="6">
        <v>-644.59</v>
      </c>
      <c r="R89" s="12">
        <v>0</v>
      </c>
      <c r="S89" s="4" t="s">
        <v>1031</v>
      </c>
      <c r="T89" s="4" t="s">
        <v>1032</v>
      </c>
      <c r="U89" s="4" t="s">
        <v>1033</v>
      </c>
      <c r="V89" s="4" t="s">
        <v>1034</v>
      </c>
      <c r="W89" s="4" t="s">
        <v>1035</v>
      </c>
      <c r="X89" s="4" t="s">
        <v>1036</v>
      </c>
      <c r="Y89" s="4" t="s">
        <v>1037</v>
      </c>
      <c r="Z89" s="4" t="s">
        <v>1038</v>
      </c>
      <c r="AA89" s="4" t="s">
        <v>1039</v>
      </c>
      <c r="AB89" s="4" t="s">
        <v>1040</v>
      </c>
      <c r="AC89" s="4" t="s">
        <v>1041</v>
      </c>
      <c r="AD89" s="4" t="s">
        <v>1042</v>
      </c>
      <c r="AE89" s="4" t="s">
        <v>1043</v>
      </c>
      <c r="AF89" s="4" t="s">
        <v>1044</v>
      </c>
      <c r="AG89" s="4" t="s">
        <v>1045</v>
      </c>
      <c r="AH89" s="4" t="s">
        <v>1046</v>
      </c>
      <c r="AI89" s="4" t="s">
        <v>1047</v>
      </c>
      <c r="AJ89" s="4" t="s">
        <v>1048</v>
      </c>
      <c r="AK89" s="4" t="s">
        <v>1049</v>
      </c>
      <c r="AL89" s="4" t="s">
        <v>1050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/>
    </row>
    <row r="90" spans="1:169" x14ac:dyDescent="0.3">
      <c r="A90" s="2">
        <v>82</v>
      </c>
      <c r="B90" s="5">
        <v>13</v>
      </c>
      <c r="C90" s="6">
        <v>2101521</v>
      </c>
      <c r="D90" s="6" t="s">
        <v>241</v>
      </c>
      <c r="E90" s="6">
        <v>2908010</v>
      </c>
      <c r="F90" s="6">
        <v>2908010</v>
      </c>
      <c r="G90" s="6">
        <v>0</v>
      </c>
      <c r="H90" s="6">
        <v>0</v>
      </c>
      <c r="I90" s="6">
        <v>51.48</v>
      </c>
      <c r="J90" s="6" t="s">
        <v>194</v>
      </c>
      <c r="K90" s="6" t="s">
        <v>195</v>
      </c>
      <c r="L90" s="7" t="s">
        <v>196</v>
      </c>
      <c r="M90" s="7" t="s">
        <v>172</v>
      </c>
      <c r="N90" s="8" t="s">
        <v>1030</v>
      </c>
      <c r="O90" s="5">
        <v>-6527.58</v>
      </c>
      <c r="P90" s="6">
        <v>-6162.53</v>
      </c>
      <c r="Q90" s="6">
        <v>519.82399999999996</v>
      </c>
      <c r="R90" s="12">
        <v>8080.94</v>
      </c>
      <c r="S90" s="4" t="s">
        <v>1031</v>
      </c>
      <c r="T90" s="4" t="s">
        <v>1032</v>
      </c>
      <c r="U90" s="4" t="s">
        <v>1033</v>
      </c>
      <c r="V90" s="4" t="s">
        <v>1034</v>
      </c>
      <c r="W90" s="4" t="s">
        <v>1035</v>
      </c>
      <c r="X90" s="4" t="s">
        <v>1036</v>
      </c>
      <c r="Y90" s="4" t="s">
        <v>1037</v>
      </c>
      <c r="Z90" s="4" t="s">
        <v>1038</v>
      </c>
      <c r="AA90" s="4" t="s">
        <v>1039</v>
      </c>
      <c r="AB90" s="4" t="s">
        <v>1040</v>
      </c>
      <c r="AC90" s="4" t="s">
        <v>1041</v>
      </c>
      <c r="AD90" s="4" t="s">
        <v>1042</v>
      </c>
      <c r="AE90" s="4" t="s">
        <v>1043</v>
      </c>
      <c r="AF90" s="4" t="s">
        <v>1044</v>
      </c>
      <c r="AG90" s="4" t="s">
        <v>1045</v>
      </c>
      <c r="AH90" s="4" t="s">
        <v>1046</v>
      </c>
      <c r="AI90" s="4" t="s">
        <v>1047</v>
      </c>
      <c r="AJ90" s="4" t="s">
        <v>1048</v>
      </c>
      <c r="AK90" s="4" t="s">
        <v>1049</v>
      </c>
      <c r="AL90" s="4" t="s">
        <v>1050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/>
    </row>
    <row r="91" spans="1:169" x14ac:dyDescent="0.3">
      <c r="A91" s="2">
        <v>83</v>
      </c>
      <c r="B91" s="5">
        <v>14</v>
      </c>
      <c r="C91" s="6">
        <v>2100638</v>
      </c>
      <c r="D91" s="6" t="s">
        <v>241</v>
      </c>
      <c r="E91" s="6">
        <v>2906010</v>
      </c>
      <c r="F91" s="6">
        <v>2906010</v>
      </c>
      <c r="G91" s="6">
        <v>0</v>
      </c>
      <c r="H91" s="6">
        <v>0</v>
      </c>
      <c r="I91" s="6">
        <v>51.48</v>
      </c>
      <c r="J91" s="6" t="s">
        <v>169</v>
      </c>
      <c r="K91" s="6" t="s">
        <v>170</v>
      </c>
      <c r="L91" s="7" t="s">
        <v>171</v>
      </c>
      <c r="M91" s="7" t="s">
        <v>172</v>
      </c>
      <c r="N91" s="8" t="s">
        <v>1051</v>
      </c>
      <c r="O91" s="5">
        <v>-5577.23</v>
      </c>
      <c r="P91" s="6">
        <v>-7944.48</v>
      </c>
      <c r="Q91" s="6">
        <v>299.22699999999998</v>
      </c>
      <c r="R91" s="12">
        <v>0</v>
      </c>
      <c r="S91" s="4" t="s">
        <v>1052</v>
      </c>
      <c r="T91" s="4" t="s">
        <v>1053</v>
      </c>
      <c r="U91" s="4" t="s">
        <v>1054</v>
      </c>
      <c r="V91" s="4" t="s">
        <v>1055</v>
      </c>
      <c r="W91" s="4" t="s">
        <v>1056</v>
      </c>
      <c r="X91" s="4" t="s">
        <v>1057</v>
      </c>
      <c r="Y91" s="4" t="s">
        <v>1058</v>
      </c>
      <c r="Z91" s="4" t="s">
        <v>1059</v>
      </c>
      <c r="AA91" s="4" t="s">
        <v>1060</v>
      </c>
      <c r="AB91" s="4" t="s">
        <v>1061</v>
      </c>
      <c r="AC91" s="4" t="s">
        <v>1062</v>
      </c>
      <c r="AD91" s="4" t="s">
        <v>1063</v>
      </c>
      <c r="AE91" s="4" t="s">
        <v>1064</v>
      </c>
      <c r="AF91" s="4" t="s">
        <v>1065</v>
      </c>
      <c r="AG91" s="4" t="s">
        <v>1066</v>
      </c>
      <c r="AH91" s="4" t="s">
        <v>1067</v>
      </c>
      <c r="AI91" s="4" t="s">
        <v>1068</v>
      </c>
      <c r="AJ91" s="4" t="s">
        <v>1069</v>
      </c>
      <c r="AK91" s="4" t="s">
        <v>1070</v>
      </c>
      <c r="AL91" s="4" t="s">
        <v>1071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/>
    </row>
    <row r="92" spans="1:169" x14ac:dyDescent="0.3">
      <c r="A92" s="2">
        <v>84</v>
      </c>
      <c r="B92" s="5">
        <v>14</v>
      </c>
      <c r="C92" s="6">
        <v>2100638</v>
      </c>
      <c r="D92" s="6" t="s">
        <v>241</v>
      </c>
      <c r="E92" s="6">
        <v>2906010</v>
      </c>
      <c r="F92" s="6">
        <v>2906010</v>
      </c>
      <c r="G92" s="6">
        <v>0</v>
      </c>
      <c r="H92" s="6">
        <v>0</v>
      </c>
      <c r="I92" s="6">
        <v>51.48</v>
      </c>
      <c r="J92" s="6" t="s">
        <v>194</v>
      </c>
      <c r="K92" s="6" t="s">
        <v>195</v>
      </c>
      <c r="L92" s="7" t="s">
        <v>196</v>
      </c>
      <c r="M92" s="7" t="s">
        <v>172</v>
      </c>
      <c r="N92" s="8" t="s">
        <v>1051</v>
      </c>
      <c r="O92" s="5">
        <v>5633.55</v>
      </c>
      <c r="P92" s="6">
        <v>7053.74</v>
      </c>
      <c r="Q92" s="6">
        <v>-998.70600000000002</v>
      </c>
      <c r="R92" s="12">
        <v>5992.17</v>
      </c>
      <c r="S92" s="4" t="s">
        <v>1052</v>
      </c>
      <c r="T92" s="4" t="s">
        <v>1053</v>
      </c>
      <c r="U92" s="4" t="s">
        <v>1054</v>
      </c>
      <c r="V92" s="4" t="s">
        <v>1055</v>
      </c>
      <c r="W92" s="4" t="s">
        <v>1056</v>
      </c>
      <c r="X92" s="4" t="s">
        <v>1057</v>
      </c>
      <c r="Y92" s="4" t="s">
        <v>1058</v>
      </c>
      <c r="Z92" s="4" t="s">
        <v>1059</v>
      </c>
      <c r="AA92" s="4" t="s">
        <v>1060</v>
      </c>
      <c r="AB92" s="4" t="s">
        <v>1061</v>
      </c>
      <c r="AC92" s="4" t="s">
        <v>1062</v>
      </c>
      <c r="AD92" s="4" t="s">
        <v>1063</v>
      </c>
      <c r="AE92" s="4" t="s">
        <v>1064</v>
      </c>
      <c r="AF92" s="4" t="s">
        <v>1065</v>
      </c>
      <c r="AG92" s="4" t="s">
        <v>1066</v>
      </c>
      <c r="AH92" s="4" t="s">
        <v>1067</v>
      </c>
      <c r="AI92" s="4" t="s">
        <v>1068</v>
      </c>
      <c r="AJ92" s="4" t="s">
        <v>1069</v>
      </c>
      <c r="AK92" s="4" t="s">
        <v>1070</v>
      </c>
      <c r="AL92" s="4" t="s">
        <v>1071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/>
    </row>
    <row r="93" spans="1:169" x14ac:dyDescent="0.3">
      <c r="A93" s="2">
        <v>85</v>
      </c>
      <c r="B93" s="5">
        <v>14</v>
      </c>
      <c r="C93" s="6">
        <v>51800095</v>
      </c>
      <c r="D93" s="6" t="s">
        <v>860</v>
      </c>
      <c r="E93" s="6">
        <v>2906010</v>
      </c>
      <c r="F93" s="6">
        <v>1906012</v>
      </c>
      <c r="G93" s="6">
        <v>0</v>
      </c>
      <c r="H93" s="6">
        <v>0</v>
      </c>
      <c r="I93" s="6">
        <v>51.48</v>
      </c>
      <c r="J93" s="6" t="s">
        <v>169</v>
      </c>
      <c r="K93" s="6" t="s">
        <v>170</v>
      </c>
      <c r="L93" s="7" t="s">
        <v>171</v>
      </c>
      <c r="M93" s="7" t="s">
        <v>172</v>
      </c>
      <c r="N93" s="8" t="s">
        <v>1072</v>
      </c>
      <c r="O93" s="5">
        <v>-1487.71</v>
      </c>
      <c r="P93" s="6">
        <v>-9336.82</v>
      </c>
      <c r="Q93" s="6">
        <v>2218.1799999999998</v>
      </c>
      <c r="R93" s="12">
        <v>0</v>
      </c>
      <c r="S93" s="4" t="s">
        <v>1073</v>
      </c>
      <c r="T93" s="4" t="s">
        <v>1074</v>
      </c>
      <c r="U93" s="4" t="s">
        <v>1075</v>
      </c>
      <c r="V93" s="4" t="s">
        <v>1076</v>
      </c>
      <c r="W93" s="4" t="s">
        <v>1077</v>
      </c>
      <c r="X93" s="4" t="s">
        <v>1078</v>
      </c>
      <c r="Y93" s="4" t="s">
        <v>1079</v>
      </c>
      <c r="Z93" s="4" t="s">
        <v>1080</v>
      </c>
      <c r="AA93" s="4" t="s">
        <v>1081</v>
      </c>
      <c r="AB93" s="4" t="s">
        <v>1082</v>
      </c>
      <c r="AC93" s="4" t="s">
        <v>1083</v>
      </c>
      <c r="AD93" s="4" t="s">
        <v>1084</v>
      </c>
      <c r="AE93" s="4" t="s">
        <v>1085</v>
      </c>
      <c r="AF93" s="4" t="s">
        <v>1086</v>
      </c>
      <c r="AG93" s="4" t="s">
        <v>1087</v>
      </c>
      <c r="AH93" s="4" t="s">
        <v>1088</v>
      </c>
      <c r="AI93" s="4" t="s">
        <v>1089</v>
      </c>
      <c r="AJ93" s="4" t="s">
        <v>1090</v>
      </c>
      <c r="AK93" s="4" t="s">
        <v>1091</v>
      </c>
      <c r="AL93" s="4" t="s">
        <v>1092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 t="s">
        <v>1093</v>
      </c>
    </row>
    <row r="94" spans="1:169" x14ac:dyDescent="0.3">
      <c r="A94" s="2">
        <v>86</v>
      </c>
      <c r="B94" s="5">
        <v>14</v>
      </c>
      <c r="C94" s="6">
        <v>51800095</v>
      </c>
      <c r="D94" s="6" t="s">
        <v>860</v>
      </c>
      <c r="E94" s="6">
        <v>2906010</v>
      </c>
      <c r="F94" s="6">
        <v>1906012</v>
      </c>
      <c r="G94" s="6">
        <v>0</v>
      </c>
      <c r="H94" s="6">
        <v>0</v>
      </c>
      <c r="I94" s="6">
        <v>51.48</v>
      </c>
      <c r="J94" s="6" t="s">
        <v>194</v>
      </c>
      <c r="K94" s="6" t="s">
        <v>195</v>
      </c>
      <c r="L94" s="7" t="s">
        <v>196</v>
      </c>
      <c r="M94" s="7" t="s">
        <v>172</v>
      </c>
      <c r="N94" s="8" t="s">
        <v>1072</v>
      </c>
      <c r="O94" s="5">
        <v>856.577</v>
      </c>
      <c r="P94" s="6">
        <v>8596.9699999999993</v>
      </c>
      <c r="Q94" s="6">
        <v>-2801.41</v>
      </c>
      <c r="R94" s="12">
        <v>5992.17</v>
      </c>
      <c r="S94" s="4" t="s">
        <v>1073</v>
      </c>
      <c r="T94" s="4" t="s">
        <v>1074</v>
      </c>
      <c r="U94" s="4" t="s">
        <v>1075</v>
      </c>
      <c r="V94" s="4" t="s">
        <v>1076</v>
      </c>
      <c r="W94" s="4" t="s">
        <v>1077</v>
      </c>
      <c r="X94" s="4" t="s">
        <v>1078</v>
      </c>
      <c r="Y94" s="4" t="s">
        <v>1079</v>
      </c>
      <c r="Z94" s="4" t="s">
        <v>1080</v>
      </c>
      <c r="AA94" s="4" t="s">
        <v>1081</v>
      </c>
      <c r="AB94" s="4" t="s">
        <v>1082</v>
      </c>
      <c r="AC94" s="4" t="s">
        <v>1083</v>
      </c>
      <c r="AD94" s="4" t="s">
        <v>1084</v>
      </c>
      <c r="AE94" s="4" t="s">
        <v>1085</v>
      </c>
      <c r="AF94" s="4" t="s">
        <v>1086</v>
      </c>
      <c r="AG94" s="4" t="s">
        <v>1087</v>
      </c>
      <c r="AH94" s="4" t="s">
        <v>1088</v>
      </c>
      <c r="AI94" s="4" t="s">
        <v>1089</v>
      </c>
      <c r="AJ94" s="4" t="s">
        <v>1090</v>
      </c>
      <c r="AK94" s="4" t="s">
        <v>1091</v>
      </c>
      <c r="AL94" s="4" t="s">
        <v>1092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 t="s">
        <v>1093</v>
      </c>
    </row>
    <row r="95" spans="1:169" x14ac:dyDescent="0.3">
      <c r="A95" s="2">
        <v>87</v>
      </c>
      <c r="B95" s="5">
        <v>15</v>
      </c>
      <c r="C95" s="6">
        <v>2101589</v>
      </c>
      <c r="D95" s="6" t="s">
        <v>241</v>
      </c>
      <c r="E95" s="6">
        <v>2907010</v>
      </c>
      <c r="F95" s="6">
        <v>2907010</v>
      </c>
      <c r="G95" s="6">
        <v>0</v>
      </c>
      <c r="H95" s="6">
        <v>0</v>
      </c>
      <c r="I95" s="6">
        <v>51.48</v>
      </c>
      <c r="J95" s="6" t="s">
        <v>169</v>
      </c>
      <c r="K95" s="6" t="s">
        <v>170</v>
      </c>
      <c r="L95" s="7" t="s">
        <v>171</v>
      </c>
      <c r="M95" s="7" t="s">
        <v>172</v>
      </c>
      <c r="N95" s="8" t="s">
        <v>1094</v>
      </c>
      <c r="O95" s="5">
        <v>3062.42</v>
      </c>
      <c r="P95" s="6">
        <v>-121.77</v>
      </c>
      <c r="Q95" s="6">
        <v>-143.89099999999999</v>
      </c>
      <c r="R95" s="12">
        <v>236.58699999999999</v>
      </c>
      <c r="S95" s="4" t="s">
        <v>1095</v>
      </c>
      <c r="T95" s="4" t="s">
        <v>1096</v>
      </c>
      <c r="U95" s="4" t="s">
        <v>1097</v>
      </c>
      <c r="V95" s="4" t="s">
        <v>1098</v>
      </c>
      <c r="W95" s="4" t="s">
        <v>1099</v>
      </c>
      <c r="X95" s="4" t="s">
        <v>1100</v>
      </c>
      <c r="Y95" s="4" t="s">
        <v>1101</v>
      </c>
      <c r="Z95" s="4" t="s">
        <v>1102</v>
      </c>
      <c r="AA95" s="4" t="s">
        <v>1103</v>
      </c>
      <c r="AB95" s="4" t="s">
        <v>1104</v>
      </c>
      <c r="AC95" s="4" t="s">
        <v>1105</v>
      </c>
      <c r="AD95" s="4" t="s">
        <v>1106</v>
      </c>
      <c r="AE95" s="4" t="s">
        <v>1107</v>
      </c>
      <c r="AF95" s="4" t="s">
        <v>1108</v>
      </c>
      <c r="AG95" s="4" t="s">
        <v>1109</v>
      </c>
      <c r="AH95" s="4" t="s">
        <v>1110</v>
      </c>
      <c r="AI95" s="4" t="s">
        <v>1111</v>
      </c>
      <c r="AJ95" s="4" t="s">
        <v>1112</v>
      </c>
      <c r="AK95" s="4" t="s">
        <v>1113</v>
      </c>
      <c r="AL95" s="4" t="s">
        <v>1114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 t="s">
        <v>882</v>
      </c>
    </row>
    <row r="96" spans="1:169" x14ac:dyDescent="0.3">
      <c r="A96" s="2">
        <v>88</v>
      </c>
      <c r="B96" s="5">
        <v>15</v>
      </c>
      <c r="C96" s="6">
        <v>2101589</v>
      </c>
      <c r="D96" s="6" t="s">
        <v>241</v>
      </c>
      <c r="E96" s="6">
        <v>2907010</v>
      </c>
      <c r="F96" s="6">
        <v>2907010</v>
      </c>
      <c r="G96" s="6">
        <v>0</v>
      </c>
      <c r="H96" s="6">
        <v>0</v>
      </c>
      <c r="I96" s="6">
        <v>51.48</v>
      </c>
      <c r="J96" s="6" t="s">
        <v>194</v>
      </c>
      <c r="K96" s="6" t="s">
        <v>195</v>
      </c>
      <c r="L96" s="7" t="s">
        <v>196</v>
      </c>
      <c r="M96" s="7" t="s">
        <v>172</v>
      </c>
      <c r="N96" s="8" t="s">
        <v>1094</v>
      </c>
      <c r="O96" s="5">
        <v>-1922.24</v>
      </c>
      <c r="P96" s="6">
        <v>-2139.48</v>
      </c>
      <c r="Q96" s="6">
        <v>36.897399999999998</v>
      </c>
      <c r="R96" s="12">
        <v>36987.800000000003</v>
      </c>
      <c r="S96" s="4" t="s">
        <v>1095</v>
      </c>
      <c r="T96" s="4" t="s">
        <v>1096</v>
      </c>
      <c r="U96" s="4" t="s">
        <v>1097</v>
      </c>
      <c r="V96" s="4" t="s">
        <v>1098</v>
      </c>
      <c r="W96" s="4" t="s">
        <v>1099</v>
      </c>
      <c r="X96" s="4" t="s">
        <v>1100</v>
      </c>
      <c r="Y96" s="4" t="s">
        <v>1101</v>
      </c>
      <c r="Z96" s="4" t="s">
        <v>1102</v>
      </c>
      <c r="AA96" s="4" t="s">
        <v>1103</v>
      </c>
      <c r="AB96" s="4" t="s">
        <v>1104</v>
      </c>
      <c r="AC96" s="4" t="s">
        <v>1105</v>
      </c>
      <c r="AD96" s="4" t="s">
        <v>1106</v>
      </c>
      <c r="AE96" s="4" t="s">
        <v>1107</v>
      </c>
      <c r="AF96" s="4" t="s">
        <v>1108</v>
      </c>
      <c r="AG96" s="4" t="s">
        <v>1109</v>
      </c>
      <c r="AH96" s="4" t="s">
        <v>1110</v>
      </c>
      <c r="AI96" s="4" t="s">
        <v>1111</v>
      </c>
      <c r="AJ96" s="4" t="s">
        <v>1112</v>
      </c>
      <c r="AK96" s="4" t="s">
        <v>1113</v>
      </c>
      <c r="AL96" s="4" t="s">
        <v>1114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 t="s">
        <v>882</v>
      </c>
    </row>
    <row r="97" spans="1:169" x14ac:dyDescent="0.3">
      <c r="A97" s="2">
        <v>89</v>
      </c>
      <c r="B97" s="5">
        <v>15</v>
      </c>
      <c r="C97" s="6">
        <v>1107550</v>
      </c>
      <c r="D97" s="6" t="s">
        <v>263</v>
      </c>
      <c r="E97" s="6">
        <v>2907010</v>
      </c>
      <c r="F97" s="6">
        <v>1907012</v>
      </c>
      <c r="G97" s="6">
        <v>3907010</v>
      </c>
      <c r="H97" s="6">
        <v>1907011</v>
      </c>
      <c r="I97" s="6">
        <v>57.914999999999999</v>
      </c>
      <c r="J97" s="6" t="s">
        <v>169</v>
      </c>
      <c r="K97" s="6" t="s">
        <v>170</v>
      </c>
      <c r="L97" s="7" t="s">
        <v>171</v>
      </c>
      <c r="M97" s="7" t="s">
        <v>172</v>
      </c>
      <c r="N97" s="8" t="s">
        <v>1115</v>
      </c>
      <c r="O97" s="5">
        <v>856.78099999999995</v>
      </c>
      <c r="P97" s="6">
        <v>-3299.5</v>
      </c>
      <c r="Q97" s="6">
        <v>213.501</v>
      </c>
      <c r="R97" s="12">
        <v>236.58699999999999</v>
      </c>
      <c r="S97" s="4" t="s">
        <v>1116</v>
      </c>
      <c r="T97" s="4" t="s">
        <v>1117</v>
      </c>
      <c r="U97" s="4" t="s">
        <v>1118</v>
      </c>
      <c r="V97" s="4" t="s">
        <v>1119</v>
      </c>
      <c r="W97" s="4" t="s">
        <v>1120</v>
      </c>
      <c r="X97" s="4" t="s">
        <v>1121</v>
      </c>
      <c r="Y97" s="4" t="s">
        <v>1122</v>
      </c>
      <c r="Z97" s="4" t="s">
        <v>1123</v>
      </c>
      <c r="AA97" s="4" t="s">
        <v>1124</v>
      </c>
      <c r="AB97" s="4" t="s">
        <v>1125</v>
      </c>
      <c r="AC97" s="4" t="s">
        <v>1126</v>
      </c>
      <c r="AD97" s="4" t="s">
        <v>1127</v>
      </c>
      <c r="AE97" s="4" t="s">
        <v>1128</v>
      </c>
      <c r="AF97" s="4" t="s">
        <v>1129</v>
      </c>
      <c r="AG97" s="4" t="s">
        <v>1130</v>
      </c>
      <c r="AH97" s="4" t="s">
        <v>1131</v>
      </c>
      <c r="AI97" s="4" t="s">
        <v>1132</v>
      </c>
      <c r="AJ97" s="4" t="s">
        <v>1133</v>
      </c>
      <c r="AK97" s="4" t="s">
        <v>1134</v>
      </c>
      <c r="AL97" s="4" t="s">
        <v>1135</v>
      </c>
      <c r="AM97" s="3">
        <v>-461.89100000000002</v>
      </c>
      <c r="AN97" s="3">
        <v>-501.47199999999998</v>
      </c>
      <c r="AO97" s="3">
        <v>-549.33699999999999</v>
      </c>
      <c r="AP97" s="3">
        <v>-594.89599999999996</v>
      </c>
      <c r="AQ97" s="3">
        <v>-635.60599999999999</v>
      </c>
      <c r="AR97" s="3">
        <v>-687.351</v>
      </c>
      <c r="AS97" s="3">
        <v>-902.15700000000004</v>
      </c>
      <c r="AT97" s="3">
        <v>-1103.73</v>
      </c>
      <c r="AU97" s="3">
        <v>-1290.32</v>
      </c>
      <c r="AV97" s="3">
        <v>-1421.25</v>
      </c>
      <c r="AW97" s="3">
        <v>-1476.79</v>
      </c>
      <c r="AX97" s="3">
        <v>-1462.19</v>
      </c>
      <c r="AY97" s="3">
        <v>-1445.72</v>
      </c>
      <c r="AZ97" s="3">
        <v>-1426.75</v>
      </c>
      <c r="BA97" s="3">
        <v>-1410.88</v>
      </c>
      <c r="BB97" s="3">
        <v>-1398.63</v>
      </c>
      <c r="BC97" s="3">
        <v>-1230.58</v>
      </c>
      <c r="BD97" s="3">
        <v>-1023.72</v>
      </c>
      <c r="BE97" s="3">
        <v>-819.96600000000001</v>
      </c>
      <c r="BF97" s="3">
        <v>-633.38</v>
      </c>
      <c r="BG97" s="3">
        <v>-420.80900000000003</v>
      </c>
      <c r="BH97" s="3">
        <v>-397.03399999999999</v>
      </c>
      <c r="BI97" s="3">
        <v>-379.56400000000002</v>
      </c>
      <c r="BJ97" s="3">
        <v>-367.71199999999999</v>
      </c>
      <c r="BK97" s="3">
        <v>-364.10700000000003</v>
      </c>
      <c r="BL97" s="3">
        <v>-358.75599999999997</v>
      </c>
      <c r="BM97" s="3">
        <v>-356.26100000000002</v>
      </c>
      <c r="BN97" s="3">
        <v>-357.51499999999999</v>
      </c>
      <c r="BO97" s="3">
        <v>-367.45499999999998</v>
      </c>
      <c r="BP97" s="3">
        <v>-386.16500000000002</v>
      </c>
      <c r="BQ97" s="3">
        <v>-396.09500000000003</v>
      </c>
      <c r="BR97" s="3">
        <v>-401.005</v>
      </c>
      <c r="BS97" s="3">
        <v>-406.83600000000001</v>
      </c>
      <c r="BT97" s="3">
        <v>-407.541</v>
      </c>
      <c r="BU97" s="3">
        <v>-398.63499999999999</v>
      </c>
      <c r="BV97" s="3">
        <v>-396.48500000000001</v>
      </c>
      <c r="BW97" s="3">
        <v>-414.85899999999998</v>
      </c>
      <c r="BX97" s="3">
        <v>-431.02199999999999</v>
      </c>
      <c r="BY97" s="3">
        <v>-435.80399999999997</v>
      </c>
      <c r="BZ97" s="3">
        <v>-429.85599999999999</v>
      </c>
      <c r="CA97" s="3">
        <v>-561.52800000000002</v>
      </c>
      <c r="CB97" s="3">
        <v>-565.649</v>
      </c>
      <c r="CC97" s="3">
        <v>-558.02200000000005</v>
      </c>
      <c r="CD97" s="3">
        <v>-544.04499999999996</v>
      </c>
      <c r="CE97" s="3">
        <v>-531.16800000000001</v>
      </c>
      <c r="CF97" s="3">
        <v>-529.65300000000002</v>
      </c>
      <c r="CG97" s="3">
        <v>-577.9</v>
      </c>
      <c r="CH97" s="3">
        <v>-634.33000000000004</v>
      </c>
      <c r="CI97" s="3">
        <v>-691.93100000000004</v>
      </c>
      <c r="CJ97" s="3">
        <v>-738.03200000000004</v>
      </c>
      <c r="CK97" s="3">
        <v>-762.71900000000005</v>
      </c>
      <c r="CL97" s="3">
        <v>-762.19899999999996</v>
      </c>
      <c r="CM97" s="3">
        <v>-765.53899999999999</v>
      </c>
      <c r="CN97" s="3">
        <v>-771.24699999999996</v>
      </c>
      <c r="CO97" s="3">
        <v>-775.35199999999998</v>
      </c>
      <c r="CP97" s="3">
        <v>-781.08500000000004</v>
      </c>
      <c r="CQ97" s="3">
        <v>-770.24900000000002</v>
      </c>
      <c r="CR97" s="3">
        <v>-729.73599999999999</v>
      </c>
      <c r="CS97" s="3">
        <v>-672.37599999999998</v>
      </c>
      <c r="CT97" s="3">
        <v>-613.79300000000001</v>
      </c>
      <c r="CU97" s="3">
        <v>3656.91</v>
      </c>
      <c r="CV97" s="3">
        <v>4384.78</v>
      </c>
      <c r="CW97" s="3">
        <v>5137.38</v>
      </c>
      <c r="CX97" s="3">
        <v>5894.28</v>
      </c>
      <c r="CY97" s="3">
        <v>6556.95</v>
      </c>
      <c r="CZ97" s="3">
        <v>6980.96</v>
      </c>
      <c r="DA97" s="3">
        <v>6474.41</v>
      </c>
      <c r="DB97" s="3">
        <v>5907.93</v>
      </c>
      <c r="DC97" s="3">
        <v>5328.31</v>
      </c>
      <c r="DD97" s="3">
        <v>4707.26</v>
      </c>
      <c r="DE97" s="3">
        <v>4177.4799999999996</v>
      </c>
      <c r="DF97" s="3">
        <v>3513.77</v>
      </c>
      <c r="DG97" s="3">
        <v>2841.83</v>
      </c>
      <c r="DH97" s="3">
        <v>2252.91</v>
      </c>
      <c r="DI97" s="3">
        <v>1915.03</v>
      </c>
      <c r="DJ97" s="3">
        <v>1862.72</v>
      </c>
      <c r="DK97" s="3">
        <v>2220.02</v>
      </c>
      <c r="DL97" s="3">
        <v>2590.92</v>
      </c>
      <c r="DM97" s="3">
        <v>2933.29</v>
      </c>
      <c r="DN97" s="3">
        <v>3270.63</v>
      </c>
      <c r="DO97" s="3">
        <v>1408.01</v>
      </c>
      <c r="DP97" s="3">
        <v>1534.19</v>
      </c>
      <c r="DQ97" s="3">
        <v>1620.3</v>
      </c>
      <c r="DR97" s="3">
        <v>1705.25</v>
      </c>
      <c r="DS97" s="3">
        <v>1754.87</v>
      </c>
      <c r="DT97" s="3">
        <v>1802.31</v>
      </c>
      <c r="DU97" s="3">
        <v>1436.26</v>
      </c>
      <c r="DV97" s="3">
        <v>1263.18</v>
      </c>
      <c r="DW97" s="3">
        <v>1021.73</v>
      </c>
      <c r="DX97" s="3">
        <v>733.03599999999994</v>
      </c>
      <c r="DY97" s="3">
        <v>614.38400000000001</v>
      </c>
      <c r="DZ97" s="3">
        <v>509.96800000000002</v>
      </c>
      <c r="EA97" s="3">
        <v>433.899</v>
      </c>
      <c r="EB97" s="3">
        <v>406.59699999999998</v>
      </c>
      <c r="EC97" s="3">
        <v>418.72699999999998</v>
      </c>
      <c r="ED97" s="3">
        <v>426.57299999999998</v>
      </c>
      <c r="EE97" s="3">
        <v>487.52600000000001</v>
      </c>
      <c r="EF97" s="3">
        <v>557.12900000000002</v>
      </c>
      <c r="EG97" s="3">
        <v>809.05399999999997</v>
      </c>
      <c r="EH97" s="3">
        <v>1179.9100000000001</v>
      </c>
      <c r="EI97" s="3">
        <v>124.83</v>
      </c>
      <c r="EJ97" s="3">
        <v>357.61799999999999</v>
      </c>
      <c r="EK97" s="3">
        <v>613.21799999999996</v>
      </c>
      <c r="EL97" s="3">
        <v>812.76599999999996</v>
      </c>
      <c r="EM97" s="3">
        <v>898.75599999999997</v>
      </c>
      <c r="EN97" s="3">
        <v>1009.74</v>
      </c>
      <c r="EO97" s="3">
        <v>1179.79</v>
      </c>
      <c r="EP97" s="3">
        <v>1423.59</v>
      </c>
      <c r="EQ97" s="3">
        <v>1642.95</v>
      </c>
      <c r="ER97" s="3">
        <v>1653.68</v>
      </c>
      <c r="ES97" s="3">
        <v>1542.99</v>
      </c>
      <c r="ET97" s="3">
        <v>1219.9000000000001</v>
      </c>
      <c r="EU97" s="3">
        <v>933.85</v>
      </c>
      <c r="EV97" s="3">
        <v>728.87300000000005</v>
      </c>
      <c r="EW97" s="3">
        <v>602.48099999999999</v>
      </c>
      <c r="EX97" s="3">
        <v>478.86700000000002</v>
      </c>
      <c r="EY97" s="3">
        <v>396.42399999999998</v>
      </c>
      <c r="EZ97" s="3">
        <v>268.53399999999999</v>
      </c>
      <c r="FA97" s="3">
        <v>162.761</v>
      </c>
      <c r="FB97" s="3">
        <v>139.96600000000001</v>
      </c>
      <c r="FC97" s="3">
        <v>-928.02700000000004</v>
      </c>
      <c r="FD97" s="3">
        <v>-1146.93</v>
      </c>
      <c r="FE97" s="3">
        <v>-381.33</v>
      </c>
      <c r="FF97" s="3">
        <v>-401.09899999999999</v>
      </c>
      <c r="FG97" s="3">
        <v>-548.34400000000005</v>
      </c>
      <c r="FH97" s="3">
        <v>-769.69</v>
      </c>
      <c r="FI97" s="3">
        <v>-4175.8999999999996</v>
      </c>
      <c r="FJ97" s="3">
        <v>-1052.92</v>
      </c>
      <c r="FK97" s="3">
        <v>-806.16700000000003</v>
      </c>
      <c r="FL97" s="3">
        <v>0.106113</v>
      </c>
      <c r="FM97" s="3" t="s">
        <v>666</v>
      </c>
    </row>
    <row r="98" spans="1:169" x14ac:dyDescent="0.3">
      <c r="A98" s="2">
        <v>90</v>
      </c>
      <c r="B98" s="5">
        <v>15</v>
      </c>
      <c r="C98" s="6">
        <v>1107550</v>
      </c>
      <c r="D98" s="6" t="s">
        <v>263</v>
      </c>
      <c r="E98" s="6">
        <v>2907010</v>
      </c>
      <c r="F98" s="6">
        <v>1907012</v>
      </c>
      <c r="G98" s="6">
        <v>3907010</v>
      </c>
      <c r="H98" s="6">
        <v>1907011</v>
      </c>
      <c r="I98" s="6">
        <v>57.914999999999999</v>
      </c>
      <c r="J98" s="6" t="s">
        <v>194</v>
      </c>
      <c r="K98" s="6" t="s">
        <v>195</v>
      </c>
      <c r="L98" s="7" t="s">
        <v>196</v>
      </c>
      <c r="M98" s="7" t="s">
        <v>172</v>
      </c>
      <c r="N98" s="8" t="s">
        <v>1115</v>
      </c>
      <c r="O98" s="5">
        <v>-590.11300000000006</v>
      </c>
      <c r="P98" s="6">
        <v>3185.98</v>
      </c>
      <c r="Q98" s="6">
        <v>-63.0428</v>
      </c>
      <c r="R98" s="12">
        <v>36987.800000000003</v>
      </c>
      <c r="S98" s="4" t="s">
        <v>1116</v>
      </c>
      <c r="T98" s="4" t="s">
        <v>1117</v>
      </c>
      <c r="U98" s="4" t="s">
        <v>1118</v>
      </c>
      <c r="V98" s="4" t="s">
        <v>1119</v>
      </c>
      <c r="W98" s="4" t="s">
        <v>1120</v>
      </c>
      <c r="X98" s="4" t="s">
        <v>1121</v>
      </c>
      <c r="Y98" s="4" t="s">
        <v>1122</v>
      </c>
      <c r="Z98" s="4" t="s">
        <v>1123</v>
      </c>
      <c r="AA98" s="4" t="s">
        <v>1124</v>
      </c>
      <c r="AB98" s="4" t="s">
        <v>1125</v>
      </c>
      <c r="AC98" s="4" t="s">
        <v>1126</v>
      </c>
      <c r="AD98" s="4" t="s">
        <v>1127</v>
      </c>
      <c r="AE98" s="4" t="s">
        <v>1128</v>
      </c>
      <c r="AF98" s="4" t="s">
        <v>1129</v>
      </c>
      <c r="AG98" s="4" t="s">
        <v>1130</v>
      </c>
      <c r="AH98" s="4" t="s">
        <v>1131</v>
      </c>
      <c r="AI98" s="4" t="s">
        <v>1132</v>
      </c>
      <c r="AJ98" s="4" t="s">
        <v>1133</v>
      </c>
      <c r="AK98" s="4" t="s">
        <v>1134</v>
      </c>
      <c r="AL98" s="4" t="s">
        <v>1135</v>
      </c>
      <c r="AM98" s="3">
        <v>474.017</v>
      </c>
      <c r="AN98" s="3">
        <v>504.54199999999997</v>
      </c>
      <c r="AO98" s="3">
        <v>537.30200000000002</v>
      </c>
      <c r="AP98" s="3">
        <v>564.57600000000002</v>
      </c>
      <c r="AQ98" s="3">
        <v>578.50199999999995</v>
      </c>
      <c r="AR98" s="3">
        <v>597.53800000000001</v>
      </c>
      <c r="AS98" s="3">
        <v>775.60799999999995</v>
      </c>
      <c r="AT98" s="3">
        <v>964.05399999999997</v>
      </c>
      <c r="AU98" s="3">
        <v>1159.72</v>
      </c>
      <c r="AV98" s="3">
        <v>1316.25</v>
      </c>
      <c r="AW98" s="3">
        <v>1390.49</v>
      </c>
      <c r="AX98" s="3">
        <v>1393.5</v>
      </c>
      <c r="AY98" s="3">
        <v>1390.77</v>
      </c>
      <c r="AZ98" s="3">
        <v>1382.95</v>
      </c>
      <c r="BA98" s="3">
        <v>1375.39</v>
      </c>
      <c r="BB98" s="3">
        <v>1371.15</v>
      </c>
      <c r="BC98" s="3">
        <v>1197.6199999999999</v>
      </c>
      <c r="BD98" s="3">
        <v>991.16899999999998</v>
      </c>
      <c r="BE98" s="3">
        <v>795.07500000000005</v>
      </c>
      <c r="BF98" s="3">
        <v>623.65300000000002</v>
      </c>
      <c r="BG98" s="3">
        <v>427.12</v>
      </c>
      <c r="BH98" s="3">
        <v>407.96199999999999</v>
      </c>
      <c r="BI98" s="3">
        <v>396.613</v>
      </c>
      <c r="BJ98" s="3">
        <v>391.12400000000002</v>
      </c>
      <c r="BK98" s="3">
        <v>395.69900000000001</v>
      </c>
      <c r="BL98" s="3">
        <v>398.74</v>
      </c>
      <c r="BM98" s="3">
        <v>394.01499999999999</v>
      </c>
      <c r="BN98" s="3">
        <v>386.14499999999998</v>
      </c>
      <c r="BO98" s="3">
        <v>380.089</v>
      </c>
      <c r="BP98" s="3">
        <v>382.63499999999999</v>
      </c>
      <c r="BQ98" s="3">
        <v>386.05200000000002</v>
      </c>
      <c r="BR98" s="3">
        <v>396.37400000000002</v>
      </c>
      <c r="BS98" s="3">
        <v>406.46899999999999</v>
      </c>
      <c r="BT98" s="3">
        <v>410.50900000000001</v>
      </c>
      <c r="BU98" s="3">
        <v>404.065</v>
      </c>
      <c r="BV98" s="3">
        <v>403.11799999999999</v>
      </c>
      <c r="BW98" s="3">
        <v>425.404</v>
      </c>
      <c r="BX98" s="3">
        <v>444.02800000000002</v>
      </c>
      <c r="BY98" s="3">
        <v>449.18900000000002</v>
      </c>
      <c r="BZ98" s="3">
        <v>441.113</v>
      </c>
      <c r="CA98" s="3">
        <v>623.48699999999997</v>
      </c>
      <c r="CB98" s="3">
        <v>634.90899999999999</v>
      </c>
      <c r="CC98" s="3">
        <v>635.29499999999996</v>
      </c>
      <c r="CD98" s="3">
        <v>628.25300000000004</v>
      </c>
      <c r="CE98" s="3">
        <v>621.91800000000001</v>
      </c>
      <c r="CF98" s="3">
        <v>622.05700000000002</v>
      </c>
      <c r="CG98" s="3">
        <v>633.79100000000005</v>
      </c>
      <c r="CH98" s="3">
        <v>655.947</v>
      </c>
      <c r="CI98" s="3">
        <v>683.48199999999997</v>
      </c>
      <c r="CJ98" s="3">
        <v>712.13400000000001</v>
      </c>
      <c r="CK98" s="3">
        <v>732.32</v>
      </c>
      <c r="CL98" s="3">
        <v>742.54200000000003</v>
      </c>
      <c r="CM98" s="3">
        <v>754.53099999999995</v>
      </c>
      <c r="CN98" s="3">
        <v>767.72400000000005</v>
      </c>
      <c r="CO98" s="3">
        <v>777.90800000000002</v>
      </c>
      <c r="CP98" s="3">
        <v>788.82799999999997</v>
      </c>
      <c r="CQ98" s="3">
        <v>787.46400000000006</v>
      </c>
      <c r="CR98" s="3">
        <v>757.99400000000003</v>
      </c>
      <c r="CS98" s="3">
        <v>712.27700000000004</v>
      </c>
      <c r="CT98" s="3">
        <v>665.48400000000004</v>
      </c>
      <c r="CU98" s="3">
        <v>-3062.01</v>
      </c>
      <c r="CV98" s="3">
        <v>-3634.9</v>
      </c>
      <c r="CW98" s="3">
        <v>-4269.28</v>
      </c>
      <c r="CX98" s="3">
        <v>-4926.37</v>
      </c>
      <c r="CY98" s="3">
        <v>-5462.86</v>
      </c>
      <c r="CZ98" s="3">
        <v>-5677.13</v>
      </c>
      <c r="DA98" s="3">
        <v>-5305.21</v>
      </c>
      <c r="DB98" s="3">
        <v>-4866.51</v>
      </c>
      <c r="DC98" s="3">
        <v>-4416.6000000000004</v>
      </c>
      <c r="DD98" s="3">
        <v>-3926.81</v>
      </c>
      <c r="DE98" s="3">
        <v>-3461.45</v>
      </c>
      <c r="DF98" s="3">
        <v>-2894.92</v>
      </c>
      <c r="DG98" s="3">
        <v>-2275.89</v>
      </c>
      <c r="DH98" s="3">
        <v>-1705.57</v>
      </c>
      <c r="DI98" s="3">
        <v>-1413.99</v>
      </c>
      <c r="DJ98" s="3">
        <v>-1425.98</v>
      </c>
      <c r="DK98" s="3">
        <v>-1705.7</v>
      </c>
      <c r="DL98" s="3">
        <v>-2019.85</v>
      </c>
      <c r="DM98" s="3">
        <v>-2330.8000000000002</v>
      </c>
      <c r="DN98" s="3">
        <v>-2658.17</v>
      </c>
      <c r="DO98" s="3">
        <v>-1179.28</v>
      </c>
      <c r="DP98" s="3">
        <v>-1298.1400000000001</v>
      </c>
      <c r="DQ98" s="3">
        <v>-1369.58</v>
      </c>
      <c r="DR98" s="3">
        <v>-1438.62</v>
      </c>
      <c r="DS98" s="3">
        <v>-1469.26</v>
      </c>
      <c r="DT98" s="3">
        <v>-1520.66</v>
      </c>
      <c r="DU98" s="3">
        <v>-1256.29</v>
      </c>
      <c r="DV98" s="3">
        <v>-1210.58</v>
      </c>
      <c r="DW98" s="3">
        <v>-1055.81</v>
      </c>
      <c r="DX98" s="3">
        <v>-774.31200000000001</v>
      </c>
      <c r="DY98" s="3">
        <v>-646.19200000000001</v>
      </c>
      <c r="DZ98" s="3">
        <v>-534.64800000000002</v>
      </c>
      <c r="EA98" s="3">
        <v>-449.14699999999999</v>
      </c>
      <c r="EB98" s="3">
        <v>-423.84899999999999</v>
      </c>
      <c r="EC98" s="3">
        <v>-445.89800000000002</v>
      </c>
      <c r="ED98" s="3">
        <v>-445.20499999999998</v>
      </c>
      <c r="EE98" s="3">
        <v>-436.904</v>
      </c>
      <c r="EF98" s="3">
        <v>-412.4</v>
      </c>
      <c r="EG98" s="3">
        <v>-595.59199999999998</v>
      </c>
      <c r="EH98" s="3">
        <v>-949.54399999999998</v>
      </c>
      <c r="EI98" s="3">
        <v>-239.16</v>
      </c>
      <c r="EJ98" s="3">
        <v>-484.00099999999998</v>
      </c>
      <c r="EK98" s="3">
        <v>-750.49900000000002</v>
      </c>
      <c r="EL98" s="3">
        <v>-939.03700000000003</v>
      </c>
      <c r="EM98" s="3">
        <v>-979.74300000000005</v>
      </c>
      <c r="EN98" s="3">
        <v>-1028.23</v>
      </c>
      <c r="EO98" s="3">
        <v>-1156.56</v>
      </c>
      <c r="EP98" s="3">
        <v>-1365.94</v>
      </c>
      <c r="EQ98" s="3">
        <v>-1567.88</v>
      </c>
      <c r="ER98" s="3">
        <v>-1558.9</v>
      </c>
      <c r="ES98" s="3">
        <v>-1429.21</v>
      </c>
      <c r="ET98" s="3">
        <v>-1119.23</v>
      </c>
      <c r="EU98" s="3">
        <v>-842.49</v>
      </c>
      <c r="EV98" s="3">
        <v>-659.91300000000001</v>
      </c>
      <c r="EW98" s="3">
        <v>-573.39599999999996</v>
      </c>
      <c r="EX98" s="3">
        <v>-501.86200000000002</v>
      </c>
      <c r="EY98" s="3">
        <v>-439.82799999999997</v>
      </c>
      <c r="EZ98" s="3">
        <v>-326.74099999999999</v>
      </c>
      <c r="FA98" s="3">
        <v>-225.28299999999999</v>
      </c>
      <c r="FB98" s="3">
        <v>-220.685</v>
      </c>
      <c r="FC98" s="3">
        <v>908.78099999999995</v>
      </c>
      <c r="FD98" s="3">
        <v>1033.94</v>
      </c>
      <c r="FE98" s="3">
        <v>401.09800000000001</v>
      </c>
      <c r="FF98" s="3">
        <v>402.87599999999998</v>
      </c>
      <c r="FG98" s="3">
        <v>627.65300000000002</v>
      </c>
      <c r="FH98" s="3">
        <v>760.64200000000005</v>
      </c>
      <c r="FI98" s="3">
        <v>3404.69</v>
      </c>
      <c r="FJ98" s="3">
        <v>935.03899999999999</v>
      </c>
      <c r="FK98" s="3">
        <v>816.96100000000001</v>
      </c>
      <c r="FL98" s="3">
        <v>0.32326199999999999</v>
      </c>
      <c r="FM98" s="3" t="s">
        <v>666</v>
      </c>
    </row>
    <row r="99" spans="1:169" x14ac:dyDescent="0.3">
      <c r="A99" s="2">
        <v>91</v>
      </c>
      <c r="B99" s="5">
        <v>15</v>
      </c>
      <c r="C99" s="6">
        <v>3102363</v>
      </c>
      <c r="D99" s="6" t="s">
        <v>285</v>
      </c>
      <c r="E99" s="6">
        <v>3907010</v>
      </c>
      <c r="F99" s="6">
        <v>3907012</v>
      </c>
      <c r="G99" s="6">
        <v>5907010</v>
      </c>
      <c r="H99" s="6">
        <v>3907013</v>
      </c>
      <c r="I99" s="6">
        <v>51.48</v>
      </c>
      <c r="J99" s="6" t="s">
        <v>169</v>
      </c>
      <c r="K99" s="6" t="s">
        <v>170</v>
      </c>
      <c r="L99" s="7" t="s">
        <v>171</v>
      </c>
      <c r="M99" s="7" t="s">
        <v>172</v>
      </c>
      <c r="N99" s="8" t="s">
        <v>1136</v>
      </c>
      <c r="O99" s="5">
        <v>-37804.199999999997</v>
      </c>
      <c r="P99" s="6">
        <v>18558.5</v>
      </c>
      <c r="Q99" s="6">
        <v>-204.476</v>
      </c>
      <c r="R99" s="12">
        <v>236.58699999999999</v>
      </c>
      <c r="S99" s="4" t="s">
        <v>1137</v>
      </c>
      <c r="T99" s="4" t="s">
        <v>1138</v>
      </c>
      <c r="U99" s="4" t="s">
        <v>1139</v>
      </c>
      <c r="V99" s="4" t="s">
        <v>1140</v>
      </c>
      <c r="W99" s="4" t="s">
        <v>1141</v>
      </c>
      <c r="X99" s="4" t="s">
        <v>1142</v>
      </c>
      <c r="Y99" s="4" t="s">
        <v>1143</v>
      </c>
      <c r="Z99" s="4" t="s">
        <v>1144</v>
      </c>
      <c r="AA99" s="4" t="s">
        <v>1145</v>
      </c>
      <c r="AB99" s="4" t="s">
        <v>1146</v>
      </c>
      <c r="AC99" s="4" t="s">
        <v>1147</v>
      </c>
      <c r="AD99" s="4" t="s">
        <v>1148</v>
      </c>
      <c r="AE99" s="4" t="s">
        <v>1149</v>
      </c>
      <c r="AF99" s="4" t="s">
        <v>1150</v>
      </c>
      <c r="AG99" s="4" t="s">
        <v>1151</v>
      </c>
      <c r="AH99" s="4" t="s">
        <v>1152</v>
      </c>
      <c r="AI99" s="4" t="s">
        <v>1153</v>
      </c>
      <c r="AJ99" s="4" t="s">
        <v>1154</v>
      </c>
      <c r="AK99" s="4" t="s">
        <v>1155</v>
      </c>
      <c r="AL99" s="4" t="s">
        <v>1156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8.9774099999999999E-3</v>
      </c>
      <c r="FM99" s="3"/>
    </row>
    <row r="100" spans="1:169" x14ac:dyDescent="0.3">
      <c r="A100" s="2">
        <v>92</v>
      </c>
      <c r="B100" s="5">
        <v>15</v>
      </c>
      <c r="C100" s="6">
        <v>3102363</v>
      </c>
      <c r="D100" s="6" t="s">
        <v>285</v>
      </c>
      <c r="E100" s="6">
        <v>3907010</v>
      </c>
      <c r="F100" s="6">
        <v>3907012</v>
      </c>
      <c r="G100" s="6">
        <v>5907010</v>
      </c>
      <c r="H100" s="6">
        <v>3907013</v>
      </c>
      <c r="I100" s="6">
        <v>51.48</v>
      </c>
      <c r="J100" s="6" t="s">
        <v>194</v>
      </c>
      <c r="K100" s="6" t="s">
        <v>195</v>
      </c>
      <c r="L100" s="7" t="s">
        <v>196</v>
      </c>
      <c r="M100" s="7" t="s">
        <v>172</v>
      </c>
      <c r="N100" s="8" t="s">
        <v>1136</v>
      </c>
      <c r="O100" s="5">
        <v>36293.599999999999</v>
      </c>
      <c r="P100" s="6">
        <v>-15680.4</v>
      </c>
      <c r="Q100" s="6">
        <v>26.279599999999999</v>
      </c>
      <c r="R100" s="12">
        <v>36987.800000000003</v>
      </c>
      <c r="S100" s="4" t="s">
        <v>1137</v>
      </c>
      <c r="T100" s="4" t="s">
        <v>1138</v>
      </c>
      <c r="U100" s="4" t="s">
        <v>1139</v>
      </c>
      <c r="V100" s="4" t="s">
        <v>1140</v>
      </c>
      <c r="W100" s="4" t="s">
        <v>1141</v>
      </c>
      <c r="X100" s="4" t="s">
        <v>1142</v>
      </c>
      <c r="Y100" s="4" t="s">
        <v>1143</v>
      </c>
      <c r="Z100" s="4" t="s">
        <v>1144</v>
      </c>
      <c r="AA100" s="4" t="s">
        <v>1145</v>
      </c>
      <c r="AB100" s="4" t="s">
        <v>1146</v>
      </c>
      <c r="AC100" s="4" t="s">
        <v>1147</v>
      </c>
      <c r="AD100" s="4" t="s">
        <v>1148</v>
      </c>
      <c r="AE100" s="4" t="s">
        <v>1149</v>
      </c>
      <c r="AF100" s="4" t="s">
        <v>1150</v>
      </c>
      <c r="AG100" s="4" t="s">
        <v>1151</v>
      </c>
      <c r="AH100" s="4" t="s">
        <v>1152</v>
      </c>
      <c r="AI100" s="4" t="s">
        <v>1153</v>
      </c>
      <c r="AJ100" s="4" t="s">
        <v>1154</v>
      </c>
      <c r="AK100" s="4" t="s">
        <v>1155</v>
      </c>
      <c r="AL100" s="4" t="s">
        <v>1156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/>
    </row>
    <row r="101" spans="1:169" x14ac:dyDescent="0.3">
      <c r="A101" s="2">
        <v>93</v>
      </c>
      <c r="B101" s="5">
        <v>15</v>
      </c>
      <c r="C101" s="6">
        <v>610876</v>
      </c>
      <c r="D101" s="6" t="s">
        <v>688</v>
      </c>
      <c r="E101" s="6">
        <v>5907010</v>
      </c>
      <c r="F101" s="6">
        <v>610747</v>
      </c>
      <c r="G101" s="6">
        <v>0</v>
      </c>
      <c r="H101" s="6">
        <v>0</v>
      </c>
      <c r="I101" s="6">
        <v>51.48</v>
      </c>
      <c r="J101" s="6" t="s">
        <v>169</v>
      </c>
      <c r="K101" s="6" t="s">
        <v>170</v>
      </c>
      <c r="L101" s="7" t="s">
        <v>171</v>
      </c>
      <c r="M101" s="7" t="s">
        <v>172</v>
      </c>
      <c r="N101" s="8" t="s">
        <v>1157</v>
      </c>
      <c r="O101" s="5">
        <v>41686.400000000001</v>
      </c>
      <c r="P101" s="6">
        <v>-2084.2600000000002</v>
      </c>
      <c r="Q101" s="6">
        <v>-351.42599999999999</v>
      </c>
      <c r="R101" s="12">
        <v>236.58699999999999</v>
      </c>
      <c r="S101" s="4" t="s">
        <v>1158</v>
      </c>
      <c r="T101" s="4" t="s">
        <v>1159</v>
      </c>
      <c r="U101" s="4" t="s">
        <v>1160</v>
      </c>
      <c r="V101" s="4" t="s">
        <v>1161</v>
      </c>
      <c r="W101" s="4" t="s">
        <v>1162</v>
      </c>
      <c r="X101" s="4" t="s">
        <v>1163</v>
      </c>
      <c r="Y101" s="4" t="s">
        <v>1164</v>
      </c>
      <c r="Z101" s="4" t="s">
        <v>1165</v>
      </c>
      <c r="AA101" s="4" t="s">
        <v>1166</v>
      </c>
      <c r="AB101" s="4" t="s">
        <v>1167</v>
      </c>
      <c r="AC101" s="4" t="s">
        <v>1168</v>
      </c>
      <c r="AD101" s="4" t="s">
        <v>1169</v>
      </c>
      <c r="AE101" s="4" t="s">
        <v>1170</v>
      </c>
      <c r="AF101" s="4" t="s">
        <v>1171</v>
      </c>
      <c r="AG101" s="4" t="s">
        <v>1172</v>
      </c>
      <c r="AH101" s="4" t="s">
        <v>1173</v>
      </c>
      <c r="AI101" s="4" t="s">
        <v>1174</v>
      </c>
      <c r="AJ101" s="4" t="s">
        <v>1175</v>
      </c>
      <c r="AK101" s="4" t="s">
        <v>1176</v>
      </c>
      <c r="AL101" s="4" t="s">
        <v>1177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 t="s">
        <v>1178</v>
      </c>
    </row>
    <row r="102" spans="1:169" x14ac:dyDescent="0.3">
      <c r="A102" s="2">
        <v>94</v>
      </c>
      <c r="B102" s="5">
        <v>15</v>
      </c>
      <c r="C102" s="6">
        <v>610876</v>
      </c>
      <c r="D102" s="6" t="s">
        <v>688</v>
      </c>
      <c r="E102" s="6">
        <v>5907010</v>
      </c>
      <c r="F102" s="6">
        <v>610747</v>
      </c>
      <c r="G102" s="6">
        <v>0</v>
      </c>
      <c r="H102" s="6">
        <v>0</v>
      </c>
      <c r="I102" s="6">
        <v>51.48</v>
      </c>
      <c r="J102" s="6" t="s">
        <v>194</v>
      </c>
      <c r="K102" s="6" t="s">
        <v>195</v>
      </c>
      <c r="L102" s="7" t="s">
        <v>196</v>
      </c>
      <c r="M102" s="7" t="s">
        <v>172</v>
      </c>
      <c r="N102" s="8" t="s">
        <v>1157</v>
      </c>
      <c r="O102" s="5">
        <v>-41014.9</v>
      </c>
      <c r="P102" s="6">
        <v>1312.16</v>
      </c>
      <c r="Q102" s="6">
        <v>254.274</v>
      </c>
      <c r="R102" s="12">
        <v>36987.800000000003</v>
      </c>
      <c r="S102" s="4" t="s">
        <v>1158</v>
      </c>
      <c r="T102" s="4" t="s">
        <v>1159</v>
      </c>
      <c r="U102" s="4" t="s">
        <v>1160</v>
      </c>
      <c r="V102" s="4" t="s">
        <v>1161</v>
      </c>
      <c r="W102" s="4" t="s">
        <v>1162</v>
      </c>
      <c r="X102" s="4" t="s">
        <v>1163</v>
      </c>
      <c r="Y102" s="4" t="s">
        <v>1164</v>
      </c>
      <c r="Z102" s="4" t="s">
        <v>1165</v>
      </c>
      <c r="AA102" s="4" t="s">
        <v>1166</v>
      </c>
      <c r="AB102" s="4" t="s">
        <v>1167</v>
      </c>
      <c r="AC102" s="4" t="s">
        <v>1168</v>
      </c>
      <c r="AD102" s="4" t="s">
        <v>1169</v>
      </c>
      <c r="AE102" s="4" t="s">
        <v>1170</v>
      </c>
      <c r="AF102" s="4" t="s">
        <v>1171</v>
      </c>
      <c r="AG102" s="4" t="s">
        <v>1172</v>
      </c>
      <c r="AH102" s="4" t="s">
        <v>1173</v>
      </c>
      <c r="AI102" s="4" t="s">
        <v>1174</v>
      </c>
      <c r="AJ102" s="4" t="s">
        <v>1175</v>
      </c>
      <c r="AK102" s="4" t="s">
        <v>1176</v>
      </c>
      <c r="AL102" s="4" t="s">
        <v>1177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 t="s">
        <v>1178</v>
      </c>
    </row>
    <row r="103" spans="1:169" x14ac:dyDescent="0.3">
      <c r="A103" s="2">
        <v>95</v>
      </c>
      <c r="B103" s="5">
        <v>16</v>
      </c>
      <c r="C103" s="6">
        <v>2501413</v>
      </c>
      <c r="D103" s="6" t="s">
        <v>168</v>
      </c>
      <c r="E103" s="6">
        <v>2913020</v>
      </c>
      <c r="F103" s="6">
        <v>2913020</v>
      </c>
      <c r="G103" s="6">
        <v>0</v>
      </c>
      <c r="H103" s="6">
        <v>0</v>
      </c>
      <c r="I103" s="6">
        <v>51.48</v>
      </c>
      <c r="J103" s="6" t="s">
        <v>169</v>
      </c>
      <c r="K103" s="6" t="s">
        <v>170</v>
      </c>
      <c r="L103" s="7" t="s">
        <v>171</v>
      </c>
      <c r="M103" s="7" t="s">
        <v>172</v>
      </c>
      <c r="N103" s="8" t="s">
        <v>1179</v>
      </c>
      <c r="O103" s="5">
        <v>153.441</v>
      </c>
      <c r="P103" s="6">
        <v>-6001.1</v>
      </c>
      <c r="Q103" s="6">
        <v>873.62199999999996</v>
      </c>
      <c r="R103" s="12">
        <v>5737.85</v>
      </c>
      <c r="S103" s="4" t="s">
        <v>1180</v>
      </c>
      <c r="T103" s="4" t="s">
        <v>1181</v>
      </c>
      <c r="U103" s="4" t="s">
        <v>1182</v>
      </c>
      <c r="V103" s="4" t="s">
        <v>1183</v>
      </c>
      <c r="W103" s="4" t="s">
        <v>1184</v>
      </c>
      <c r="X103" s="4" t="s">
        <v>1185</v>
      </c>
      <c r="Y103" s="4" t="s">
        <v>1186</v>
      </c>
      <c r="Z103" s="4" t="s">
        <v>1187</v>
      </c>
      <c r="AA103" s="4" t="s">
        <v>1188</v>
      </c>
      <c r="AB103" s="4" t="s">
        <v>1189</v>
      </c>
      <c r="AC103" s="4" t="s">
        <v>1190</v>
      </c>
      <c r="AD103" s="4" t="s">
        <v>1191</v>
      </c>
      <c r="AE103" s="4" t="s">
        <v>1192</v>
      </c>
      <c r="AF103" s="4" t="s">
        <v>1193</v>
      </c>
      <c r="AG103" s="4" t="s">
        <v>1194</v>
      </c>
      <c r="AH103" s="4" t="s">
        <v>1195</v>
      </c>
      <c r="AI103" s="4" t="s">
        <v>1196</v>
      </c>
      <c r="AJ103" s="4" t="s">
        <v>1197</v>
      </c>
      <c r="AK103" s="4" t="s">
        <v>1198</v>
      </c>
      <c r="AL103" s="4" t="s">
        <v>1199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/>
    </row>
    <row r="104" spans="1:169" x14ac:dyDescent="0.3">
      <c r="A104" s="2">
        <v>96</v>
      </c>
      <c r="B104" s="5">
        <v>16</v>
      </c>
      <c r="C104" s="6">
        <v>2501413</v>
      </c>
      <c r="D104" s="6" t="s">
        <v>168</v>
      </c>
      <c r="E104" s="6">
        <v>2913020</v>
      </c>
      <c r="F104" s="6">
        <v>2913020</v>
      </c>
      <c r="G104" s="6">
        <v>0</v>
      </c>
      <c r="H104" s="6">
        <v>0</v>
      </c>
      <c r="I104" s="6">
        <v>51.48</v>
      </c>
      <c r="J104" s="6" t="s">
        <v>194</v>
      </c>
      <c r="K104" s="6" t="s">
        <v>195</v>
      </c>
      <c r="L104" s="7" t="s">
        <v>196</v>
      </c>
      <c r="M104" s="7" t="s">
        <v>172</v>
      </c>
      <c r="N104" s="8" t="s">
        <v>1179</v>
      </c>
      <c r="O104" s="5">
        <v>21.491199999999999</v>
      </c>
      <c r="P104" s="6">
        <v>6777.04</v>
      </c>
      <c r="Q104" s="6">
        <v>-847.46799999999996</v>
      </c>
      <c r="R104" s="12">
        <v>0</v>
      </c>
      <c r="S104" s="4" t="s">
        <v>1180</v>
      </c>
      <c r="T104" s="4" t="s">
        <v>1181</v>
      </c>
      <c r="U104" s="4" t="s">
        <v>1182</v>
      </c>
      <c r="V104" s="4" t="s">
        <v>1183</v>
      </c>
      <c r="W104" s="4" t="s">
        <v>1184</v>
      </c>
      <c r="X104" s="4" t="s">
        <v>1185</v>
      </c>
      <c r="Y104" s="4" t="s">
        <v>1186</v>
      </c>
      <c r="Z104" s="4" t="s">
        <v>1187</v>
      </c>
      <c r="AA104" s="4" t="s">
        <v>1188</v>
      </c>
      <c r="AB104" s="4" t="s">
        <v>1189</v>
      </c>
      <c r="AC104" s="4" t="s">
        <v>1190</v>
      </c>
      <c r="AD104" s="4" t="s">
        <v>1191</v>
      </c>
      <c r="AE104" s="4" t="s">
        <v>1192</v>
      </c>
      <c r="AF104" s="4" t="s">
        <v>1193</v>
      </c>
      <c r="AG104" s="4" t="s">
        <v>1194</v>
      </c>
      <c r="AH104" s="4" t="s">
        <v>1195</v>
      </c>
      <c r="AI104" s="4" t="s">
        <v>1196</v>
      </c>
      <c r="AJ104" s="4" t="s">
        <v>1197</v>
      </c>
      <c r="AK104" s="4" t="s">
        <v>1198</v>
      </c>
      <c r="AL104" s="4" t="s">
        <v>1199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/>
    </row>
    <row r="105" spans="1:169" x14ac:dyDescent="0.3">
      <c r="A105" s="2">
        <v>97</v>
      </c>
      <c r="B105" s="5">
        <v>16</v>
      </c>
      <c r="C105" s="6">
        <v>51810096</v>
      </c>
      <c r="D105" s="6" t="s">
        <v>860</v>
      </c>
      <c r="E105" s="6">
        <v>2913020</v>
      </c>
      <c r="F105" s="6">
        <v>1913022</v>
      </c>
      <c r="G105" s="6">
        <v>0</v>
      </c>
      <c r="H105" s="6">
        <v>0</v>
      </c>
      <c r="I105" s="6">
        <v>51.48</v>
      </c>
      <c r="J105" s="6" t="s">
        <v>169</v>
      </c>
      <c r="K105" s="6" t="s">
        <v>170</v>
      </c>
      <c r="L105" s="7" t="s">
        <v>171</v>
      </c>
      <c r="M105" s="7" t="s">
        <v>172</v>
      </c>
      <c r="N105" s="8" t="s">
        <v>1200</v>
      </c>
      <c r="O105" s="5">
        <v>-2562.5</v>
      </c>
      <c r="P105" s="6">
        <v>-5411.04</v>
      </c>
      <c r="Q105" s="6">
        <v>976.79899999999998</v>
      </c>
      <c r="R105" s="12">
        <v>5737.85</v>
      </c>
      <c r="S105" s="4" t="s">
        <v>1201</v>
      </c>
      <c r="T105" s="4" t="s">
        <v>1202</v>
      </c>
      <c r="U105" s="4" t="s">
        <v>1203</v>
      </c>
      <c r="V105" s="4" t="s">
        <v>1204</v>
      </c>
      <c r="W105" s="4" t="s">
        <v>1205</v>
      </c>
      <c r="X105" s="4" t="s">
        <v>1206</v>
      </c>
      <c r="Y105" s="4" t="s">
        <v>1207</v>
      </c>
      <c r="Z105" s="4" t="s">
        <v>1208</v>
      </c>
      <c r="AA105" s="4" t="s">
        <v>1209</v>
      </c>
      <c r="AB105" s="4" t="s">
        <v>1210</v>
      </c>
      <c r="AC105" s="4" t="s">
        <v>1211</v>
      </c>
      <c r="AD105" s="4" t="s">
        <v>1212</v>
      </c>
      <c r="AE105" s="4" t="s">
        <v>1213</v>
      </c>
      <c r="AF105" s="4" t="s">
        <v>1214</v>
      </c>
      <c r="AG105" s="4" t="s">
        <v>1215</v>
      </c>
      <c r="AH105" s="4" t="s">
        <v>1216</v>
      </c>
      <c r="AI105" s="4" t="s">
        <v>1217</v>
      </c>
      <c r="AJ105" s="4" t="s">
        <v>1218</v>
      </c>
      <c r="AK105" s="4" t="s">
        <v>1219</v>
      </c>
      <c r="AL105" s="4" t="s">
        <v>1220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/>
    </row>
    <row r="106" spans="1:169" x14ac:dyDescent="0.3">
      <c r="A106" s="2">
        <v>98</v>
      </c>
      <c r="B106" s="5">
        <v>16</v>
      </c>
      <c r="C106" s="6">
        <v>51810096</v>
      </c>
      <c r="D106" s="6" t="s">
        <v>860</v>
      </c>
      <c r="E106" s="6">
        <v>2913020</v>
      </c>
      <c r="F106" s="6">
        <v>1913022</v>
      </c>
      <c r="G106" s="6">
        <v>0</v>
      </c>
      <c r="H106" s="6">
        <v>0</v>
      </c>
      <c r="I106" s="6">
        <v>51.48</v>
      </c>
      <c r="J106" s="6" t="s">
        <v>194</v>
      </c>
      <c r="K106" s="6" t="s">
        <v>195</v>
      </c>
      <c r="L106" s="7" t="s">
        <v>196</v>
      </c>
      <c r="M106" s="7" t="s">
        <v>172</v>
      </c>
      <c r="N106" s="8" t="s">
        <v>1200</v>
      </c>
      <c r="O106" s="5">
        <v>2721.41</v>
      </c>
      <c r="P106" s="6">
        <v>6190.62</v>
      </c>
      <c r="Q106" s="6">
        <v>-957.59799999999996</v>
      </c>
      <c r="R106" s="12">
        <v>0</v>
      </c>
      <c r="S106" s="4" t="s">
        <v>1201</v>
      </c>
      <c r="T106" s="4" t="s">
        <v>1202</v>
      </c>
      <c r="U106" s="4" t="s">
        <v>1203</v>
      </c>
      <c r="V106" s="4" t="s">
        <v>1204</v>
      </c>
      <c r="W106" s="4" t="s">
        <v>1205</v>
      </c>
      <c r="X106" s="4" t="s">
        <v>1206</v>
      </c>
      <c r="Y106" s="4" t="s">
        <v>1207</v>
      </c>
      <c r="Z106" s="4" t="s">
        <v>1208</v>
      </c>
      <c r="AA106" s="4" t="s">
        <v>1209</v>
      </c>
      <c r="AB106" s="4" t="s">
        <v>1210</v>
      </c>
      <c r="AC106" s="4" t="s">
        <v>1211</v>
      </c>
      <c r="AD106" s="4" t="s">
        <v>1212</v>
      </c>
      <c r="AE106" s="4" t="s">
        <v>1213</v>
      </c>
      <c r="AF106" s="4" t="s">
        <v>1214</v>
      </c>
      <c r="AG106" s="4" t="s">
        <v>1215</v>
      </c>
      <c r="AH106" s="4" t="s">
        <v>1216</v>
      </c>
      <c r="AI106" s="4" t="s">
        <v>1217</v>
      </c>
      <c r="AJ106" s="4" t="s">
        <v>1218</v>
      </c>
      <c r="AK106" s="4" t="s">
        <v>1219</v>
      </c>
      <c r="AL106" s="4" t="s">
        <v>1220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/>
    </row>
    <row r="107" spans="1:169" x14ac:dyDescent="0.3">
      <c r="A107" s="2">
        <v>99</v>
      </c>
      <c r="B107" s="5">
        <v>17</v>
      </c>
      <c r="C107" s="6">
        <v>2500537</v>
      </c>
      <c r="D107" s="6" t="s">
        <v>168</v>
      </c>
      <c r="E107" s="6">
        <v>2905020</v>
      </c>
      <c r="F107" s="6">
        <v>2905020</v>
      </c>
      <c r="G107" s="6">
        <v>0</v>
      </c>
      <c r="H107" s="6">
        <v>0</v>
      </c>
      <c r="I107" s="6">
        <v>51.48</v>
      </c>
      <c r="J107" s="6" t="s">
        <v>169</v>
      </c>
      <c r="K107" s="6" t="s">
        <v>170</v>
      </c>
      <c r="L107" s="7" t="s">
        <v>171</v>
      </c>
      <c r="M107" s="7" t="s">
        <v>172</v>
      </c>
      <c r="N107" s="8" t="s">
        <v>1221</v>
      </c>
      <c r="O107" s="5">
        <v>20734.400000000001</v>
      </c>
      <c r="P107" s="6">
        <v>686.81399999999996</v>
      </c>
      <c r="Q107" s="6">
        <v>128.46799999999999</v>
      </c>
      <c r="R107" s="12">
        <v>20539.099999999999</v>
      </c>
      <c r="S107" s="4" t="s">
        <v>1222</v>
      </c>
      <c r="T107" s="4" t="s">
        <v>1223</v>
      </c>
      <c r="U107" s="4" t="s">
        <v>1224</v>
      </c>
      <c r="V107" s="4" t="s">
        <v>1225</v>
      </c>
      <c r="W107" s="4" t="s">
        <v>1226</v>
      </c>
      <c r="X107" s="4" t="s">
        <v>1227</v>
      </c>
      <c r="Y107" s="4" t="s">
        <v>1228</v>
      </c>
      <c r="Z107" s="4" t="s">
        <v>1229</v>
      </c>
      <c r="AA107" s="4" t="s">
        <v>1230</v>
      </c>
      <c r="AB107" s="4" t="s">
        <v>1231</v>
      </c>
      <c r="AC107" s="4" t="s">
        <v>1232</v>
      </c>
      <c r="AD107" s="4" t="s">
        <v>1233</v>
      </c>
      <c r="AE107" s="4" t="s">
        <v>1234</v>
      </c>
      <c r="AF107" s="4" t="s">
        <v>1235</v>
      </c>
      <c r="AG107" s="4" t="s">
        <v>1236</v>
      </c>
      <c r="AH107" s="4" t="s">
        <v>1237</v>
      </c>
      <c r="AI107" s="4" t="s">
        <v>1238</v>
      </c>
      <c r="AJ107" s="4" t="s">
        <v>1239</v>
      </c>
      <c r="AK107" s="4" t="s">
        <v>1240</v>
      </c>
      <c r="AL107" s="4" t="s">
        <v>1241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/>
    </row>
    <row r="108" spans="1:169" x14ac:dyDescent="0.3">
      <c r="A108" s="2">
        <v>100</v>
      </c>
      <c r="B108" s="5">
        <v>17</v>
      </c>
      <c r="C108" s="6">
        <v>2500537</v>
      </c>
      <c r="D108" s="6" t="s">
        <v>168</v>
      </c>
      <c r="E108" s="6">
        <v>2905020</v>
      </c>
      <c r="F108" s="6">
        <v>2905020</v>
      </c>
      <c r="G108" s="6">
        <v>0</v>
      </c>
      <c r="H108" s="6">
        <v>0</v>
      </c>
      <c r="I108" s="6">
        <v>51.48</v>
      </c>
      <c r="J108" s="6" t="s">
        <v>194</v>
      </c>
      <c r="K108" s="6" t="s">
        <v>195</v>
      </c>
      <c r="L108" s="7" t="s">
        <v>196</v>
      </c>
      <c r="M108" s="7" t="s">
        <v>172</v>
      </c>
      <c r="N108" s="8" t="s">
        <v>1221</v>
      </c>
      <c r="O108" s="5">
        <v>-20667.7</v>
      </c>
      <c r="P108" s="6">
        <v>1865.32</v>
      </c>
      <c r="Q108" s="6">
        <v>-47.053400000000003</v>
      </c>
      <c r="R108" s="12">
        <v>10220.4</v>
      </c>
      <c r="S108" s="4" t="s">
        <v>1222</v>
      </c>
      <c r="T108" s="4" t="s">
        <v>1223</v>
      </c>
      <c r="U108" s="4" t="s">
        <v>1224</v>
      </c>
      <c r="V108" s="4" t="s">
        <v>1225</v>
      </c>
      <c r="W108" s="4" t="s">
        <v>1226</v>
      </c>
      <c r="X108" s="4" t="s">
        <v>1227</v>
      </c>
      <c r="Y108" s="4" t="s">
        <v>1228</v>
      </c>
      <c r="Z108" s="4" t="s">
        <v>1229</v>
      </c>
      <c r="AA108" s="4" t="s">
        <v>1230</v>
      </c>
      <c r="AB108" s="4" t="s">
        <v>1231</v>
      </c>
      <c r="AC108" s="4" t="s">
        <v>1232</v>
      </c>
      <c r="AD108" s="4" t="s">
        <v>1233</v>
      </c>
      <c r="AE108" s="4" t="s">
        <v>1234</v>
      </c>
      <c r="AF108" s="4" t="s">
        <v>1235</v>
      </c>
      <c r="AG108" s="4" t="s">
        <v>1236</v>
      </c>
      <c r="AH108" s="4" t="s">
        <v>1237</v>
      </c>
      <c r="AI108" s="4" t="s">
        <v>1238</v>
      </c>
      <c r="AJ108" s="4" t="s">
        <v>1239</v>
      </c>
      <c r="AK108" s="4" t="s">
        <v>1240</v>
      </c>
      <c r="AL108" s="4" t="s">
        <v>1241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/>
    </row>
    <row r="109" spans="1:169" x14ac:dyDescent="0.3">
      <c r="A109" s="2">
        <v>101</v>
      </c>
      <c r="B109" s="5">
        <v>17</v>
      </c>
      <c r="C109" s="6">
        <v>1500412</v>
      </c>
      <c r="D109" s="6" t="s">
        <v>197</v>
      </c>
      <c r="E109" s="6">
        <v>2905020</v>
      </c>
      <c r="F109" s="6">
        <v>1905022</v>
      </c>
      <c r="G109" s="6">
        <v>3905020</v>
      </c>
      <c r="H109" s="6">
        <v>1905021</v>
      </c>
      <c r="I109" s="6">
        <v>57.914999999999999</v>
      </c>
      <c r="J109" s="6" t="s">
        <v>169</v>
      </c>
      <c r="K109" s="6" t="s">
        <v>170</v>
      </c>
      <c r="L109" s="7" t="s">
        <v>171</v>
      </c>
      <c r="M109" s="7" t="s">
        <v>172</v>
      </c>
      <c r="N109" s="8" t="s">
        <v>1242</v>
      </c>
      <c r="O109" s="5">
        <v>-4838.58</v>
      </c>
      <c r="P109" s="6">
        <v>8090.1</v>
      </c>
      <c r="Q109" s="6">
        <v>22203.8</v>
      </c>
      <c r="R109" s="12">
        <v>20539.099999999999</v>
      </c>
      <c r="S109" s="4" t="s">
        <v>1243</v>
      </c>
      <c r="T109" s="4" t="s">
        <v>1244</v>
      </c>
      <c r="U109" s="4" t="s">
        <v>1245</v>
      </c>
      <c r="V109" s="4" t="s">
        <v>1246</v>
      </c>
      <c r="W109" s="4" t="s">
        <v>1247</v>
      </c>
      <c r="X109" s="4" t="s">
        <v>1248</v>
      </c>
      <c r="Y109" s="4" t="s">
        <v>1249</v>
      </c>
      <c r="Z109" s="4" t="s">
        <v>1250</v>
      </c>
      <c r="AA109" s="4" t="s">
        <v>1251</v>
      </c>
      <c r="AB109" s="4" t="s">
        <v>1252</v>
      </c>
      <c r="AC109" s="4" t="s">
        <v>1253</v>
      </c>
      <c r="AD109" s="4" t="s">
        <v>1254</v>
      </c>
      <c r="AE109" s="4" t="s">
        <v>1255</v>
      </c>
      <c r="AF109" s="4" t="s">
        <v>1256</v>
      </c>
      <c r="AG109" s="4" t="s">
        <v>1257</v>
      </c>
      <c r="AH109" s="4" t="s">
        <v>1258</v>
      </c>
      <c r="AI109" s="4" t="s">
        <v>1259</v>
      </c>
      <c r="AJ109" s="4" t="s">
        <v>1260</v>
      </c>
      <c r="AK109" s="4" t="s">
        <v>1261</v>
      </c>
      <c r="AL109" s="4" t="s">
        <v>1262</v>
      </c>
      <c r="AM109" s="3">
        <v>-2259.1799999999998</v>
      </c>
      <c r="AN109" s="3">
        <v>-2285.39</v>
      </c>
      <c r="AO109" s="3">
        <v>-2321.0300000000002</v>
      </c>
      <c r="AP109" s="3">
        <v>-2376.89</v>
      </c>
      <c r="AQ109" s="3">
        <v>-2453.96</v>
      </c>
      <c r="AR109" s="3">
        <v>-2547.5300000000002</v>
      </c>
      <c r="AS109" s="3">
        <v>-2683.56</v>
      </c>
      <c r="AT109" s="3">
        <v>-2740.73</v>
      </c>
      <c r="AU109" s="3">
        <v>-2713</v>
      </c>
      <c r="AV109" s="3">
        <v>-2634.81</v>
      </c>
      <c r="AW109" s="3">
        <v>-2503.4</v>
      </c>
      <c r="AX109" s="3">
        <v>-2525.1799999999998</v>
      </c>
      <c r="AY109" s="3">
        <v>-2543.75</v>
      </c>
      <c r="AZ109" s="3">
        <v>-2551.4699999999998</v>
      </c>
      <c r="BA109" s="3">
        <v>-2544.4699999999998</v>
      </c>
      <c r="BB109" s="3">
        <v>-2539.0100000000002</v>
      </c>
      <c r="BC109" s="3">
        <v>-2562.71</v>
      </c>
      <c r="BD109" s="3">
        <v>-2569.62</v>
      </c>
      <c r="BE109" s="3">
        <v>-2528.77</v>
      </c>
      <c r="BF109" s="3">
        <v>-2413.67</v>
      </c>
      <c r="BG109" s="3">
        <v>234.65199999999999</v>
      </c>
      <c r="BH109" s="3">
        <v>227.608</v>
      </c>
      <c r="BI109" s="3">
        <v>231.636</v>
      </c>
      <c r="BJ109" s="3">
        <v>259.108</v>
      </c>
      <c r="BK109" s="3">
        <v>301.76299999999998</v>
      </c>
      <c r="BL109" s="3">
        <v>340.70100000000002</v>
      </c>
      <c r="BM109" s="3">
        <v>299.16199999999998</v>
      </c>
      <c r="BN109" s="3">
        <v>241.655</v>
      </c>
      <c r="BO109" s="3">
        <v>176.52199999999999</v>
      </c>
      <c r="BP109" s="3">
        <v>113.212</v>
      </c>
      <c r="BQ109" s="3">
        <v>46.420099999999998</v>
      </c>
      <c r="BR109" s="3">
        <v>73.817499999999995</v>
      </c>
      <c r="BS109" s="3">
        <v>95.994100000000003</v>
      </c>
      <c r="BT109" s="3">
        <v>107.361</v>
      </c>
      <c r="BU109" s="3">
        <v>108.474</v>
      </c>
      <c r="BV109" s="3">
        <v>113.751</v>
      </c>
      <c r="BW109" s="3">
        <v>144.499</v>
      </c>
      <c r="BX109" s="3">
        <v>178.58199999999999</v>
      </c>
      <c r="BY109" s="3">
        <v>206.37299999999999</v>
      </c>
      <c r="BZ109" s="3">
        <v>222.333</v>
      </c>
      <c r="CA109" s="3">
        <v>-351.12299999999999</v>
      </c>
      <c r="CB109" s="3">
        <v>-369.63200000000001</v>
      </c>
      <c r="CC109" s="3">
        <v>-414.68200000000002</v>
      </c>
      <c r="CD109" s="3">
        <v>-468.38799999999998</v>
      </c>
      <c r="CE109" s="3">
        <v>-515.21799999999996</v>
      </c>
      <c r="CF109" s="3">
        <v>-552.39800000000002</v>
      </c>
      <c r="CG109" s="3">
        <v>-651.40899999999999</v>
      </c>
      <c r="CH109" s="3">
        <v>-746.64099999999996</v>
      </c>
      <c r="CI109" s="3">
        <v>-832.33500000000004</v>
      </c>
      <c r="CJ109" s="3">
        <v>-883.36699999999996</v>
      </c>
      <c r="CK109" s="3">
        <v>-887.12</v>
      </c>
      <c r="CL109" s="3">
        <v>-808.22900000000004</v>
      </c>
      <c r="CM109" s="3">
        <v>-719.39300000000003</v>
      </c>
      <c r="CN109" s="3">
        <v>-633.47</v>
      </c>
      <c r="CO109" s="3">
        <v>-576.49900000000002</v>
      </c>
      <c r="CP109" s="3">
        <v>-540.87199999999996</v>
      </c>
      <c r="CQ109" s="3">
        <v>-529.61400000000003</v>
      </c>
      <c r="CR109" s="3">
        <v>-497.18</v>
      </c>
      <c r="CS109" s="3">
        <v>-439.971</v>
      </c>
      <c r="CT109" s="3">
        <v>-386.596</v>
      </c>
      <c r="CU109" s="3">
        <v>-8866.17</v>
      </c>
      <c r="CV109" s="3">
        <v>-10623.7</v>
      </c>
      <c r="CW109" s="3">
        <v>-11409.8</v>
      </c>
      <c r="CX109" s="3">
        <v>-11373.1</v>
      </c>
      <c r="CY109" s="3">
        <v>-10735</v>
      </c>
      <c r="CZ109" s="3">
        <v>-9762.39</v>
      </c>
      <c r="DA109" s="3">
        <v>-9565.5300000000007</v>
      </c>
      <c r="DB109" s="3">
        <v>-9409.5499999999993</v>
      </c>
      <c r="DC109" s="3">
        <v>-9353.69</v>
      </c>
      <c r="DD109" s="3">
        <v>-9476.6200000000008</v>
      </c>
      <c r="DE109" s="3">
        <v>-9637.1</v>
      </c>
      <c r="DF109" s="3">
        <v>-10504.7</v>
      </c>
      <c r="DG109" s="3">
        <v>-11198.7</v>
      </c>
      <c r="DH109" s="3">
        <v>-11181.9</v>
      </c>
      <c r="DI109" s="3">
        <v>-9822.36</v>
      </c>
      <c r="DJ109" s="3">
        <v>-7622.52</v>
      </c>
      <c r="DK109" s="3">
        <v>-8001.69</v>
      </c>
      <c r="DL109" s="3">
        <v>-8320.51</v>
      </c>
      <c r="DM109" s="3">
        <v>-8606.1200000000008</v>
      </c>
      <c r="DN109" s="3">
        <v>-8781.09</v>
      </c>
      <c r="DO109" s="3">
        <v>-938.77599999999995</v>
      </c>
      <c r="DP109" s="3">
        <v>-916.36500000000001</v>
      </c>
      <c r="DQ109" s="3">
        <v>-1041.6400000000001</v>
      </c>
      <c r="DR109" s="3">
        <v>-1283.5899999999999</v>
      </c>
      <c r="DS109" s="3">
        <v>-1602.14</v>
      </c>
      <c r="DT109" s="3">
        <v>-1898.51</v>
      </c>
      <c r="DU109" s="3">
        <v>-1913.41</v>
      </c>
      <c r="DV109" s="3">
        <v>-2133.84</v>
      </c>
      <c r="DW109" s="3">
        <v>-2311.13</v>
      </c>
      <c r="DX109" s="3">
        <v>-1964.71</v>
      </c>
      <c r="DY109" s="3">
        <v>-1097.5899999999999</v>
      </c>
      <c r="DZ109" s="3">
        <v>-987.88400000000001</v>
      </c>
      <c r="EA109" s="3">
        <v>-782.37599999999998</v>
      </c>
      <c r="EB109" s="3">
        <v>-443.53500000000003</v>
      </c>
      <c r="EC109" s="3">
        <v>-144.999</v>
      </c>
      <c r="ED109" s="3">
        <v>201.21600000000001</v>
      </c>
      <c r="EE109" s="3">
        <v>-578.495</v>
      </c>
      <c r="EF109" s="3">
        <v>-1190.18</v>
      </c>
      <c r="EG109" s="3">
        <v>-1143.6099999999999</v>
      </c>
      <c r="EH109" s="3">
        <v>-906.08</v>
      </c>
      <c r="EI109" s="3">
        <v>-1259.72</v>
      </c>
      <c r="EJ109" s="3">
        <v>-1188.6199999999999</v>
      </c>
      <c r="EK109" s="3">
        <v>-1253.3499999999999</v>
      </c>
      <c r="EL109" s="3">
        <v>-1443.76</v>
      </c>
      <c r="EM109" s="3">
        <v>-1771.73</v>
      </c>
      <c r="EN109" s="3">
        <v>-1979.72</v>
      </c>
      <c r="EO109" s="3">
        <v>-1397.65</v>
      </c>
      <c r="EP109" s="3">
        <v>-808.48599999999999</v>
      </c>
      <c r="EQ109" s="3">
        <v>-673.26</v>
      </c>
      <c r="ER109" s="3">
        <v>-806.59</v>
      </c>
      <c r="ES109" s="3">
        <v>-917.12199999999996</v>
      </c>
      <c r="ET109" s="3">
        <v>-1041.83</v>
      </c>
      <c r="EU109" s="3">
        <v>-881.46100000000001</v>
      </c>
      <c r="EV109" s="3">
        <v>-490.63900000000001</v>
      </c>
      <c r="EW109" s="3">
        <v>-36.308199999999999</v>
      </c>
      <c r="EX109" s="3">
        <v>153.58799999999999</v>
      </c>
      <c r="EY109" s="3">
        <v>-54.815300000000001</v>
      </c>
      <c r="EZ109" s="3">
        <v>-852.05499999999995</v>
      </c>
      <c r="FA109" s="3">
        <v>-1606.42</v>
      </c>
      <c r="FB109" s="3">
        <v>-1681.54</v>
      </c>
      <c r="FC109" s="3">
        <v>-2478.83</v>
      </c>
      <c r="FD109" s="3">
        <v>-2637.17</v>
      </c>
      <c r="FE109" s="3">
        <v>90.9696</v>
      </c>
      <c r="FF109" s="3">
        <v>265.911</v>
      </c>
      <c r="FG109" s="3">
        <v>-445.24</v>
      </c>
      <c r="FH109" s="3">
        <v>-758.87800000000004</v>
      </c>
      <c r="FI109" s="3">
        <v>8950.25</v>
      </c>
      <c r="FJ109" s="3">
        <v>911.34900000000005</v>
      </c>
      <c r="FK109" s="3">
        <v>999.77</v>
      </c>
      <c r="FL109" s="3">
        <v>0.30175800000000003</v>
      </c>
      <c r="FM109" s="3"/>
    </row>
    <row r="110" spans="1:169" x14ac:dyDescent="0.3">
      <c r="A110" s="2">
        <v>102</v>
      </c>
      <c r="B110" s="5">
        <v>17</v>
      </c>
      <c r="C110" s="6">
        <v>1500412</v>
      </c>
      <c r="D110" s="6" t="s">
        <v>197</v>
      </c>
      <c r="E110" s="6">
        <v>2905020</v>
      </c>
      <c r="F110" s="6">
        <v>1905022</v>
      </c>
      <c r="G110" s="6">
        <v>3905020</v>
      </c>
      <c r="H110" s="6">
        <v>1905021</v>
      </c>
      <c r="I110" s="6">
        <v>57.914999999999999</v>
      </c>
      <c r="J110" s="6" t="s">
        <v>194</v>
      </c>
      <c r="K110" s="6" t="s">
        <v>195</v>
      </c>
      <c r="L110" s="7" t="s">
        <v>196</v>
      </c>
      <c r="M110" s="7" t="s">
        <v>172</v>
      </c>
      <c r="N110" s="8" t="s">
        <v>1242</v>
      </c>
      <c r="O110" s="5">
        <v>10686.6</v>
      </c>
      <c r="P110" s="6">
        <v>-6450.51</v>
      </c>
      <c r="Q110" s="6">
        <v>-24020.400000000001</v>
      </c>
      <c r="R110" s="12">
        <v>10220.4</v>
      </c>
      <c r="S110" s="4" t="s">
        <v>1243</v>
      </c>
      <c r="T110" s="4" t="s">
        <v>1244</v>
      </c>
      <c r="U110" s="4" t="s">
        <v>1245</v>
      </c>
      <c r="V110" s="4" t="s">
        <v>1246</v>
      </c>
      <c r="W110" s="4" t="s">
        <v>1247</v>
      </c>
      <c r="X110" s="4" t="s">
        <v>1248</v>
      </c>
      <c r="Y110" s="4" t="s">
        <v>1249</v>
      </c>
      <c r="Z110" s="4" t="s">
        <v>1250</v>
      </c>
      <c r="AA110" s="4" t="s">
        <v>1251</v>
      </c>
      <c r="AB110" s="4" t="s">
        <v>1252</v>
      </c>
      <c r="AC110" s="4" t="s">
        <v>1253</v>
      </c>
      <c r="AD110" s="4" t="s">
        <v>1254</v>
      </c>
      <c r="AE110" s="4" t="s">
        <v>1255</v>
      </c>
      <c r="AF110" s="4" t="s">
        <v>1256</v>
      </c>
      <c r="AG110" s="4" t="s">
        <v>1257</v>
      </c>
      <c r="AH110" s="4" t="s">
        <v>1258</v>
      </c>
      <c r="AI110" s="4" t="s">
        <v>1259</v>
      </c>
      <c r="AJ110" s="4" t="s">
        <v>1260</v>
      </c>
      <c r="AK110" s="4" t="s">
        <v>1261</v>
      </c>
      <c r="AL110" s="4" t="s">
        <v>1262</v>
      </c>
      <c r="AM110" s="3">
        <v>1549.66</v>
      </c>
      <c r="AN110" s="3">
        <v>1445.14</v>
      </c>
      <c r="AO110" s="3">
        <v>1325.25</v>
      </c>
      <c r="AP110" s="3">
        <v>1202.82</v>
      </c>
      <c r="AQ110" s="3">
        <v>1064.99</v>
      </c>
      <c r="AR110" s="3">
        <v>891.93600000000004</v>
      </c>
      <c r="AS110" s="3">
        <v>943.69500000000005</v>
      </c>
      <c r="AT110" s="3">
        <v>1076.6300000000001</v>
      </c>
      <c r="AU110" s="3">
        <v>1295.6199999999999</v>
      </c>
      <c r="AV110" s="3">
        <v>1556.45</v>
      </c>
      <c r="AW110" s="3">
        <v>1787.56</v>
      </c>
      <c r="AX110" s="3">
        <v>1853.33</v>
      </c>
      <c r="AY110" s="3">
        <v>1924.59</v>
      </c>
      <c r="AZ110" s="3">
        <v>1989.64</v>
      </c>
      <c r="BA110" s="3">
        <v>2046.87</v>
      </c>
      <c r="BB110" s="3">
        <v>2105.52</v>
      </c>
      <c r="BC110" s="3">
        <v>2000.69</v>
      </c>
      <c r="BD110" s="3">
        <v>1913.14</v>
      </c>
      <c r="BE110" s="3">
        <v>1808.51</v>
      </c>
      <c r="BF110" s="3">
        <v>1666.9</v>
      </c>
      <c r="BG110" s="3">
        <v>35.953600000000002</v>
      </c>
      <c r="BH110" s="3">
        <v>67.621899999999997</v>
      </c>
      <c r="BI110" s="3">
        <v>81.125799999999998</v>
      </c>
      <c r="BJ110" s="3">
        <v>67.106499999999997</v>
      </c>
      <c r="BK110" s="3">
        <v>38.720999999999997</v>
      </c>
      <c r="BL110" s="3">
        <v>8.7817299999999996</v>
      </c>
      <c r="BM110" s="3">
        <v>41.738999999999997</v>
      </c>
      <c r="BN110" s="3">
        <v>54.774299999999997</v>
      </c>
      <c r="BO110" s="3">
        <v>39.136699999999998</v>
      </c>
      <c r="BP110" s="3">
        <v>9.4604400000000002</v>
      </c>
      <c r="BQ110" s="3">
        <v>-7.5323900000000004</v>
      </c>
      <c r="BR110" s="3">
        <v>38.734699999999997</v>
      </c>
      <c r="BS110" s="3">
        <v>70.083299999999994</v>
      </c>
      <c r="BT110" s="3">
        <v>91.847999999999999</v>
      </c>
      <c r="BU110" s="3">
        <v>99.141800000000003</v>
      </c>
      <c r="BV110" s="3">
        <v>86.688900000000004</v>
      </c>
      <c r="BW110" s="3">
        <v>93.847099999999998</v>
      </c>
      <c r="BX110" s="3">
        <v>86.527500000000003</v>
      </c>
      <c r="BY110" s="3">
        <v>75.738600000000005</v>
      </c>
      <c r="BZ110" s="3">
        <v>64.221100000000007</v>
      </c>
      <c r="CA110" s="3">
        <v>526.08100000000002</v>
      </c>
      <c r="CB110" s="3">
        <v>575.39800000000002</v>
      </c>
      <c r="CC110" s="3">
        <v>647.85799999999995</v>
      </c>
      <c r="CD110" s="3">
        <v>724.89099999999996</v>
      </c>
      <c r="CE110" s="3">
        <v>793.31299999999999</v>
      </c>
      <c r="CF110" s="3">
        <v>847.08100000000002</v>
      </c>
      <c r="CG110" s="3">
        <v>663.56100000000004</v>
      </c>
      <c r="CH110" s="3">
        <v>511.68</v>
      </c>
      <c r="CI110" s="3">
        <v>423.64800000000002</v>
      </c>
      <c r="CJ110" s="3">
        <v>355.83499999999998</v>
      </c>
      <c r="CK110" s="3">
        <v>291.12700000000001</v>
      </c>
      <c r="CL110" s="3">
        <v>285.94900000000001</v>
      </c>
      <c r="CM110" s="3">
        <v>267.46800000000002</v>
      </c>
      <c r="CN110" s="3">
        <v>247.62899999999999</v>
      </c>
      <c r="CO110" s="3">
        <v>249.91399999999999</v>
      </c>
      <c r="CP110" s="3">
        <v>262.327</v>
      </c>
      <c r="CQ110" s="3">
        <v>318.26</v>
      </c>
      <c r="CR110" s="3">
        <v>361.04500000000002</v>
      </c>
      <c r="CS110" s="3">
        <v>387.52800000000002</v>
      </c>
      <c r="CT110" s="3">
        <v>441.34</v>
      </c>
      <c r="CU110" s="3">
        <v>9273.57</v>
      </c>
      <c r="CV110" s="3">
        <v>11183.5</v>
      </c>
      <c r="CW110" s="3">
        <v>12245.8</v>
      </c>
      <c r="CX110" s="3">
        <v>12550.1</v>
      </c>
      <c r="CY110" s="3">
        <v>12249</v>
      </c>
      <c r="CZ110" s="3">
        <v>11517.6</v>
      </c>
      <c r="DA110" s="3">
        <v>11464.1</v>
      </c>
      <c r="DB110" s="3">
        <v>11326.2</v>
      </c>
      <c r="DC110" s="3">
        <v>11215.6</v>
      </c>
      <c r="DD110" s="3">
        <v>11280.8</v>
      </c>
      <c r="DE110" s="3">
        <v>11408.8</v>
      </c>
      <c r="DF110" s="3">
        <v>12316.3</v>
      </c>
      <c r="DG110" s="3">
        <v>12894.9</v>
      </c>
      <c r="DH110" s="3">
        <v>12608.7</v>
      </c>
      <c r="DI110" s="3">
        <v>10891.5</v>
      </c>
      <c r="DJ110" s="3">
        <v>8392.73</v>
      </c>
      <c r="DK110" s="3">
        <v>8697.27</v>
      </c>
      <c r="DL110" s="3">
        <v>8946.49</v>
      </c>
      <c r="DM110" s="3">
        <v>9176.27</v>
      </c>
      <c r="DN110" s="3">
        <v>9281.44</v>
      </c>
      <c r="DO110" s="3">
        <v>344.20100000000002</v>
      </c>
      <c r="DP110" s="3">
        <v>287.971</v>
      </c>
      <c r="DQ110" s="3">
        <v>329.21300000000002</v>
      </c>
      <c r="DR110" s="3">
        <v>464.30500000000001</v>
      </c>
      <c r="DS110" s="3">
        <v>631.05499999999995</v>
      </c>
      <c r="DT110" s="3">
        <v>712.68100000000004</v>
      </c>
      <c r="DU110" s="3">
        <v>554.51300000000003</v>
      </c>
      <c r="DV110" s="3">
        <v>926.87699999999995</v>
      </c>
      <c r="DW110" s="3">
        <v>1402.33</v>
      </c>
      <c r="DX110" s="3">
        <v>1329.39</v>
      </c>
      <c r="DY110" s="3">
        <v>696.702</v>
      </c>
      <c r="DZ110" s="3">
        <v>616.26199999999994</v>
      </c>
      <c r="EA110" s="3">
        <v>458.09300000000002</v>
      </c>
      <c r="EB110" s="3">
        <v>160.429</v>
      </c>
      <c r="EC110" s="3">
        <v>-95.988900000000001</v>
      </c>
      <c r="ED110" s="3">
        <v>-438.19600000000003</v>
      </c>
      <c r="EE110" s="3">
        <v>226.029</v>
      </c>
      <c r="EF110" s="3">
        <v>654.68499999999995</v>
      </c>
      <c r="EG110" s="3">
        <v>462.91699999999997</v>
      </c>
      <c r="EH110" s="3">
        <v>213.71299999999999</v>
      </c>
      <c r="EI110" s="3">
        <v>1002.92</v>
      </c>
      <c r="EJ110" s="3">
        <v>857.29399999999998</v>
      </c>
      <c r="EK110" s="3">
        <v>830.80100000000004</v>
      </c>
      <c r="EL110" s="3">
        <v>894.35500000000002</v>
      </c>
      <c r="EM110" s="3">
        <v>1062.69</v>
      </c>
      <c r="EN110" s="3">
        <v>1099.97</v>
      </c>
      <c r="EO110" s="3">
        <v>811.75800000000004</v>
      </c>
      <c r="EP110" s="3">
        <v>551.38800000000003</v>
      </c>
      <c r="EQ110" s="3">
        <v>741.23199999999997</v>
      </c>
      <c r="ER110" s="3">
        <v>1094.06</v>
      </c>
      <c r="ES110" s="3">
        <v>1282.29</v>
      </c>
      <c r="ET110" s="3">
        <v>1317.83</v>
      </c>
      <c r="EU110" s="3">
        <v>1068.3399999999999</v>
      </c>
      <c r="EV110" s="3">
        <v>606.20600000000002</v>
      </c>
      <c r="EW110" s="3">
        <v>139.49299999999999</v>
      </c>
      <c r="EX110" s="3">
        <v>-29.0337</v>
      </c>
      <c r="EY110" s="3">
        <v>142.63499999999999</v>
      </c>
      <c r="EZ110" s="3">
        <v>890.72900000000004</v>
      </c>
      <c r="FA110" s="3">
        <v>1541.99</v>
      </c>
      <c r="FB110" s="3">
        <v>1504.48</v>
      </c>
      <c r="FC110" s="3">
        <v>1258.6500000000001</v>
      </c>
      <c r="FD110" s="3">
        <v>1840.74</v>
      </c>
      <c r="FE110" s="3">
        <v>49.885100000000001</v>
      </c>
      <c r="FF110" s="3">
        <v>63.160699999999999</v>
      </c>
      <c r="FG110" s="3">
        <v>267.40199999999999</v>
      </c>
      <c r="FH110" s="3">
        <v>685.77</v>
      </c>
      <c r="FI110" s="3">
        <v>-10165.1</v>
      </c>
      <c r="FJ110" s="3">
        <v>-347.22699999999998</v>
      </c>
      <c r="FK110" s="3">
        <v>-865.31600000000003</v>
      </c>
      <c r="FL110" s="3">
        <v>0.42262899999999998</v>
      </c>
      <c r="FM110" s="3"/>
    </row>
    <row r="111" spans="1:169" x14ac:dyDescent="0.3">
      <c r="A111" s="2">
        <v>103</v>
      </c>
      <c r="B111" s="5">
        <v>17</v>
      </c>
      <c r="C111" s="6">
        <v>3503018</v>
      </c>
      <c r="D111" s="6" t="s">
        <v>219</v>
      </c>
      <c r="E111" s="6">
        <v>3905020</v>
      </c>
      <c r="F111" s="6">
        <v>3905022</v>
      </c>
      <c r="G111" s="6">
        <v>5905020</v>
      </c>
      <c r="H111" s="6">
        <v>3905023</v>
      </c>
      <c r="I111" s="6">
        <v>51.48</v>
      </c>
      <c r="J111" s="6" t="s">
        <v>169</v>
      </c>
      <c r="K111" s="6" t="s">
        <v>170</v>
      </c>
      <c r="L111" s="7" t="s">
        <v>171</v>
      </c>
      <c r="M111" s="7" t="s">
        <v>172</v>
      </c>
      <c r="N111" s="8" t="s">
        <v>1263</v>
      </c>
      <c r="O111" s="5">
        <v>-8143.86</v>
      </c>
      <c r="P111" s="6">
        <v>36533.5</v>
      </c>
      <c r="Q111" s="6">
        <v>230.846</v>
      </c>
      <c r="R111" s="12">
        <v>20539.099999999999</v>
      </c>
      <c r="S111" s="4" t="s">
        <v>1264</v>
      </c>
      <c r="T111" s="4" t="s">
        <v>1265</v>
      </c>
      <c r="U111" s="4" t="s">
        <v>1266</v>
      </c>
      <c r="V111" s="4" t="s">
        <v>1267</v>
      </c>
      <c r="W111" s="4" t="s">
        <v>1268</v>
      </c>
      <c r="X111" s="4" t="s">
        <v>1269</v>
      </c>
      <c r="Y111" s="4" t="s">
        <v>1270</v>
      </c>
      <c r="Z111" s="4" t="s">
        <v>1271</v>
      </c>
      <c r="AA111" s="4" t="s">
        <v>1272</v>
      </c>
      <c r="AB111" s="4" t="s">
        <v>1273</v>
      </c>
      <c r="AC111" s="4" t="s">
        <v>1274</v>
      </c>
      <c r="AD111" s="4" t="s">
        <v>1275</v>
      </c>
      <c r="AE111" s="4" t="s">
        <v>1276</v>
      </c>
      <c r="AF111" s="4" t="s">
        <v>1277</v>
      </c>
      <c r="AG111" s="4" t="s">
        <v>1278</v>
      </c>
      <c r="AH111" s="4" t="s">
        <v>1279</v>
      </c>
      <c r="AI111" s="4" t="s">
        <v>1280</v>
      </c>
      <c r="AJ111" s="4" t="s">
        <v>1281</v>
      </c>
      <c r="AK111" s="4" t="s">
        <v>1282</v>
      </c>
      <c r="AL111" s="4" t="s">
        <v>1283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0.106</v>
      </c>
      <c r="FM111" s="3"/>
    </row>
    <row r="112" spans="1:169" x14ac:dyDescent="0.3">
      <c r="A112" s="2">
        <v>104</v>
      </c>
      <c r="B112" s="5">
        <v>17</v>
      </c>
      <c r="C112" s="6">
        <v>3503018</v>
      </c>
      <c r="D112" s="6" t="s">
        <v>219</v>
      </c>
      <c r="E112" s="6">
        <v>3905020</v>
      </c>
      <c r="F112" s="6">
        <v>3905022</v>
      </c>
      <c r="G112" s="6">
        <v>5905020</v>
      </c>
      <c r="H112" s="6">
        <v>3905023</v>
      </c>
      <c r="I112" s="6">
        <v>51.48</v>
      </c>
      <c r="J112" s="6" t="s">
        <v>194</v>
      </c>
      <c r="K112" s="6" t="s">
        <v>195</v>
      </c>
      <c r="L112" s="7" t="s">
        <v>196</v>
      </c>
      <c r="M112" s="7" t="s">
        <v>172</v>
      </c>
      <c r="N112" s="8" t="s">
        <v>1263</v>
      </c>
      <c r="O112" s="5">
        <v>3793.11</v>
      </c>
      <c r="P112" s="6">
        <v>-36043.599999999999</v>
      </c>
      <c r="Q112" s="6">
        <v>-1145.43</v>
      </c>
      <c r="R112" s="12">
        <v>10220.4</v>
      </c>
      <c r="S112" s="4" t="s">
        <v>1264</v>
      </c>
      <c r="T112" s="4" t="s">
        <v>1265</v>
      </c>
      <c r="U112" s="4" t="s">
        <v>1266</v>
      </c>
      <c r="V112" s="4" t="s">
        <v>1267</v>
      </c>
      <c r="W112" s="4" t="s">
        <v>1268</v>
      </c>
      <c r="X112" s="4" t="s">
        <v>1269</v>
      </c>
      <c r="Y112" s="4" t="s">
        <v>1270</v>
      </c>
      <c r="Z112" s="4" t="s">
        <v>1271</v>
      </c>
      <c r="AA112" s="4" t="s">
        <v>1272</v>
      </c>
      <c r="AB112" s="4" t="s">
        <v>1273</v>
      </c>
      <c r="AC112" s="4" t="s">
        <v>1274</v>
      </c>
      <c r="AD112" s="4" t="s">
        <v>1275</v>
      </c>
      <c r="AE112" s="4" t="s">
        <v>1276</v>
      </c>
      <c r="AF112" s="4" t="s">
        <v>1277</v>
      </c>
      <c r="AG112" s="4" t="s">
        <v>1278</v>
      </c>
      <c r="AH112" s="4" t="s">
        <v>1279</v>
      </c>
      <c r="AI112" s="4" t="s">
        <v>1280</v>
      </c>
      <c r="AJ112" s="4" t="s">
        <v>1281</v>
      </c>
      <c r="AK112" s="4" t="s">
        <v>1282</v>
      </c>
      <c r="AL112" s="4" t="s">
        <v>1283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/>
    </row>
    <row r="113" spans="1:169" x14ac:dyDescent="0.3">
      <c r="A113" s="2">
        <v>105</v>
      </c>
      <c r="B113" s="5">
        <v>17</v>
      </c>
      <c r="C113" s="6">
        <v>6301648</v>
      </c>
      <c r="D113" s="6" t="s">
        <v>774</v>
      </c>
      <c r="E113" s="6">
        <v>5905020</v>
      </c>
      <c r="F113" s="6">
        <v>5905020</v>
      </c>
      <c r="G113" s="6">
        <v>0</v>
      </c>
      <c r="H113" s="6">
        <v>0</v>
      </c>
      <c r="I113" s="6">
        <v>51.48</v>
      </c>
      <c r="J113" s="6" t="s">
        <v>169</v>
      </c>
      <c r="K113" s="6" t="s">
        <v>170</v>
      </c>
      <c r="L113" s="7" t="s">
        <v>171</v>
      </c>
      <c r="M113" s="7" t="s">
        <v>172</v>
      </c>
      <c r="N113" s="8" t="s">
        <v>1284</v>
      </c>
      <c r="O113" s="5">
        <v>44474.2</v>
      </c>
      <c r="P113" s="6">
        <v>-3952.56</v>
      </c>
      <c r="Q113" s="6">
        <v>21335.599999999999</v>
      </c>
      <c r="R113" s="12">
        <v>20539.099999999999</v>
      </c>
      <c r="S113" s="4" t="s">
        <v>1285</v>
      </c>
      <c r="T113" s="4" t="s">
        <v>1286</v>
      </c>
      <c r="U113" s="4" t="s">
        <v>1287</v>
      </c>
      <c r="V113" s="4" t="s">
        <v>1288</v>
      </c>
      <c r="W113" s="4" t="s">
        <v>1289</v>
      </c>
      <c r="X113" s="4" t="s">
        <v>1290</v>
      </c>
      <c r="Y113" s="4" t="s">
        <v>1291</v>
      </c>
      <c r="Z113" s="4" t="s">
        <v>1292</v>
      </c>
      <c r="AA113" s="4" t="s">
        <v>1293</v>
      </c>
      <c r="AB113" s="4" t="s">
        <v>1294</v>
      </c>
      <c r="AC113" s="4" t="s">
        <v>1295</v>
      </c>
      <c r="AD113" s="4" t="s">
        <v>1296</v>
      </c>
      <c r="AE113" s="4" t="s">
        <v>1297</v>
      </c>
      <c r="AF113" s="4" t="s">
        <v>1298</v>
      </c>
      <c r="AG113" s="4" t="s">
        <v>1299</v>
      </c>
      <c r="AH113" s="4" t="s">
        <v>1300</v>
      </c>
      <c r="AI113" s="4" t="s">
        <v>1301</v>
      </c>
      <c r="AJ113" s="4" t="s">
        <v>1302</v>
      </c>
      <c r="AK113" s="4" t="s">
        <v>1303</v>
      </c>
      <c r="AL113" s="4" t="s">
        <v>1304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 t="s">
        <v>1305</v>
      </c>
    </row>
    <row r="114" spans="1:169" x14ac:dyDescent="0.3">
      <c r="A114" s="2">
        <v>106</v>
      </c>
      <c r="B114" s="5">
        <v>17</v>
      </c>
      <c r="C114" s="6">
        <v>6301648</v>
      </c>
      <c r="D114" s="6" t="s">
        <v>774</v>
      </c>
      <c r="E114" s="6">
        <v>5905020</v>
      </c>
      <c r="F114" s="6">
        <v>5905020</v>
      </c>
      <c r="G114" s="6">
        <v>0</v>
      </c>
      <c r="H114" s="6">
        <v>0</v>
      </c>
      <c r="I114" s="6">
        <v>51.48</v>
      </c>
      <c r="J114" s="6" t="s">
        <v>194</v>
      </c>
      <c r="K114" s="6" t="s">
        <v>195</v>
      </c>
      <c r="L114" s="7" t="s">
        <v>196</v>
      </c>
      <c r="M114" s="7" t="s">
        <v>172</v>
      </c>
      <c r="N114" s="8" t="s">
        <v>1284</v>
      </c>
      <c r="O114" s="5">
        <v>-43932.1</v>
      </c>
      <c r="P114" s="6">
        <v>5222.5</v>
      </c>
      <c r="Q114" s="6">
        <v>-24177.3</v>
      </c>
      <c r="R114" s="12">
        <v>10220.4</v>
      </c>
      <c r="S114" s="4" t="s">
        <v>1285</v>
      </c>
      <c r="T114" s="4" t="s">
        <v>1286</v>
      </c>
      <c r="U114" s="4" t="s">
        <v>1287</v>
      </c>
      <c r="V114" s="4" t="s">
        <v>1288</v>
      </c>
      <c r="W114" s="4" t="s">
        <v>1289</v>
      </c>
      <c r="X114" s="4" t="s">
        <v>1290</v>
      </c>
      <c r="Y114" s="4" t="s">
        <v>1291</v>
      </c>
      <c r="Z114" s="4" t="s">
        <v>1292</v>
      </c>
      <c r="AA114" s="4" t="s">
        <v>1293</v>
      </c>
      <c r="AB114" s="4" t="s">
        <v>1294</v>
      </c>
      <c r="AC114" s="4" t="s">
        <v>1295</v>
      </c>
      <c r="AD114" s="4" t="s">
        <v>1296</v>
      </c>
      <c r="AE114" s="4" t="s">
        <v>1297</v>
      </c>
      <c r="AF114" s="4" t="s">
        <v>1298</v>
      </c>
      <c r="AG114" s="4" t="s">
        <v>1299</v>
      </c>
      <c r="AH114" s="4" t="s">
        <v>1300</v>
      </c>
      <c r="AI114" s="4" t="s">
        <v>1301</v>
      </c>
      <c r="AJ114" s="4" t="s">
        <v>1302</v>
      </c>
      <c r="AK114" s="4" t="s">
        <v>1303</v>
      </c>
      <c r="AL114" s="4" t="s">
        <v>1304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 t="s">
        <v>1305</v>
      </c>
    </row>
    <row r="115" spans="1:169" x14ac:dyDescent="0.3">
      <c r="A115" s="2">
        <v>107</v>
      </c>
      <c r="B115" s="5">
        <v>18</v>
      </c>
      <c r="C115" s="6">
        <v>3102815</v>
      </c>
      <c r="D115" s="6" t="s">
        <v>285</v>
      </c>
      <c r="E115" s="6">
        <v>4913010</v>
      </c>
      <c r="F115" s="6">
        <v>3913013</v>
      </c>
      <c r="G115" s="6">
        <v>0</v>
      </c>
      <c r="H115" s="6">
        <v>0</v>
      </c>
      <c r="I115" s="6">
        <v>51.48</v>
      </c>
      <c r="J115" s="6" t="s">
        <v>169</v>
      </c>
      <c r="K115" s="6" t="s">
        <v>170</v>
      </c>
      <c r="L115" s="7" t="s">
        <v>171</v>
      </c>
      <c r="M115" s="7" t="s">
        <v>172</v>
      </c>
      <c r="N115" s="8" t="s">
        <v>1306</v>
      </c>
      <c r="O115" s="5">
        <v>27725.5</v>
      </c>
      <c r="P115" s="6">
        <v>-3026.63</v>
      </c>
      <c r="Q115" s="6">
        <v>8168.42</v>
      </c>
      <c r="R115" s="12">
        <v>27942.9</v>
      </c>
      <c r="S115" s="4" t="s">
        <v>1307</v>
      </c>
      <c r="T115" s="4" t="s">
        <v>1308</v>
      </c>
      <c r="U115" s="4" t="s">
        <v>1309</v>
      </c>
      <c r="V115" s="4" t="s">
        <v>1310</v>
      </c>
      <c r="W115" s="4" t="s">
        <v>1311</v>
      </c>
      <c r="X115" s="4" t="s">
        <v>1312</v>
      </c>
      <c r="Y115" s="4" t="s">
        <v>1313</v>
      </c>
      <c r="Z115" s="4" t="s">
        <v>1314</v>
      </c>
      <c r="AA115" s="4" t="s">
        <v>1315</v>
      </c>
      <c r="AB115" s="4" t="s">
        <v>1316</v>
      </c>
      <c r="AC115" s="4" t="s">
        <v>1317</v>
      </c>
      <c r="AD115" s="4" t="s">
        <v>1318</v>
      </c>
      <c r="AE115" s="4" t="s">
        <v>1319</v>
      </c>
      <c r="AF115" s="4" t="s">
        <v>1320</v>
      </c>
      <c r="AG115" s="4" t="s">
        <v>1321</v>
      </c>
      <c r="AH115" s="4" t="s">
        <v>1322</v>
      </c>
      <c r="AI115" s="4" t="s">
        <v>1323</v>
      </c>
      <c r="AJ115" s="4" t="s">
        <v>1324</v>
      </c>
      <c r="AK115" s="4" t="s">
        <v>1325</v>
      </c>
      <c r="AL115" s="4" t="s">
        <v>1326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/>
    </row>
    <row r="116" spans="1:169" x14ac:dyDescent="0.3">
      <c r="A116" s="2">
        <v>108</v>
      </c>
      <c r="B116" s="5">
        <v>18</v>
      </c>
      <c r="C116" s="6">
        <v>3102815</v>
      </c>
      <c r="D116" s="6" t="s">
        <v>285</v>
      </c>
      <c r="E116" s="6">
        <v>4913010</v>
      </c>
      <c r="F116" s="6">
        <v>3913013</v>
      </c>
      <c r="G116" s="6">
        <v>0</v>
      </c>
      <c r="H116" s="6">
        <v>0</v>
      </c>
      <c r="I116" s="6">
        <v>51.48</v>
      </c>
      <c r="J116" s="6" t="s">
        <v>194</v>
      </c>
      <c r="K116" s="6" t="s">
        <v>195</v>
      </c>
      <c r="L116" s="7" t="s">
        <v>196</v>
      </c>
      <c r="M116" s="7" t="s">
        <v>172</v>
      </c>
      <c r="N116" s="8" t="s">
        <v>1306</v>
      </c>
      <c r="O116" s="5">
        <v>-25801.7</v>
      </c>
      <c r="P116" s="6">
        <v>3170.7</v>
      </c>
      <c r="Q116" s="6">
        <v>-6731.9</v>
      </c>
      <c r="R116" s="12">
        <v>0</v>
      </c>
      <c r="S116" s="4" t="s">
        <v>1307</v>
      </c>
      <c r="T116" s="4" t="s">
        <v>1308</v>
      </c>
      <c r="U116" s="4" t="s">
        <v>1309</v>
      </c>
      <c r="V116" s="4" t="s">
        <v>1310</v>
      </c>
      <c r="W116" s="4" t="s">
        <v>1311</v>
      </c>
      <c r="X116" s="4" t="s">
        <v>1312</v>
      </c>
      <c r="Y116" s="4" t="s">
        <v>1313</v>
      </c>
      <c r="Z116" s="4" t="s">
        <v>1314</v>
      </c>
      <c r="AA116" s="4" t="s">
        <v>1315</v>
      </c>
      <c r="AB116" s="4" t="s">
        <v>1316</v>
      </c>
      <c r="AC116" s="4" t="s">
        <v>1317</v>
      </c>
      <c r="AD116" s="4" t="s">
        <v>1318</v>
      </c>
      <c r="AE116" s="4" t="s">
        <v>1319</v>
      </c>
      <c r="AF116" s="4" t="s">
        <v>1320</v>
      </c>
      <c r="AG116" s="4" t="s">
        <v>1321</v>
      </c>
      <c r="AH116" s="4" t="s">
        <v>1322</v>
      </c>
      <c r="AI116" s="4" t="s">
        <v>1323</v>
      </c>
      <c r="AJ116" s="4" t="s">
        <v>1324</v>
      </c>
      <c r="AK116" s="4" t="s">
        <v>1325</v>
      </c>
      <c r="AL116" s="4" t="s">
        <v>1326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/>
    </row>
    <row r="117" spans="1:169" x14ac:dyDescent="0.3">
      <c r="A117" s="2">
        <v>109</v>
      </c>
      <c r="B117" s="5">
        <v>18</v>
      </c>
      <c r="C117" s="6">
        <v>4601473</v>
      </c>
      <c r="D117" s="6" t="s">
        <v>1327</v>
      </c>
      <c r="E117" s="6">
        <v>4913010</v>
      </c>
      <c r="F117" s="6">
        <v>4600118</v>
      </c>
      <c r="G117" s="6">
        <v>0</v>
      </c>
      <c r="H117" s="6">
        <v>0</v>
      </c>
      <c r="I117" s="6">
        <v>51.48</v>
      </c>
      <c r="J117" s="6" t="s">
        <v>169</v>
      </c>
      <c r="K117" s="6" t="s">
        <v>170</v>
      </c>
      <c r="L117" s="7" t="s">
        <v>171</v>
      </c>
      <c r="M117" s="7" t="s">
        <v>172</v>
      </c>
      <c r="N117" s="8" t="s">
        <v>1328</v>
      </c>
      <c r="O117" s="5">
        <v>-2537.9499999999998</v>
      </c>
      <c r="P117" s="6">
        <v>-27674</v>
      </c>
      <c r="Q117" s="6">
        <v>8502.7900000000009</v>
      </c>
      <c r="R117" s="12">
        <v>27942.9</v>
      </c>
      <c r="S117" s="4" t="s">
        <v>1329</v>
      </c>
      <c r="T117" s="4" t="s">
        <v>1330</v>
      </c>
      <c r="U117" s="4" t="s">
        <v>1331</v>
      </c>
      <c r="V117" s="4" t="s">
        <v>1332</v>
      </c>
      <c r="W117" s="4" t="s">
        <v>1333</v>
      </c>
      <c r="X117" s="4" t="s">
        <v>1334</v>
      </c>
      <c r="Y117" s="4" t="s">
        <v>1335</v>
      </c>
      <c r="Z117" s="4" t="s">
        <v>1336</v>
      </c>
      <c r="AA117" s="4" t="s">
        <v>1337</v>
      </c>
      <c r="AB117" s="4" t="s">
        <v>1338</v>
      </c>
      <c r="AC117" s="4" t="s">
        <v>1339</v>
      </c>
      <c r="AD117" s="4" t="s">
        <v>1340</v>
      </c>
      <c r="AE117" s="4" t="s">
        <v>1341</v>
      </c>
      <c r="AF117" s="4" t="s">
        <v>1342</v>
      </c>
      <c r="AG117" s="4" t="s">
        <v>1343</v>
      </c>
      <c r="AH117" s="4" t="s">
        <v>1344</v>
      </c>
      <c r="AI117" s="4" t="s">
        <v>1345</v>
      </c>
      <c r="AJ117" s="4" t="s">
        <v>1346</v>
      </c>
      <c r="AK117" s="4" t="s">
        <v>1347</v>
      </c>
      <c r="AL117" s="4" t="s">
        <v>1348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/>
    </row>
    <row r="118" spans="1:169" x14ac:dyDescent="0.3">
      <c r="A118" s="2">
        <v>110</v>
      </c>
      <c r="B118" s="5">
        <v>18</v>
      </c>
      <c r="C118" s="6">
        <v>4601473</v>
      </c>
      <c r="D118" s="6" t="s">
        <v>1327</v>
      </c>
      <c r="E118" s="6">
        <v>4913010</v>
      </c>
      <c r="F118" s="6">
        <v>4600118</v>
      </c>
      <c r="G118" s="6">
        <v>0</v>
      </c>
      <c r="H118" s="6">
        <v>0</v>
      </c>
      <c r="I118" s="6">
        <v>51.48</v>
      </c>
      <c r="J118" s="6" t="s">
        <v>194</v>
      </c>
      <c r="K118" s="6" t="s">
        <v>195</v>
      </c>
      <c r="L118" s="7" t="s">
        <v>196</v>
      </c>
      <c r="M118" s="7" t="s">
        <v>172</v>
      </c>
      <c r="N118" s="8" t="s">
        <v>1328</v>
      </c>
      <c r="O118" s="5">
        <v>2020.16</v>
      </c>
      <c r="P118" s="6">
        <v>25834.6</v>
      </c>
      <c r="Q118" s="6">
        <v>-7041.87</v>
      </c>
      <c r="R118" s="12">
        <v>0</v>
      </c>
      <c r="S118" s="4" t="s">
        <v>1329</v>
      </c>
      <c r="T118" s="4" t="s">
        <v>1330</v>
      </c>
      <c r="U118" s="4" t="s">
        <v>1331</v>
      </c>
      <c r="V118" s="4" t="s">
        <v>1332</v>
      </c>
      <c r="W118" s="4" t="s">
        <v>1333</v>
      </c>
      <c r="X118" s="4" t="s">
        <v>1334</v>
      </c>
      <c r="Y118" s="4" t="s">
        <v>1335</v>
      </c>
      <c r="Z118" s="4" t="s">
        <v>1336</v>
      </c>
      <c r="AA118" s="4" t="s">
        <v>1337</v>
      </c>
      <c r="AB118" s="4" t="s">
        <v>1338</v>
      </c>
      <c r="AC118" s="4" t="s">
        <v>1339</v>
      </c>
      <c r="AD118" s="4" t="s">
        <v>1340</v>
      </c>
      <c r="AE118" s="4" t="s">
        <v>1341</v>
      </c>
      <c r="AF118" s="4" t="s">
        <v>1342</v>
      </c>
      <c r="AG118" s="4" t="s">
        <v>1343</v>
      </c>
      <c r="AH118" s="4" t="s">
        <v>1344</v>
      </c>
      <c r="AI118" s="4" t="s">
        <v>1345</v>
      </c>
      <c r="AJ118" s="4" t="s">
        <v>1346</v>
      </c>
      <c r="AK118" s="4" t="s">
        <v>1347</v>
      </c>
      <c r="AL118" s="4" t="s">
        <v>1348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/>
    </row>
    <row r="119" spans="1:169" x14ac:dyDescent="0.3">
      <c r="A119" s="2">
        <v>111</v>
      </c>
      <c r="B119" s="5">
        <v>19</v>
      </c>
      <c r="C119" s="6">
        <v>2101535</v>
      </c>
      <c r="D119" s="6" t="s">
        <v>241</v>
      </c>
      <c r="E119" s="6">
        <v>2909010</v>
      </c>
      <c r="F119" s="6">
        <v>2909010</v>
      </c>
      <c r="G119" s="6">
        <v>0</v>
      </c>
      <c r="H119" s="6">
        <v>0</v>
      </c>
      <c r="I119" s="6">
        <v>51.48</v>
      </c>
      <c r="J119" s="6" t="s">
        <v>169</v>
      </c>
      <c r="K119" s="6" t="s">
        <v>170</v>
      </c>
      <c r="L119" s="7" t="s">
        <v>171</v>
      </c>
      <c r="M119" s="7" t="s">
        <v>172</v>
      </c>
      <c r="N119" s="8" t="s">
        <v>1349</v>
      </c>
      <c r="O119" s="5">
        <v>5016.96</v>
      </c>
      <c r="P119" s="6">
        <v>7334.84</v>
      </c>
      <c r="Q119" s="6">
        <v>-110.217</v>
      </c>
      <c r="R119" s="12">
        <v>0</v>
      </c>
      <c r="S119" s="4" t="s">
        <v>1350</v>
      </c>
      <c r="T119" s="4" t="s">
        <v>1351</v>
      </c>
      <c r="U119" s="4" t="s">
        <v>1352</v>
      </c>
      <c r="V119" s="4" t="s">
        <v>1353</v>
      </c>
      <c r="W119" s="4" t="s">
        <v>1354</v>
      </c>
      <c r="X119" s="4" t="s">
        <v>1355</v>
      </c>
      <c r="Y119" s="4" t="s">
        <v>1356</v>
      </c>
      <c r="Z119" s="4" t="s">
        <v>1357</v>
      </c>
      <c r="AA119" s="4" t="s">
        <v>1358</v>
      </c>
      <c r="AB119" s="4" t="s">
        <v>1359</v>
      </c>
      <c r="AC119" s="4" t="s">
        <v>1360</v>
      </c>
      <c r="AD119" s="4" t="s">
        <v>1361</v>
      </c>
      <c r="AE119" s="4" t="s">
        <v>1362</v>
      </c>
      <c r="AF119" s="4" t="s">
        <v>1363</v>
      </c>
      <c r="AG119" s="4" t="s">
        <v>1364</v>
      </c>
      <c r="AH119" s="4" t="s">
        <v>1365</v>
      </c>
      <c r="AI119" s="4" t="s">
        <v>1366</v>
      </c>
      <c r="AJ119" s="4" t="s">
        <v>1367</v>
      </c>
      <c r="AK119" s="4" t="s">
        <v>1368</v>
      </c>
      <c r="AL119" s="4" t="s">
        <v>1369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/>
    </row>
    <row r="120" spans="1:169" x14ac:dyDescent="0.3">
      <c r="A120" s="2">
        <v>112</v>
      </c>
      <c r="B120" s="5">
        <v>19</v>
      </c>
      <c r="C120" s="6">
        <v>2101535</v>
      </c>
      <c r="D120" s="6" t="s">
        <v>241</v>
      </c>
      <c r="E120" s="6">
        <v>2909010</v>
      </c>
      <c r="F120" s="6">
        <v>2909010</v>
      </c>
      <c r="G120" s="6">
        <v>0</v>
      </c>
      <c r="H120" s="6">
        <v>0</v>
      </c>
      <c r="I120" s="6">
        <v>51.48</v>
      </c>
      <c r="J120" s="6" t="s">
        <v>194</v>
      </c>
      <c r="K120" s="6" t="s">
        <v>195</v>
      </c>
      <c r="L120" s="7" t="s">
        <v>196</v>
      </c>
      <c r="M120" s="7" t="s">
        <v>172</v>
      </c>
      <c r="N120" s="8" t="s">
        <v>1349</v>
      </c>
      <c r="O120" s="5">
        <v>-3856.82</v>
      </c>
      <c r="P120" s="6">
        <v>-6296.74</v>
      </c>
      <c r="Q120" s="6">
        <v>97.595100000000002</v>
      </c>
      <c r="R120" s="12">
        <v>8165.33</v>
      </c>
      <c r="S120" s="4" t="s">
        <v>1350</v>
      </c>
      <c r="T120" s="4" t="s">
        <v>1351</v>
      </c>
      <c r="U120" s="4" t="s">
        <v>1352</v>
      </c>
      <c r="V120" s="4" t="s">
        <v>1353</v>
      </c>
      <c r="W120" s="4" t="s">
        <v>1354</v>
      </c>
      <c r="X120" s="4" t="s">
        <v>1355</v>
      </c>
      <c r="Y120" s="4" t="s">
        <v>1356</v>
      </c>
      <c r="Z120" s="4" t="s">
        <v>1357</v>
      </c>
      <c r="AA120" s="4" t="s">
        <v>1358</v>
      </c>
      <c r="AB120" s="4" t="s">
        <v>1359</v>
      </c>
      <c r="AC120" s="4" t="s">
        <v>1360</v>
      </c>
      <c r="AD120" s="4" t="s">
        <v>1361</v>
      </c>
      <c r="AE120" s="4" t="s">
        <v>1362</v>
      </c>
      <c r="AF120" s="4" t="s">
        <v>1363</v>
      </c>
      <c r="AG120" s="4" t="s">
        <v>1364</v>
      </c>
      <c r="AH120" s="4" t="s">
        <v>1365</v>
      </c>
      <c r="AI120" s="4" t="s">
        <v>1366</v>
      </c>
      <c r="AJ120" s="4" t="s">
        <v>1367</v>
      </c>
      <c r="AK120" s="4" t="s">
        <v>1368</v>
      </c>
      <c r="AL120" s="4" t="s">
        <v>1369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/>
    </row>
    <row r="121" spans="1:169" x14ac:dyDescent="0.3">
      <c r="A121" s="2">
        <v>113</v>
      </c>
      <c r="B121" s="5">
        <v>19</v>
      </c>
      <c r="C121" s="6">
        <v>1101201</v>
      </c>
      <c r="D121" s="6" t="s">
        <v>263</v>
      </c>
      <c r="E121" s="6">
        <v>2909010</v>
      </c>
      <c r="F121" s="6">
        <v>1909012</v>
      </c>
      <c r="G121" s="6">
        <v>3909010</v>
      </c>
      <c r="H121" s="6">
        <v>1909013</v>
      </c>
      <c r="I121" s="6">
        <v>57.914999999999999</v>
      </c>
      <c r="J121" s="6" t="s">
        <v>169</v>
      </c>
      <c r="K121" s="6" t="s">
        <v>170</v>
      </c>
      <c r="L121" s="7" t="s">
        <v>171</v>
      </c>
      <c r="M121" s="7" t="s">
        <v>172</v>
      </c>
      <c r="N121" s="8" t="s">
        <v>1370</v>
      </c>
      <c r="O121" s="5">
        <v>-1694.68</v>
      </c>
      <c r="P121" s="6">
        <v>-6806.92</v>
      </c>
      <c r="Q121" s="6">
        <v>-207.96100000000001</v>
      </c>
      <c r="R121" s="12">
        <v>0</v>
      </c>
      <c r="S121" s="4" t="s">
        <v>1371</v>
      </c>
      <c r="T121" s="4" t="s">
        <v>1372</v>
      </c>
      <c r="U121" s="4" t="s">
        <v>1373</v>
      </c>
      <c r="V121" s="4" t="s">
        <v>1374</v>
      </c>
      <c r="W121" s="4" t="s">
        <v>1375</v>
      </c>
      <c r="X121" s="4" t="s">
        <v>1376</v>
      </c>
      <c r="Y121" s="4" t="s">
        <v>1377</v>
      </c>
      <c r="Z121" s="4" t="s">
        <v>1378</v>
      </c>
      <c r="AA121" s="4" t="s">
        <v>1379</v>
      </c>
      <c r="AB121" s="4" t="s">
        <v>1380</v>
      </c>
      <c r="AC121" s="4" t="s">
        <v>1381</v>
      </c>
      <c r="AD121" s="4" t="s">
        <v>1382</v>
      </c>
      <c r="AE121" s="4" t="s">
        <v>1383</v>
      </c>
      <c r="AF121" s="4" t="s">
        <v>1384</v>
      </c>
      <c r="AG121" s="4" t="s">
        <v>1385</v>
      </c>
      <c r="AH121" s="4" t="s">
        <v>1386</v>
      </c>
      <c r="AI121" s="4" t="s">
        <v>1387</v>
      </c>
      <c r="AJ121" s="4" t="s">
        <v>1388</v>
      </c>
      <c r="AK121" s="4" t="s">
        <v>1389</v>
      </c>
      <c r="AL121" s="4" t="s">
        <v>1390</v>
      </c>
      <c r="AM121" s="3">
        <v>386.31900000000002</v>
      </c>
      <c r="AN121" s="3">
        <v>355.47899999999998</v>
      </c>
      <c r="AO121" s="3">
        <v>337.48399999999998</v>
      </c>
      <c r="AP121" s="3">
        <v>329.35199999999998</v>
      </c>
      <c r="AQ121" s="3">
        <v>326.76400000000001</v>
      </c>
      <c r="AR121" s="3">
        <v>323.786</v>
      </c>
      <c r="AS121" s="3">
        <v>143.96299999999999</v>
      </c>
      <c r="AT121" s="3">
        <v>-43.453800000000001</v>
      </c>
      <c r="AU121" s="3">
        <v>-247.904</v>
      </c>
      <c r="AV121" s="3">
        <v>-455.03500000000003</v>
      </c>
      <c r="AW121" s="3">
        <v>-624.48599999999999</v>
      </c>
      <c r="AX121" s="3">
        <v>-566.98699999999997</v>
      </c>
      <c r="AY121" s="3">
        <v>-510.23500000000001</v>
      </c>
      <c r="AZ121" s="3">
        <v>-464.16399999999999</v>
      </c>
      <c r="BA121" s="3">
        <v>-429.40499999999997</v>
      </c>
      <c r="BB121" s="3">
        <v>-397.536</v>
      </c>
      <c r="BC121" s="3">
        <v>-259.65100000000001</v>
      </c>
      <c r="BD121" s="3">
        <v>-107.226</v>
      </c>
      <c r="BE121" s="3">
        <v>62.653399999999998</v>
      </c>
      <c r="BF121" s="3">
        <v>230.45099999999999</v>
      </c>
      <c r="BG121" s="3">
        <v>-360.67399999999998</v>
      </c>
      <c r="BH121" s="3">
        <v>-355.03899999999999</v>
      </c>
      <c r="BI121" s="3">
        <v>-347.298</v>
      </c>
      <c r="BJ121" s="3">
        <v>-346.48099999999999</v>
      </c>
      <c r="BK121" s="3">
        <v>-359.41399999999999</v>
      </c>
      <c r="BL121" s="3">
        <v>-374.99200000000002</v>
      </c>
      <c r="BM121" s="3">
        <v>-385.58800000000002</v>
      </c>
      <c r="BN121" s="3">
        <v>-398.70299999999997</v>
      </c>
      <c r="BO121" s="3">
        <v>-406.11900000000003</v>
      </c>
      <c r="BP121" s="3">
        <v>-416.49200000000002</v>
      </c>
      <c r="BQ121" s="3">
        <v>-425.53899999999999</v>
      </c>
      <c r="BR121" s="3">
        <v>-457.49200000000002</v>
      </c>
      <c r="BS121" s="3">
        <v>-484.21699999999998</v>
      </c>
      <c r="BT121" s="3">
        <v>-490.09</v>
      </c>
      <c r="BU121" s="3">
        <v>-474.47899999999998</v>
      </c>
      <c r="BV121" s="3">
        <v>-451.91899999999998</v>
      </c>
      <c r="BW121" s="3">
        <v>-435.47899999999998</v>
      </c>
      <c r="BX121" s="3">
        <v>-414.62599999999998</v>
      </c>
      <c r="BY121" s="3">
        <v>-396.815</v>
      </c>
      <c r="BZ121" s="3">
        <v>-379.33600000000001</v>
      </c>
      <c r="CA121" s="3">
        <v>-443.10599999999999</v>
      </c>
      <c r="CB121" s="3">
        <v>-458.30200000000002</v>
      </c>
      <c r="CC121" s="3">
        <v>-455.673</v>
      </c>
      <c r="CD121" s="3">
        <v>-441.4</v>
      </c>
      <c r="CE121" s="3">
        <v>-429.28800000000001</v>
      </c>
      <c r="CF121" s="3">
        <v>-431.99299999999999</v>
      </c>
      <c r="CG121" s="3">
        <v>-447.166</v>
      </c>
      <c r="CH121" s="3">
        <v>-477.34300000000002</v>
      </c>
      <c r="CI121" s="3">
        <v>-514.73699999999997</v>
      </c>
      <c r="CJ121" s="3">
        <v>-558.87199999999996</v>
      </c>
      <c r="CK121" s="3">
        <v>-609.89200000000005</v>
      </c>
      <c r="CL121" s="3">
        <v>-601.54300000000001</v>
      </c>
      <c r="CM121" s="3">
        <v>-597.30700000000002</v>
      </c>
      <c r="CN121" s="3">
        <v>-597.75800000000004</v>
      </c>
      <c r="CO121" s="3">
        <v>-597.58100000000002</v>
      </c>
      <c r="CP121" s="3">
        <v>-585.20100000000002</v>
      </c>
      <c r="CQ121" s="3">
        <v>-550.16499999999996</v>
      </c>
      <c r="CR121" s="3">
        <v>-512.76800000000003</v>
      </c>
      <c r="CS121" s="3">
        <v>-480.92200000000003</v>
      </c>
      <c r="CT121" s="3">
        <v>-458.971</v>
      </c>
      <c r="CU121" s="3">
        <v>3706.13</v>
      </c>
      <c r="CV121" s="3">
        <v>4234.76</v>
      </c>
      <c r="CW121" s="3">
        <v>4439.3100000000004</v>
      </c>
      <c r="CX121" s="3">
        <v>4523.97</v>
      </c>
      <c r="CY121" s="3">
        <v>4865.8100000000004</v>
      </c>
      <c r="CZ121" s="3">
        <v>5608.65</v>
      </c>
      <c r="DA121" s="3">
        <v>5267.53</v>
      </c>
      <c r="DB121" s="3">
        <v>4815.3599999999997</v>
      </c>
      <c r="DC121" s="3">
        <v>4336.22</v>
      </c>
      <c r="DD121" s="3">
        <v>3750.7</v>
      </c>
      <c r="DE121" s="3">
        <v>3343.13</v>
      </c>
      <c r="DF121" s="3">
        <v>3049.86</v>
      </c>
      <c r="DG121" s="3">
        <v>2845.76</v>
      </c>
      <c r="DH121" s="3">
        <v>2720.66</v>
      </c>
      <c r="DI121" s="3">
        <v>2574.39</v>
      </c>
      <c r="DJ121" s="3">
        <v>2250.1</v>
      </c>
      <c r="DK121" s="3">
        <v>2741.55</v>
      </c>
      <c r="DL121" s="3">
        <v>3122.19</v>
      </c>
      <c r="DM121" s="3">
        <v>3372.14</v>
      </c>
      <c r="DN121" s="3">
        <v>3539.26</v>
      </c>
      <c r="DO121" s="3">
        <v>2336.65</v>
      </c>
      <c r="DP121" s="3">
        <v>2424.31</v>
      </c>
      <c r="DQ121" s="3">
        <v>2574.27</v>
      </c>
      <c r="DR121" s="3">
        <v>2791.58</v>
      </c>
      <c r="DS121" s="3">
        <v>3015.11</v>
      </c>
      <c r="DT121" s="3">
        <v>3149.36</v>
      </c>
      <c r="DU121" s="3">
        <v>2616.6999999999998</v>
      </c>
      <c r="DV121" s="3">
        <v>2022.61</v>
      </c>
      <c r="DW121" s="3">
        <v>1586.67</v>
      </c>
      <c r="DX121" s="3">
        <v>1427.88</v>
      </c>
      <c r="DY121" s="3">
        <v>1222.05</v>
      </c>
      <c r="DZ121" s="3">
        <v>1155.28</v>
      </c>
      <c r="EA121" s="3">
        <v>1121.08</v>
      </c>
      <c r="EB121" s="3">
        <v>1082.56</v>
      </c>
      <c r="EC121" s="3">
        <v>1059.05</v>
      </c>
      <c r="ED121" s="3">
        <v>1072.24</v>
      </c>
      <c r="EE121" s="3">
        <v>1500.74</v>
      </c>
      <c r="EF121" s="3">
        <v>1971.35</v>
      </c>
      <c r="EG121" s="3">
        <v>2265.02</v>
      </c>
      <c r="EH121" s="3">
        <v>2326.14</v>
      </c>
      <c r="EI121" s="3">
        <v>-469.77</v>
      </c>
      <c r="EJ121" s="3">
        <v>-371.69799999999998</v>
      </c>
      <c r="EK121" s="3">
        <v>-358.59199999999998</v>
      </c>
      <c r="EL121" s="3">
        <v>-308.01100000000002</v>
      </c>
      <c r="EM121" s="3">
        <v>-257.54399999999998</v>
      </c>
      <c r="EN121" s="3">
        <v>-157.309</v>
      </c>
      <c r="EO121" s="3">
        <v>-40.1008</v>
      </c>
      <c r="EP121" s="3">
        <v>70.665199999999999</v>
      </c>
      <c r="EQ121" s="3">
        <v>102.84099999999999</v>
      </c>
      <c r="ER121" s="3">
        <v>134.55799999999999</v>
      </c>
      <c r="ES121" s="3">
        <v>154.94399999999999</v>
      </c>
      <c r="ET121" s="3">
        <v>74.443799999999996</v>
      </c>
      <c r="EU121" s="3">
        <v>56.736499999999999</v>
      </c>
      <c r="EV121" s="3">
        <v>-35.459600000000002</v>
      </c>
      <c r="EW121" s="3">
        <v>-225.33199999999999</v>
      </c>
      <c r="EX121" s="3">
        <v>-481.85500000000002</v>
      </c>
      <c r="EY121" s="3">
        <v>-540.82399999999996</v>
      </c>
      <c r="EZ121" s="3">
        <v>-537.40499999999997</v>
      </c>
      <c r="FA121" s="3">
        <v>-456.42099999999999</v>
      </c>
      <c r="FB121" s="3">
        <v>-416.077</v>
      </c>
      <c r="FC121" s="3">
        <v>-14.165100000000001</v>
      </c>
      <c r="FD121" s="3">
        <v>-150.52199999999999</v>
      </c>
      <c r="FE121" s="3">
        <v>-357.31599999999997</v>
      </c>
      <c r="FF121" s="3">
        <v>-463.95600000000002</v>
      </c>
      <c r="FG121" s="3">
        <v>-443.29399999999998</v>
      </c>
      <c r="FH121" s="3">
        <v>-598.21400000000006</v>
      </c>
      <c r="FI121" s="3">
        <v>-3821.08</v>
      </c>
      <c r="FJ121" s="3">
        <v>-1916.96</v>
      </c>
      <c r="FK121" s="3">
        <v>209.00800000000001</v>
      </c>
      <c r="FL121" s="3">
        <v>0.38255800000000001</v>
      </c>
      <c r="FM121" s="3"/>
    </row>
    <row r="122" spans="1:169" x14ac:dyDescent="0.3">
      <c r="A122" s="2">
        <v>114</v>
      </c>
      <c r="B122" s="5">
        <v>19</v>
      </c>
      <c r="C122" s="6">
        <v>1101201</v>
      </c>
      <c r="D122" s="6" t="s">
        <v>263</v>
      </c>
      <c r="E122" s="6">
        <v>2909010</v>
      </c>
      <c r="F122" s="6">
        <v>1909012</v>
      </c>
      <c r="G122" s="6">
        <v>3909010</v>
      </c>
      <c r="H122" s="6">
        <v>1909013</v>
      </c>
      <c r="I122" s="6">
        <v>57.914999999999999</v>
      </c>
      <c r="J122" s="6" t="s">
        <v>194</v>
      </c>
      <c r="K122" s="6" t="s">
        <v>195</v>
      </c>
      <c r="L122" s="7" t="s">
        <v>196</v>
      </c>
      <c r="M122" s="7" t="s">
        <v>172</v>
      </c>
      <c r="N122" s="8" t="s">
        <v>1370</v>
      </c>
      <c r="O122" s="5">
        <v>2109.21</v>
      </c>
      <c r="P122" s="6">
        <v>6825.71</v>
      </c>
      <c r="Q122" s="6">
        <v>183.07499999999999</v>
      </c>
      <c r="R122" s="12">
        <v>8165.33</v>
      </c>
      <c r="S122" s="4" t="s">
        <v>1371</v>
      </c>
      <c r="T122" s="4" t="s">
        <v>1372</v>
      </c>
      <c r="U122" s="4" t="s">
        <v>1373</v>
      </c>
      <c r="V122" s="4" t="s">
        <v>1374</v>
      </c>
      <c r="W122" s="4" t="s">
        <v>1375</v>
      </c>
      <c r="X122" s="4" t="s">
        <v>1376</v>
      </c>
      <c r="Y122" s="4" t="s">
        <v>1377</v>
      </c>
      <c r="Z122" s="4" t="s">
        <v>1378</v>
      </c>
      <c r="AA122" s="4" t="s">
        <v>1379</v>
      </c>
      <c r="AB122" s="4" t="s">
        <v>1380</v>
      </c>
      <c r="AC122" s="4" t="s">
        <v>1381</v>
      </c>
      <c r="AD122" s="4" t="s">
        <v>1382</v>
      </c>
      <c r="AE122" s="4" t="s">
        <v>1383</v>
      </c>
      <c r="AF122" s="4" t="s">
        <v>1384</v>
      </c>
      <c r="AG122" s="4" t="s">
        <v>1385</v>
      </c>
      <c r="AH122" s="4" t="s">
        <v>1386</v>
      </c>
      <c r="AI122" s="4" t="s">
        <v>1387</v>
      </c>
      <c r="AJ122" s="4" t="s">
        <v>1388</v>
      </c>
      <c r="AK122" s="4" t="s">
        <v>1389</v>
      </c>
      <c r="AL122" s="4" t="s">
        <v>1390</v>
      </c>
      <c r="AM122" s="3">
        <v>-288.83100000000002</v>
      </c>
      <c r="AN122" s="3">
        <v>-245.083</v>
      </c>
      <c r="AO122" s="3">
        <v>-211.64</v>
      </c>
      <c r="AP122" s="3">
        <v>-186.02500000000001</v>
      </c>
      <c r="AQ122" s="3">
        <v>-163.56200000000001</v>
      </c>
      <c r="AR122" s="3">
        <v>-139.78100000000001</v>
      </c>
      <c r="AS122" s="3">
        <v>-6.4675799999999999</v>
      </c>
      <c r="AT122" s="3">
        <v>133.501</v>
      </c>
      <c r="AU122" s="3">
        <v>294.791</v>
      </c>
      <c r="AV122" s="3">
        <v>467.69400000000002</v>
      </c>
      <c r="AW122" s="3">
        <v>614.50400000000002</v>
      </c>
      <c r="AX122" s="3">
        <v>566.71699999999998</v>
      </c>
      <c r="AY122" s="3">
        <v>517.87599999999998</v>
      </c>
      <c r="AZ122" s="3">
        <v>476.83100000000002</v>
      </c>
      <c r="BA122" s="3">
        <v>446.68900000000002</v>
      </c>
      <c r="BB122" s="3">
        <v>417.26400000000001</v>
      </c>
      <c r="BC122" s="3">
        <v>294.51499999999999</v>
      </c>
      <c r="BD122" s="3">
        <v>159.65799999999999</v>
      </c>
      <c r="BE122" s="3">
        <v>6.7397999999999998</v>
      </c>
      <c r="BF122" s="3">
        <v>-145.97</v>
      </c>
      <c r="BG122" s="3">
        <v>336.72199999999998</v>
      </c>
      <c r="BH122" s="3">
        <v>327.70699999999999</v>
      </c>
      <c r="BI122" s="3">
        <v>315.524</v>
      </c>
      <c r="BJ122" s="3">
        <v>310.07400000000001</v>
      </c>
      <c r="BK122" s="3">
        <v>318.52300000000002</v>
      </c>
      <c r="BL122" s="3">
        <v>330.62</v>
      </c>
      <c r="BM122" s="3">
        <v>355.79700000000003</v>
      </c>
      <c r="BN122" s="3">
        <v>383.48200000000003</v>
      </c>
      <c r="BO122" s="3">
        <v>403.41199999999998</v>
      </c>
      <c r="BP122" s="3">
        <v>422.66899999999998</v>
      </c>
      <c r="BQ122" s="3">
        <v>436.92099999999999</v>
      </c>
      <c r="BR122" s="3">
        <v>464.94600000000003</v>
      </c>
      <c r="BS122" s="3">
        <v>488.49099999999999</v>
      </c>
      <c r="BT122" s="3">
        <v>492.26299999999998</v>
      </c>
      <c r="BU122" s="3">
        <v>474.59300000000002</v>
      </c>
      <c r="BV122" s="3">
        <v>450.50400000000002</v>
      </c>
      <c r="BW122" s="3">
        <v>429.69099999999997</v>
      </c>
      <c r="BX122" s="3">
        <v>403.55599999999998</v>
      </c>
      <c r="BY122" s="3">
        <v>380.68099999999998</v>
      </c>
      <c r="BZ122" s="3">
        <v>358.86700000000002</v>
      </c>
      <c r="CA122" s="3">
        <v>446.88600000000002</v>
      </c>
      <c r="CB122" s="3">
        <v>466.96100000000001</v>
      </c>
      <c r="CC122" s="3">
        <v>470.11</v>
      </c>
      <c r="CD122" s="3">
        <v>462.54199999999997</v>
      </c>
      <c r="CE122" s="3">
        <v>460.44099999999997</v>
      </c>
      <c r="CF122" s="3">
        <v>475.34699999999998</v>
      </c>
      <c r="CG122" s="3">
        <v>507.44600000000003</v>
      </c>
      <c r="CH122" s="3">
        <v>546.35</v>
      </c>
      <c r="CI122" s="3">
        <v>585.14800000000002</v>
      </c>
      <c r="CJ122" s="3">
        <v>622.30499999999995</v>
      </c>
      <c r="CK122" s="3">
        <v>663.05200000000002</v>
      </c>
      <c r="CL122" s="3">
        <v>650.49300000000005</v>
      </c>
      <c r="CM122" s="3">
        <v>641.61199999999997</v>
      </c>
      <c r="CN122" s="3">
        <v>637.94399999999996</v>
      </c>
      <c r="CO122" s="3">
        <v>633.94399999999996</v>
      </c>
      <c r="CP122" s="3">
        <v>617.96799999999996</v>
      </c>
      <c r="CQ122" s="3">
        <v>583.59900000000005</v>
      </c>
      <c r="CR122" s="3">
        <v>543.49400000000003</v>
      </c>
      <c r="CS122" s="3">
        <v>505.50299999999999</v>
      </c>
      <c r="CT122" s="3">
        <v>474.654</v>
      </c>
      <c r="CU122" s="3">
        <v>-3546.67</v>
      </c>
      <c r="CV122" s="3">
        <v>-3993.44</v>
      </c>
      <c r="CW122" s="3">
        <v>-4127.46</v>
      </c>
      <c r="CX122" s="3">
        <v>-4144.25</v>
      </c>
      <c r="CY122" s="3">
        <v>-4392.9799999999996</v>
      </c>
      <c r="CZ122" s="3">
        <v>-5011.67</v>
      </c>
      <c r="DA122" s="3">
        <v>-4669.72</v>
      </c>
      <c r="DB122" s="3">
        <v>-4217.7700000000004</v>
      </c>
      <c r="DC122" s="3">
        <v>-3734.8</v>
      </c>
      <c r="DD122" s="3">
        <v>-3141.81</v>
      </c>
      <c r="DE122" s="3">
        <v>-2714.56</v>
      </c>
      <c r="DF122" s="3">
        <v>-2576.98</v>
      </c>
      <c r="DG122" s="3">
        <v>-2482.09</v>
      </c>
      <c r="DH122" s="3">
        <v>-2412.62</v>
      </c>
      <c r="DI122" s="3">
        <v>-2301.2800000000002</v>
      </c>
      <c r="DJ122" s="3">
        <v>-2022.82</v>
      </c>
      <c r="DK122" s="3">
        <v>-2484.5</v>
      </c>
      <c r="DL122" s="3">
        <v>-2854.5</v>
      </c>
      <c r="DM122" s="3">
        <v>-3120.6</v>
      </c>
      <c r="DN122" s="3">
        <v>-3324.5</v>
      </c>
      <c r="DO122" s="3">
        <v>-2076.02</v>
      </c>
      <c r="DP122" s="3">
        <v>-2122.67</v>
      </c>
      <c r="DQ122" s="3">
        <v>-2235.9299999999998</v>
      </c>
      <c r="DR122" s="3">
        <v>-2415.9699999999998</v>
      </c>
      <c r="DS122" s="3">
        <v>-2598.81</v>
      </c>
      <c r="DT122" s="3">
        <v>-2707.93</v>
      </c>
      <c r="DU122" s="3">
        <v>-2228.8000000000002</v>
      </c>
      <c r="DV122" s="3">
        <v>-1707.4</v>
      </c>
      <c r="DW122" s="3">
        <v>-1333.47</v>
      </c>
      <c r="DX122" s="3">
        <v>-1198.98</v>
      </c>
      <c r="DY122" s="3">
        <v>-991.28700000000003</v>
      </c>
      <c r="DZ122" s="3">
        <v>-929.41700000000003</v>
      </c>
      <c r="EA122" s="3">
        <v>-909.80200000000002</v>
      </c>
      <c r="EB122" s="3">
        <v>-884.8</v>
      </c>
      <c r="EC122" s="3">
        <v>-876.21100000000001</v>
      </c>
      <c r="ED122" s="3">
        <v>-891.24800000000005</v>
      </c>
      <c r="EE122" s="3">
        <v>-1265.21</v>
      </c>
      <c r="EF122" s="3">
        <v>-1679.67</v>
      </c>
      <c r="EG122" s="3">
        <v>-1946.86</v>
      </c>
      <c r="EH122" s="3">
        <v>-2025.56</v>
      </c>
      <c r="EI122" s="3">
        <v>419.779</v>
      </c>
      <c r="EJ122" s="3">
        <v>286.13299999999998</v>
      </c>
      <c r="EK122" s="3">
        <v>231.97900000000001</v>
      </c>
      <c r="EL122" s="3">
        <v>151.03</v>
      </c>
      <c r="EM122" s="3">
        <v>86.904300000000006</v>
      </c>
      <c r="EN122" s="3">
        <v>-15.3278</v>
      </c>
      <c r="EO122" s="3">
        <v>-117.596</v>
      </c>
      <c r="EP122" s="3">
        <v>-211.40100000000001</v>
      </c>
      <c r="EQ122" s="3">
        <v>-239.50299999999999</v>
      </c>
      <c r="ER122" s="3">
        <v>-253.523</v>
      </c>
      <c r="ES122" s="3">
        <v>-239.41499999999999</v>
      </c>
      <c r="ET122" s="3">
        <v>-151.57300000000001</v>
      </c>
      <c r="EU122" s="3">
        <v>-129.63200000000001</v>
      </c>
      <c r="EV122" s="3">
        <v>-41.174399999999999</v>
      </c>
      <c r="EW122" s="3">
        <v>134.703</v>
      </c>
      <c r="EX122" s="3">
        <v>371.339</v>
      </c>
      <c r="EY122" s="3">
        <v>422.41</v>
      </c>
      <c r="EZ122" s="3">
        <v>420.43200000000002</v>
      </c>
      <c r="FA122" s="3">
        <v>359.56900000000002</v>
      </c>
      <c r="FB122" s="3">
        <v>343.93799999999999</v>
      </c>
      <c r="FC122" s="3">
        <v>73.895899999999997</v>
      </c>
      <c r="FD122" s="3">
        <v>227.37299999999999</v>
      </c>
      <c r="FE122" s="3">
        <v>323.19499999999999</v>
      </c>
      <c r="FF122" s="3">
        <v>467.95299999999997</v>
      </c>
      <c r="FG122" s="3">
        <v>463.71499999999997</v>
      </c>
      <c r="FH122" s="3">
        <v>640.83600000000001</v>
      </c>
      <c r="FI122" s="3">
        <v>3403.66</v>
      </c>
      <c r="FJ122" s="3">
        <v>1636.68</v>
      </c>
      <c r="FK122" s="3">
        <v>-98.560299999999998</v>
      </c>
      <c r="FL122" s="3">
        <v>0.30682900000000002</v>
      </c>
      <c r="FM122" s="3"/>
    </row>
    <row r="123" spans="1:169" x14ac:dyDescent="0.3">
      <c r="A123" s="2">
        <v>115</v>
      </c>
      <c r="B123" s="5">
        <v>19</v>
      </c>
      <c r="C123" s="6">
        <v>3102427</v>
      </c>
      <c r="D123" s="6" t="s">
        <v>285</v>
      </c>
      <c r="E123" s="6">
        <v>3909010</v>
      </c>
      <c r="F123" s="6">
        <v>3909011</v>
      </c>
      <c r="G123" s="6">
        <v>0</v>
      </c>
      <c r="H123" s="6">
        <v>0</v>
      </c>
      <c r="I123" s="6">
        <v>51.48</v>
      </c>
      <c r="J123" s="6" t="s">
        <v>169</v>
      </c>
      <c r="K123" s="6" t="s">
        <v>170</v>
      </c>
      <c r="L123" s="7" t="s">
        <v>171</v>
      </c>
      <c r="M123" s="7" t="s">
        <v>172</v>
      </c>
      <c r="N123" s="8" t="s">
        <v>1391</v>
      </c>
      <c r="O123" s="5">
        <v>-7482.24</v>
      </c>
      <c r="P123" s="6">
        <v>5874.86</v>
      </c>
      <c r="Q123" s="6">
        <v>-2.84504</v>
      </c>
      <c r="R123" s="12">
        <v>0</v>
      </c>
      <c r="S123" s="4" t="s">
        <v>1392</v>
      </c>
      <c r="T123" s="4" t="s">
        <v>1393</v>
      </c>
      <c r="U123" s="4" t="s">
        <v>1394</v>
      </c>
      <c r="V123" s="4" t="s">
        <v>1395</v>
      </c>
      <c r="W123" s="4" t="s">
        <v>1396</v>
      </c>
      <c r="X123" s="4" t="s">
        <v>1397</v>
      </c>
      <c r="Y123" s="4" t="s">
        <v>1398</v>
      </c>
      <c r="Z123" s="4" t="s">
        <v>1399</v>
      </c>
      <c r="AA123" s="4" t="s">
        <v>1400</v>
      </c>
      <c r="AB123" s="4" t="s">
        <v>1401</v>
      </c>
      <c r="AC123" s="4" t="s">
        <v>1402</v>
      </c>
      <c r="AD123" s="4" t="s">
        <v>1403</v>
      </c>
      <c r="AE123" s="4" t="s">
        <v>1404</v>
      </c>
      <c r="AF123" s="4" t="s">
        <v>1405</v>
      </c>
      <c r="AG123" s="4" t="s">
        <v>1406</v>
      </c>
      <c r="AH123" s="4" t="s">
        <v>1407</v>
      </c>
      <c r="AI123" s="4" t="s">
        <v>1408</v>
      </c>
      <c r="AJ123" s="4" t="s">
        <v>1409</v>
      </c>
      <c r="AK123" s="4" t="s">
        <v>1410</v>
      </c>
      <c r="AL123" s="4" t="s">
        <v>1411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/>
    </row>
    <row r="124" spans="1:169" x14ac:dyDescent="0.3">
      <c r="A124" s="2">
        <v>116</v>
      </c>
      <c r="B124" s="5">
        <v>19</v>
      </c>
      <c r="C124" s="6">
        <v>3102427</v>
      </c>
      <c r="D124" s="6" t="s">
        <v>285</v>
      </c>
      <c r="E124" s="6">
        <v>3909010</v>
      </c>
      <c r="F124" s="6">
        <v>3909011</v>
      </c>
      <c r="G124" s="6">
        <v>0</v>
      </c>
      <c r="H124" s="6">
        <v>0</v>
      </c>
      <c r="I124" s="6">
        <v>51.48</v>
      </c>
      <c r="J124" s="6" t="s">
        <v>194</v>
      </c>
      <c r="K124" s="6" t="s">
        <v>195</v>
      </c>
      <c r="L124" s="7" t="s">
        <v>196</v>
      </c>
      <c r="M124" s="7" t="s">
        <v>172</v>
      </c>
      <c r="N124" s="8" t="s">
        <v>1391</v>
      </c>
      <c r="O124" s="5">
        <v>7198.39</v>
      </c>
      <c r="P124" s="6">
        <v>-4733.21</v>
      </c>
      <c r="Q124" s="6">
        <v>-1.72542</v>
      </c>
      <c r="R124" s="12">
        <v>8165.33</v>
      </c>
      <c r="S124" s="4" t="s">
        <v>1392</v>
      </c>
      <c r="T124" s="4" t="s">
        <v>1393</v>
      </c>
      <c r="U124" s="4" t="s">
        <v>1394</v>
      </c>
      <c r="V124" s="4" t="s">
        <v>1395</v>
      </c>
      <c r="W124" s="4" t="s">
        <v>1396</v>
      </c>
      <c r="X124" s="4" t="s">
        <v>1397</v>
      </c>
      <c r="Y124" s="4" t="s">
        <v>1398</v>
      </c>
      <c r="Z124" s="4" t="s">
        <v>1399</v>
      </c>
      <c r="AA124" s="4" t="s">
        <v>1400</v>
      </c>
      <c r="AB124" s="4" t="s">
        <v>1401</v>
      </c>
      <c r="AC124" s="4" t="s">
        <v>1402</v>
      </c>
      <c r="AD124" s="4" t="s">
        <v>1403</v>
      </c>
      <c r="AE124" s="4" t="s">
        <v>1404</v>
      </c>
      <c r="AF124" s="4" t="s">
        <v>1405</v>
      </c>
      <c r="AG124" s="4" t="s">
        <v>1406</v>
      </c>
      <c r="AH124" s="4" t="s">
        <v>1407</v>
      </c>
      <c r="AI124" s="4" t="s">
        <v>1408</v>
      </c>
      <c r="AJ124" s="4" t="s">
        <v>1409</v>
      </c>
      <c r="AK124" s="4" t="s">
        <v>1410</v>
      </c>
      <c r="AL124" s="4" t="s">
        <v>1411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/>
    </row>
    <row r="125" spans="1:169" x14ac:dyDescent="0.3">
      <c r="A125" s="2">
        <v>117</v>
      </c>
      <c r="B125" s="5">
        <v>20</v>
      </c>
      <c r="C125" s="6">
        <v>2101303</v>
      </c>
      <c r="D125" s="6" t="s">
        <v>241</v>
      </c>
      <c r="E125" s="6">
        <v>2912010</v>
      </c>
      <c r="F125" s="6">
        <v>2912010</v>
      </c>
      <c r="G125" s="6">
        <v>0</v>
      </c>
      <c r="H125" s="6">
        <v>0</v>
      </c>
      <c r="I125" s="6">
        <v>51.48</v>
      </c>
      <c r="J125" s="6" t="s">
        <v>169</v>
      </c>
      <c r="K125" s="6" t="s">
        <v>170</v>
      </c>
      <c r="L125" s="7" t="s">
        <v>171</v>
      </c>
      <c r="M125" s="7" t="s">
        <v>172</v>
      </c>
      <c r="N125" s="8" t="s">
        <v>1412</v>
      </c>
      <c r="O125" s="5">
        <v>-1186.67</v>
      </c>
      <c r="P125" s="6">
        <v>-15611.2</v>
      </c>
      <c r="Q125" s="6">
        <v>-1090.1400000000001</v>
      </c>
      <c r="R125" s="12">
        <v>0</v>
      </c>
      <c r="S125" s="4" t="s">
        <v>1413</v>
      </c>
      <c r="T125" s="4" t="s">
        <v>1414</v>
      </c>
      <c r="U125" s="4" t="s">
        <v>1415</v>
      </c>
      <c r="V125" s="4" t="s">
        <v>1416</v>
      </c>
      <c r="W125" s="4" t="s">
        <v>1417</v>
      </c>
      <c r="X125" s="4" t="s">
        <v>1418</v>
      </c>
      <c r="Y125" s="4" t="s">
        <v>1419</v>
      </c>
      <c r="Z125" s="4" t="s">
        <v>1420</v>
      </c>
      <c r="AA125" s="4" t="s">
        <v>1421</v>
      </c>
      <c r="AB125" s="4" t="s">
        <v>1422</v>
      </c>
      <c r="AC125" s="4" t="s">
        <v>1423</v>
      </c>
      <c r="AD125" s="4" t="s">
        <v>1424</v>
      </c>
      <c r="AE125" s="4" t="s">
        <v>1425</v>
      </c>
      <c r="AF125" s="4" t="s">
        <v>1426</v>
      </c>
      <c r="AG125" s="4" t="s">
        <v>1427</v>
      </c>
      <c r="AH125" s="4" t="s">
        <v>1428</v>
      </c>
      <c r="AI125" s="4" t="s">
        <v>1429</v>
      </c>
      <c r="AJ125" s="4" t="s">
        <v>1430</v>
      </c>
      <c r="AK125" s="4" t="s">
        <v>1431</v>
      </c>
      <c r="AL125" s="4" t="s">
        <v>1432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/>
    </row>
    <row r="126" spans="1:169" x14ac:dyDescent="0.3">
      <c r="A126" s="2">
        <v>118</v>
      </c>
      <c r="B126" s="5">
        <v>20</v>
      </c>
      <c r="C126" s="6">
        <v>2101303</v>
      </c>
      <c r="D126" s="6" t="s">
        <v>241</v>
      </c>
      <c r="E126" s="6">
        <v>2912010</v>
      </c>
      <c r="F126" s="6">
        <v>2912010</v>
      </c>
      <c r="G126" s="6">
        <v>0</v>
      </c>
      <c r="H126" s="6">
        <v>0</v>
      </c>
      <c r="I126" s="6">
        <v>51.48</v>
      </c>
      <c r="J126" s="6" t="s">
        <v>194</v>
      </c>
      <c r="K126" s="6" t="s">
        <v>195</v>
      </c>
      <c r="L126" s="7" t="s">
        <v>196</v>
      </c>
      <c r="M126" s="7" t="s">
        <v>172</v>
      </c>
      <c r="N126" s="8" t="s">
        <v>1412</v>
      </c>
      <c r="O126" s="5">
        <v>2259.36</v>
      </c>
      <c r="P126" s="6">
        <v>15988.5</v>
      </c>
      <c r="Q126" s="6">
        <v>1359.79</v>
      </c>
      <c r="R126" s="12">
        <v>15733.8</v>
      </c>
      <c r="S126" s="4" t="s">
        <v>1413</v>
      </c>
      <c r="T126" s="4" t="s">
        <v>1414</v>
      </c>
      <c r="U126" s="4" t="s">
        <v>1415</v>
      </c>
      <c r="V126" s="4" t="s">
        <v>1416</v>
      </c>
      <c r="W126" s="4" t="s">
        <v>1417</v>
      </c>
      <c r="X126" s="4" t="s">
        <v>1418</v>
      </c>
      <c r="Y126" s="4" t="s">
        <v>1419</v>
      </c>
      <c r="Z126" s="4" t="s">
        <v>1420</v>
      </c>
      <c r="AA126" s="4" t="s">
        <v>1421</v>
      </c>
      <c r="AB126" s="4" t="s">
        <v>1422</v>
      </c>
      <c r="AC126" s="4" t="s">
        <v>1423</v>
      </c>
      <c r="AD126" s="4" t="s">
        <v>1424</v>
      </c>
      <c r="AE126" s="4" t="s">
        <v>1425</v>
      </c>
      <c r="AF126" s="4" t="s">
        <v>1426</v>
      </c>
      <c r="AG126" s="4" t="s">
        <v>1427</v>
      </c>
      <c r="AH126" s="4" t="s">
        <v>1428</v>
      </c>
      <c r="AI126" s="4" t="s">
        <v>1429</v>
      </c>
      <c r="AJ126" s="4" t="s">
        <v>1430</v>
      </c>
      <c r="AK126" s="4" t="s">
        <v>1431</v>
      </c>
      <c r="AL126" s="4" t="s">
        <v>1432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/>
    </row>
    <row r="127" spans="1:169" x14ac:dyDescent="0.3">
      <c r="A127" s="2">
        <v>119</v>
      </c>
      <c r="B127" s="5">
        <v>20</v>
      </c>
      <c r="C127" s="6">
        <v>1101515</v>
      </c>
      <c r="D127" s="6" t="s">
        <v>263</v>
      </c>
      <c r="E127" s="6">
        <v>2912010</v>
      </c>
      <c r="F127" s="6">
        <v>1912012</v>
      </c>
      <c r="G127" s="6">
        <v>0</v>
      </c>
      <c r="H127" s="6">
        <v>0</v>
      </c>
      <c r="I127" s="6">
        <v>57.914999999999999</v>
      </c>
      <c r="J127" s="6" t="s">
        <v>169</v>
      </c>
      <c r="K127" s="6" t="s">
        <v>170</v>
      </c>
      <c r="L127" s="7" t="s">
        <v>171</v>
      </c>
      <c r="M127" s="7" t="s">
        <v>172</v>
      </c>
      <c r="N127" s="8" t="s">
        <v>1433</v>
      </c>
      <c r="O127" s="5">
        <v>15421.2</v>
      </c>
      <c r="P127" s="6">
        <v>2628.3</v>
      </c>
      <c r="Q127" s="6">
        <v>-1258.7</v>
      </c>
      <c r="R127" s="12">
        <v>0</v>
      </c>
      <c r="S127" s="4" t="s">
        <v>1434</v>
      </c>
      <c r="T127" s="4" t="s">
        <v>1435</v>
      </c>
      <c r="U127" s="4" t="s">
        <v>1436</v>
      </c>
      <c r="V127" s="4" t="s">
        <v>1437</v>
      </c>
      <c r="W127" s="4" t="s">
        <v>1438</v>
      </c>
      <c r="X127" s="4" t="s">
        <v>1439</v>
      </c>
      <c r="Y127" s="4" t="s">
        <v>1440</v>
      </c>
      <c r="Z127" s="4" t="s">
        <v>1441</v>
      </c>
      <c r="AA127" s="4" t="s">
        <v>1442</v>
      </c>
      <c r="AB127" s="4" t="s">
        <v>1443</v>
      </c>
      <c r="AC127" s="4" t="s">
        <v>1444</v>
      </c>
      <c r="AD127" s="4" t="s">
        <v>1445</v>
      </c>
      <c r="AE127" s="4" t="s">
        <v>1446</v>
      </c>
      <c r="AF127" s="4" t="s">
        <v>1447</v>
      </c>
      <c r="AG127" s="4" t="s">
        <v>1448</v>
      </c>
      <c r="AH127" s="4" t="s">
        <v>1449</v>
      </c>
      <c r="AI127" s="4" t="s">
        <v>1450</v>
      </c>
      <c r="AJ127" s="4" t="s">
        <v>1451</v>
      </c>
      <c r="AK127" s="4" t="s">
        <v>1452</v>
      </c>
      <c r="AL127" s="4" t="s">
        <v>1453</v>
      </c>
      <c r="AM127" s="3">
        <v>2419.79</v>
      </c>
      <c r="AN127" s="3">
        <v>2360.59</v>
      </c>
      <c r="AO127" s="3">
        <v>2313.56</v>
      </c>
      <c r="AP127" s="3">
        <v>2262.4</v>
      </c>
      <c r="AQ127" s="3">
        <v>2202.9699999999998</v>
      </c>
      <c r="AR127" s="3">
        <v>2139.88</v>
      </c>
      <c r="AS127" s="3">
        <v>2017.96</v>
      </c>
      <c r="AT127" s="3">
        <v>1902.85</v>
      </c>
      <c r="AU127" s="3">
        <v>1818.35</v>
      </c>
      <c r="AV127" s="3">
        <v>1748.07</v>
      </c>
      <c r="AW127" s="3">
        <v>1673.57</v>
      </c>
      <c r="AX127" s="3">
        <v>1742.07</v>
      </c>
      <c r="AY127" s="3">
        <v>1798.4</v>
      </c>
      <c r="AZ127" s="3">
        <v>1851.37</v>
      </c>
      <c r="BA127" s="3">
        <v>1909.61</v>
      </c>
      <c r="BB127" s="3">
        <v>1966.96</v>
      </c>
      <c r="BC127" s="3">
        <v>2081.9299999999998</v>
      </c>
      <c r="BD127" s="3">
        <v>2189.83</v>
      </c>
      <c r="BE127" s="3">
        <v>2269.0500000000002</v>
      </c>
      <c r="BF127" s="3">
        <v>2338.84</v>
      </c>
      <c r="BG127" s="3">
        <v>-41.368000000000002</v>
      </c>
      <c r="BH127" s="3">
        <v>-16.320599999999999</v>
      </c>
      <c r="BI127" s="3">
        <v>-0.25779600000000003</v>
      </c>
      <c r="BJ127" s="3">
        <v>17.4846</v>
      </c>
      <c r="BK127" s="3">
        <v>42.7973</v>
      </c>
      <c r="BL127" s="3">
        <v>71.547899999999998</v>
      </c>
      <c r="BM127" s="3">
        <v>77.258799999999994</v>
      </c>
      <c r="BN127" s="3">
        <v>79.442599999999999</v>
      </c>
      <c r="BO127" s="3">
        <v>70.171000000000006</v>
      </c>
      <c r="BP127" s="3">
        <v>51.423299999999998</v>
      </c>
      <c r="BQ127" s="3">
        <v>27.324000000000002</v>
      </c>
      <c r="BR127" s="3">
        <v>4.5488099999999996</v>
      </c>
      <c r="BS127" s="3">
        <v>-9.7164199999999994</v>
      </c>
      <c r="BT127" s="3">
        <v>-23.7088</v>
      </c>
      <c r="BU127" s="3">
        <v>-48.437399999999997</v>
      </c>
      <c r="BV127" s="3">
        <v>-78.829099999999997</v>
      </c>
      <c r="BW127" s="3">
        <v>-67.631399999999999</v>
      </c>
      <c r="BX127" s="3">
        <v>-61.432600000000001</v>
      </c>
      <c r="BY127" s="3">
        <v>-51.388100000000001</v>
      </c>
      <c r="BZ127" s="3">
        <v>-42.660200000000003</v>
      </c>
      <c r="CA127" s="3">
        <v>-199.46</v>
      </c>
      <c r="CB127" s="3">
        <v>-201.73599999999999</v>
      </c>
      <c r="CC127" s="3">
        <v>-213.602</v>
      </c>
      <c r="CD127" s="3">
        <v>-238.22300000000001</v>
      </c>
      <c r="CE127" s="3">
        <v>-258.25200000000001</v>
      </c>
      <c r="CF127" s="3">
        <v>-262.66000000000003</v>
      </c>
      <c r="CG127" s="3">
        <v>-325.20299999999997</v>
      </c>
      <c r="CH127" s="3">
        <v>-368.37599999999998</v>
      </c>
      <c r="CI127" s="3">
        <v>-392.77199999999999</v>
      </c>
      <c r="CJ127" s="3">
        <v>-435.47699999999998</v>
      </c>
      <c r="CK127" s="3">
        <v>-505.91899999999998</v>
      </c>
      <c r="CL127" s="3">
        <v>-477.81099999999998</v>
      </c>
      <c r="CM127" s="3">
        <v>-443.82299999999998</v>
      </c>
      <c r="CN127" s="3">
        <v>-400.20299999999997</v>
      </c>
      <c r="CO127" s="3">
        <v>-359.214</v>
      </c>
      <c r="CP127" s="3">
        <v>-335.12299999999999</v>
      </c>
      <c r="CQ127" s="3">
        <v>-293.36</v>
      </c>
      <c r="CR127" s="3">
        <v>-275.38099999999997</v>
      </c>
      <c r="CS127" s="3">
        <v>-266.50099999999998</v>
      </c>
      <c r="CT127" s="3">
        <v>-242.845</v>
      </c>
      <c r="CU127" s="3">
        <v>739.54700000000003</v>
      </c>
      <c r="CV127" s="3">
        <v>1384.69</v>
      </c>
      <c r="CW127" s="3">
        <v>1699.98</v>
      </c>
      <c r="CX127" s="3">
        <v>2530.4699999999998</v>
      </c>
      <c r="CY127" s="3">
        <v>4096.1899999999996</v>
      </c>
      <c r="CZ127" s="3">
        <v>6310</v>
      </c>
      <c r="DA127" s="3">
        <v>6220.45</v>
      </c>
      <c r="DB127" s="3">
        <v>6278.34</v>
      </c>
      <c r="DC127" s="3">
        <v>6499.82</v>
      </c>
      <c r="DD127" s="3">
        <v>6823.48</v>
      </c>
      <c r="DE127" s="3">
        <v>7147.86</v>
      </c>
      <c r="DF127" s="3">
        <v>5160.49</v>
      </c>
      <c r="DG127" s="3">
        <v>3766.18</v>
      </c>
      <c r="DH127" s="3">
        <v>3078.23</v>
      </c>
      <c r="DI127" s="3">
        <v>2680.86</v>
      </c>
      <c r="DJ127" s="3">
        <v>1921</v>
      </c>
      <c r="DK127" s="3">
        <v>1620.02</v>
      </c>
      <c r="DL127" s="3">
        <v>1390.73</v>
      </c>
      <c r="DM127" s="3">
        <v>1201.5999999999999</v>
      </c>
      <c r="DN127" s="3">
        <v>978.99800000000005</v>
      </c>
      <c r="DO127" s="3">
        <v>-2205.54</v>
      </c>
      <c r="DP127" s="3">
        <v>-2146.89</v>
      </c>
      <c r="DQ127" s="3">
        <v>-1823.31</v>
      </c>
      <c r="DR127" s="3">
        <v>-1456.09</v>
      </c>
      <c r="DS127" s="3">
        <v>-1062.8</v>
      </c>
      <c r="DT127" s="3">
        <v>-701.346</v>
      </c>
      <c r="DU127" s="3">
        <v>-749.98099999999999</v>
      </c>
      <c r="DV127" s="3">
        <v>-793.05899999999997</v>
      </c>
      <c r="DW127" s="3">
        <v>-600.69299999999998</v>
      </c>
      <c r="DX127" s="3">
        <v>-182.39599999999999</v>
      </c>
      <c r="DY127" s="3">
        <v>246.745</v>
      </c>
      <c r="DZ127" s="3">
        <v>207.654</v>
      </c>
      <c r="EA127" s="3">
        <v>-7.7898699999999996</v>
      </c>
      <c r="EB127" s="3">
        <v>-343.1</v>
      </c>
      <c r="EC127" s="3">
        <v>-649.63199999999995</v>
      </c>
      <c r="ED127" s="3">
        <v>-831.51499999999999</v>
      </c>
      <c r="EE127" s="3">
        <v>-1304.6600000000001</v>
      </c>
      <c r="EF127" s="3">
        <v>-1883.1</v>
      </c>
      <c r="EG127" s="3">
        <v>-2351.15</v>
      </c>
      <c r="EH127" s="3">
        <v>-2464.3200000000002</v>
      </c>
      <c r="EI127" s="3">
        <v>-556.63300000000004</v>
      </c>
      <c r="EJ127" s="3">
        <v>-726.96600000000001</v>
      </c>
      <c r="EK127" s="3">
        <v>-697.81</v>
      </c>
      <c r="EL127" s="3">
        <v>-401.584</v>
      </c>
      <c r="EM127" s="3">
        <v>-112.601</v>
      </c>
      <c r="EN127" s="3">
        <v>100.541</v>
      </c>
      <c r="EO127" s="3">
        <v>-50.973599999999998</v>
      </c>
      <c r="EP127" s="3">
        <v>-672.60799999999995</v>
      </c>
      <c r="EQ127" s="3">
        <v>-1333.82</v>
      </c>
      <c r="ER127" s="3">
        <v>-1428.52</v>
      </c>
      <c r="ES127" s="3">
        <v>-1005.73</v>
      </c>
      <c r="ET127" s="3">
        <v>-859.25300000000004</v>
      </c>
      <c r="EU127" s="3">
        <v>-699.78599999999994</v>
      </c>
      <c r="EV127" s="3">
        <v>-587.75199999999995</v>
      </c>
      <c r="EW127" s="3">
        <v>-550.78200000000004</v>
      </c>
      <c r="EX127" s="3">
        <v>-458.65300000000002</v>
      </c>
      <c r="EY127" s="3">
        <v>-466.31</v>
      </c>
      <c r="EZ127" s="3">
        <v>-414.52800000000002</v>
      </c>
      <c r="FA127" s="3">
        <v>-395.339</v>
      </c>
      <c r="FB127" s="3">
        <v>-441.39</v>
      </c>
      <c r="FC127" s="3">
        <v>1883.45</v>
      </c>
      <c r="FD127" s="3">
        <v>2211.0700000000002</v>
      </c>
      <c r="FE127" s="3">
        <v>12.3139</v>
      </c>
      <c r="FF127" s="3">
        <v>-21.469799999999999</v>
      </c>
      <c r="FG127" s="3">
        <v>-228.989</v>
      </c>
      <c r="FH127" s="3">
        <v>-420.34899999999999</v>
      </c>
      <c r="FI127" s="3">
        <v>-3927.65</v>
      </c>
      <c r="FJ127" s="3">
        <v>897.80200000000002</v>
      </c>
      <c r="FK127" s="3">
        <v>570.04</v>
      </c>
      <c r="FL127" s="3">
        <v>0</v>
      </c>
      <c r="FM127" s="3"/>
    </row>
    <row r="128" spans="1:169" x14ac:dyDescent="0.3">
      <c r="A128" s="2">
        <v>120</v>
      </c>
      <c r="B128" s="5">
        <v>20</v>
      </c>
      <c r="C128" s="6">
        <v>1101515</v>
      </c>
      <c r="D128" s="6" t="s">
        <v>263</v>
      </c>
      <c r="E128" s="6">
        <v>2912010</v>
      </c>
      <c r="F128" s="6">
        <v>1912012</v>
      </c>
      <c r="G128" s="6">
        <v>0</v>
      </c>
      <c r="H128" s="6">
        <v>0</v>
      </c>
      <c r="I128" s="6">
        <v>57.914999999999999</v>
      </c>
      <c r="J128" s="6" t="s">
        <v>194</v>
      </c>
      <c r="K128" s="6" t="s">
        <v>195</v>
      </c>
      <c r="L128" s="7" t="s">
        <v>196</v>
      </c>
      <c r="M128" s="7" t="s">
        <v>172</v>
      </c>
      <c r="N128" s="8" t="s">
        <v>1433</v>
      </c>
      <c r="O128" s="5">
        <v>-15694.8</v>
      </c>
      <c r="P128" s="6">
        <v>-3732.91</v>
      </c>
      <c r="Q128" s="6">
        <v>1524.65</v>
      </c>
      <c r="R128" s="12">
        <v>15733.8</v>
      </c>
      <c r="S128" s="4" t="s">
        <v>1434</v>
      </c>
      <c r="T128" s="4" t="s">
        <v>1435</v>
      </c>
      <c r="U128" s="4" t="s">
        <v>1436</v>
      </c>
      <c r="V128" s="4" t="s">
        <v>1437</v>
      </c>
      <c r="W128" s="4" t="s">
        <v>1438</v>
      </c>
      <c r="X128" s="4" t="s">
        <v>1439</v>
      </c>
      <c r="Y128" s="4" t="s">
        <v>1440</v>
      </c>
      <c r="Z128" s="4" t="s">
        <v>1441</v>
      </c>
      <c r="AA128" s="4" t="s">
        <v>1442</v>
      </c>
      <c r="AB128" s="4" t="s">
        <v>1443</v>
      </c>
      <c r="AC128" s="4" t="s">
        <v>1444</v>
      </c>
      <c r="AD128" s="4" t="s">
        <v>1445</v>
      </c>
      <c r="AE128" s="4" t="s">
        <v>1446</v>
      </c>
      <c r="AF128" s="4" t="s">
        <v>1447</v>
      </c>
      <c r="AG128" s="4" t="s">
        <v>1448</v>
      </c>
      <c r="AH128" s="4" t="s">
        <v>1449</v>
      </c>
      <c r="AI128" s="4" t="s">
        <v>1450</v>
      </c>
      <c r="AJ128" s="4" t="s">
        <v>1451</v>
      </c>
      <c r="AK128" s="4" t="s">
        <v>1452</v>
      </c>
      <c r="AL128" s="4" t="s">
        <v>1453</v>
      </c>
      <c r="AM128" s="3">
        <v>-2608.41</v>
      </c>
      <c r="AN128" s="3">
        <v>-2584.9699999999998</v>
      </c>
      <c r="AO128" s="3">
        <v>-2573.8200000000002</v>
      </c>
      <c r="AP128" s="3">
        <v>-2560.35</v>
      </c>
      <c r="AQ128" s="3">
        <v>-2544.13</v>
      </c>
      <c r="AR128" s="3">
        <v>-2530.44</v>
      </c>
      <c r="AS128" s="3">
        <v>-2529.15</v>
      </c>
      <c r="AT128" s="3">
        <v>-2509.9499999999998</v>
      </c>
      <c r="AU128" s="3">
        <v>-2485.52</v>
      </c>
      <c r="AV128" s="3">
        <v>-2431.41</v>
      </c>
      <c r="AW128" s="3">
        <v>-2321.59</v>
      </c>
      <c r="AX128" s="3">
        <v>-2293.91</v>
      </c>
      <c r="AY128" s="3">
        <v>-2266.58</v>
      </c>
      <c r="AZ128" s="3">
        <v>-2251.1799999999998</v>
      </c>
      <c r="BA128" s="3">
        <v>-2251.79</v>
      </c>
      <c r="BB128" s="3">
        <v>-2259.89</v>
      </c>
      <c r="BC128" s="3">
        <v>-2381.25</v>
      </c>
      <c r="BD128" s="3">
        <v>-2475.36</v>
      </c>
      <c r="BE128" s="3">
        <v>-2531.65</v>
      </c>
      <c r="BF128" s="3">
        <v>-2571.2199999999998</v>
      </c>
      <c r="BG128" s="3">
        <v>164.316</v>
      </c>
      <c r="BH128" s="3">
        <v>159.255</v>
      </c>
      <c r="BI128" s="3">
        <v>158.059</v>
      </c>
      <c r="BJ128" s="3">
        <v>152.34800000000001</v>
      </c>
      <c r="BK128" s="3">
        <v>138.71600000000001</v>
      </c>
      <c r="BL128" s="3">
        <v>122.721</v>
      </c>
      <c r="BM128" s="3">
        <v>150.696</v>
      </c>
      <c r="BN128" s="3">
        <v>174.89400000000001</v>
      </c>
      <c r="BO128" s="3">
        <v>199.964</v>
      </c>
      <c r="BP128" s="3">
        <v>221.05099999999999</v>
      </c>
      <c r="BQ128" s="3">
        <v>230.94200000000001</v>
      </c>
      <c r="BR128" s="3">
        <v>227.20099999999999</v>
      </c>
      <c r="BS128" s="3">
        <v>217.40700000000001</v>
      </c>
      <c r="BT128" s="3">
        <v>211.89099999999999</v>
      </c>
      <c r="BU128" s="3">
        <v>218.93899999999999</v>
      </c>
      <c r="BV128" s="3">
        <v>229.82599999999999</v>
      </c>
      <c r="BW128" s="3">
        <v>224.35</v>
      </c>
      <c r="BX128" s="3">
        <v>215.72200000000001</v>
      </c>
      <c r="BY128" s="3">
        <v>198.988</v>
      </c>
      <c r="BZ128" s="3">
        <v>180.584</v>
      </c>
      <c r="CA128" s="3">
        <v>318.21199999999999</v>
      </c>
      <c r="CB128" s="3">
        <v>341.3</v>
      </c>
      <c r="CC128" s="3">
        <v>378.976</v>
      </c>
      <c r="CD128" s="3">
        <v>432.142</v>
      </c>
      <c r="CE128" s="3">
        <v>483.3</v>
      </c>
      <c r="CF128" s="3">
        <v>521.78099999999995</v>
      </c>
      <c r="CG128" s="3">
        <v>523.40899999999999</v>
      </c>
      <c r="CH128" s="3">
        <v>498.50099999999998</v>
      </c>
      <c r="CI128" s="3">
        <v>449.28899999999999</v>
      </c>
      <c r="CJ128" s="3">
        <v>400.99700000000001</v>
      </c>
      <c r="CK128" s="3">
        <v>366.54</v>
      </c>
      <c r="CL128" s="3">
        <v>357.28699999999998</v>
      </c>
      <c r="CM128" s="3">
        <v>340.05500000000001</v>
      </c>
      <c r="CN128" s="3">
        <v>312.55599999999998</v>
      </c>
      <c r="CO128" s="3">
        <v>286.983</v>
      </c>
      <c r="CP128" s="3">
        <v>277.154</v>
      </c>
      <c r="CQ128" s="3">
        <v>281.65899999999999</v>
      </c>
      <c r="CR128" s="3">
        <v>302.43299999999999</v>
      </c>
      <c r="CS128" s="3">
        <v>325.10300000000001</v>
      </c>
      <c r="CT128" s="3">
        <v>331.762</v>
      </c>
      <c r="CU128" s="3">
        <v>-726.02499999999998</v>
      </c>
      <c r="CV128" s="3">
        <v>-1300.53</v>
      </c>
      <c r="CW128" s="3">
        <v>-1489.59</v>
      </c>
      <c r="CX128" s="3">
        <v>-2167.23</v>
      </c>
      <c r="CY128" s="3">
        <v>-3556.11</v>
      </c>
      <c r="CZ128" s="3">
        <v>-5568.81</v>
      </c>
      <c r="DA128" s="3">
        <v>-5529.33</v>
      </c>
      <c r="DB128" s="3">
        <v>-5648.24</v>
      </c>
      <c r="DC128" s="3">
        <v>-5937.99</v>
      </c>
      <c r="DD128" s="3">
        <v>-6353.21</v>
      </c>
      <c r="DE128" s="3">
        <v>-6787.81</v>
      </c>
      <c r="DF128" s="3">
        <v>-4919.46</v>
      </c>
      <c r="DG128" s="3">
        <v>-3655.4</v>
      </c>
      <c r="DH128" s="3">
        <v>-3086.83</v>
      </c>
      <c r="DI128" s="3">
        <v>-2770.88</v>
      </c>
      <c r="DJ128" s="3">
        <v>-2028.85</v>
      </c>
      <c r="DK128" s="3">
        <v>-1701.85</v>
      </c>
      <c r="DL128" s="3">
        <v>-1450.86</v>
      </c>
      <c r="DM128" s="3">
        <v>-1245.17</v>
      </c>
      <c r="DN128" s="3">
        <v>-1000</v>
      </c>
      <c r="DO128" s="3">
        <v>2011.02</v>
      </c>
      <c r="DP128" s="3">
        <v>1956.28</v>
      </c>
      <c r="DQ128" s="3">
        <v>1637.05</v>
      </c>
      <c r="DR128" s="3">
        <v>1280.22</v>
      </c>
      <c r="DS128" s="3">
        <v>897.55499999999995</v>
      </c>
      <c r="DT128" s="3">
        <v>553.41200000000003</v>
      </c>
      <c r="DU128" s="3">
        <v>503.90300000000002</v>
      </c>
      <c r="DV128" s="3">
        <v>411.71199999999999</v>
      </c>
      <c r="DW128" s="3">
        <v>83.511899999999997</v>
      </c>
      <c r="DX128" s="3">
        <v>-401.65899999999999</v>
      </c>
      <c r="DY128" s="3">
        <v>-790.73400000000004</v>
      </c>
      <c r="DZ128" s="3">
        <v>-728.28099999999995</v>
      </c>
      <c r="EA128" s="3">
        <v>-481.85599999999999</v>
      </c>
      <c r="EB128" s="3">
        <v>-113.277</v>
      </c>
      <c r="EC128" s="3">
        <v>219.113</v>
      </c>
      <c r="ED128" s="3">
        <v>424.00099999999998</v>
      </c>
      <c r="EE128" s="3">
        <v>868.80100000000004</v>
      </c>
      <c r="EF128" s="3">
        <v>1468.7</v>
      </c>
      <c r="EG128" s="3">
        <v>2012.15</v>
      </c>
      <c r="EH128" s="3">
        <v>2212.1999999999998</v>
      </c>
      <c r="EI128" s="3">
        <v>480.48200000000003</v>
      </c>
      <c r="EJ128" s="3">
        <v>665.08799999999997</v>
      </c>
      <c r="EK128" s="3">
        <v>641.61500000000001</v>
      </c>
      <c r="EL128" s="3">
        <v>333.62299999999999</v>
      </c>
      <c r="EM128" s="3">
        <v>30.818899999999999</v>
      </c>
      <c r="EN128" s="3">
        <v>-190.09399999999999</v>
      </c>
      <c r="EO128" s="3">
        <v>0.57035800000000003</v>
      </c>
      <c r="EP128" s="3">
        <v>679.29100000000005</v>
      </c>
      <c r="EQ128" s="3">
        <v>1413.11</v>
      </c>
      <c r="ER128" s="3">
        <v>1578.57</v>
      </c>
      <c r="ES128" s="3">
        <v>1207.1099999999999</v>
      </c>
      <c r="ET128" s="3">
        <v>1000.58</v>
      </c>
      <c r="EU128" s="3">
        <v>810.6</v>
      </c>
      <c r="EV128" s="3">
        <v>692.39300000000003</v>
      </c>
      <c r="EW128" s="3">
        <v>655.44</v>
      </c>
      <c r="EX128" s="3">
        <v>541.05600000000004</v>
      </c>
      <c r="EY128" s="3">
        <v>513.53899999999999</v>
      </c>
      <c r="EZ128" s="3">
        <v>411.66199999999998</v>
      </c>
      <c r="FA128" s="3">
        <v>350.05700000000002</v>
      </c>
      <c r="FB128" s="3">
        <v>373.447</v>
      </c>
      <c r="FC128" s="3">
        <v>-2468.0100000000002</v>
      </c>
      <c r="FD128" s="3">
        <v>-2471.3000000000002</v>
      </c>
      <c r="FE128" s="3">
        <v>149.23599999999999</v>
      </c>
      <c r="FF128" s="3">
        <v>222.70099999999999</v>
      </c>
      <c r="FG128" s="3">
        <v>306.05399999999997</v>
      </c>
      <c r="FH128" s="3">
        <v>460.08600000000001</v>
      </c>
      <c r="FI128" s="3">
        <v>3664.85</v>
      </c>
      <c r="FJ128" s="3">
        <v>-572.04200000000003</v>
      </c>
      <c r="FK128" s="3">
        <v>-592.81299999999999</v>
      </c>
      <c r="FL128" s="3">
        <v>0</v>
      </c>
      <c r="FM128" s="3"/>
    </row>
    <row r="129" spans="1:169" x14ac:dyDescent="0.3">
      <c r="A129" s="2">
        <v>121</v>
      </c>
      <c r="B129" s="5">
        <v>21</v>
      </c>
      <c r="C129" s="6">
        <v>2101430</v>
      </c>
      <c r="D129" s="6" t="s">
        <v>241</v>
      </c>
      <c r="E129" s="6">
        <v>2913010</v>
      </c>
      <c r="F129" s="6">
        <v>2913010</v>
      </c>
      <c r="G129" s="6">
        <v>0</v>
      </c>
      <c r="H129" s="6">
        <v>0</v>
      </c>
      <c r="I129" s="6">
        <v>51.48</v>
      </c>
      <c r="J129" s="6" t="s">
        <v>169</v>
      </c>
      <c r="K129" s="6" t="s">
        <v>170</v>
      </c>
      <c r="L129" s="7" t="s">
        <v>171</v>
      </c>
      <c r="M129" s="7" t="s">
        <v>172</v>
      </c>
      <c r="N129" s="8" t="s">
        <v>1454</v>
      </c>
      <c r="O129" s="5">
        <v>7125.55</v>
      </c>
      <c r="P129" s="6">
        <v>965.14499999999998</v>
      </c>
      <c r="Q129" s="6">
        <v>-849.97</v>
      </c>
      <c r="R129" s="12">
        <v>0</v>
      </c>
      <c r="S129" s="4" t="s">
        <v>1455</v>
      </c>
      <c r="T129" s="4" t="s">
        <v>1456</v>
      </c>
      <c r="U129" s="4" t="s">
        <v>1457</v>
      </c>
      <c r="V129" s="4" t="s">
        <v>1458</v>
      </c>
      <c r="W129" s="4" t="s">
        <v>1459</v>
      </c>
      <c r="X129" s="4" t="s">
        <v>1460</v>
      </c>
      <c r="Y129" s="4" t="s">
        <v>1461</v>
      </c>
      <c r="Z129" s="4" t="s">
        <v>1462</v>
      </c>
      <c r="AA129" s="4" t="s">
        <v>1463</v>
      </c>
      <c r="AB129" s="4" t="s">
        <v>1464</v>
      </c>
      <c r="AC129" s="4" t="s">
        <v>1465</v>
      </c>
      <c r="AD129" s="4" t="s">
        <v>1466</v>
      </c>
      <c r="AE129" s="4" t="s">
        <v>1467</v>
      </c>
      <c r="AF129" s="4" t="s">
        <v>1468</v>
      </c>
      <c r="AG129" s="4" t="s">
        <v>1469</v>
      </c>
      <c r="AH129" s="4" t="s">
        <v>1470</v>
      </c>
      <c r="AI129" s="4" t="s">
        <v>1471</v>
      </c>
      <c r="AJ129" s="4" t="s">
        <v>1472</v>
      </c>
      <c r="AK129" s="4" t="s">
        <v>1473</v>
      </c>
      <c r="AL129" s="4" t="s">
        <v>1474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/>
    </row>
    <row r="130" spans="1:169" x14ac:dyDescent="0.3">
      <c r="A130" s="2">
        <v>122</v>
      </c>
      <c r="B130" s="5">
        <v>21</v>
      </c>
      <c r="C130" s="6">
        <v>2101430</v>
      </c>
      <c r="D130" s="6" t="s">
        <v>241</v>
      </c>
      <c r="E130" s="6">
        <v>2913010</v>
      </c>
      <c r="F130" s="6">
        <v>2913010</v>
      </c>
      <c r="G130" s="6">
        <v>0</v>
      </c>
      <c r="H130" s="6">
        <v>0</v>
      </c>
      <c r="I130" s="6">
        <v>51.48</v>
      </c>
      <c r="J130" s="6" t="s">
        <v>194</v>
      </c>
      <c r="K130" s="6" t="s">
        <v>195</v>
      </c>
      <c r="L130" s="7" t="s">
        <v>196</v>
      </c>
      <c r="M130" s="7" t="s">
        <v>172</v>
      </c>
      <c r="N130" s="8" t="s">
        <v>1454</v>
      </c>
      <c r="O130" s="5">
        <v>-7003.43</v>
      </c>
      <c r="P130" s="6">
        <v>-681.13099999999997</v>
      </c>
      <c r="Q130" s="6">
        <v>902.56500000000005</v>
      </c>
      <c r="R130" s="12">
        <v>6999.33</v>
      </c>
      <c r="S130" s="4" t="s">
        <v>1455</v>
      </c>
      <c r="T130" s="4" t="s">
        <v>1456</v>
      </c>
      <c r="U130" s="4" t="s">
        <v>1457</v>
      </c>
      <c r="V130" s="4" t="s">
        <v>1458</v>
      </c>
      <c r="W130" s="4" t="s">
        <v>1459</v>
      </c>
      <c r="X130" s="4" t="s">
        <v>1460</v>
      </c>
      <c r="Y130" s="4" t="s">
        <v>1461</v>
      </c>
      <c r="Z130" s="4" t="s">
        <v>1462</v>
      </c>
      <c r="AA130" s="4" t="s">
        <v>1463</v>
      </c>
      <c r="AB130" s="4" t="s">
        <v>1464</v>
      </c>
      <c r="AC130" s="4" t="s">
        <v>1465</v>
      </c>
      <c r="AD130" s="4" t="s">
        <v>1466</v>
      </c>
      <c r="AE130" s="4" t="s">
        <v>1467</v>
      </c>
      <c r="AF130" s="4" t="s">
        <v>1468</v>
      </c>
      <c r="AG130" s="4" t="s">
        <v>1469</v>
      </c>
      <c r="AH130" s="4" t="s">
        <v>1470</v>
      </c>
      <c r="AI130" s="4" t="s">
        <v>1471</v>
      </c>
      <c r="AJ130" s="4" t="s">
        <v>1472</v>
      </c>
      <c r="AK130" s="4" t="s">
        <v>1473</v>
      </c>
      <c r="AL130" s="4" t="s">
        <v>1474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/>
    </row>
    <row r="131" spans="1:169" x14ac:dyDescent="0.3">
      <c r="A131" s="2">
        <v>123</v>
      </c>
      <c r="B131" s="5">
        <v>21</v>
      </c>
      <c r="C131" s="6">
        <v>51800096</v>
      </c>
      <c r="D131" s="6" t="s">
        <v>860</v>
      </c>
      <c r="E131" s="6">
        <v>2913010</v>
      </c>
      <c r="F131" s="6">
        <v>1913012</v>
      </c>
      <c r="G131" s="6">
        <v>0</v>
      </c>
      <c r="H131" s="6">
        <v>0</v>
      </c>
      <c r="I131" s="6">
        <v>51.48</v>
      </c>
      <c r="J131" s="6" t="s">
        <v>169</v>
      </c>
      <c r="K131" s="6" t="s">
        <v>170</v>
      </c>
      <c r="L131" s="7" t="s">
        <v>171</v>
      </c>
      <c r="M131" s="7" t="s">
        <v>172</v>
      </c>
      <c r="N131" s="8" t="s">
        <v>1475</v>
      </c>
      <c r="O131" s="5">
        <v>4043.61</v>
      </c>
      <c r="P131" s="6">
        <v>-5921.03</v>
      </c>
      <c r="Q131" s="6">
        <v>-1008.99</v>
      </c>
      <c r="R131" s="12">
        <v>0</v>
      </c>
      <c r="S131" s="4" t="s">
        <v>1476</v>
      </c>
      <c r="T131" s="4" t="s">
        <v>1477</v>
      </c>
      <c r="U131" s="4" t="s">
        <v>1478</v>
      </c>
      <c r="V131" s="4" t="s">
        <v>1479</v>
      </c>
      <c r="W131" s="4" t="s">
        <v>1480</v>
      </c>
      <c r="X131" s="4" t="s">
        <v>1481</v>
      </c>
      <c r="Y131" s="4" t="s">
        <v>1482</v>
      </c>
      <c r="Z131" s="4" t="s">
        <v>1483</v>
      </c>
      <c r="AA131" s="4" t="s">
        <v>1484</v>
      </c>
      <c r="AB131" s="4" t="s">
        <v>1485</v>
      </c>
      <c r="AC131" s="4" t="s">
        <v>1486</v>
      </c>
      <c r="AD131" s="4" t="s">
        <v>1487</v>
      </c>
      <c r="AE131" s="4" t="s">
        <v>1488</v>
      </c>
      <c r="AF131" s="4" t="s">
        <v>1489</v>
      </c>
      <c r="AG131" s="4" t="s">
        <v>1490</v>
      </c>
      <c r="AH131" s="4" t="s">
        <v>1491</v>
      </c>
      <c r="AI131" s="4" t="s">
        <v>1492</v>
      </c>
      <c r="AJ131" s="4" t="s">
        <v>1493</v>
      </c>
      <c r="AK131" s="4" t="s">
        <v>1494</v>
      </c>
      <c r="AL131" s="4" t="s">
        <v>1495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/>
    </row>
    <row r="132" spans="1:169" x14ac:dyDescent="0.3">
      <c r="A132" s="2">
        <v>124</v>
      </c>
      <c r="B132" s="5">
        <v>21</v>
      </c>
      <c r="C132" s="6">
        <v>51800096</v>
      </c>
      <c r="D132" s="6" t="s">
        <v>860</v>
      </c>
      <c r="E132" s="6">
        <v>2913010</v>
      </c>
      <c r="F132" s="6">
        <v>1913012</v>
      </c>
      <c r="G132" s="6">
        <v>0</v>
      </c>
      <c r="H132" s="6">
        <v>0</v>
      </c>
      <c r="I132" s="6">
        <v>51.48</v>
      </c>
      <c r="J132" s="6" t="s">
        <v>194</v>
      </c>
      <c r="K132" s="6" t="s">
        <v>195</v>
      </c>
      <c r="L132" s="7" t="s">
        <v>196</v>
      </c>
      <c r="M132" s="7" t="s">
        <v>172</v>
      </c>
      <c r="N132" s="8" t="s">
        <v>1475</v>
      </c>
      <c r="O132" s="5">
        <v>-4169.6400000000003</v>
      </c>
      <c r="P132" s="6">
        <v>5639.56</v>
      </c>
      <c r="Q132" s="6">
        <v>1065.8900000000001</v>
      </c>
      <c r="R132" s="12">
        <v>6999.33</v>
      </c>
      <c r="S132" s="4" t="s">
        <v>1476</v>
      </c>
      <c r="T132" s="4" t="s">
        <v>1477</v>
      </c>
      <c r="U132" s="4" t="s">
        <v>1478</v>
      </c>
      <c r="V132" s="4" t="s">
        <v>1479</v>
      </c>
      <c r="W132" s="4" t="s">
        <v>1480</v>
      </c>
      <c r="X132" s="4" t="s">
        <v>1481</v>
      </c>
      <c r="Y132" s="4" t="s">
        <v>1482</v>
      </c>
      <c r="Z132" s="4" t="s">
        <v>1483</v>
      </c>
      <c r="AA132" s="4" t="s">
        <v>1484</v>
      </c>
      <c r="AB132" s="4" t="s">
        <v>1485</v>
      </c>
      <c r="AC132" s="4" t="s">
        <v>1486</v>
      </c>
      <c r="AD132" s="4" t="s">
        <v>1487</v>
      </c>
      <c r="AE132" s="4" t="s">
        <v>1488</v>
      </c>
      <c r="AF132" s="4" t="s">
        <v>1489</v>
      </c>
      <c r="AG132" s="4" t="s">
        <v>1490</v>
      </c>
      <c r="AH132" s="4" t="s">
        <v>1491</v>
      </c>
      <c r="AI132" s="4" t="s">
        <v>1492</v>
      </c>
      <c r="AJ132" s="4" t="s">
        <v>1493</v>
      </c>
      <c r="AK132" s="4" t="s">
        <v>1494</v>
      </c>
      <c r="AL132" s="4" t="s">
        <v>1495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/>
    </row>
    <row r="133" spans="1:169" x14ac:dyDescent="0.3">
      <c r="A133" s="2">
        <v>125</v>
      </c>
      <c r="B133" s="5">
        <v>22</v>
      </c>
      <c r="C133" s="6">
        <v>2501174</v>
      </c>
      <c r="D133" s="6" t="s">
        <v>168</v>
      </c>
      <c r="E133" s="6">
        <v>2911020</v>
      </c>
      <c r="F133" s="6">
        <v>2911020</v>
      </c>
      <c r="G133" s="6">
        <v>0</v>
      </c>
      <c r="H133" s="6">
        <v>0</v>
      </c>
      <c r="I133" s="6">
        <v>51.48</v>
      </c>
      <c r="J133" s="6" t="s">
        <v>169</v>
      </c>
      <c r="K133" s="6" t="s">
        <v>170</v>
      </c>
      <c r="L133" s="7" t="s">
        <v>171</v>
      </c>
      <c r="M133" s="7" t="s">
        <v>172</v>
      </c>
      <c r="N133" s="8" t="s">
        <v>1496</v>
      </c>
      <c r="O133" s="5">
        <v>-20258.3</v>
      </c>
      <c r="P133" s="6">
        <v>-3642.41</v>
      </c>
      <c r="Q133" s="6">
        <v>846.12599999999998</v>
      </c>
      <c r="R133" s="12">
        <v>20059.099999999999</v>
      </c>
      <c r="S133" s="4" t="s">
        <v>1497</v>
      </c>
      <c r="T133" s="4" t="s">
        <v>1498</v>
      </c>
      <c r="U133" s="4" t="s">
        <v>1499</v>
      </c>
      <c r="V133" s="4" t="s">
        <v>1500</v>
      </c>
      <c r="W133" s="4" t="s">
        <v>1501</v>
      </c>
      <c r="X133" s="4" t="s">
        <v>1502</v>
      </c>
      <c r="Y133" s="4" t="s">
        <v>1503</v>
      </c>
      <c r="Z133" s="4" t="s">
        <v>1504</v>
      </c>
      <c r="AA133" s="4" t="s">
        <v>1505</v>
      </c>
      <c r="AB133" s="4" t="s">
        <v>1506</v>
      </c>
      <c r="AC133" s="4" t="s">
        <v>1507</v>
      </c>
      <c r="AD133" s="4" t="s">
        <v>1508</v>
      </c>
      <c r="AE133" s="4" t="s">
        <v>1509</v>
      </c>
      <c r="AF133" s="4" t="s">
        <v>1510</v>
      </c>
      <c r="AG133" s="4" t="s">
        <v>1511</v>
      </c>
      <c r="AH133" s="4" t="s">
        <v>1512</v>
      </c>
      <c r="AI133" s="4" t="s">
        <v>1513</v>
      </c>
      <c r="AJ133" s="4" t="s">
        <v>1514</v>
      </c>
      <c r="AK133" s="4" t="s">
        <v>1515</v>
      </c>
      <c r="AL133" s="4" t="s">
        <v>1516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/>
    </row>
    <row r="134" spans="1:169" x14ac:dyDescent="0.3">
      <c r="A134" s="2">
        <v>126</v>
      </c>
      <c r="B134" s="5">
        <v>22</v>
      </c>
      <c r="C134" s="6">
        <v>2501174</v>
      </c>
      <c r="D134" s="6" t="s">
        <v>168</v>
      </c>
      <c r="E134" s="6">
        <v>2911020</v>
      </c>
      <c r="F134" s="6">
        <v>2911020</v>
      </c>
      <c r="G134" s="6">
        <v>0</v>
      </c>
      <c r="H134" s="6">
        <v>0</v>
      </c>
      <c r="I134" s="6">
        <v>51.48</v>
      </c>
      <c r="J134" s="6" t="s">
        <v>194</v>
      </c>
      <c r="K134" s="6" t="s">
        <v>195</v>
      </c>
      <c r="L134" s="7" t="s">
        <v>196</v>
      </c>
      <c r="M134" s="7" t="s">
        <v>172</v>
      </c>
      <c r="N134" s="8" t="s">
        <v>1496</v>
      </c>
      <c r="O134" s="5">
        <v>19197.7</v>
      </c>
      <c r="P134" s="6">
        <v>2560.6</v>
      </c>
      <c r="Q134" s="6">
        <v>-566.40200000000004</v>
      </c>
      <c r="R134" s="12">
        <v>37417.599999999999</v>
      </c>
      <c r="S134" s="4" t="s">
        <v>1497</v>
      </c>
      <c r="T134" s="4" t="s">
        <v>1498</v>
      </c>
      <c r="U134" s="4" t="s">
        <v>1499</v>
      </c>
      <c r="V134" s="4" t="s">
        <v>1500</v>
      </c>
      <c r="W134" s="4" t="s">
        <v>1501</v>
      </c>
      <c r="X134" s="4" t="s">
        <v>1502</v>
      </c>
      <c r="Y134" s="4" t="s">
        <v>1503</v>
      </c>
      <c r="Z134" s="4" t="s">
        <v>1504</v>
      </c>
      <c r="AA134" s="4" t="s">
        <v>1505</v>
      </c>
      <c r="AB134" s="4" t="s">
        <v>1506</v>
      </c>
      <c r="AC134" s="4" t="s">
        <v>1507</v>
      </c>
      <c r="AD134" s="4" t="s">
        <v>1508</v>
      </c>
      <c r="AE134" s="4" t="s">
        <v>1509</v>
      </c>
      <c r="AF134" s="4" t="s">
        <v>1510</v>
      </c>
      <c r="AG134" s="4" t="s">
        <v>1511</v>
      </c>
      <c r="AH134" s="4" t="s">
        <v>1512</v>
      </c>
      <c r="AI134" s="4" t="s">
        <v>1513</v>
      </c>
      <c r="AJ134" s="4" t="s">
        <v>1514</v>
      </c>
      <c r="AK134" s="4" t="s">
        <v>1515</v>
      </c>
      <c r="AL134" s="4" t="s">
        <v>1516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/>
    </row>
    <row r="135" spans="1:169" x14ac:dyDescent="0.3">
      <c r="A135" s="2">
        <v>127</v>
      </c>
      <c r="B135" s="5">
        <v>22</v>
      </c>
      <c r="C135" s="6">
        <v>1501012</v>
      </c>
      <c r="D135" s="6" t="s">
        <v>197</v>
      </c>
      <c r="E135" s="6">
        <v>2911020</v>
      </c>
      <c r="F135" s="6">
        <v>1911022</v>
      </c>
      <c r="G135" s="6">
        <v>3911020</v>
      </c>
      <c r="H135" s="6">
        <v>1911021</v>
      </c>
      <c r="I135" s="6">
        <v>57.914999999999999</v>
      </c>
      <c r="J135" s="6" t="s">
        <v>169</v>
      </c>
      <c r="K135" s="6" t="s">
        <v>170</v>
      </c>
      <c r="L135" s="7" t="s">
        <v>171</v>
      </c>
      <c r="M135" s="7" t="s">
        <v>172</v>
      </c>
      <c r="N135" s="8" t="s">
        <v>1517</v>
      </c>
      <c r="O135" s="5">
        <v>2006.85</v>
      </c>
      <c r="P135" s="6">
        <v>1506.63</v>
      </c>
      <c r="Q135" s="6">
        <v>-2077.92</v>
      </c>
      <c r="R135" s="12">
        <v>20059.099999999999</v>
      </c>
      <c r="S135" s="4" t="s">
        <v>1518</v>
      </c>
      <c r="T135" s="4" t="s">
        <v>1519</v>
      </c>
      <c r="U135" s="4" t="s">
        <v>1520</v>
      </c>
      <c r="V135" s="4" t="s">
        <v>1521</v>
      </c>
      <c r="W135" s="4" t="s">
        <v>1522</v>
      </c>
      <c r="X135" s="4" t="s">
        <v>1523</v>
      </c>
      <c r="Y135" s="4" t="s">
        <v>1524</v>
      </c>
      <c r="Z135" s="4" t="s">
        <v>1525</v>
      </c>
      <c r="AA135" s="4" t="s">
        <v>1526</v>
      </c>
      <c r="AB135" s="4" t="s">
        <v>1527</v>
      </c>
      <c r="AC135" s="4" t="s">
        <v>1528</v>
      </c>
      <c r="AD135" s="4" t="s">
        <v>1529</v>
      </c>
      <c r="AE135" s="4" t="s">
        <v>1530</v>
      </c>
      <c r="AF135" s="4" t="s">
        <v>1531</v>
      </c>
      <c r="AG135" s="4" t="s">
        <v>1532</v>
      </c>
      <c r="AH135" s="4" t="s">
        <v>1533</v>
      </c>
      <c r="AI135" s="4" t="s">
        <v>1534</v>
      </c>
      <c r="AJ135" s="4" t="s">
        <v>1535</v>
      </c>
      <c r="AK135" s="4" t="s">
        <v>1536</v>
      </c>
      <c r="AL135" s="4" t="s">
        <v>1537</v>
      </c>
      <c r="AM135" s="3">
        <v>-1258.68</v>
      </c>
      <c r="AN135" s="3">
        <v>-1241.45</v>
      </c>
      <c r="AO135" s="3">
        <v>-1225.94</v>
      </c>
      <c r="AP135" s="3">
        <v>-1213.8900000000001</v>
      </c>
      <c r="AQ135" s="3">
        <v>-1203.95</v>
      </c>
      <c r="AR135" s="3">
        <v>-1193.97</v>
      </c>
      <c r="AS135" s="3">
        <v>-1373.28</v>
      </c>
      <c r="AT135" s="3">
        <v>-1550.71</v>
      </c>
      <c r="AU135" s="3">
        <v>-1721.44</v>
      </c>
      <c r="AV135" s="3">
        <v>-1885.7</v>
      </c>
      <c r="AW135" s="3">
        <v>-2046.81</v>
      </c>
      <c r="AX135" s="3">
        <v>-2033.99</v>
      </c>
      <c r="AY135" s="3">
        <v>-2025.88</v>
      </c>
      <c r="AZ135" s="3">
        <v>-2022.75</v>
      </c>
      <c r="BA135" s="3">
        <v>-2019.32</v>
      </c>
      <c r="BB135" s="3">
        <v>-2029.55</v>
      </c>
      <c r="BC135" s="3">
        <v>-1886.41</v>
      </c>
      <c r="BD135" s="3">
        <v>-1732.31</v>
      </c>
      <c r="BE135" s="3">
        <v>-1574.07</v>
      </c>
      <c r="BF135" s="3">
        <v>-1416.7</v>
      </c>
      <c r="BG135" s="3">
        <v>253.62299999999999</v>
      </c>
      <c r="BH135" s="3">
        <v>245.63200000000001</v>
      </c>
      <c r="BI135" s="3">
        <v>240.196</v>
      </c>
      <c r="BJ135" s="3">
        <v>242.41800000000001</v>
      </c>
      <c r="BK135" s="3">
        <v>249.07400000000001</v>
      </c>
      <c r="BL135" s="3">
        <v>255.65700000000001</v>
      </c>
      <c r="BM135" s="3">
        <v>254.137</v>
      </c>
      <c r="BN135" s="3">
        <v>253.941</v>
      </c>
      <c r="BO135" s="3">
        <v>252.733</v>
      </c>
      <c r="BP135" s="3">
        <v>249.244</v>
      </c>
      <c r="BQ135" s="3">
        <v>243.46899999999999</v>
      </c>
      <c r="BR135" s="3">
        <v>243.316</v>
      </c>
      <c r="BS135" s="3">
        <v>244.33699999999999</v>
      </c>
      <c r="BT135" s="3">
        <v>244.13</v>
      </c>
      <c r="BU135" s="3">
        <v>243.08</v>
      </c>
      <c r="BV135" s="3">
        <v>240.39</v>
      </c>
      <c r="BW135" s="3">
        <v>244.12299999999999</v>
      </c>
      <c r="BX135" s="3">
        <v>247.661</v>
      </c>
      <c r="BY135" s="3">
        <v>250.70599999999999</v>
      </c>
      <c r="BZ135" s="3">
        <v>252.59800000000001</v>
      </c>
      <c r="CA135" s="3">
        <v>-326.214</v>
      </c>
      <c r="CB135" s="3">
        <v>-325.649</v>
      </c>
      <c r="CC135" s="3">
        <v>-327.08800000000002</v>
      </c>
      <c r="CD135" s="3">
        <v>-332.62</v>
      </c>
      <c r="CE135" s="3">
        <v>-338.39400000000001</v>
      </c>
      <c r="CF135" s="3">
        <v>-342.01600000000002</v>
      </c>
      <c r="CG135" s="3">
        <v>-331.10199999999998</v>
      </c>
      <c r="CH135" s="3">
        <v>-318.26299999999998</v>
      </c>
      <c r="CI135" s="3">
        <v>-305.791</v>
      </c>
      <c r="CJ135" s="3">
        <v>-303.90199999999999</v>
      </c>
      <c r="CK135" s="3">
        <v>-314.56299999999999</v>
      </c>
      <c r="CL135" s="3">
        <v>-305.74</v>
      </c>
      <c r="CM135" s="3">
        <v>-292.029</v>
      </c>
      <c r="CN135" s="3">
        <v>-276.255</v>
      </c>
      <c r="CO135" s="3">
        <v>-262.791</v>
      </c>
      <c r="CP135" s="3">
        <v>-254.721</v>
      </c>
      <c r="CQ135" s="3">
        <v>-262.24200000000002</v>
      </c>
      <c r="CR135" s="3">
        <v>-278.18200000000002</v>
      </c>
      <c r="CS135" s="3">
        <v>-297.572</v>
      </c>
      <c r="CT135" s="3">
        <v>-313.07100000000003</v>
      </c>
      <c r="CU135" s="3">
        <v>-4685.88</v>
      </c>
      <c r="CV135" s="3">
        <v>-5566.83</v>
      </c>
      <c r="CW135" s="3">
        <v>-5519.05</v>
      </c>
      <c r="CX135" s="3">
        <v>-5352.99</v>
      </c>
      <c r="CY135" s="3">
        <v>-5698.98</v>
      </c>
      <c r="CZ135" s="3">
        <v>-6934.6</v>
      </c>
      <c r="DA135" s="3">
        <v>-6419.85</v>
      </c>
      <c r="DB135" s="3">
        <v>-6051.38</v>
      </c>
      <c r="DC135" s="3">
        <v>-5805.86</v>
      </c>
      <c r="DD135" s="3">
        <v>-5744.48</v>
      </c>
      <c r="DE135" s="3">
        <v>-5773.13</v>
      </c>
      <c r="DF135" s="3">
        <v>-4135.71</v>
      </c>
      <c r="DG135" s="3">
        <v>-3476.85</v>
      </c>
      <c r="DH135" s="3">
        <v>-3451.59</v>
      </c>
      <c r="DI135" s="3">
        <v>-3468.28</v>
      </c>
      <c r="DJ135" s="3">
        <v>-2639.66</v>
      </c>
      <c r="DK135" s="3">
        <v>-3403.63</v>
      </c>
      <c r="DL135" s="3">
        <v>-4041.24</v>
      </c>
      <c r="DM135" s="3">
        <v>-4419.3</v>
      </c>
      <c r="DN135" s="3">
        <v>-4623.91</v>
      </c>
      <c r="DO135" s="3">
        <v>-2731.65</v>
      </c>
      <c r="DP135" s="3">
        <v>-2646.8</v>
      </c>
      <c r="DQ135" s="3">
        <v>-2812.22</v>
      </c>
      <c r="DR135" s="3">
        <v>-2979.91</v>
      </c>
      <c r="DS135" s="3">
        <v>-3090.62</v>
      </c>
      <c r="DT135" s="3">
        <v>-2942.67</v>
      </c>
      <c r="DU135" s="3">
        <v>-2483.8200000000002</v>
      </c>
      <c r="DV135" s="3">
        <v>-1605.16</v>
      </c>
      <c r="DW135" s="3">
        <v>-1071.95</v>
      </c>
      <c r="DX135" s="3">
        <v>-1050.8599999999999</v>
      </c>
      <c r="DY135" s="3">
        <v>-1105</v>
      </c>
      <c r="DZ135" s="3">
        <v>-958.88599999999997</v>
      </c>
      <c r="EA135" s="3">
        <v>-682.45299999999997</v>
      </c>
      <c r="EB135" s="3">
        <v>-281.63200000000001</v>
      </c>
      <c r="EC135" s="3">
        <v>-10.3626</v>
      </c>
      <c r="ED135" s="3">
        <v>143.024</v>
      </c>
      <c r="EE135" s="3">
        <v>-491.065</v>
      </c>
      <c r="EF135" s="3">
        <v>-1545.36</v>
      </c>
      <c r="EG135" s="3">
        <v>-2420.2800000000002</v>
      </c>
      <c r="EH135" s="3">
        <v>-2735.36</v>
      </c>
      <c r="EI135" s="3">
        <v>-752.17200000000003</v>
      </c>
      <c r="EJ135" s="3">
        <v>-556.07799999999997</v>
      </c>
      <c r="EK135" s="3">
        <v>-217.571</v>
      </c>
      <c r="EL135" s="3">
        <v>-195.22800000000001</v>
      </c>
      <c r="EM135" s="3">
        <v>-394.42399999999998</v>
      </c>
      <c r="EN135" s="3">
        <v>-701.81500000000005</v>
      </c>
      <c r="EO135" s="3">
        <v>-1171.0899999999999</v>
      </c>
      <c r="EP135" s="3">
        <v>-1268.08</v>
      </c>
      <c r="EQ135" s="3">
        <v>-917.72</v>
      </c>
      <c r="ER135" s="3">
        <v>-688.04600000000005</v>
      </c>
      <c r="ES135" s="3">
        <v>-830.51</v>
      </c>
      <c r="ET135" s="3">
        <v>-1017.55</v>
      </c>
      <c r="EU135" s="3">
        <v>-1175.19</v>
      </c>
      <c r="EV135" s="3">
        <v>-1149.46</v>
      </c>
      <c r="EW135" s="3">
        <v>-723.36500000000001</v>
      </c>
      <c r="EX135" s="3">
        <v>-310.05700000000002</v>
      </c>
      <c r="EY135" s="3">
        <v>-153.077</v>
      </c>
      <c r="EZ135" s="3">
        <v>-311.97399999999999</v>
      </c>
      <c r="FA135" s="3">
        <v>-664.93</v>
      </c>
      <c r="FB135" s="3">
        <v>-850.54300000000001</v>
      </c>
      <c r="FC135" s="3">
        <v>-1628.65</v>
      </c>
      <c r="FD135" s="3">
        <v>-1649.62</v>
      </c>
      <c r="FE135" s="3">
        <v>243.12</v>
      </c>
      <c r="FF135" s="3">
        <v>247.767</v>
      </c>
      <c r="FG135" s="3">
        <v>-284.35000000000002</v>
      </c>
      <c r="FH135" s="3">
        <v>-331.99700000000001</v>
      </c>
      <c r="FI135" s="3">
        <v>5045.24</v>
      </c>
      <c r="FJ135" s="3">
        <v>1674.93</v>
      </c>
      <c r="FK135" s="3">
        <v>693.47699999999998</v>
      </c>
      <c r="FL135" s="3">
        <v>0</v>
      </c>
      <c r="FM135" s="3"/>
    </row>
    <row r="136" spans="1:169" x14ac:dyDescent="0.3">
      <c r="A136" s="2">
        <v>128</v>
      </c>
      <c r="B136" s="5">
        <v>22</v>
      </c>
      <c r="C136" s="6">
        <v>1501012</v>
      </c>
      <c r="D136" s="6" t="s">
        <v>197</v>
      </c>
      <c r="E136" s="6">
        <v>2911020</v>
      </c>
      <c r="F136" s="6">
        <v>1911022</v>
      </c>
      <c r="G136" s="6">
        <v>3911020</v>
      </c>
      <c r="H136" s="6">
        <v>1911021</v>
      </c>
      <c r="I136" s="6">
        <v>57.914999999999999</v>
      </c>
      <c r="J136" s="6" t="s">
        <v>194</v>
      </c>
      <c r="K136" s="6" t="s">
        <v>195</v>
      </c>
      <c r="L136" s="7" t="s">
        <v>196</v>
      </c>
      <c r="M136" s="7" t="s">
        <v>172</v>
      </c>
      <c r="N136" s="8" t="s">
        <v>1517</v>
      </c>
      <c r="O136" s="5">
        <v>-566.66800000000001</v>
      </c>
      <c r="P136" s="6">
        <v>-1827.44</v>
      </c>
      <c r="Q136" s="6">
        <v>2624.22</v>
      </c>
      <c r="R136" s="12">
        <v>37417.599999999999</v>
      </c>
      <c r="S136" s="4" t="s">
        <v>1518</v>
      </c>
      <c r="T136" s="4" t="s">
        <v>1519</v>
      </c>
      <c r="U136" s="4" t="s">
        <v>1520</v>
      </c>
      <c r="V136" s="4" t="s">
        <v>1521</v>
      </c>
      <c r="W136" s="4" t="s">
        <v>1522</v>
      </c>
      <c r="X136" s="4" t="s">
        <v>1523</v>
      </c>
      <c r="Y136" s="4" t="s">
        <v>1524</v>
      </c>
      <c r="Z136" s="4" t="s">
        <v>1525</v>
      </c>
      <c r="AA136" s="4" t="s">
        <v>1526</v>
      </c>
      <c r="AB136" s="4" t="s">
        <v>1527</v>
      </c>
      <c r="AC136" s="4" t="s">
        <v>1528</v>
      </c>
      <c r="AD136" s="4" t="s">
        <v>1529</v>
      </c>
      <c r="AE136" s="4" t="s">
        <v>1530</v>
      </c>
      <c r="AF136" s="4" t="s">
        <v>1531</v>
      </c>
      <c r="AG136" s="4" t="s">
        <v>1532</v>
      </c>
      <c r="AH136" s="4" t="s">
        <v>1533</v>
      </c>
      <c r="AI136" s="4" t="s">
        <v>1534</v>
      </c>
      <c r="AJ136" s="4" t="s">
        <v>1535</v>
      </c>
      <c r="AK136" s="4" t="s">
        <v>1536</v>
      </c>
      <c r="AL136" s="4" t="s">
        <v>1537</v>
      </c>
      <c r="AM136" s="3">
        <v>1297.1199999999999</v>
      </c>
      <c r="AN136" s="3">
        <v>1294.5</v>
      </c>
      <c r="AO136" s="3">
        <v>1295.99</v>
      </c>
      <c r="AP136" s="3">
        <v>1309.02</v>
      </c>
      <c r="AQ136" s="3">
        <v>1330.66</v>
      </c>
      <c r="AR136" s="3">
        <v>1358.82</v>
      </c>
      <c r="AS136" s="3">
        <v>1422.82</v>
      </c>
      <c r="AT136" s="3">
        <v>1462.95</v>
      </c>
      <c r="AU136" s="3">
        <v>1490.37</v>
      </c>
      <c r="AV136" s="3">
        <v>1522.68</v>
      </c>
      <c r="AW136" s="3">
        <v>1573.09</v>
      </c>
      <c r="AX136" s="3">
        <v>1629.48</v>
      </c>
      <c r="AY136" s="3">
        <v>1679.83</v>
      </c>
      <c r="AZ136" s="3">
        <v>1726.49</v>
      </c>
      <c r="BA136" s="3">
        <v>1765.59</v>
      </c>
      <c r="BB136" s="3">
        <v>1811.48</v>
      </c>
      <c r="BC136" s="3">
        <v>1711.3</v>
      </c>
      <c r="BD136" s="3">
        <v>1611.25</v>
      </c>
      <c r="BE136" s="3">
        <v>1510.75</v>
      </c>
      <c r="BF136" s="3">
        <v>1407.09</v>
      </c>
      <c r="BG136" s="3">
        <v>-240.542</v>
      </c>
      <c r="BH136" s="3">
        <v>-236.28700000000001</v>
      </c>
      <c r="BI136" s="3">
        <v>-236.96199999999999</v>
      </c>
      <c r="BJ136" s="3">
        <v>-249.066</v>
      </c>
      <c r="BK136" s="3">
        <v>-266.95699999999999</v>
      </c>
      <c r="BL136" s="3">
        <v>-285.52199999999999</v>
      </c>
      <c r="BM136" s="3">
        <v>-243.14099999999999</v>
      </c>
      <c r="BN136" s="3">
        <v>-193.87100000000001</v>
      </c>
      <c r="BO136" s="3">
        <v>-141.06899999999999</v>
      </c>
      <c r="BP136" s="3">
        <v>-89.422399999999996</v>
      </c>
      <c r="BQ136" s="3">
        <v>-42.551900000000003</v>
      </c>
      <c r="BR136" s="3">
        <v>-62.537799999999997</v>
      </c>
      <c r="BS136" s="3">
        <v>-80.628699999999995</v>
      </c>
      <c r="BT136" s="3">
        <v>-95.573899999999995</v>
      </c>
      <c r="BU136" s="3">
        <v>-108.86</v>
      </c>
      <c r="BV136" s="3">
        <v>-120.953</v>
      </c>
      <c r="BW136" s="3">
        <v>-142.387</v>
      </c>
      <c r="BX136" s="3">
        <v>-167.80500000000001</v>
      </c>
      <c r="BY136" s="3">
        <v>-194.2</v>
      </c>
      <c r="BZ136" s="3">
        <v>-218.49700000000001</v>
      </c>
      <c r="CA136" s="3">
        <v>456.70400000000001</v>
      </c>
      <c r="CB136" s="3">
        <v>478.15</v>
      </c>
      <c r="CC136" s="3">
        <v>505.14100000000002</v>
      </c>
      <c r="CD136" s="3">
        <v>539.62400000000002</v>
      </c>
      <c r="CE136" s="3">
        <v>576.53300000000002</v>
      </c>
      <c r="CF136" s="3">
        <v>614.28</v>
      </c>
      <c r="CG136" s="3">
        <v>640.01800000000003</v>
      </c>
      <c r="CH136" s="3">
        <v>646.649</v>
      </c>
      <c r="CI136" s="3">
        <v>630.85699999999997</v>
      </c>
      <c r="CJ136" s="3">
        <v>592.97</v>
      </c>
      <c r="CK136" s="3">
        <v>539.02800000000002</v>
      </c>
      <c r="CL136" s="3">
        <v>496.49900000000002</v>
      </c>
      <c r="CM136" s="3">
        <v>453.875</v>
      </c>
      <c r="CN136" s="3">
        <v>411.36399999999998</v>
      </c>
      <c r="CO136" s="3">
        <v>376.75599999999997</v>
      </c>
      <c r="CP136" s="3">
        <v>349.95400000000001</v>
      </c>
      <c r="CQ136" s="3">
        <v>385.733</v>
      </c>
      <c r="CR136" s="3">
        <v>418.08100000000002</v>
      </c>
      <c r="CS136" s="3">
        <v>441.18299999999999</v>
      </c>
      <c r="CT136" s="3">
        <v>452.58699999999999</v>
      </c>
      <c r="CU136" s="3">
        <v>4526.63</v>
      </c>
      <c r="CV136" s="3">
        <v>5397.18</v>
      </c>
      <c r="CW136" s="3">
        <v>5413.54</v>
      </c>
      <c r="CX136" s="3">
        <v>5357.61</v>
      </c>
      <c r="CY136" s="3">
        <v>5817.19</v>
      </c>
      <c r="CZ136" s="3">
        <v>7133.6</v>
      </c>
      <c r="DA136" s="3">
        <v>6595.75</v>
      </c>
      <c r="DB136" s="3">
        <v>6213.9</v>
      </c>
      <c r="DC136" s="3">
        <v>5963.9</v>
      </c>
      <c r="DD136" s="3">
        <v>5914.59</v>
      </c>
      <c r="DE136" s="3">
        <v>5973.81</v>
      </c>
      <c r="DF136" s="3">
        <v>4269.5600000000004</v>
      </c>
      <c r="DG136" s="3">
        <v>3510.79</v>
      </c>
      <c r="DH136" s="3">
        <v>3374.74</v>
      </c>
      <c r="DI136" s="3">
        <v>3300.9</v>
      </c>
      <c r="DJ136" s="3">
        <v>2452.36</v>
      </c>
      <c r="DK136" s="3">
        <v>3179.11</v>
      </c>
      <c r="DL136" s="3">
        <v>3802.76</v>
      </c>
      <c r="DM136" s="3">
        <v>4191.47</v>
      </c>
      <c r="DN136" s="3">
        <v>4421.16</v>
      </c>
      <c r="DO136" s="3">
        <v>2595.86</v>
      </c>
      <c r="DP136" s="3">
        <v>2555.4699999999998</v>
      </c>
      <c r="DQ136" s="3">
        <v>2765.58</v>
      </c>
      <c r="DR136" s="3">
        <v>2984.47</v>
      </c>
      <c r="DS136" s="3">
        <v>3160.19</v>
      </c>
      <c r="DT136" s="3">
        <v>3104.87</v>
      </c>
      <c r="DU136" s="3">
        <v>2487.12</v>
      </c>
      <c r="DV136" s="3">
        <v>1495.86</v>
      </c>
      <c r="DW136" s="3">
        <v>864.55399999999997</v>
      </c>
      <c r="DX136" s="3">
        <v>729.38199999999995</v>
      </c>
      <c r="DY136" s="3">
        <v>661.17399999999998</v>
      </c>
      <c r="DZ136" s="3">
        <v>528.91099999999994</v>
      </c>
      <c r="EA136" s="3">
        <v>274.48399999999998</v>
      </c>
      <c r="EB136" s="3">
        <v>-102.11199999999999</v>
      </c>
      <c r="EC136" s="3">
        <v>-353.98</v>
      </c>
      <c r="ED136" s="3">
        <v>-495.92700000000002</v>
      </c>
      <c r="EE136" s="3">
        <v>159.91999999999999</v>
      </c>
      <c r="EF136" s="3">
        <v>1198.8699999999999</v>
      </c>
      <c r="EG136" s="3">
        <v>2079.5300000000002</v>
      </c>
      <c r="EH136" s="3">
        <v>2471.41</v>
      </c>
      <c r="EI136" s="3">
        <v>620.11400000000003</v>
      </c>
      <c r="EJ136" s="3">
        <v>434.57499999999999</v>
      </c>
      <c r="EK136" s="3">
        <v>133.97200000000001</v>
      </c>
      <c r="EL136" s="3">
        <v>128.90600000000001</v>
      </c>
      <c r="EM136" s="3">
        <v>325.14400000000001</v>
      </c>
      <c r="EN136" s="3">
        <v>610.75599999999997</v>
      </c>
      <c r="EO136" s="3">
        <v>991.20299999999997</v>
      </c>
      <c r="EP136" s="3">
        <v>1028.73</v>
      </c>
      <c r="EQ136" s="3">
        <v>672.53700000000003</v>
      </c>
      <c r="ER136" s="3">
        <v>464.00799999999998</v>
      </c>
      <c r="ES136" s="3">
        <v>632.01099999999997</v>
      </c>
      <c r="ET136" s="3">
        <v>842.846</v>
      </c>
      <c r="EU136" s="3">
        <v>1008.56</v>
      </c>
      <c r="EV136" s="3">
        <v>992.39599999999996</v>
      </c>
      <c r="EW136" s="3">
        <v>600.17600000000004</v>
      </c>
      <c r="EX136" s="3">
        <v>223.55600000000001</v>
      </c>
      <c r="EY136" s="3">
        <v>64.565399999999997</v>
      </c>
      <c r="EZ136" s="3">
        <v>207.12700000000001</v>
      </c>
      <c r="FA136" s="3">
        <v>531.25</v>
      </c>
      <c r="FB136" s="3">
        <v>701.42700000000002</v>
      </c>
      <c r="FC136" s="3">
        <v>1471.79</v>
      </c>
      <c r="FD136" s="3">
        <v>1558.17</v>
      </c>
      <c r="FE136" s="3">
        <v>-85.184100000000001</v>
      </c>
      <c r="FF136" s="3">
        <v>-252.55600000000001</v>
      </c>
      <c r="FG136" s="3">
        <v>417.37400000000002</v>
      </c>
      <c r="FH136" s="3">
        <v>610.63400000000001</v>
      </c>
      <c r="FI136" s="3">
        <v>-5030.76</v>
      </c>
      <c r="FJ136" s="3">
        <v>-1473.25</v>
      </c>
      <c r="FK136" s="3">
        <v>-554.17899999999997</v>
      </c>
      <c r="FL136" s="3">
        <v>0</v>
      </c>
      <c r="FM136" s="3"/>
    </row>
    <row r="137" spans="1:169" x14ac:dyDescent="0.3">
      <c r="A137" s="2">
        <v>129</v>
      </c>
      <c r="B137" s="5">
        <v>22</v>
      </c>
      <c r="C137" s="6">
        <v>3503714</v>
      </c>
      <c r="D137" s="6" t="s">
        <v>219</v>
      </c>
      <c r="E137" s="6">
        <v>3911020</v>
      </c>
      <c r="F137" s="6">
        <v>3911022</v>
      </c>
      <c r="G137" s="6">
        <v>4911020</v>
      </c>
      <c r="H137" s="6">
        <v>3911023</v>
      </c>
      <c r="I137" s="6">
        <v>51.48</v>
      </c>
      <c r="J137" s="6" t="s">
        <v>169</v>
      </c>
      <c r="K137" s="6" t="s">
        <v>170</v>
      </c>
      <c r="L137" s="7" t="s">
        <v>171</v>
      </c>
      <c r="M137" s="7" t="s">
        <v>172</v>
      </c>
      <c r="N137" s="8" t="s">
        <v>1538</v>
      </c>
      <c r="O137" s="5">
        <v>-14441.3</v>
      </c>
      <c r="P137" s="6">
        <v>16594.7</v>
      </c>
      <c r="Q137" s="6">
        <v>557.17999999999995</v>
      </c>
      <c r="R137" s="12">
        <v>20059.099999999999</v>
      </c>
      <c r="S137" s="4" t="s">
        <v>1539</v>
      </c>
      <c r="T137" s="4" t="s">
        <v>1540</v>
      </c>
      <c r="U137" s="4" t="s">
        <v>1541</v>
      </c>
      <c r="V137" s="4" t="s">
        <v>1542</v>
      </c>
      <c r="W137" s="4" t="s">
        <v>1543</v>
      </c>
      <c r="X137" s="4" t="s">
        <v>1544</v>
      </c>
      <c r="Y137" s="4" t="s">
        <v>1545</v>
      </c>
      <c r="Z137" s="4" t="s">
        <v>1546</v>
      </c>
      <c r="AA137" s="4" t="s">
        <v>1547</v>
      </c>
      <c r="AB137" s="4" t="s">
        <v>1548</v>
      </c>
      <c r="AC137" s="4" t="s">
        <v>1549</v>
      </c>
      <c r="AD137" s="4" t="s">
        <v>1550</v>
      </c>
      <c r="AE137" s="4" t="s">
        <v>1551</v>
      </c>
      <c r="AF137" s="4" t="s">
        <v>1552</v>
      </c>
      <c r="AG137" s="4" t="s">
        <v>1553</v>
      </c>
      <c r="AH137" s="4" t="s">
        <v>1554</v>
      </c>
      <c r="AI137" s="4" t="s">
        <v>1555</v>
      </c>
      <c r="AJ137" s="4" t="s">
        <v>1556</v>
      </c>
      <c r="AK137" s="4" t="s">
        <v>1557</v>
      </c>
      <c r="AL137" s="4" t="s">
        <v>1558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/>
    </row>
    <row r="138" spans="1:169" x14ac:dyDescent="0.3">
      <c r="A138" s="2">
        <v>130</v>
      </c>
      <c r="B138" s="5">
        <v>22</v>
      </c>
      <c r="C138" s="6">
        <v>3503714</v>
      </c>
      <c r="D138" s="6" t="s">
        <v>219</v>
      </c>
      <c r="E138" s="6">
        <v>3911020</v>
      </c>
      <c r="F138" s="6">
        <v>3911022</v>
      </c>
      <c r="G138" s="6">
        <v>4911020</v>
      </c>
      <c r="H138" s="6">
        <v>3911023</v>
      </c>
      <c r="I138" s="6">
        <v>51.48</v>
      </c>
      <c r="J138" s="6" t="s">
        <v>194</v>
      </c>
      <c r="K138" s="6" t="s">
        <v>195</v>
      </c>
      <c r="L138" s="7" t="s">
        <v>196</v>
      </c>
      <c r="M138" s="7" t="s">
        <v>172</v>
      </c>
      <c r="N138" s="8" t="s">
        <v>1538</v>
      </c>
      <c r="O138" s="5">
        <v>13163.3</v>
      </c>
      <c r="P138" s="6">
        <v>-18866.2</v>
      </c>
      <c r="Q138" s="6">
        <v>-596.30899999999997</v>
      </c>
      <c r="R138" s="12">
        <v>37417.599999999999</v>
      </c>
      <c r="S138" s="4" t="s">
        <v>1539</v>
      </c>
      <c r="T138" s="4" t="s">
        <v>1540</v>
      </c>
      <c r="U138" s="4" t="s">
        <v>1541</v>
      </c>
      <c r="V138" s="4" t="s">
        <v>1542</v>
      </c>
      <c r="W138" s="4" t="s">
        <v>1543</v>
      </c>
      <c r="X138" s="4" t="s">
        <v>1544</v>
      </c>
      <c r="Y138" s="4" t="s">
        <v>1545</v>
      </c>
      <c r="Z138" s="4" t="s">
        <v>1546</v>
      </c>
      <c r="AA138" s="4" t="s">
        <v>1547</v>
      </c>
      <c r="AB138" s="4" t="s">
        <v>1548</v>
      </c>
      <c r="AC138" s="4" t="s">
        <v>1549</v>
      </c>
      <c r="AD138" s="4" t="s">
        <v>1550</v>
      </c>
      <c r="AE138" s="4" t="s">
        <v>1551</v>
      </c>
      <c r="AF138" s="4" t="s">
        <v>1552</v>
      </c>
      <c r="AG138" s="4" t="s">
        <v>1553</v>
      </c>
      <c r="AH138" s="4" t="s">
        <v>1554</v>
      </c>
      <c r="AI138" s="4" t="s">
        <v>1555</v>
      </c>
      <c r="AJ138" s="4" t="s">
        <v>1556</v>
      </c>
      <c r="AK138" s="4" t="s">
        <v>1557</v>
      </c>
      <c r="AL138" s="4" t="s">
        <v>1558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/>
    </row>
    <row r="139" spans="1:169" x14ac:dyDescent="0.3">
      <c r="A139" s="2">
        <v>131</v>
      </c>
      <c r="B139" s="5">
        <v>22</v>
      </c>
      <c r="C139" s="6">
        <v>4100684</v>
      </c>
      <c r="D139" s="6" t="s">
        <v>307</v>
      </c>
      <c r="E139" s="6">
        <v>4911020</v>
      </c>
      <c r="F139" s="6">
        <v>4911020</v>
      </c>
      <c r="G139" s="6">
        <v>0</v>
      </c>
      <c r="H139" s="6">
        <v>0</v>
      </c>
      <c r="I139" s="6">
        <v>57.914999999999999</v>
      </c>
      <c r="J139" s="6" t="s">
        <v>169</v>
      </c>
      <c r="K139" s="6" t="s">
        <v>170</v>
      </c>
      <c r="L139" s="7" t="s">
        <v>171</v>
      </c>
      <c r="M139" s="7" t="s">
        <v>172</v>
      </c>
      <c r="N139" s="8" t="s">
        <v>1559</v>
      </c>
      <c r="O139" s="5">
        <v>-37428</v>
      </c>
      <c r="P139" s="6">
        <v>-12592.2</v>
      </c>
      <c r="Q139" s="6">
        <v>1921.32</v>
      </c>
      <c r="R139" s="12">
        <v>20059.099999999999</v>
      </c>
      <c r="S139" s="4" t="s">
        <v>1560</v>
      </c>
      <c r="T139" s="4" t="s">
        <v>1561</v>
      </c>
      <c r="U139" s="4" t="s">
        <v>1562</v>
      </c>
      <c r="V139" s="4" t="s">
        <v>1563</v>
      </c>
      <c r="W139" s="4" t="s">
        <v>1564</v>
      </c>
      <c r="X139" s="4" t="s">
        <v>1565</v>
      </c>
      <c r="Y139" s="4" t="s">
        <v>1566</v>
      </c>
      <c r="Z139" s="4" t="s">
        <v>1567</v>
      </c>
      <c r="AA139" s="4" t="s">
        <v>1568</v>
      </c>
      <c r="AB139" s="4" t="s">
        <v>1569</v>
      </c>
      <c r="AC139" s="4" t="s">
        <v>1570</v>
      </c>
      <c r="AD139" s="4" t="s">
        <v>1571</v>
      </c>
      <c r="AE139" s="4" t="s">
        <v>1572</v>
      </c>
      <c r="AF139" s="4" t="s">
        <v>1573</v>
      </c>
      <c r="AG139" s="4" t="s">
        <v>1574</v>
      </c>
      <c r="AH139" s="4" t="s">
        <v>1575</v>
      </c>
      <c r="AI139" s="4" t="s">
        <v>1576</v>
      </c>
      <c r="AJ139" s="4" t="s">
        <v>1577</v>
      </c>
      <c r="AK139" s="4" t="s">
        <v>1578</v>
      </c>
      <c r="AL139" s="4" t="s">
        <v>1579</v>
      </c>
      <c r="AM139" s="3">
        <v>-392.755</v>
      </c>
      <c r="AN139" s="3">
        <v>-302.72800000000001</v>
      </c>
      <c r="AO139" s="3">
        <v>-226.54300000000001</v>
      </c>
      <c r="AP139" s="3">
        <v>-178.36699999999999</v>
      </c>
      <c r="AQ139" s="3">
        <v>-119.831</v>
      </c>
      <c r="AR139" s="3">
        <v>-66.167599999999993</v>
      </c>
      <c r="AS139" s="3">
        <v>-4.1180199999999996</v>
      </c>
      <c r="AT139" s="3">
        <v>48.369900000000001</v>
      </c>
      <c r="AU139" s="3">
        <v>56.686500000000002</v>
      </c>
      <c r="AV139" s="3">
        <v>-4.8373400000000002</v>
      </c>
      <c r="AW139" s="3">
        <v>-100.01</v>
      </c>
      <c r="AX139" s="3">
        <v>-154.50700000000001</v>
      </c>
      <c r="AY139" s="3">
        <v>-218.04300000000001</v>
      </c>
      <c r="AZ139" s="3">
        <v>-261.44099999999997</v>
      </c>
      <c r="BA139" s="3">
        <v>-285.94499999999999</v>
      </c>
      <c r="BB139" s="3">
        <v>-323.49099999999999</v>
      </c>
      <c r="BC139" s="3">
        <v>-380.76799999999997</v>
      </c>
      <c r="BD139" s="3">
        <v>-420.13200000000001</v>
      </c>
      <c r="BE139" s="3">
        <v>-424.91899999999998</v>
      </c>
      <c r="BF139" s="3">
        <v>-414.79199999999997</v>
      </c>
      <c r="BG139" s="3">
        <v>-52.118299999999998</v>
      </c>
      <c r="BH139" s="3">
        <v>-124.91200000000001</v>
      </c>
      <c r="BI139" s="3">
        <v>-128.81200000000001</v>
      </c>
      <c r="BJ139" s="3">
        <v>-65.515000000000001</v>
      </c>
      <c r="BK139" s="3">
        <v>-18.680800000000001</v>
      </c>
      <c r="BL139" s="3">
        <v>-18.938400000000001</v>
      </c>
      <c r="BM139" s="3">
        <v>-77.876199999999997</v>
      </c>
      <c r="BN139" s="3">
        <v>-139.28700000000001</v>
      </c>
      <c r="BO139" s="3">
        <v>-156.142</v>
      </c>
      <c r="BP139" s="3">
        <v>-118.661</v>
      </c>
      <c r="BQ139" s="3">
        <v>-70.489599999999996</v>
      </c>
      <c r="BR139" s="3">
        <v>10.924099999999999</v>
      </c>
      <c r="BS139" s="3">
        <v>37.1004</v>
      </c>
      <c r="BT139" s="3">
        <v>9.3881399999999999</v>
      </c>
      <c r="BU139" s="3">
        <v>-23.911999999999999</v>
      </c>
      <c r="BV139" s="3">
        <v>-28.678000000000001</v>
      </c>
      <c r="BW139" s="3">
        <v>-21.395600000000002</v>
      </c>
      <c r="BX139" s="3">
        <v>0.50286200000000003</v>
      </c>
      <c r="BY139" s="3">
        <v>10.8752</v>
      </c>
      <c r="BZ139" s="3">
        <v>-24.145700000000001</v>
      </c>
      <c r="CA139" s="3">
        <v>-249.71199999999999</v>
      </c>
      <c r="CB139" s="3">
        <v>-211.65600000000001</v>
      </c>
      <c r="CC139" s="3">
        <v>-152.779</v>
      </c>
      <c r="CD139" s="3">
        <v>-117.517</v>
      </c>
      <c r="CE139" s="3">
        <v>-87.439499999999995</v>
      </c>
      <c r="CF139" s="3">
        <v>-46.116599999999998</v>
      </c>
      <c r="CG139" s="3">
        <v>-66.349599999999995</v>
      </c>
      <c r="CH139" s="3">
        <v>-27.611799999999999</v>
      </c>
      <c r="CI139" s="3">
        <v>48.311399999999999</v>
      </c>
      <c r="CJ139" s="3">
        <v>111.91500000000001</v>
      </c>
      <c r="CK139" s="3">
        <v>135.18299999999999</v>
      </c>
      <c r="CL139" s="3">
        <v>113.133</v>
      </c>
      <c r="CM139" s="3">
        <v>59.912599999999998</v>
      </c>
      <c r="CN139" s="3">
        <v>21.497</v>
      </c>
      <c r="CO139" s="3">
        <v>29.844200000000001</v>
      </c>
      <c r="CP139" s="3">
        <v>53.196599999999997</v>
      </c>
      <c r="CQ139" s="3">
        <v>19.124400000000001</v>
      </c>
      <c r="CR139" s="3">
        <v>-62.447099999999999</v>
      </c>
      <c r="CS139" s="3">
        <v>-162.78200000000001</v>
      </c>
      <c r="CT139" s="3">
        <v>-244.57300000000001</v>
      </c>
      <c r="CU139" s="3">
        <v>-432.73</v>
      </c>
      <c r="CV139" s="3">
        <v>-698.904</v>
      </c>
      <c r="CW139" s="3">
        <v>-846.75099999999998</v>
      </c>
      <c r="CX139" s="3">
        <v>-693.09900000000005</v>
      </c>
      <c r="CY139" s="3">
        <v>-413.82499999999999</v>
      </c>
      <c r="CZ139" s="3">
        <v>-164.10900000000001</v>
      </c>
      <c r="DA139" s="3">
        <v>-151.63300000000001</v>
      </c>
      <c r="DB139" s="3">
        <v>-120.039</v>
      </c>
      <c r="DC139" s="3">
        <v>-70.500900000000001</v>
      </c>
      <c r="DD139" s="3">
        <v>-12.398099999999999</v>
      </c>
      <c r="DE139" s="3">
        <v>14.236800000000001</v>
      </c>
      <c r="DF139" s="3">
        <v>31.408899999999999</v>
      </c>
      <c r="DG139" s="3">
        <v>-18.5962</v>
      </c>
      <c r="DH139" s="3">
        <v>-127.887</v>
      </c>
      <c r="DI139" s="3">
        <v>-230.161</v>
      </c>
      <c r="DJ139" s="3">
        <v>-242.001</v>
      </c>
      <c r="DK139" s="3">
        <v>-293.68700000000001</v>
      </c>
      <c r="DL139" s="3">
        <v>-325.85899999999998</v>
      </c>
      <c r="DM139" s="3">
        <v>-331.28899999999999</v>
      </c>
      <c r="DN139" s="3">
        <v>-368.654</v>
      </c>
      <c r="DO139" s="3">
        <v>-732.29399999999998</v>
      </c>
      <c r="DP139" s="3">
        <v>-806.88099999999997</v>
      </c>
      <c r="DQ139" s="3">
        <v>-848.39400000000001</v>
      </c>
      <c r="DR139" s="3">
        <v>-836.18600000000004</v>
      </c>
      <c r="DS139" s="3">
        <v>-743.24400000000003</v>
      </c>
      <c r="DT139" s="3">
        <v>-617.16300000000001</v>
      </c>
      <c r="DU139" s="3">
        <v>-588.35299999999995</v>
      </c>
      <c r="DV139" s="3">
        <v>-424.41699999999997</v>
      </c>
      <c r="DW139" s="3">
        <v>-203.06299999999999</v>
      </c>
      <c r="DX139" s="3">
        <v>-24.467500000000001</v>
      </c>
      <c r="DY139" s="3">
        <v>38.573700000000002</v>
      </c>
      <c r="DZ139" s="3">
        <v>78.450599999999994</v>
      </c>
      <c r="EA139" s="3">
        <v>76.598299999999995</v>
      </c>
      <c r="EB139" s="3">
        <v>42.501300000000001</v>
      </c>
      <c r="EC139" s="3">
        <v>14.563700000000001</v>
      </c>
      <c r="ED139" s="3">
        <v>-13.107799999999999</v>
      </c>
      <c r="EE139" s="3">
        <v>-160.709</v>
      </c>
      <c r="EF139" s="3">
        <v>-368.32900000000001</v>
      </c>
      <c r="EG139" s="3">
        <v>-554.02300000000002</v>
      </c>
      <c r="EH139" s="3">
        <v>-679.63599999999997</v>
      </c>
      <c r="EI139" s="3">
        <v>-85.710400000000007</v>
      </c>
      <c r="EJ139" s="3">
        <v>-78.083399999999997</v>
      </c>
      <c r="EK139" s="3">
        <v>-48.798200000000001</v>
      </c>
      <c r="EL139" s="3">
        <v>-24.892900000000001</v>
      </c>
      <c r="EM139" s="3">
        <v>49.443100000000001</v>
      </c>
      <c r="EN139" s="3">
        <v>104.884</v>
      </c>
      <c r="EO139" s="3">
        <v>159.54900000000001</v>
      </c>
      <c r="EP139" s="3">
        <v>195.428</v>
      </c>
      <c r="EQ139" s="3">
        <v>168.28899999999999</v>
      </c>
      <c r="ER139" s="3">
        <v>86.3934</v>
      </c>
      <c r="ES139" s="3">
        <v>3.07734</v>
      </c>
      <c r="ET139" s="3">
        <v>-21.8597</v>
      </c>
      <c r="EU139" s="3">
        <v>-15.7988</v>
      </c>
      <c r="EV139" s="3">
        <v>-9.5082599999999999</v>
      </c>
      <c r="EW139" s="3">
        <v>-56.603700000000003</v>
      </c>
      <c r="EX139" s="3">
        <v>-145.393</v>
      </c>
      <c r="EY139" s="3">
        <v>-223.06200000000001</v>
      </c>
      <c r="EZ139" s="3">
        <v>-242.87899999999999</v>
      </c>
      <c r="FA139" s="3">
        <v>-189.27699999999999</v>
      </c>
      <c r="FB139" s="3">
        <v>-88.626999999999995</v>
      </c>
      <c r="FC139" s="3">
        <v>-11.679399999999999</v>
      </c>
      <c r="FD139" s="3">
        <v>-392.80900000000003</v>
      </c>
      <c r="FE139" s="3">
        <v>-10.9445</v>
      </c>
      <c r="FF139" s="3">
        <v>-68.162800000000004</v>
      </c>
      <c r="FG139" s="3">
        <v>25.8887</v>
      </c>
      <c r="FH139" s="3">
        <v>-144.203</v>
      </c>
      <c r="FI139" s="3">
        <v>208.22200000000001</v>
      </c>
      <c r="FJ139" s="3">
        <v>362.21499999999997</v>
      </c>
      <c r="FK139" s="3">
        <v>24.4405</v>
      </c>
      <c r="FL139" s="3">
        <v>0</v>
      </c>
      <c r="FM139" s="3"/>
    </row>
    <row r="140" spans="1:169" x14ac:dyDescent="0.3">
      <c r="A140" s="2">
        <v>132</v>
      </c>
      <c r="B140" s="5">
        <v>22</v>
      </c>
      <c r="C140" s="6">
        <v>4100684</v>
      </c>
      <c r="D140" s="6" t="s">
        <v>307</v>
      </c>
      <c r="E140" s="6">
        <v>4911020</v>
      </c>
      <c r="F140" s="6">
        <v>4911020</v>
      </c>
      <c r="G140" s="6">
        <v>0</v>
      </c>
      <c r="H140" s="6">
        <v>0</v>
      </c>
      <c r="I140" s="6">
        <v>57.914999999999999</v>
      </c>
      <c r="J140" s="6" t="s">
        <v>194</v>
      </c>
      <c r="K140" s="6" t="s">
        <v>195</v>
      </c>
      <c r="L140" s="7" t="s">
        <v>196</v>
      </c>
      <c r="M140" s="7" t="s">
        <v>172</v>
      </c>
      <c r="N140" s="8" t="s">
        <v>1559</v>
      </c>
      <c r="O140" s="5">
        <v>37358.300000000003</v>
      </c>
      <c r="P140" s="6">
        <v>12969.5</v>
      </c>
      <c r="Q140" s="6">
        <v>-2131.4</v>
      </c>
      <c r="R140" s="12">
        <v>37417.599999999999</v>
      </c>
      <c r="S140" s="4" t="s">
        <v>1560</v>
      </c>
      <c r="T140" s="4" t="s">
        <v>1561</v>
      </c>
      <c r="U140" s="4" t="s">
        <v>1562</v>
      </c>
      <c r="V140" s="4" t="s">
        <v>1563</v>
      </c>
      <c r="W140" s="4" t="s">
        <v>1564</v>
      </c>
      <c r="X140" s="4" t="s">
        <v>1565</v>
      </c>
      <c r="Y140" s="4" t="s">
        <v>1566</v>
      </c>
      <c r="Z140" s="4" t="s">
        <v>1567</v>
      </c>
      <c r="AA140" s="4" t="s">
        <v>1568</v>
      </c>
      <c r="AB140" s="4" t="s">
        <v>1569</v>
      </c>
      <c r="AC140" s="4" t="s">
        <v>1570</v>
      </c>
      <c r="AD140" s="4" t="s">
        <v>1571</v>
      </c>
      <c r="AE140" s="4" t="s">
        <v>1572</v>
      </c>
      <c r="AF140" s="4" t="s">
        <v>1573</v>
      </c>
      <c r="AG140" s="4" t="s">
        <v>1574</v>
      </c>
      <c r="AH140" s="4" t="s">
        <v>1575</v>
      </c>
      <c r="AI140" s="4" t="s">
        <v>1576</v>
      </c>
      <c r="AJ140" s="4" t="s">
        <v>1577</v>
      </c>
      <c r="AK140" s="4" t="s">
        <v>1578</v>
      </c>
      <c r="AL140" s="4" t="s">
        <v>1579</v>
      </c>
      <c r="AM140" s="3">
        <v>394.94099999999997</v>
      </c>
      <c r="AN140" s="3">
        <v>304.00900000000001</v>
      </c>
      <c r="AO140" s="3">
        <v>226.863</v>
      </c>
      <c r="AP140" s="3">
        <v>178.56299999999999</v>
      </c>
      <c r="AQ140" s="3">
        <v>120.26</v>
      </c>
      <c r="AR140" s="3">
        <v>66.710300000000004</v>
      </c>
      <c r="AS140" s="3">
        <v>4.9201800000000002</v>
      </c>
      <c r="AT140" s="3">
        <v>-47.817900000000002</v>
      </c>
      <c r="AU140" s="3">
        <v>-56.545900000000003</v>
      </c>
      <c r="AV140" s="3">
        <v>4.8648199999999999</v>
      </c>
      <c r="AW140" s="3">
        <v>100.333</v>
      </c>
      <c r="AX140" s="3">
        <v>155.148</v>
      </c>
      <c r="AY140" s="3">
        <v>218.92699999999999</v>
      </c>
      <c r="AZ140" s="3">
        <v>261.97899999999998</v>
      </c>
      <c r="BA140" s="3">
        <v>285.39800000000002</v>
      </c>
      <c r="BB140" s="3">
        <v>321.64699999999999</v>
      </c>
      <c r="BC140" s="3">
        <v>379.50900000000001</v>
      </c>
      <c r="BD140" s="3">
        <v>419.85500000000002</v>
      </c>
      <c r="BE140" s="3">
        <v>425.68900000000002</v>
      </c>
      <c r="BF140" s="3">
        <v>416.40699999999998</v>
      </c>
      <c r="BG140" s="3">
        <v>56.006300000000003</v>
      </c>
      <c r="BH140" s="3">
        <v>129.56200000000001</v>
      </c>
      <c r="BI140" s="3">
        <v>133.77699999999999</v>
      </c>
      <c r="BJ140" s="3">
        <v>70.183199999999999</v>
      </c>
      <c r="BK140" s="3">
        <v>22.466999999999999</v>
      </c>
      <c r="BL140" s="3">
        <v>21.6265</v>
      </c>
      <c r="BM140" s="3">
        <v>80.021100000000004</v>
      </c>
      <c r="BN140" s="3">
        <v>140.87700000000001</v>
      </c>
      <c r="BO140" s="3">
        <v>157.36799999999999</v>
      </c>
      <c r="BP140" s="3">
        <v>119.51</v>
      </c>
      <c r="BQ140" s="3">
        <v>70.984200000000001</v>
      </c>
      <c r="BR140" s="3">
        <v>-10.9922</v>
      </c>
      <c r="BS140" s="3">
        <v>-37.665300000000002</v>
      </c>
      <c r="BT140" s="3">
        <v>-10.1073</v>
      </c>
      <c r="BU140" s="3">
        <v>23.323599999999999</v>
      </c>
      <c r="BV140" s="3">
        <v>28.412600000000001</v>
      </c>
      <c r="BW140" s="3">
        <v>21.58</v>
      </c>
      <c r="BX140" s="3">
        <v>0.31421399999999999</v>
      </c>
      <c r="BY140" s="3">
        <v>-9.3267399999999991</v>
      </c>
      <c r="BZ140" s="3">
        <v>26.654800000000002</v>
      </c>
      <c r="CA140" s="3">
        <v>249.04599999999999</v>
      </c>
      <c r="CB140" s="3">
        <v>211.57499999999999</v>
      </c>
      <c r="CC140" s="3">
        <v>152.767</v>
      </c>
      <c r="CD140" s="3">
        <v>116.83199999999999</v>
      </c>
      <c r="CE140" s="3">
        <v>86.169700000000006</v>
      </c>
      <c r="CF140" s="3">
        <v>44.715899999999998</v>
      </c>
      <c r="CG140" s="3">
        <v>65.222200000000001</v>
      </c>
      <c r="CH140" s="3">
        <v>26.962700000000002</v>
      </c>
      <c r="CI140" s="3">
        <v>-48.679900000000004</v>
      </c>
      <c r="CJ140" s="3">
        <v>-112.363</v>
      </c>
      <c r="CK140" s="3">
        <v>-135.86199999999999</v>
      </c>
      <c r="CL140" s="3">
        <v>-113.80200000000001</v>
      </c>
      <c r="CM140" s="3">
        <v>-60.054099999999998</v>
      </c>
      <c r="CN140" s="3">
        <v>-20.727499999999999</v>
      </c>
      <c r="CO140" s="3">
        <v>-28.294</v>
      </c>
      <c r="CP140" s="3">
        <v>-51.351100000000002</v>
      </c>
      <c r="CQ140" s="3">
        <v>-17.299600000000002</v>
      </c>
      <c r="CR140" s="3">
        <v>63.633299999999998</v>
      </c>
      <c r="CS140" s="3">
        <v>163.08199999999999</v>
      </c>
      <c r="CT140" s="3">
        <v>244.392</v>
      </c>
      <c r="CU140" s="3">
        <v>423.416</v>
      </c>
      <c r="CV140" s="3">
        <v>688.63800000000003</v>
      </c>
      <c r="CW140" s="3">
        <v>839.548</v>
      </c>
      <c r="CX140" s="3">
        <v>692.83900000000006</v>
      </c>
      <c r="CY140" s="3">
        <v>417.91300000000001</v>
      </c>
      <c r="CZ140" s="3">
        <v>169.33199999999999</v>
      </c>
      <c r="DA140" s="3">
        <v>159.80199999999999</v>
      </c>
      <c r="DB140" s="3">
        <v>129.755</v>
      </c>
      <c r="DC140" s="3">
        <v>79.962900000000005</v>
      </c>
      <c r="DD140" s="3">
        <v>20.4389</v>
      </c>
      <c r="DE140" s="3">
        <v>-6.3322799999999999</v>
      </c>
      <c r="DF140" s="3">
        <v>-24.259499999999999</v>
      </c>
      <c r="DG140" s="3">
        <v>22.585599999999999</v>
      </c>
      <c r="DH140" s="3">
        <v>128.06</v>
      </c>
      <c r="DI140" s="3">
        <v>228.10900000000001</v>
      </c>
      <c r="DJ140" s="3">
        <v>240.17099999999999</v>
      </c>
      <c r="DK140" s="3">
        <v>292.77100000000002</v>
      </c>
      <c r="DL140" s="3">
        <v>325.06</v>
      </c>
      <c r="DM140" s="3">
        <v>329.03699999999998</v>
      </c>
      <c r="DN140" s="3">
        <v>363.38799999999998</v>
      </c>
      <c r="DO140" s="3">
        <v>719.98400000000004</v>
      </c>
      <c r="DP140" s="3">
        <v>796.327</v>
      </c>
      <c r="DQ140" s="3">
        <v>838.76900000000001</v>
      </c>
      <c r="DR140" s="3">
        <v>831.07500000000005</v>
      </c>
      <c r="DS140" s="3">
        <v>741.548</v>
      </c>
      <c r="DT140" s="3">
        <v>615.21199999999999</v>
      </c>
      <c r="DU140" s="3">
        <v>601.91099999999994</v>
      </c>
      <c r="DV140" s="3">
        <v>444.755</v>
      </c>
      <c r="DW140" s="3">
        <v>221.505</v>
      </c>
      <c r="DX140" s="3">
        <v>36.120100000000001</v>
      </c>
      <c r="DY140" s="3">
        <v>-31.642499999999998</v>
      </c>
      <c r="DZ140" s="3">
        <v>-73.674199999999999</v>
      </c>
      <c r="EA140" s="3">
        <v>-74.391800000000003</v>
      </c>
      <c r="EB140" s="3">
        <v>-41.893000000000001</v>
      </c>
      <c r="EC140" s="3">
        <v>-15.012</v>
      </c>
      <c r="ED140" s="3">
        <v>12.8032</v>
      </c>
      <c r="EE140" s="3">
        <v>164.001</v>
      </c>
      <c r="EF140" s="3">
        <v>375.471</v>
      </c>
      <c r="EG140" s="3">
        <v>561.49300000000005</v>
      </c>
      <c r="EH140" s="3">
        <v>681.48400000000004</v>
      </c>
      <c r="EI140" s="3">
        <v>64.520200000000003</v>
      </c>
      <c r="EJ140" s="3">
        <v>55.891599999999997</v>
      </c>
      <c r="EK140" s="3">
        <v>36.193300000000001</v>
      </c>
      <c r="EL140" s="3">
        <v>24.9298</v>
      </c>
      <c r="EM140" s="3">
        <v>-43.286799999999999</v>
      </c>
      <c r="EN140" s="3">
        <v>-100.307</v>
      </c>
      <c r="EO140" s="3">
        <v>-160.078</v>
      </c>
      <c r="EP140" s="3">
        <v>-202.42099999999999</v>
      </c>
      <c r="EQ140" s="3">
        <v>-179.84</v>
      </c>
      <c r="ER140" s="3">
        <v>-97.5869</v>
      </c>
      <c r="ES140" s="3">
        <v>-11.1793</v>
      </c>
      <c r="ET140" s="3">
        <v>15.871700000000001</v>
      </c>
      <c r="EU140" s="3">
        <v>11.810499999999999</v>
      </c>
      <c r="EV140" s="3">
        <v>5.2472799999999999</v>
      </c>
      <c r="EW140" s="3">
        <v>51.027900000000002</v>
      </c>
      <c r="EX140" s="3">
        <v>139.84800000000001</v>
      </c>
      <c r="EY140" s="3">
        <v>218.55500000000001</v>
      </c>
      <c r="EZ140" s="3">
        <v>238.047</v>
      </c>
      <c r="FA140" s="3">
        <v>181.78700000000001</v>
      </c>
      <c r="FB140" s="3">
        <v>74.8001</v>
      </c>
      <c r="FC140" s="3">
        <v>12.077500000000001</v>
      </c>
      <c r="FD140" s="3">
        <v>393.00799999999998</v>
      </c>
      <c r="FE140" s="3">
        <v>10.6593</v>
      </c>
      <c r="FF140" s="3">
        <v>72.270300000000006</v>
      </c>
      <c r="FG140" s="3">
        <v>-26.667400000000001</v>
      </c>
      <c r="FH140" s="3">
        <v>143.518</v>
      </c>
      <c r="FI140" s="3">
        <v>-210.56700000000001</v>
      </c>
      <c r="FJ140" s="3">
        <v>-359.92500000000001</v>
      </c>
      <c r="FK140" s="3">
        <v>-17.363</v>
      </c>
      <c r="FL140" s="3">
        <v>0</v>
      </c>
      <c r="FM140" s="3"/>
    </row>
    <row r="141" spans="1:169" x14ac:dyDescent="0.3">
      <c r="A141" s="2">
        <v>133</v>
      </c>
      <c r="B141" s="5">
        <v>23</v>
      </c>
      <c r="C141" s="6">
        <v>1501145</v>
      </c>
      <c r="D141" s="6" t="s">
        <v>197</v>
      </c>
      <c r="E141" s="6">
        <v>2907020</v>
      </c>
      <c r="F141" s="6">
        <v>1907022</v>
      </c>
      <c r="G141" s="6">
        <v>0</v>
      </c>
      <c r="H141" s="6">
        <v>0</v>
      </c>
      <c r="I141" s="6">
        <v>57.914999999999999</v>
      </c>
      <c r="J141" s="6" t="s">
        <v>169</v>
      </c>
      <c r="K141" s="6" t="s">
        <v>170</v>
      </c>
      <c r="L141" s="7" t="s">
        <v>171</v>
      </c>
      <c r="M141" s="7" t="s">
        <v>172</v>
      </c>
      <c r="N141" s="8" t="s">
        <v>1580</v>
      </c>
      <c r="O141" s="5">
        <v>778.04100000000005</v>
      </c>
      <c r="P141" s="6">
        <v>-2377.8000000000002</v>
      </c>
      <c r="Q141" s="6">
        <v>-27.9331</v>
      </c>
      <c r="R141" s="12">
        <v>0</v>
      </c>
      <c r="S141" s="4" t="s">
        <v>1581</v>
      </c>
      <c r="T141" s="4" t="s">
        <v>1582</v>
      </c>
      <c r="U141" s="4" t="s">
        <v>1583</v>
      </c>
      <c r="V141" s="4" t="s">
        <v>1584</v>
      </c>
      <c r="W141" s="4" t="s">
        <v>1585</v>
      </c>
      <c r="X141" s="4" t="s">
        <v>1586</v>
      </c>
      <c r="Y141" s="4" t="s">
        <v>1587</v>
      </c>
      <c r="Z141" s="4" t="s">
        <v>1588</v>
      </c>
      <c r="AA141" s="4" t="s">
        <v>1589</v>
      </c>
      <c r="AB141" s="4" t="s">
        <v>1590</v>
      </c>
      <c r="AC141" s="4" t="s">
        <v>1591</v>
      </c>
      <c r="AD141" s="4" t="s">
        <v>1592</v>
      </c>
      <c r="AE141" s="4" t="s">
        <v>1593</v>
      </c>
      <c r="AF141" s="4" t="s">
        <v>1594</v>
      </c>
      <c r="AG141" s="4" t="s">
        <v>1595</v>
      </c>
      <c r="AH141" s="4" t="s">
        <v>1596</v>
      </c>
      <c r="AI141" s="4" t="s">
        <v>1597</v>
      </c>
      <c r="AJ141" s="4" t="s">
        <v>1598</v>
      </c>
      <c r="AK141" s="4" t="s">
        <v>1599</v>
      </c>
      <c r="AL141" s="4" t="s">
        <v>1600</v>
      </c>
      <c r="AM141" s="3">
        <v>1376.56</v>
      </c>
      <c r="AN141" s="3">
        <v>1374.36</v>
      </c>
      <c r="AO141" s="3">
        <v>1387.59</v>
      </c>
      <c r="AP141" s="3">
        <v>1408.75</v>
      </c>
      <c r="AQ141" s="3">
        <v>1432.5</v>
      </c>
      <c r="AR141" s="3">
        <v>1423.2</v>
      </c>
      <c r="AS141" s="3">
        <v>1340.17</v>
      </c>
      <c r="AT141" s="3">
        <v>1181.5899999999999</v>
      </c>
      <c r="AU141" s="3">
        <v>994.10500000000002</v>
      </c>
      <c r="AV141" s="3">
        <v>800.14800000000002</v>
      </c>
      <c r="AW141" s="3">
        <v>612.17899999999997</v>
      </c>
      <c r="AX141" s="3">
        <v>597.25599999999997</v>
      </c>
      <c r="AY141" s="3">
        <v>579.82100000000003</v>
      </c>
      <c r="AZ141" s="3">
        <v>552.94299999999998</v>
      </c>
      <c r="BA141" s="3">
        <v>520.601</v>
      </c>
      <c r="BB141" s="3">
        <v>484.09399999999999</v>
      </c>
      <c r="BC141" s="3">
        <v>641.01300000000003</v>
      </c>
      <c r="BD141" s="3">
        <v>813.31</v>
      </c>
      <c r="BE141" s="3">
        <v>1009.62</v>
      </c>
      <c r="BF141" s="3">
        <v>1209.75</v>
      </c>
      <c r="BG141" s="3">
        <v>398.45400000000001</v>
      </c>
      <c r="BH141" s="3">
        <v>402.267</v>
      </c>
      <c r="BI141" s="3">
        <v>406.45499999999998</v>
      </c>
      <c r="BJ141" s="3">
        <v>405.27300000000002</v>
      </c>
      <c r="BK141" s="3">
        <v>396.30200000000002</v>
      </c>
      <c r="BL141" s="3">
        <v>386.59</v>
      </c>
      <c r="BM141" s="3">
        <v>385.51299999999998</v>
      </c>
      <c r="BN141" s="3">
        <v>382.18599999999998</v>
      </c>
      <c r="BO141" s="3">
        <v>384.28500000000003</v>
      </c>
      <c r="BP141" s="3">
        <v>389.52499999999998</v>
      </c>
      <c r="BQ141" s="3">
        <v>393.26100000000002</v>
      </c>
      <c r="BR141" s="3">
        <v>391.93299999999999</v>
      </c>
      <c r="BS141" s="3">
        <v>389.56</v>
      </c>
      <c r="BT141" s="3">
        <v>396.738</v>
      </c>
      <c r="BU141" s="3">
        <v>409.60300000000001</v>
      </c>
      <c r="BV141" s="3">
        <v>429.82299999999998</v>
      </c>
      <c r="BW141" s="3">
        <v>441.12099999999998</v>
      </c>
      <c r="BX141" s="3">
        <v>445.43</v>
      </c>
      <c r="BY141" s="3">
        <v>438.1</v>
      </c>
      <c r="BZ141" s="3">
        <v>417.77800000000002</v>
      </c>
      <c r="CA141" s="3">
        <v>-781.75800000000004</v>
      </c>
      <c r="CB141" s="3">
        <v>-772.19299999999998</v>
      </c>
      <c r="CC141" s="3">
        <v>-763</v>
      </c>
      <c r="CD141" s="3">
        <v>-757.35</v>
      </c>
      <c r="CE141" s="3">
        <v>-753.37099999999998</v>
      </c>
      <c r="CF141" s="3">
        <v>-742.02200000000005</v>
      </c>
      <c r="CG141" s="3">
        <v>-721.45500000000004</v>
      </c>
      <c r="CH141" s="3">
        <v>-687.46400000000006</v>
      </c>
      <c r="CI141" s="3">
        <v>-655.46600000000001</v>
      </c>
      <c r="CJ141" s="3">
        <v>-626.46299999999997</v>
      </c>
      <c r="CK141" s="3">
        <v>-609.37199999999996</v>
      </c>
      <c r="CL141" s="3">
        <v>-609.94200000000001</v>
      </c>
      <c r="CM141" s="3">
        <v>-615.77499999999998</v>
      </c>
      <c r="CN141" s="3">
        <v>-623.59900000000005</v>
      </c>
      <c r="CO141" s="3">
        <v>-623.84400000000005</v>
      </c>
      <c r="CP141" s="3">
        <v>-612.84900000000005</v>
      </c>
      <c r="CQ141" s="3">
        <v>-656.95600000000002</v>
      </c>
      <c r="CR141" s="3">
        <v>-705.44299999999998</v>
      </c>
      <c r="CS141" s="3">
        <v>-749.48800000000006</v>
      </c>
      <c r="CT141" s="3">
        <v>-777.76400000000001</v>
      </c>
      <c r="CU141" s="3">
        <v>-1439.87</v>
      </c>
      <c r="CV141" s="3">
        <v>-1531.92</v>
      </c>
      <c r="CW141" s="3">
        <v>-1893.53</v>
      </c>
      <c r="CX141" s="3">
        <v>-2397.59</v>
      </c>
      <c r="CY141" s="3">
        <v>-3012.32</v>
      </c>
      <c r="CZ141" s="3">
        <v>-3855.78</v>
      </c>
      <c r="DA141" s="3">
        <v>-4158.26</v>
      </c>
      <c r="DB141" s="3">
        <v>-4791.21</v>
      </c>
      <c r="DC141" s="3">
        <v>-5262.13</v>
      </c>
      <c r="DD141" s="3">
        <v>-5746.08</v>
      </c>
      <c r="DE141" s="3">
        <v>-6106.13</v>
      </c>
      <c r="DF141" s="3">
        <v>-5768.07</v>
      </c>
      <c r="DG141" s="3">
        <v>-5167.21</v>
      </c>
      <c r="DH141" s="3">
        <v>-4472.76</v>
      </c>
      <c r="DI141" s="3">
        <v>-3819.99</v>
      </c>
      <c r="DJ141" s="3">
        <v>-3213.6</v>
      </c>
      <c r="DK141" s="3">
        <v>-2791.38</v>
      </c>
      <c r="DL141" s="3">
        <v>-2406.59</v>
      </c>
      <c r="DM141" s="3">
        <v>-2089.16</v>
      </c>
      <c r="DN141" s="3">
        <v>-1779.75</v>
      </c>
      <c r="DO141" s="3">
        <v>-469.62599999999998</v>
      </c>
      <c r="DP141" s="3">
        <v>-510.822</v>
      </c>
      <c r="DQ141" s="3">
        <v>-538.59199999999998</v>
      </c>
      <c r="DR141" s="3">
        <v>-581.14499999999998</v>
      </c>
      <c r="DS141" s="3">
        <v>-674.57100000000003</v>
      </c>
      <c r="DT141" s="3">
        <v>-810.90200000000004</v>
      </c>
      <c r="DU141" s="3">
        <v>-891.33100000000002</v>
      </c>
      <c r="DV141" s="3">
        <v>-1176.8900000000001</v>
      </c>
      <c r="DW141" s="3">
        <v>-1433.22</v>
      </c>
      <c r="DX141" s="3">
        <v>-1526.27</v>
      </c>
      <c r="DY141" s="3">
        <v>-1719.8</v>
      </c>
      <c r="DZ141" s="3">
        <v>-1613.08</v>
      </c>
      <c r="EA141" s="3">
        <v>-1516.86</v>
      </c>
      <c r="EB141" s="3">
        <v>-1425.38</v>
      </c>
      <c r="EC141" s="3">
        <v>-1328.69</v>
      </c>
      <c r="ED141" s="3">
        <v>-1242.02</v>
      </c>
      <c r="EE141" s="3">
        <v>-1054.78</v>
      </c>
      <c r="EF141" s="3">
        <v>-714.11</v>
      </c>
      <c r="EG141" s="3">
        <v>-472.87700000000001</v>
      </c>
      <c r="EH141" s="3">
        <v>-472.66</v>
      </c>
      <c r="EI141" s="3">
        <v>574.82299999999998</v>
      </c>
      <c r="EJ141" s="3">
        <v>666.23500000000001</v>
      </c>
      <c r="EK141" s="3">
        <v>790.149</v>
      </c>
      <c r="EL141" s="3">
        <v>989.24599999999998</v>
      </c>
      <c r="EM141" s="3">
        <v>1317.43</v>
      </c>
      <c r="EN141" s="3">
        <v>1720.13</v>
      </c>
      <c r="EO141" s="3">
        <v>1684.68</v>
      </c>
      <c r="EP141" s="3">
        <v>1682.64</v>
      </c>
      <c r="EQ141" s="3">
        <v>1513.93</v>
      </c>
      <c r="ER141" s="3">
        <v>1355.11</v>
      </c>
      <c r="ES141" s="3">
        <v>1286.07</v>
      </c>
      <c r="ET141" s="3">
        <v>1192.51</v>
      </c>
      <c r="EU141" s="3">
        <v>1120.27</v>
      </c>
      <c r="EV141" s="3">
        <v>902.15499999999997</v>
      </c>
      <c r="EW141" s="3">
        <v>636.71400000000006</v>
      </c>
      <c r="EX141" s="3">
        <v>399.29500000000002</v>
      </c>
      <c r="EY141" s="3">
        <v>406.12400000000002</v>
      </c>
      <c r="EZ141" s="3">
        <v>375.697</v>
      </c>
      <c r="FA141" s="3">
        <v>443.41899999999998</v>
      </c>
      <c r="FB141" s="3">
        <v>542.26099999999997</v>
      </c>
      <c r="FC141" s="3">
        <v>922.39099999999996</v>
      </c>
      <c r="FD141" s="3">
        <v>1058.56</v>
      </c>
      <c r="FE141" s="3">
        <v>399.22300000000001</v>
      </c>
      <c r="FF141" s="3">
        <v>401.82</v>
      </c>
      <c r="FG141" s="3">
        <v>-615.89700000000005</v>
      </c>
      <c r="FH141" s="3">
        <v>-761.61599999999999</v>
      </c>
      <c r="FI141" s="3">
        <v>3636.66</v>
      </c>
      <c r="FJ141" s="3">
        <v>1035.96</v>
      </c>
      <c r="FK141" s="3">
        <v>-982.46699999999998</v>
      </c>
      <c r="FL141" s="3">
        <v>0</v>
      </c>
      <c r="FM141" s="3" t="s">
        <v>1601</v>
      </c>
    </row>
    <row r="142" spans="1:169" x14ac:dyDescent="0.3">
      <c r="A142" s="2">
        <v>134</v>
      </c>
      <c r="B142" s="5">
        <v>23</v>
      </c>
      <c r="C142" s="6">
        <v>1501145</v>
      </c>
      <c r="D142" s="6" t="s">
        <v>197</v>
      </c>
      <c r="E142" s="6">
        <v>2907020</v>
      </c>
      <c r="F142" s="6">
        <v>1907022</v>
      </c>
      <c r="G142" s="6">
        <v>0</v>
      </c>
      <c r="H142" s="6">
        <v>0</v>
      </c>
      <c r="I142" s="6">
        <v>57.914999999999999</v>
      </c>
      <c r="J142" s="6" t="s">
        <v>194</v>
      </c>
      <c r="K142" s="6" t="s">
        <v>195</v>
      </c>
      <c r="L142" s="7" t="s">
        <v>196</v>
      </c>
      <c r="M142" s="7" t="s">
        <v>172</v>
      </c>
      <c r="N142" s="8" t="s">
        <v>1580</v>
      </c>
      <c r="O142" s="5">
        <v>1460.22</v>
      </c>
      <c r="P142" s="6">
        <v>2883.19</v>
      </c>
      <c r="Q142" s="6">
        <v>-84.586100000000002</v>
      </c>
      <c r="R142" s="12">
        <v>0</v>
      </c>
      <c r="S142" s="4" t="s">
        <v>1581</v>
      </c>
      <c r="T142" s="4" t="s">
        <v>1582</v>
      </c>
      <c r="U142" s="4" t="s">
        <v>1583</v>
      </c>
      <c r="V142" s="4" t="s">
        <v>1584</v>
      </c>
      <c r="W142" s="4" t="s">
        <v>1585</v>
      </c>
      <c r="X142" s="4" t="s">
        <v>1586</v>
      </c>
      <c r="Y142" s="4" t="s">
        <v>1587</v>
      </c>
      <c r="Z142" s="4" t="s">
        <v>1588</v>
      </c>
      <c r="AA142" s="4" t="s">
        <v>1589</v>
      </c>
      <c r="AB142" s="4" t="s">
        <v>1590</v>
      </c>
      <c r="AC142" s="4" t="s">
        <v>1591</v>
      </c>
      <c r="AD142" s="4" t="s">
        <v>1592</v>
      </c>
      <c r="AE142" s="4" t="s">
        <v>1593</v>
      </c>
      <c r="AF142" s="4" t="s">
        <v>1594</v>
      </c>
      <c r="AG142" s="4" t="s">
        <v>1595</v>
      </c>
      <c r="AH142" s="4" t="s">
        <v>1596</v>
      </c>
      <c r="AI142" s="4" t="s">
        <v>1597</v>
      </c>
      <c r="AJ142" s="4" t="s">
        <v>1598</v>
      </c>
      <c r="AK142" s="4" t="s">
        <v>1599</v>
      </c>
      <c r="AL142" s="4" t="s">
        <v>1600</v>
      </c>
      <c r="AM142" s="3">
        <v>-1409.93</v>
      </c>
      <c r="AN142" s="3">
        <v>-1416.44</v>
      </c>
      <c r="AO142" s="3">
        <v>-1438.57</v>
      </c>
      <c r="AP142" s="3">
        <v>-1468.36</v>
      </c>
      <c r="AQ142" s="3">
        <v>-1503.5</v>
      </c>
      <c r="AR142" s="3">
        <v>-1516.16</v>
      </c>
      <c r="AS142" s="3">
        <v>-1449.01</v>
      </c>
      <c r="AT142" s="3">
        <v>-1317.41</v>
      </c>
      <c r="AU142" s="3">
        <v>-1140.26</v>
      </c>
      <c r="AV142" s="3">
        <v>-934.82399999999996</v>
      </c>
      <c r="AW142" s="3">
        <v>-709.91800000000001</v>
      </c>
      <c r="AX142" s="3">
        <v>-663.29600000000005</v>
      </c>
      <c r="AY142" s="3">
        <v>-619.23</v>
      </c>
      <c r="AZ142" s="3">
        <v>-573.68600000000004</v>
      </c>
      <c r="BA142" s="3">
        <v>-525.47400000000005</v>
      </c>
      <c r="BB142" s="3">
        <v>-478.65100000000001</v>
      </c>
      <c r="BC142" s="3">
        <v>-658.67499999999995</v>
      </c>
      <c r="BD142" s="3">
        <v>-845.60699999999997</v>
      </c>
      <c r="BE142" s="3">
        <v>-1048.73</v>
      </c>
      <c r="BF142" s="3">
        <v>-1248.6500000000001</v>
      </c>
      <c r="BG142" s="3">
        <v>-393.048</v>
      </c>
      <c r="BH142" s="3">
        <v>-398.077</v>
      </c>
      <c r="BI142" s="3">
        <v>-404.76100000000002</v>
      </c>
      <c r="BJ142" s="3">
        <v>-407.42599999999999</v>
      </c>
      <c r="BK142" s="3">
        <v>-405.08800000000002</v>
      </c>
      <c r="BL142" s="3">
        <v>-403.12099999999998</v>
      </c>
      <c r="BM142" s="3">
        <v>-390.71199999999999</v>
      </c>
      <c r="BN142" s="3">
        <v>-370.67399999999998</v>
      </c>
      <c r="BO142" s="3">
        <v>-357.31799999999998</v>
      </c>
      <c r="BP142" s="3">
        <v>-353.13600000000002</v>
      </c>
      <c r="BQ142" s="3">
        <v>-354.28300000000002</v>
      </c>
      <c r="BR142" s="3">
        <v>-361.44600000000003</v>
      </c>
      <c r="BS142" s="3">
        <v>-367.267</v>
      </c>
      <c r="BT142" s="3">
        <v>-380.84199999999998</v>
      </c>
      <c r="BU142" s="3">
        <v>-399.94299999999998</v>
      </c>
      <c r="BV142" s="3">
        <v>-424.86399999999998</v>
      </c>
      <c r="BW142" s="3">
        <v>-430.839</v>
      </c>
      <c r="BX142" s="3">
        <v>-432.93799999999999</v>
      </c>
      <c r="BY142" s="3">
        <v>-426.16399999999999</v>
      </c>
      <c r="BZ142" s="3">
        <v>-408.41899999999998</v>
      </c>
      <c r="CA142" s="3">
        <v>777.21199999999999</v>
      </c>
      <c r="CB142" s="3">
        <v>772.48500000000001</v>
      </c>
      <c r="CC142" s="3">
        <v>769.87599999999998</v>
      </c>
      <c r="CD142" s="3">
        <v>771.68100000000004</v>
      </c>
      <c r="CE142" s="3">
        <v>778.78599999999994</v>
      </c>
      <c r="CF142" s="3">
        <v>781.24</v>
      </c>
      <c r="CG142" s="3">
        <v>750.43600000000004</v>
      </c>
      <c r="CH142" s="3">
        <v>698.01300000000003</v>
      </c>
      <c r="CI142" s="3">
        <v>637.61</v>
      </c>
      <c r="CJ142" s="3">
        <v>573.21799999999996</v>
      </c>
      <c r="CK142" s="3">
        <v>518.54</v>
      </c>
      <c r="CL142" s="3">
        <v>522.02599999999995</v>
      </c>
      <c r="CM142" s="3">
        <v>534.06600000000003</v>
      </c>
      <c r="CN142" s="3">
        <v>548.57500000000005</v>
      </c>
      <c r="CO142" s="3">
        <v>556.69299999999998</v>
      </c>
      <c r="CP142" s="3">
        <v>552.59</v>
      </c>
      <c r="CQ142" s="3">
        <v>607.71600000000001</v>
      </c>
      <c r="CR142" s="3">
        <v>668.48800000000006</v>
      </c>
      <c r="CS142" s="3">
        <v>724.40800000000002</v>
      </c>
      <c r="CT142" s="3">
        <v>763.68200000000002</v>
      </c>
      <c r="CU142" s="3">
        <v>1872.59</v>
      </c>
      <c r="CV142" s="3">
        <v>2019.31</v>
      </c>
      <c r="CW142" s="3">
        <v>2404.35</v>
      </c>
      <c r="CX142" s="3">
        <v>2931.15</v>
      </c>
      <c r="CY142" s="3">
        <v>3607.61</v>
      </c>
      <c r="CZ142" s="3">
        <v>4566.76</v>
      </c>
      <c r="DA142" s="3">
        <v>4905.58</v>
      </c>
      <c r="DB142" s="3">
        <v>5656.04</v>
      </c>
      <c r="DC142" s="3">
        <v>6246</v>
      </c>
      <c r="DD142" s="3">
        <v>6858.54</v>
      </c>
      <c r="DE142" s="3">
        <v>7345.18</v>
      </c>
      <c r="DF142" s="3">
        <v>6793</v>
      </c>
      <c r="DG142" s="3">
        <v>6085.37</v>
      </c>
      <c r="DH142" s="3">
        <v>5297.54</v>
      </c>
      <c r="DI142" s="3">
        <v>4531.75</v>
      </c>
      <c r="DJ142" s="3">
        <v>3776.57</v>
      </c>
      <c r="DK142" s="3">
        <v>3380.98</v>
      </c>
      <c r="DL142" s="3">
        <v>2999.76</v>
      </c>
      <c r="DM142" s="3">
        <v>2648.3</v>
      </c>
      <c r="DN142" s="3">
        <v>2282.64</v>
      </c>
      <c r="DO142" s="3">
        <v>443.15600000000001</v>
      </c>
      <c r="DP142" s="3">
        <v>473.29500000000002</v>
      </c>
      <c r="DQ142" s="3">
        <v>499.01900000000001</v>
      </c>
      <c r="DR142" s="3">
        <v>540.40899999999999</v>
      </c>
      <c r="DS142" s="3">
        <v>622.13499999999999</v>
      </c>
      <c r="DT142" s="3">
        <v>748.01700000000005</v>
      </c>
      <c r="DU142" s="3">
        <v>830.42499999999995</v>
      </c>
      <c r="DV142" s="3">
        <v>1129.92</v>
      </c>
      <c r="DW142" s="3">
        <v>1470.07</v>
      </c>
      <c r="DX142" s="3">
        <v>1700.41</v>
      </c>
      <c r="DY142" s="3">
        <v>2008.56</v>
      </c>
      <c r="DZ142" s="3">
        <v>1903.69</v>
      </c>
      <c r="EA142" s="3">
        <v>1792.99</v>
      </c>
      <c r="EB142" s="3">
        <v>1685.22</v>
      </c>
      <c r="EC142" s="3">
        <v>1574.28</v>
      </c>
      <c r="ED142" s="3">
        <v>1476.46</v>
      </c>
      <c r="EE142" s="3">
        <v>1281.32</v>
      </c>
      <c r="EF142" s="3">
        <v>924.65899999999999</v>
      </c>
      <c r="EG142" s="3">
        <v>614.39400000000001</v>
      </c>
      <c r="EH142" s="3">
        <v>515.04600000000005</v>
      </c>
      <c r="EI142" s="3">
        <v>-533.52</v>
      </c>
      <c r="EJ142" s="3">
        <v>-673.09500000000003</v>
      </c>
      <c r="EK142" s="3">
        <v>-831.65599999999995</v>
      </c>
      <c r="EL142" s="3">
        <v>-1049.83</v>
      </c>
      <c r="EM142" s="3">
        <v>-1392.62</v>
      </c>
      <c r="EN142" s="3">
        <v>-1817.2</v>
      </c>
      <c r="EO142" s="3">
        <v>-1753.94</v>
      </c>
      <c r="EP142" s="3">
        <v>-1723.96</v>
      </c>
      <c r="EQ142" s="3">
        <v>-1532.19</v>
      </c>
      <c r="ER142" s="3">
        <v>-1327.86</v>
      </c>
      <c r="ES142" s="3">
        <v>-1212.46</v>
      </c>
      <c r="ET142" s="3">
        <v>-1068.54</v>
      </c>
      <c r="EU142" s="3">
        <v>-958.47900000000004</v>
      </c>
      <c r="EV142" s="3">
        <v>-738.99</v>
      </c>
      <c r="EW142" s="3">
        <v>-486.21100000000001</v>
      </c>
      <c r="EX142" s="3">
        <v>-261.24400000000003</v>
      </c>
      <c r="EY142" s="3">
        <v>-299.23500000000001</v>
      </c>
      <c r="EZ142" s="3">
        <v>-287.779</v>
      </c>
      <c r="FA142" s="3">
        <v>-360.45</v>
      </c>
      <c r="FB142" s="3">
        <v>-474.82400000000001</v>
      </c>
      <c r="FC142" s="3">
        <v>-948.37300000000005</v>
      </c>
      <c r="FD142" s="3">
        <v>-1177.93</v>
      </c>
      <c r="FE142" s="3">
        <v>-381.44099999999997</v>
      </c>
      <c r="FF142" s="3">
        <v>-401.92</v>
      </c>
      <c r="FG142" s="3">
        <v>538.74800000000005</v>
      </c>
      <c r="FH142" s="3">
        <v>775.21299999999997</v>
      </c>
      <c r="FI142" s="3">
        <v>-4378.24</v>
      </c>
      <c r="FJ142" s="3">
        <v>-1147.27</v>
      </c>
      <c r="FK142" s="3">
        <v>942.02099999999996</v>
      </c>
      <c r="FL142" s="3">
        <v>0</v>
      </c>
      <c r="FM142" s="3" t="s">
        <v>1601</v>
      </c>
    </row>
    <row r="143" spans="1:169" x14ac:dyDescent="0.3">
      <c r="A143" s="2">
        <v>135</v>
      </c>
      <c r="B143" s="5">
        <v>23</v>
      </c>
      <c r="C143" s="6">
        <v>2501650</v>
      </c>
      <c r="D143" s="6" t="s">
        <v>168</v>
      </c>
      <c r="E143" s="6">
        <v>2907020</v>
      </c>
      <c r="F143" s="6">
        <v>2907020</v>
      </c>
      <c r="G143" s="6">
        <v>0</v>
      </c>
      <c r="H143" s="6">
        <v>0</v>
      </c>
      <c r="I143" s="6">
        <v>51.48</v>
      </c>
      <c r="J143" s="6" t="s">
        <v>169</v>
      </c>
      <c r="K143" s="6" t="s">
        <v>170</v>
      </c>
      <c r="L143" s="7" t="s">
        <v>171</v>
      </c>
      <c r="M143" s="7" t="s">
        <v>172</v>
      </c>
      <c r="N143" s="8" t="s">
        <v>1602</v>
      </c>
      <c r="O143" s="5">
        <v>1402.31</v>
      </c>
      <c r="P143" s="6">
        <v>2072.0300000000002</v>
      </c>
      <c r="Q143" s="6">
        <v>-16.208600000000001</v>
      </c>
      <c r="R143" s="12">
        <v>0</v>
      </c>
      <c r="S143" s="4" t="s">
        <v>1603</v>
      </c>
      <c r="T143" s="4" t="s">
        <v>1604</v>
      </c>
      <c r="U143" s="4" t="s">
        <v>1605</v>
      </c>
      <c r="V143" s="4" t="s">
        <v>1606</v>
      </c>
      <c r="W143" s="4" t="s">
        <v>1607</v>
      </c>
      <c r="X143" s="4" t="s">
        <v>1608</v>
      </c>
      <c r="Y143" s="4" t="s">
        <v>1609</v>
      </c>
      <c r="Z143" s="4" t="s">
        <v>1610</v>
      </c>
      <c r="AA143" s="4" t="s">
        <v>1611</v>
      </c>
      <c r="AB143" s="4" t="s">
        <v>1612</v>
      </c>
      <c r="AC143" s="4" t="s">
        <v>1613</v>
      </c>
      <c r="AD143" s="4" t="s">
        <v>1614</v>
      </c>
      <c r="AE143" s="4" t="s">
        <v>1615</v>
      </c>
      <c r="AF143" s="4" t="s">
        <v>1616</v>
      </c>
      <c r="AG143" s="4" t="s">
        <v>1617</v>
      </c>
      <c r="AH143" s="4" t="s">
        <v>1618</v>
      </c>
      <c r="AI143" s="4" t="s">
        <v>1619</v>
      </c>
      <c r="AJ143" s="4" t="s">
        <v>1620</v>
      </c>
      <c r="AK143" s="4" t="s">
        <v>1621</v>
      </c>
      <c r="AL143" s="4" t="s">
        <v>1622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 t="s">
        <v>666</v>
      </c>
    </row>
    <row r="144" spans="1:169" x14ac:dyDescent="0.3">
      <c r="A144" s="2">
        <v>136</v>
      </c>
      <c r="B144" s="5">
        <v>23</v>
      </c>
      <c r="C144" s="6">
        <v>2501650</v>
      </c>
      <c r="D144" s="6" t="s">
        <v>168</v>
      </c>
      <c r="E144" s="6">
        <v>2907020</v>
      </c>
      <c r="F144" s="6">
        <v>2907020</v>
      </c>
      <c r="G144" s="6">
        <v>0</v>
      </c>
      <c r="H144" s="6">
        <v>0</v>
      </c>
      <c r="I144" s="6">
        <v>51.48</v>
      </c>
      <c r="J144" s="6" t="s">
        <v>194</v>
      </c>
      <c r="K144" s="6" t="s">
        <v>195</v>
      </c>
      <c r="L144" s="7" t="s">
        <v>196</v>
      </c>
      <c r="M144" s="7" t="s">
        <v>172</v>
      </c>
      <c r="N144" s="8" t="s">
        <v>1602</v>
      </c>
      <c r="O144" s="5">
        <v>610.81200000000001</v>
      </c>
      <c r="P144" s="6">
        <v>-3173.34</v>
      </c>
      <c r="Q144" s="6">
        <v>-94.850200000000001</v>
      </c>
      <c r="R144" s="12">
        <v>0</v>
      </c>
      <c r="S144" s="4" t="s">
        <v>1603</v>
      </c>
      <c r="T144" s="4" t="s">
        <v>1604</v>
      </c>
      <c r="U144" s="4" t="s">
        <v>1605</v>
      </c>
      <c r="V144" s="4" t="s">
        <v>1606</v>
      </c>
      <c r="W144" s="4" t="s">
        <v>1607</v>
      </c>
      <c r="X144" s="4" t="s">
        <v>1608</v>
      </c>
      <c r="Y144" s="4" t="s">
        <v>1609</v>
      </c>
      <c r="Z144" s="4" t="s">
        <v>1610</v>
      </c>
      <c r="AA144" s="4" t="s">
        <v>1611</v>
      </c>
      <c r="AB144" s="4" t="s">
        <v>1612</v>
      </c>
      <c r="AC144" s="4" t="s">
        <v>1613</v>
      </c>
      <c r="AD144" s="4" t="s">
        <v>1614</v>
      </c>
      <c r="AE144" s="4" t="s">
        <v>1615</v>
      </c>
      <c r="AF144" s="4" t="s">
        <v>1616</v>
      </c>
      <c r="AG144" s="4" t="s">
        <v>1617</v>
      </c>
      <c r="AH144" s="4" t="s">
        <v>1618</v>
      </c>
      <c r="AI144" s="4" t="s">
        <v>1619</v>
      </c>
      <c r="AJ144" s="4" t="s">
        <v>1620</v>
      </c>
      <c r="AK144" s="4" t="s">
        <v>1621</v>
      </c>
      <c r="AL144" s="4" t="s">
        <v>1622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 t="s">
        <v>666</v>
      </c>
    </row>
    <row r="145" spans="1:169" x14ac:dyDescent="0.3">
      <c r="A145" s="2">
        <v>137</v>
      </c>
      <c r="B145" s="5">
        <v>24</v>
      </c>
      <c r="C145" s="6">
        <v>2101753</v>
      </c>
      <c r="D145" s="6" t="s">
        <v>241</v>
      </c>
      <c r="E145" s="6">
        <v>2914010</v>
      </c>
      <c r="F145" s="6">
        <v>2914010</v>
      </c>
      <c r="G145" s="6">
        <v>0</v>
      </c>
      <c r="H145" s="6">
        <v>0</v>
      </c>
      <c r="I145" s="6">
        <v>51.48</v>
      </c>
      <c r="J145" s="6" t="s">
        <v>169</v>
      </c>
      <c r="K145" s="6" t="s">
        <v>170</v>
      </c>
      <c r="L145" s="7" t="s">
        <v>171</v>
      </c>
      <c r="M145" s="7" t="s">
        <v>172</v>
      </c>
      <c r="N145" s="8" t="s">
        <v>1623</v>
      </c>
      <c r="O145" s="5">
        <v>3182.11</v>
      </c>
      <c r="P145" s="6">
        <v>-10264.6</v>
      </c>
      <c r="Q145" s="6">
        <v>-85.364500000000007</v>
      </c>
      <c r="R145" s="12">
        <v>0</v>
      </c>
      <c r="S145" s="4" t="s">
        <v>1624</v>
      </c>
      <c r="T145" s="4" t="s">
        <v>1625</v>
      </c>
      <c r="U145" s="4" t="s">
        <v>1626</v>
      </c>
      <c r="V145" s="4" t="s">
        <v>1627</v>
      </c>
      <c r="W145" s="4" t="s">
        <v>1628</v>
      </c>
      <c r="X145" s="4" t="s">
        <v>1629</v>
      </c>
      <c r="Y145" s="4" t="s">
        <v>1630</v>
      </c>
      <c r="Z145" s="4" t="s">
        <v>1631</v>
      </c>
      <c r="AA145" s="4" t="s">
        <v>1632</v>
      </c>
      <c r="AB145" s="4" t="s">
        <v>1633</v>
      </c>
      <c r="AC145" s="4" t="s">
        <v>1634</v>
      </c>
      <c r="AD145" s="4" t="s">
        <v>1635</v>
      </c>
      <c r="AE145" s="4" t="s">
        <v>1636</v>
      </c>
      <c r="AF145" s="4" t="s">
        <v>1637</v>
      </c>
      <c r="AG145" s="4" t="s">
        <v>1638</v>
      </c>
      <c r="AH145" s="4" t="s">
        <v>1639</v>
      </c>
      <c r="AI145" s="4" t="s">
        <v>1640</v>
      </c>
      <c r="AJ145" s="4" t="s">
        <v>1641</v>
      </c>
      <c r="AK145" s="4" t="s">
        <v>1642</v>
      </c>
      <c r="AL145" s="4" t="s">
        <v>1643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 t="s">
        <v>882</v>
      </c>
    </row>
    <row r="146" spans="1:169" x14ac:dyDescent="0.3">
      <c r="A146" s="2">
        <v>138</v>
      </c>
      <c r="B146" s="5">
        <v>24</v>
      </c>
      <c r="C146" s="6">
        <v>2101753</v>
      </c>
      <c r="D146" s="6" t="s">
        <v>241</v>
      </c>
      <c r="E146" s="6">
        <v>2914010</v>
      </c>
      <c r="F146" s="6">
        <v>2914010</v>
      </c>
      <c r="G146" s="6">
        <v>0</v>
      </c>
      <c r="H146" s="6">
        <v>0</v>
      </c>
      <c r="I146" s="6">
        <v>51.48</v>
      </c>
      <c r="J146" s="6" t="s">
        <v>194</v>
      </c>
      <c r="K146" s="6" t="s">
        <v>195</v>
      </c>
      <c r="L146" s="7" t="s">
        <v>196</v>
      </c>
      <c r="M146" s="7" t="s">
        <v>172</v>
      </c>
      <c r="N146" s="8" t="s">
        <v>1623</v>
      </c>
      <c r="O146" s="5">
        <v>-2506.4899999999998</v>
      </c>
      <c r="P146" s="6">
        <v>10499.5</v>
      </c>
      <c r="Q146" s="6">
        <v>145.447</v>
      </c>
      <c r="R146" s="12">
        <v>10759.4</v>
      </c>
      <c r="S146" s="4" t="s">
        <v>1624</v>
      </c>
      <c r="T146" s="4" t="s">
        <v>1625</v>
      </c>
      <c r="U146" s="4" t="s">
        <v>1626</v>
      </c>
      <c r="V146" s="4" t="s">
        <v>1627</v>
      </c>
      <c r="W146" s="4" t="s">
        <v>1628</v>
      </c>
      <c r="X146" s="4" t="s">
        <v>1629</v>
      </c>
      <c r="Y146" s="4" t="s">
        <v>1630</v>
      </c>
      <c r="Z146" s="4" t="s">
        <v>1631</v>
      </c>
      <c r="AA146" s="4" t="s">
        <v>1632</v>
      </c>
      <c r="AB146" s="4" t="s">
        <v>1633</v>
      </c>
      <c r="AC146" s="4" t="s">
        <v>1634</v>
      </c>
      <c r="AD146" s="4" t="s">
        <v>1635</v>
      </c>
      <c r="AE146" s="4" t="s">
        <v>1636</v>
      </c>
      <c r="AF146" s="4" t="s">
        <v>1637</v>
      </c>
      <c r="AG146" s="4" t="s">
        <v>1638</v>
      </c>
      <c r="AH146" s="4" t="s">
        <v>1639</v>
      </c>
      <c r="AI146" s="4" t="s">
        <v>1640</v>
      </c>
      <c r="AJ146" s="4" t="s">
        <v>1641</v>
      </c>
      <c r="AK146" s="4" t="s">
        <v>1642</v>
      </c>
      <c r="AL146" s="4" t="s">
        <v>1643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 t="s">
        <v>882</v>
      </c>
    </row>
    <row r="147" spans="1:169" x14ac:dyDescent="0.3">
      <c r="A147" s="2">
        <v>139</v>
      </c>
      <c r="B147" s="5">
        <v>24</v>
      </c>
      <c r="C147" s="6">
        <v>1102720</v>
      </c>
      <c r="D147" s="6" t="s">
        <v>263</v>
      </c>
      <c r="E147" s="6">
        <v>2914010</v>
      </c>
      <c r="F147" s="6">
        <v>1914012</v>
      </c>
      <c r="G147" s="6">
        <v>3914010</v>
      </c>
      <c r="H147" s="6">
        <v>1914013</v>
      </c>
      <c r="I147" s="6">
        <v>57.914999999999999</v>
      </c>
      <c r="J147" s="6" t="s">
        <v>169</v>
      </c>
      <c r="K147" s="6" t="s">
        <v>170</v>
      </c>
      <c r="L147" s="7" t="s">
        <v>171</v>
      </c>
      <c r="M147" s="7" t="s">
        <v>172</v>
      </c>
      <c r="N147" s="8" t="s">
        <v>1644</v>
      </c>
      <c r="O147" s="5">
        <v>3478.33</v>
      </c>
      <c r="P147" s="6">
        <v>-3626.72</v>
      </c>
      <c r="Q147" s="6">
        <v>-183.584</v>
      </c>
      <c r="R147" s="12">
        <v>0</v>
      </c>
      <c r="S147" s="4" t="s">
        <v>1645</v>
      </c>
      <c r="T147" s="4" t="s">
        <v>1646</v>
      </c>
      <c r="U147" s="4" t="s">
        <v>1647</v>
      </c>
      <c r="V147" s="4" t="s">
        <v>1648</v>
      </c>
      <c r="W147" s="4" t="s">
        <v>1649</v>
      </c>
      <c r="X147" s="4" t="s">
        <v>1650</v>
      </c>
      <c r="Y147" s="4" t="s">
        <v>1651</v>
      </c>
      <c r="Z147" s="4" t="s">
        <v>1652</v>
      </c>
      <c r="AA147" s="4" t="s">
        <v>1653</v>
      </c>
      <c r="AB147" s="4" t="s">
        <v>1654</v>
      </c>
      <c r="AC147" s="4" t="s">
        <v>1655</v>
      </c>
      <c r="AD147" s="4" t="s">
        <v>1656</v>
      </c>
      <c r="AE147" s="4" t="s">
        <v>1657</v>
      </c>
      <c r="AF147" s="4" t="s">
        <v>1658</v>
      </c>
      <c r="AG147" s="4" t="s">
        <v>1659</v>
      </c>
      <c r="AH147" s="4" t="s">
        <v>1660</v>
      </c>
      <c r="AI147" s="4" t="s">
        <v>1661</v>
      </c>
      <c r="AJ147" s="4" t="s">
        <v>1662</v>
      </c>
      <c r="AK147" s="4" t="s">
        <v>1663</v>
      </c>
      <c r="AL147" s="4" t="s">
        <v>1664</v>
      </c>
      <c r="AM147" s="3">
        <v>1080.46</v>
      </c>
      <c r="AN147" s="3">
        <v>1072.74</v>
      </c>
      <c r="AO147" s="3">
        <v>1064</v>
      </c>
      <c r="AP147" s="3">
        <v>1062.04</v>
      </c>
      <c r="AQ147" s="3">
        <v>1064.6600000000001</v>
      </c>
      <c r="AR147" s="3">
        <v>1067.58</v>
      </c>
      <c r="AS147" s="3">
        <v>923.59400000000005</v>
      </c>
      <c r="AT147" s="3">
        <v>759.98500000000001</v>
      </c>
      <c r="AU147" s="3">
        <v>601.399</v>
      </c>
      <c r="AV147" s="3">
        <v>460.37700000000001</v>
      </c>
      <c r="AW147" s="3">
        <v>319.88400000000001</v>
      </c>
      <c r="AX147" s="3">
        <v>340.63900000000001</v>
      </c>
      <c r="AY147" s="3">
        <v>363.88799999999998</v>
      </c>
      <c r="AZ147" s="3">
        <v>380.84800000000001</v>
      </c>
      <c r="BA147" s="3">
        <v>396.13099999999997</v>
      </c>
      <c r="BB147" s="3">
        <v>413.57400000000001</v>
      </c>
      <c r="BC147" s="3">
        <v>557.99099999999999</v>
      </c>
      <c r="BD147" s="3">
        <v>707.81899999999996</v>
      </c>
      <c r="BE147" s="3">
        <v>846.59799999999996</v>
      </c>
      <c r="BF147" s="3">
        <v>966.43799999999999</v>
      </c>
      <c r="BG147" s="3">
        <v>-281.87700000000001</v>
      </c>
      <c r="BH147" s="3">
        <v>-277.66800000000001</v>
      </c>
      <c r="BI147" s="3">
        <v>-272.68700000000001</v>
      </c>
      <c r="BJ147" s="3">
        <v>-275.76400000000001</v>
      </c>
      <c r="BK147" s="3">
        <v>-282.30399999999997</v>
      </c>
      <c r="BL147" s="3">
        <v>-286.36599999999999</v>
      </c>
      <c r="BM147" s="3">
        <v>-305.86</v>
      </c>
      <c r="BN147" s="3">
        <v>-322.50099999999998</v>
      </c>
      <c r="BO147" s="3">
        <v>-340.70699999999999</v>
      </c>
      <c r="BP147" s="3">
        <v>-363.28199999999998</v>
      </c>
      <c r="BQ147" s="3">
        <v>-382.976</v>
      </c>
      <c r="BR147" s="3">
        <v>-393.238</v>
      </c>
      <c r="BS147" s="3">
        <v>-398.57299999999998</v>
      </c>
      <c r="BT147" s="3">
        <v>-394.48200000000003</v>
      </c>
      <c r="BU147" s="3">
        <v>-385.79500000000002</v>
      </c>
      <c r="BV147" s="3">
        <v>-375.45400000000001</v>
      </c>
      <c r="BW147" s="3">
        <v>-360.23500000000001</v>
      </c>
      <c r="BX147" s="3">
        <v>-345.09699999999998</v>
      </c>
      <c r="BY147" s="3">
        <v>-326.47300000000001</v>
      </c>
      <c r="BZ147" s="3">
        <v>-302.80599999999998</v>
      </c>
      <c r="CA147" s="3">
        <v>-362.75299999999999</v>
      </c>
      <c r="CB147" s="3">
        <v>-377.649</v>
      </c>
      <c r="CC147" s="3">
        <v>-386.43900000000002</v>
      </c>
      <c r="CD147" s="3">
        <v>-393.61599999999999</v>
      </c>
      <c r="CE147" s="3">
        <v>-406.077</v>
      </c>
      <c r="CF147" s="3">
        <v>-424.452</v>
      </c>
      <c r="CG147" s="3">
        <v>-421.78399999999999</v>
      </c>
      <c r="CH147" s="3">
        <v>-418.37599999999998</v>
      </c>
      <c r="CI147" s="3">
        <v>-413.55200000000002</v>
      </c>
      <c r="CJ147" s="3">
        <v>-417.28399999999999</v>
      </c>
      <c r="CK147" s="3">
        <v>-431.95499999999998</v>
      </c>
      <c r="CL147" s="3">
        <v>-418.05200000000002</v>
      </c>
      <c r="CM147" s="3">
        <v>-413.98399999999998</v>
      </c>
      <c r="CN147" s="3">
        <v>-411.12799999999999</v>
      </c>
      <c r="CO147" s="3">
        <v>-402.64499999999998</v>
      </c>
      <c r="CP147" s="3">
        <v>-389.416</v>
      </c>
      <c r="CQ147" s="3">
        <v>-373.45699999999999</v>
      </c>
      <c r="CR147" s="3">
        <v>-366.04</v>
      </c>
      <c r="CS147" s="3">
        <v>-368.274</v>
      </c>
      <c r="CT147" s="3">
        <v>-368.68299999999999</v>
      </c>
      <c r="CU147" s="3">
        <v>1645.77</v>
      </c>
      <c r="CV147" s="3">
        <v>1951.15</v>
      </c>
      <c r="CW147" s="3">
        <v>2101.25</v>
      </c>
      <c r="CX147" s="3">
        <v>2240.16</v>
      </c>
      <c r="CY147" s="3">
        <v>2536.62</v>
      </c>
      <c r="CZ147" s="3">
        <v>3106.42</v>
      </c>
      <c r="DA147" s="3">
        <v>3033.1</v>
      </c>
      <c r="DB147" s="3">
        <v>2973.21</v>
      </c>
      <c r="DC147" s="3">
        <v>2941.86</v>
      </c>
      <c r="DD147" s="3">
        <v>2941.83</v>
      </c>
      <c r="DE147" s="3">
        <v>2905.64</v>
      </c>
      <c r="DF147" s="3">
        <v>2394.91</v>
      </c>
      <c r="DG147" s="3">
        <v>2217.0100000000002</v>
      </c>
      <c r="DH147" s="3">
        <v>2085.64</v>
      </c>
      <c r="DI147" s="3">
        <v>1900.45</v>
      </c>
      <c r="DJ147" s="3">
        <v>1559.85</v>
      </c>
      <c r="DK147" s="3">
        <v>1746.89</v>
      </c>
      <c r="DL147" s="3">
        <v>1838.92</v>
      </c>
      <c r="DM147" s="3">
        <v>1854.31</v>
      </c>
      <c r="DN147" s="3">
        <v>1800.13</v>
      </c>
      <c r="DO147" s="3">
        <v>1417.82</v>
      </c>
      <c r="DP147" s="3">
        <v>1589.81</v>
      </c>
      <c r="DQ147" s="3">
        <v>1792.3</v>
      </c>
      <c r="DR147" s="3">
        <v>2029.06</v>
      </c>
      <c r="DS147" s="3">
        <v>2269.16</v>
      </c>
      <c r="DT147" s="3">
        <v>2494.88</v>
      </c>
      <c r="DU147" s="3">
        <v>2469.48</v>
      </c>
      <c r="DV147" s="3">
        <v>2292.3200000000002</v>
      </c>
      <c r="DW147" s="3">
        <v>2202.27</v>
      </c>
      <c r="DX147" s="3">
        <v>2228.8200000000002</v>
      </c>
      <c r="DY147" s="3">
        <v>2240.7399999999998</v>
      </c>
      <c r="DZ147" s="3">
        <v>2151.71</v>
      </c>
      <c r="EA147" s="3">
        <v>1983.98</v>
      </c>
      <c r="EB147" s="3">
        <v>1779.03</v>
      </c>
      <c r="EC147" s="3">
        <v>1615.24</v>
      </c>
      <c r="ED147" s="3">
        <v>1458.51</v>
      </c>
      <c r="EE147" s="3">
        <v>1724.12</v>
      </c>
      <c r="EF147" s="3">
        <v>1902.17</v>
      </c>
      <c r="EG147" s="3">
        <v>1845.69</v>
      </c>
      <c r="EH147" s="3">
        <v>1612.16</v>
      </c>
      <c r="EI147" s="3">
        <v>-143.095</v>
      </c>
      <c r="EJ147" s="3">
        <v>-217.739</v>
      </c>
      <c r="EK147" s="3">
        <v>-253.797</v>
      </c>
      <c r="EL147" s="3">
        <v>-212.64099999999999</v>
      </c>
      <c r="EM147" s="3">
        <v>-122.571</v>
      </c>
      <c r="EN147" s="3">
        <v>-56.264200000000002</v>
      </c>
      <c r="EO147" s="3">
        <v>-158.72800000000001</v>
      </c>
      <c r="EP147" s="3">
        <v>-351.84800000000001</v>
      </c>
      <c r="EQ147" s="3">
        <v>-520.67200000000003</v>
      </c>
      <c r="ER147" s="3">
        <v>-527.81799999999998</v>
      </c>
      <c r="ES147" s="3">
        <v>-479.52499999999998</v>
      </c>
      <c r="ET147" s="3">
        <v>-429.1</v>
      </c>
      <c r="EU147" s="3">
        <v>-388.26</v>
      </c>
      <c r="EV147" s="3">
        <v>-454.87700000000001</v>
      </c>
      <c r="EW147" s="3">
        <v>-576.50699999999995</v>
      </c>
      <c r="EX147" s="3">
        <v>-670.47199999999998</v>
      </c>
      <c r="EY147" s="3">
        <v>-595.82100000000003</v>
      </c>
      <c r="EZ147" s="3">
        <v>-441.536</v>
      </c>
      <c r="FA147" s="3">
        <v>-257.29899999999998</v>
      </c>
      <c r="FB147" s="3">
        <v>-161.80799999999999</v>
      </c>
      <c r="FC147" s="3">
        <v>688.80399999999997</v>
      </c>
      <c r="FD147" s="3">
        <v>762.14700000000005</v>
      </c>
      <c r="FE147" s="3">
        <v>-279.44400000000002</v>
      </c>
      <c r="FF147" s="3">
        <v>-388.42</v>
      </c>
      <c r="FG147" s="3">
        <v>-371.43700000000001</v>
      </c>
      <c r="FH147" s="3">
        <v>-421.23399999999998</v>
      </c>
      <c r="FI147" s="3">
        <v>-2362.33</v>
      </c>
      <c r="FJ147" s="3">
        <v>-1901.85</v>
      </c>
      <c r="FK147" s="3">
        <v>348.73899999999998</v>
      </c>
      <c r="FL147" s="3">
        <v>0</v>
      </c>
      <c r="FM147" s="3"/>
    </row>
    <row r="148" spans="1:169" x14ac:dyDescent="0.3">
      <c r="A148" s="2">
        <v>140</v>
      </c>
      <c r="B148" s="5">
        <v>24</v>
      </c>
      <c r="C148" s="6">
        <v>1102720</v>
      </c>
      <c r="D148" s="6" t="s">
        <v>263</v>
      </c>
      <c r="E148" s="6">
        <v>2914010</v>
      </c>
      <c r="F148" s="6">
        <v>1914012</v>
      </c>
      <c r="G148" s="6">
        <v>3914010</v>
      </c>
      <c r="H148" s="6">
        <v>1914013</v>
      </c>
      <c r="I148" s="6">
        <v>57.914999999999999</v>
      </c>
      <c r="J148" s="6" t="s">
        <v>194</v>
      </c>
      <c r="K148" s="6" t="s">
        <v>195</v>
      </c>
      <c r="L148" s="7" t="s">
        <v>196</v>
      </c>
      <c r="M148" s="7" t="s">
        <v>172</v>
      </c>
      <c r="N148" s="8" t="s">
        <v>1644</v>
      </c>
      <c r="O148" s="5">
        <v>-3115.87</v>
      </c>
      <c r="P148" s="6">
        <v>3350.7</v>
      </c>
      <c r="Q148" s="6">
        <v>155.87799999999999</v>
      </c>
      <c r="R148" s="12">
        <v>10759.4</v>
      </c>
      <c r="S148" s="4" t="s">
        <v>1645</v>
      </c>
      <c r="T148" s="4" t="s">
        <v>1646</v>
      </c>
      <c r="U148" s="4" t="s">
        <v>1647</v>
      </c>
      <c r="V148" s="4" t="s">
        <v>1648</v>
      </c>
      <c r="W148" s="4" t="s">
        <v>1649</v>
      </c>
      <c r="X148" s="4" t="s">
        <v>1650</v>
      </c>
      <c r="Y148" s="4" t="s">
        <v>1651</v>
      </c>
      <c r="Z148" s="4" t="s">
        <v>1652</v>
      </c>
      <c r="AA148" s="4" t="s">
        <v>1653</v>
      </c>
      <c r="AB148" s="4" t="s">
        <v>1654</v>
      </c>
      <c r="AC148" s="4" t="s">
        <v>1655</v>
      </c>
      <c r="AD148" s="4" t="s">
        <v>1656</v>
      </c>
      <c r="AE148" s="4" t="s">
        <v>1657</v>
      </c>
      <c r="AF148" s="4" t="s">
        <v>1658</v>
      </c>
      <c r="AG148" s="4" t="s">
        <v>1659</v>
      </c>
      <c r="AH148" s="4" t="s">
        <v>1660</v>
      </c>
      <c r="AI148" s="4" t="s">
        <v>1661</v>
      </c>
      <c r="AJ148" s="4" t="s">
        <v>1662</v>
      </c>
      <c r="AK148" s="4" t="s">
        <v>1663</v>
      </c>
      <c r="AL148" s="4" t="s">
        <v>1664</v>
      </c>
      <c r="AM148" s="3">
        <v>-1052.72</v>
      </c>
      <c r="AN148" s="3">
        <v>-1039.46</v>
      </c>
      <c r="AO148" s="3">
        <v>-1023.5</v>
      </c>
      <c r="AP148" s="3">
        <v>-1012.12</v>
      </c>
      <c r="AQ148" s="3">
        <v>-1003.42</v>
      </c>
      <c r="AR148" s="3">
        <v>-992.47400000000005</v>
      </c>
      <c r="AS148" s="3">
        <v>-834.476</v>
      </c>
      <c r="AT148" s="3">
        <v>-666.005</v>
      </c>
      <c r="AU148" s="3">
        <v>-508.70800000000003</v>
      </c>
      <c r="AV148" s="3">
        <v>-372.58199999999999</v>
      </c>
      <c r="AW148" s="3">
        <v>-240.405</v>
      </c>
      <c r="AX148" s="3">
        <v>-270.613</v>
      </c>
      <c r="AY148" s="3">
        <v>-302.03100000000001</v>
      </c>
      <c r="AZ148" s="3">
        <v>-326.59399999999999</v>
      </c>
      <c r="BA148" s="3">
        <v>-348.79199999999997</v>
      </c>
      <c r="BB148" s="3">
        <v>-372.178</v>
      </c>
      <c r="BC148" s="3">
        <v>-513.57600000000002</v>
      </c>
      <c r="BD148" s="3">
        <v>-662.05899999999997</v>
      </c>
      <c r="BE148" s="3">
        <v>-803.01</v>
      </c>
      <c r="BF148" s="3">
        <v>-929.31799999999998</v>
      </c>
      <c r="BG148" s="3">
        <v>286.36900000000003</v>
      </c>
      <c r="BH148" s="3">
        <v>282.14600000000002</v>
      </c>
      <c r="BI148" s="3">
        <v>276.05500000000001</v>
      </c>
      <c r="BJ148" s="3">
        <v>276.42700000000002</v>
      </c>
      <c r="BK148" s="3">
        <v>279.17599999999999</v>
      </c>
      <c r="BL148" s="3">
        <v>278.61799999999999</v>
      </c>
      <c r="BM148" s="3">
        <v>290.40199999999999</v>
      </c>
      <c r="BN148" s="3">
        <v>302.815</v>
      </c>
      <c r="BO148" s="3">
        <v>319.43700000000001</v>
      </c>
      <c r="BP148" s="3">
        <v>342.08</v>
      </c>
      <c r="BQ148" s="3">
        <v>363.46600000000001</v>
      </c>
      <c r="BR148" s="3">
        <v>375.40199999999999</v>
      </c>
      <c r="BS148" s="3">
        <v>382.55399999999997</v>
      </c>
      <c r="BT148" s="3">
        <v>380.774</v>
      </c>
      <c r="BU148" s="3">
        <v>374.565</v>
      </c>
      <c r="BV148" s="3">
        <v>366.54599999999999</v>
      </c>
      <c r="BW148" s="3">
        <v>351.536</v>
      </c>
      <c r="BX148" s="3">
        <v>337.57499999999999</v>
      </c>
      <c r="BY148" s="3">
        <v>321.64699999999999</v>
      </c>
      <c r="BZ148" s="3">
        <v>302.23200000000003</v>
      </c>
      <c r="CA148" s="3">
        <v>328.43799999999999</v>
      </c>
      <c r="CB148" s="3">
        <v>337.69099999999997</v>
      </c>
      <c r="CC148" s="3">
        <v>340.62900000000002</v>
      </c>
      <c r="CD148" s="3">
        <v>341.09800000000001</v>
      </c>
      <c r="CE148" s="3">
        <v>345.78500000000003</v>
      </c>
      <c r="CF148" s="3">
        <v>355.27100000000002</v>
      </c>
      <c r="CG148" s="3">
        <v>369.25</v>
      </c>
      <c r="CH148" s="3">
        <v>383.488</v>
      </c>
      <c r="CI148" s="3">
        <v>395.84300000000002</v>
      </c>
      <c r="CJ148" s="3">
        <v>414.18599999999998</v>
      </c>
      <c r="CK148" s="3">
        <v>440.24</v>
      </c>
      <c r="CL148" s="3">
        <v>424.06700000000001</v>
      </c>
      <c r="CM148" s="3">
        <v>417.79899999999998</v>
      </c>
      <c r="CN148" s="3">
        <v>413.18200000000002</v>
      </c>
      <c r="CO148" s="3">
        <v>403.64699999999999</v>
      </c>
      <c r="CP148" s="3">
        <v>389.99099999999999</v>
      </c>
      <c r="CQ148" s="3">
        <v>367.95400000000001</v>
      </c>
      <c r="CR148" s="3">
        <v>353.22399999999999</v>
      </c>
      <c r="CS148" s="3">
        <v>347.29399999999998</v>
      </c>
      <c r="CT148" s="3">
        <v>340.25099999999998</v>
      </c>
      <c r="CU148" s="3">
        <v>-1836.97</v>
      </c>
      <c r="CV148" s="3">
        <v>-2134.59</v>
      </c>
      <c r="CW148" s="3">
        <v>-2267.89</v>
      </c>
      <c r="CX148" s="3">
        <v>-2390.17</v>
      </c>
      <c r="CY148" s="3">
        <v>-2672.35</v>
      </c>
      <c r="CZ148" s="3">
        <v>-3227.93</v>
      </c>
      <c r="DA148" s="3">
        <v>-3105.84</v>
      </c>
      <c r="DB148" s="3">
        <v>-2994.43</v>
      </c>
      <c r="DC148" s="3">
        <v>-2910.01</v>
      </c>
      <c r="DD148" s="3">
        <v>-2864.76</v>
      </c>
      <c r="DE148" s="3">
        <v>-2792.88</v>
      </c>
      <c r="DF148" s="3">
        <v>-2357.66</v>
      </c>
      <c r="DG148" s="3">
        <v>-2243.7399999999998</v>
      </c>
      <c r="DH148" s="3">
        <v>-2152.6999999999998</v>
      </c>
      <c r="DI148" s="3">
        <v>-1988.24</v>
      </c>
      <c r="DJ148" s="3">
        <v>-1653.44</v>
      </c>
      <c r="DK148" s="3">
        <v>-1861.07</v>
      </c>
      <c r="DL148" s="3">
        <v>-1973.94</v>
      </c>
      <c r="DM148" s="3">
        <v>-2011.88</v>
      </c>
      <c r="DN148" s="3">
        <v>-1977.02</v>
      </c>
      <c r="DO148" s="3">
        <v>-1474.2</v>
      </c>
      <c r="DP148" s="3">
        <v>-1633.4</v>
      </c>
      <c r="DQ148" s="3">
        <v>-1821.59</v>
      </c>
      <c r="DR148" s="3">
        <v>-2043.27</v>
      </c>
      <c r="DS148" s="3">
        <v>-2265.5100000000002</v>
      </c>
      <c r="DT148" s="3">
        <v>-2467.31</v>
      </c>
      <c r="DU148" s="3">
        <v>-2367.36</v>
      </c>
      <c r="DV148" s="3">
        <v>-2143.0100000000002</v>
      </c>
      <c r="DW148" s="3">
        <v>-2025.63</v>
      </c>
      <c r="DX148" s="3">
        <v>-2022.12</v>
      </c>
      <c r="DY148" s="3">
        <v>-1997.82</v>
      </c>
      <c r="DZ148" s="3">
        <v>-1952.73</v>
      </c>
      <c r="EA148" s="3">
        <v>-1816.79</v>
      </c>
      <c r="EB148" s="3">
        <v>-1639.56</v>
      </c>
      <c r="EC148" s="3">
        <v>-1501.89</v>
      </c>
      <c r="ED148" s="3">
        <v>-1369.23</v>
      </c>
      <c r="EE148" s="3">
        <v>-1663.91</v>
      </c>
      <c r="EF148" s="3">
        <v>-1863.7</v>
      </c>
      <c r="EG148" s="3">
        <v>-1823.93</v>
      </c>
      <c r="EH148" s="3">
        <v>-1618.33</v>
      </c>
      <c r="EI148" s="3">
        <v>220.227</v>
      </c>
      <c r="EJ148" s="3">
        <v>298.15800000000002</v>
      </c>
      <c r="EK148" s="3">
        <v>328.54399999999998</v>
      </c>
      <c r="EL148" s="3">
        <v>276.62200000000001</v>
      </c>
      <c r="EM148" s="3">
        <v>174.21899999999999</v>
      </c>
      <c r="EN148" s="3">
        <v>99.224900000000005</v>
      </c>
      <c r="EO148" s="3">
        <v>184.11199999999999</v>
      </c>
      <c r="EP148" s="3">
        <v>368.71100000000001</v>
      </c>
      <c r="EQ148" s="3">
        <v>522.88</v>
      </c>
      <c r="ER148" s="3">
        <v>506.61700000000002</v>
      </c>
      <c r="ES148" s="3">
        <v>432.09</v>
      </c>
      <c r="ET148" s="3">
        <v>386.29899999999998</v>
      </c>
      <c r="EU148" s="3">
        <v>354.815</v>
      </c>
      <c r="EV148" s="3">
        <v>435.45299999999997</v>
      </c>
      <c r="EW148" s="3">
        <v>569.42999999999995</v>
      </c>
      <c r="EX148" s="3">
        <v>671.16</v>
      </c>
      <c r="EY148" s="3">
        <v>608.22900000000004</v>
      </c>
      <c r="EZ148" s="3">
        <v>462.13600000000002</v>
      </c>
      <c r="FA148" s="3">
        <v>291.91500000000002</v>
      </c>
      <c r="FB148" s="3">
        <v>218.97800000000001</v>
      </c>
      <c r="FC148" s="3">
        <v>-602.44200000000001</v>
      </c>
      <c r="FD148" s="3">
        <v>-722.14400000000001</v>
      </c>
      <c r="FE148" s="3">
        <v>279.79899999999998</v>
      </c>
      <c r="FF148" s="3">
        <v>373.88499999999999</v>
      </c>
      <c r="FG148" s="3">
        <v>341.48500000000001</v>
      </c>
      <c r="FH148" s="3">
        <v>414.82100000000003</v>
      </c>
      <c r="FI148" s="3">
        <v>2434.1799999999998</v>
      </c>
      <c r="FJ148" s="3">
        <v>1831.94</v>
      </c>
      <c r="FK148" s="3">
        <v>-368.02199999999999</v>
      </c>
      <c r="FL148" s="3">
        <v>0</v>
      </c>
      <c r="FM148" s="3"/>
    </row>
    <row r="149" spans="1:169" x14ac:dyDescent="0.3">
      <c r="A149" s="2">
        <v>141</v>
      </c>
      <c r="B149" s="5">
        <v>24</v>
      </c>
      <c r="C149" s="6">
        <v>3102584</v>
      </c>
      <c r="D149" s="6" t="s">
        <v>285</v>
      </c>
      <c r="E149" s="6">
        <v>3914010</v>
      </c>
      <c r="F149" s="6">
        <v>3914011</v>
      </c>
      <c r="G149" s="6">
        <v>0</v>
      </c>
      <c r="H149" s="6">
        <v>0</v>
      </c>
      <c r="I149" s="6">
        <v>51.48</v>
      </c>
      <c r="J149" s="6" t="s">
        <v>169</v>
      </c>
      <c r="K149" s="6" t="s">
        <v>170</v>
      </c>
      <c r="L149" s="7" t="s">
        <v>171</v>
      </c>
      <c r="M149" s="7" t="s">
        <v>172</v>
      </c>
      <c r="N149" s="8" t="s">
        <v>1665</v>
      </c>
      <c r="O149" s="5">
        <v>-6420.71</v>
      </c>
      <c r="P149" s="6">
        <v>-4838.1099999999997</v>
      </c>
      <c r="Q149" s="6">
        <v>-11.4824</v>
      </c>
      <c r="R149" s="12">
        <v>0</v>
      </c>
      <c r="S149" s="4" t="s">
        <v>1666</v>
      </c>
      <c r="T149" s="4" t="s">
        <v>1667</v>
      </c>
      <c r="U149" s="4" t="s">
        <v>1668</v>
      </c>
      <c r="V149" s="4" t="s">
        <v>1669</v>
      </c>
      <c r="W149" s="4" t="s">
        <v>1670</v>
      </c>
      <c r="X149" s="4" t="s">
        <v>1671</v>
      </c>
      <c r="Y149" s="4" t="s">
        <v>1672</v>
      </c>
      <c r="Z149" s="4" t="s">
        <v>1673</v>
      </c>
      <c r="AA149" s="4" t="s">
        <v>1674</v>
      </c>
      <c r="AB149" s="4" t="s">
        <v>1675</v>
      </c>
      <c r="AC149" s="4" t="s">
        <v>1676</v>
      </c>
      <c r="AD149" s="4" t="s">
        <v>1677</v>
      </c>
      <c r="AE149" s="4" t="s">
        <v>1678</v>
      </c>
      <c r="AF149" s="4" t="s">
        <v>1679</v>
      </c>
      <c r="AG149" s="4" t="s">
        <v>1680</v>
      </c>
      <c r="AH149" s="4" t="s">
        <v>1681</v>
      </c>
      <c r="AI149" s="4" t="s">
        <v>1682</v>
      </c>
      <c r="AJ149" s="4" t="s">
        <v>1683</v>
      </c>
      <c r="AK149" s="4" t="s">
        <v>1684</v>
      </c>
      <c r="AL149" s="4" t="s">
        <v>1685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 t="s">
        <v>1601</v>
      </c>
    </row>
    <row r="150" spans="1:169" x14ac:dyDescent="0.3">
      <c r="A150" s="2">
        <v>142</v>
      </c>
      <c r="B150" s="5">
        <v>24</v>
      </c>
      <c r="C150" s="6">
        <v>3102584</v>
      </c>
      <c r="D150" s="6" t="s">
        <v>285</v>
      </c>
      <c r="E150" s="6">
        <v>3914010</v>
      </c>
      <c r="F150" s="6">
        <v>3914011</v>
      </c>
      <c r="G150" s="6">
        <v>0</v>
      </c>
      <c r="H150" s="6">
        <v>0</v>
      </c>
      <c r="I150" s="6">
        <v>51.48</v>
      </c>
      <c r="J150" s="6" t="s">
        <v>194</v>
      </c>
      <c r="K150" s="6" t="s">
        <v>195</v>
      </c>
      <c r="L150" s="7" t="s">
        <v>196</v>
      </c>
      <c r="M150" s="7" t="s">
        <v>172</v>
      </c>
      <c r="N150" s="8" t="s">
        <v>1665</v>
      </c>
      <c r="O150" s="5">
        <v>6722.64</v>
      </c>
      <c r="P150" s="6">
        <v>5347.41</v>
      </c>
      <c r="Q150" s="6">
        <v>102.58199999999999</v>
      </c>
      <c r="R150" s="12">
        <v>10759.4</v>
      </c>
      <c r="S150" s="4" t="s">
        <v>1666</v>
      </c>
      <c r="T150" s="4" t="s">
        <v>1667</v>
      </c>
      <c r="U150" s="4" t="s">
        <v>1668</v>
      </c>
      <c r="V150" s="4" t="s">
        <v>1669</v>
      </c>
      <c r="W150" s="4" t="s">
        <v>1670</v>
      </c>
      <c r="X150" s="4" t="s">
        <v>1671</v>
      </c>
      <c r="Y150" s="4" t="s">
        <v>1672</v>
      </c>
      <c r="Z150" s="4" t="s">
        <v>1673</v>
      </c>
      <c r="AA150" s="4" t="s">
        <v>1674</v>
      </c>
      <c r="AB150" s="4" t="s">
        <v>1675</v>
      </c>
      <c r="AC150" s="4" t="s">
        <v>1676</v>
      </c>
      <c r="AD150" s="4" t="s">
        <v>1677</v>
      </c>
      <c r="AE150" s="4" t="s">
        <v>1678</v>
      </c>
      <c r="AF150" s="4" t="s">
        <v>1679</v>
      </c>
      <c r="AG150" s="4" t="s">
        <v>1680</v>
      </c>
      <c r="AH150" s="4" t="s">
        <v>1681</v>
      </c>
      <c r="AI150" s="4" t="s">
        <v>1682</v>
      </c>
      <c r="AJ150" s="4" t="s">
        <v>1683</v>
      </c>
      <c r="AK150" s="4" t="s">
        <v>1684</v>
      </c>
      <c r="AL150" s="4" t="s">
        <v>1685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 t="s">
        <v>1601</v>
      </c>
    </row>
    <row r="151" spans="1:169" x14ac:dyDescent="0.3">
      <c r="A151" s="2">
        <v>143</v>
      </c>
      <c r="B151" s="5">
        <v>25</v>
      </c>
      <c r="C151" s="6">
        <v>1101827</v>
      </c>
      <c r="D151" s="6" t="s">
        <v>263</v>
      </c>
      <c r="E151" s="6">
        <v>3917010</v>
      </c>
      <c r="F151" s="6">
        <v>1917011</v>
      </c>
      <c r="G151" s="6">
        <v>0</v>
      </c>
      <c r="H151" s="6">
        <v>0</v>
      </c>
      <c r="I151" s="6">
        <v>57.914999999999999</v>
      </c>
      <c r="J151" s="6" t="s">
        <v>169</v>
      </c>
      <c r="K151" s="6" t="s">
        <v>170</v>
      </c>
      <c r="L151" s="7" t="s">
        <v>171</v>
      </c>
      <c r="M151" s="7" t="s">
        <v>172</v>
      </c>
      <c r="N151" s="8" t="s">
        <v>1686</v>
      </c>
      <c r="O151" s="5">
        <v>7985.6</v>
      </c>
      <c r="P151" s="6">
        <v>-378.15199999999999</v>
      </c>
      <c r="Q151" s="6">
        <v>7039.75</v>
      </c>
      <c r="R151" s="12">
        <v>27867.1</v>
      </c>
      <c r="S151" s="4" t="s">
        <v>1687</v>
      </c>
      <c r="T151" s="4" t="s">
        <v>1688</v>
      </c>
      <c r="U151" s="4" t="s">
        <v>1689</v>
      </c>
      <c r="V151" s="4" t="s">
        <v>1690</v>
      </c>
      <c r="W151" s="4" t="s">
        <v>1691</v>
      </c>
      <c r="X151" s="4" t="s">
        <v>1692</v>
      </c>
      <c r="Y151" s="4" t="s">
        <v>1693</v>
      </c>
      <c r="Z151" s="4" t="s">
        <v>1694</v>
      </c>
      <c r="AA151" s="4" t="s">
        <v>1695</v>
      </c>
      <c r="AB151" s="4" t="s">
        <v>1696</v>
      </c>
      <c r="AC151" s="4" t="s">
        <v>1697</v>
      </c>
      <c r="AD151" s="4" t="s">
        <v>1698</v>
      </c>
      <c r="AE151" s="4" t="s">
        <v>1699</v>
      </c>
      <c r="AF151" s="4" t="s">
        <v>1700</v>
      </c>
      <c r="AG151" s="4" t="s">
        <v>1701</v>
      </c>
      <c r="AH151" s="4" t="s">
        <v>1702</v>
      </c>
      <c r="AI151" s="4" t="s">
        <v>1703</v>
      </c>
      <c r="AJ151" s="4" t="s">
        <v>1704</v>
      </c>
      <c r="AK151" s="4" t="s">
        <v>1705</v>
      </c>
      <c r="AL151" s="4" t="s">
        <v>1706</v>
      </c>
      <c r="AM151" s="3">
        <v>2700.84</v>
      </c>
      <c r="AN151" s="3">
        <v>2670.25</v>
      </c>
      <c r="AO151" s="3">
        <v>2629.79</v>
      </c>
      <c r="AP151" s="3">
        <v>2590.4499999999998</v>
      </c>
      <c r="AQ151" s="3">
        <v>2540.81</v>
      </c>
      <c r="AR151" s="3">
        <v>2502.1799999999998</v>
      </c>
      <c r="AS151" s="3">
        <v>2558.7199999999998</v>
      </c>
      <c r="AT151" s="3">
        <v>2580.96</v>
      </c>
      <c r="AU151" s="3">
        <v>2619.52</v>
      </c>
      <c r="AV151" s="3">
        <v>2701.41</v>
      </c>
      <c r="AW151" s="3">
        <v>2758.3</v>
      </c>
      <c r="AX151" s="3">
        <v>2830.87</v>
      </c>
      <c r="AY151" s="3">
        <v>2896.7</v>
      </c>
      <c r="AZ151" s="3">
        <v>2953.16</v>
      </c>
      <c r="BA151" s="3">
        <v>3001.17</v>
      </c>
      <c r="BB151" s="3">
        <v>3036.31</v>
      </c>
      <c r="BC151" s="3">
        <v>3063.35</v>
      </c>
      <c r="BD151" s="3">
        <v>2933.21</v>
      </c>
      <c r="BE151" s="3">
        <v>2757.5</v>
      </c>
      <c r="BF151" s="3">
        <v>2758.37</v>
      </c>
      <c r="BG151" s="3">
        <v>-79.196799999999996</v>
      </c>
      <c r="BH151" s="3">
        <v>-70.575000000000003</v>
      </c>
      <c r="BI151" s="3">
        <v>-65.576800000000006</v>
      </c>
      <c r="BJ151" s="3">
        <v>-66.691599999999994</v>
      </c>
      <c r="BK151" s="3">
        <v>-62.071199999999997</v>
      </c>
      <c r="BL151" s="3">
        <v>-44.938600000000001</v>
      </c>
      <c r="BM151" s="3">
        <v>-41.062199999999997</v>
      </c>
      <c r="BN151" s="3">
        <v>-26.930599999999998</v>
      </c>
      <c r="BO151" s="3">
        <v>-24.4207</v>
      </c>
      <c r="BP151" s="3">
        <v>-32.496200000000002</v>
      </c>
      <c r="BQ151" s="3">
        <v>-20.3156</v>
      </c>
      <c r="BR151" s="3">
        <v>-32.603499999999997</v>
      </c>
      <c r="BS151" s="3">
        <v>-35.188400000000001</v>
      </c>
      <c r="BT151" s="3">
        <v>-29.168299999999999</v>
      </c>
      <c r="BU151" s="3">
        <v>-20.497399999999999</v>
      </c>
      <c r="BV151" s="3">
        <v>-16.298100000000002</v>
      </c>
      <c r="BW151" s="3">
        <v>-50.230600000000003</v>
      </c>
      <c r="BX151" s="3">
        <v>-93.025999999999996</v>
      </c>
      <c r="BY151" s="3">
        <v>-103.89700000000001</v>
      </c>
      <c r="BZ151" s="3">
        <v>-85.208299999999994</v>
      </c>
      <c r="CA151" s="3">
        <v>-111.452</v>
      </c>
      <c r="CB151" s="3">
        <v>-121.18300000000001</v>
      </c>
      <c r="CC151" s="3">
        <v>-140.93100000000001</v>
      </c>
      <c r="CD151" s="3">
        <v>-155.81100000000001</v>
      </c>
      <c r="CE151" s="3">
        <v>-156.61799999999999</v>
      </c>
      <c r="CF151" s="3">
        <v>-151.197</v>
      </c>
      <c r="CG151" s="3">
        <v>-120.709</v>
      </c>
      <c r="CH151" s="3">
        <v>-142.02699999999999</v>
      </c>
      <c r="CI151" s="3">
        <v>-203.73</v>
      </c>
      <c r="CJ151" s="3">
        <v>-211.441</v>
      </c>
      <c r="CK151" s="3">
        <v>-145.52600000000001</v>
      </c>
      <c r="CL151" s="3">
        <v>-122.495</v>
      </c>
      <c r="CM151" s="3">
        <v>-91.837599999999995</v>
      </c>
      <c r="CN151" s="3">
        <v>-61.929299999999998</v>
      </c>
      <c r="CO151" s="3">
        <v>-37.429400000000001</v>
      </c>
      <c r="CP151" s="3">
        <v>-16.700500000000002</v>
      </c>
      <c r="CQ151" s="3">
        <v>-56.407600000000002</v>
      </c>
      <c r="CR151" s="3">
        <v>-78.585700000000003</v>
      </c>
      <c r="CS151" s="3">
        <v>-80.167000000000002</v>
      </c>
      <c r="CT151" s="3">
        <v>-89.225399999999993</v>
      </c>
      <c r="CU151" s="3">
        <v>-665.41899999999998</v>
      </c>
      <c r="CV151" s="3">
        <v>-661.99400000000003</v>
      </c>
      <c r="CW151" s="3">
        <v>-623.27499999999998</v>
      </c>
      <c r="CX151" s="3">
        <v>-399.02699999999999</v>
      </c>
      <c r="CY151" s="3">
        <v>74.213499999999996</v>
      </c>
      <c r="CZ151" s="3">
        <v>701.05</v>
      </c>
      <c r="DA151" s="3">
        <v>758.30600000000004</v>
      </c>
      <c r="DB151" s="3">
        <v>909.58500000000004</v>
      </c>
      <c r="DC151" s="3">
        <v>1040.92</v>
      </c>
      <c r="DD151" s="3">
        <v>1175.8900000000001</v>
      </c>
      <c r="DE151" s="3">
        <v>1413.22</v>
      </c>
      <c r="DF151" s="3">
        <v>582.70100000000002</v>
      </c>
      <c r="DG151" s="3">
        <v>24.402799999999999</v>
      </c>
      <c r="DH151" s="3">
        <v>-246.38900000000001</v>
      </c>
      <c r="DI151" s="3">
        <v>-325.077</v>
      </c>
      <c r="DJ151" s="3">
        <v>-308.572</v>
      </c>
      <c r="DK151" s="3">
        <v>-277.69799999999998</v>
      </c>
      <c r="DL151" s="3">
        <v>-296.964</v>
      </c>
      <c r="DM151" s="3">
        <v>-402.41500000000002</v>
      </c>
      <c r="DN151" s="3">
        <v>-512.91999999999996</v>
      </c>
      <c r="DO151" s="3">
        <v>-1870.02</v>
      </c>
      <c r="DP151" s="3">
        <v>-1896.85</v>
      </c>
      <c r="DQ151" s="3">
        <v>-1897.33</v>
      </c>
      <c r="DR151" s="3">
        <v>-1887.21</v>
      </c>
      <c r="DS151" s="3">
        <v>-1907.7</v>
      </c>
      <c r="DT151" s="3">
        <v>-1893.4</v>
      </c>
      <c r="DU151" s="3">
        <v>-1759.72</v>
      </c>
      <c r="DV151" s="3">
        <v>-1682.98</v>
      </c>
      <c r="DW151" s="3">
        <v>-1414.86</v>
      </c>
      <c r="DX151" s="3">
        <v>-865.54499999999996</v>
      </c>
      <c r="DY151" s="3">
        <v>-371.58199999999999</v>
      </c>
      <c r="DZ151" s="3">
        <v>-411.37599999999998</v>
      </c>
      <c r="EA151" s="3">
        <v>-439.28199999999998</v>
      </c>
      <c r="EB151" s="3">
        <v>-450.18</v>
      </c>
      <c r="EC151" s="3">
        <v>-439.72899999999998</v>
      </c>
      <c r="ED151" s="3">
        <v>-371.03199999999998</v>
      </c>
      <c r="EE151" s="3">
        <v>-738.774</v>
      </c>
      <c r="EF151" s="3">
        <v>-994.79200000000003</v>
      </c>
      <c r="EG151" s="3">
        <v>-1237.25</v>
      </c>
      <c r="EH151" s="3">
        <v>-1587.71</v>
      </c>
      <c r="EI151" s="3">
        <v>-549.62900000000002</v>
      </c>
      <c r="EJ151" s="3">
        <v>-509.45600000000002</v>
      </c>
      <c r="EK151" s="3">
        <v>-457.21300000000002</v>
      </c>
      <c r="EL151" s="3">
        <v>-469.49900000000002</v>
      </c>
      <c r="EM151" s="3">
        <v>-582.53899999999999</v>
      </c>
      <c r="EN151" s="3">
        <v>-684.22500000000002</v>
      </c>
      <c r="EO151" s="3">
        <v>-805.48299999999995</v>
      </c>
      <c r="EP151" s="3">
        <v>-857.23500000000001</v>
      </c>
      <c r="EQ151" s="3">
        <v>-779.61300000000006</v>
      </c>
      <c r="ER151" s="3">
        <v>-771.59400000000005</v>
      </c>
      <c r="ES151" s="3">
        <v>-903.00300000000004</v>
      </c>
      <c r="ET151" s="3">
        <v>-955.22400000000005</v>
      </c>
      <c r="EU151" s="3">
        <v>-1015.65</v>
      </c>
      <c r="EV151" s="3">
        <v>-1045.5899999999999</v>
      </c>
      <c r="EW151" s="3">
        <v>-1027.9100000000001</v>
      </c>
      <c r="EX151" s="3">
        <v>-964.62300000000005</v>
      </c>
      <c r="EY151" s="3">
        <v>-822.56700000000001</v>
      </c>
      <c r="EZ151" s="3">
        <v>-634.16</v>
      </c>
      <c r="FA151" s="3">
        <v>-561.25400000000002</v>
      </c>
      <c r="FB151" s="3">
        <v>-573.86300000000006</v>
      </c>
      <c r="FC151" s="3">
        <v>2620.1799999999998</v>
      </c>
      <c r="FD151" s="3">
        <v>2874.93</v>
      </c>
      <c r="FE151" s="3">
        <v>-25.6785</v>
      </c>
      <c r="FF151" s="3">
        <v>-64.841700000000003</v>
      </c>
      <c r="FG151" s="3">
        <v>-72.089699999999993</v>
      </c>
      <c r="FH151" s="3">
        <v>-162.43799999999999</v>
      </c>
      <c r="FI151" s="3">
        <v>-294.58100000000002</v>
      </c>
      <c r="FJ151" s="3">
        <v>1152.97</v>
      </c>
      <c r="FK151" s="3">
        <v>752.99199999999996</v>
      </c>
      <c r="FL151" s="3">
        <v>0</v>
      </c>
      <c r="FM151" s="3"/>
    </row>
    <row r="152" spans="1:169" x14ac:dyDescent="0.3">
      <c r="A152" s="2">
        <v>144</v>
      </c>
      <c r="B152" s="5">
        <v>25</v>
      </c>
      <c r="C152" s="6">
        <v>1101827</v>
      </c>
      <c r="D152" s="6" t="s">
        <v>263</v>
      </c>
      <c r="E152" s="6">
        <v>3917010</v>
      </c>
      <c r="F152" s="6">
        <v>1917011</v>
      </c>
      <c r="G152" s="6">
        <v>0</v>
      </c>
      <c r="H152" s="6">
        <v>0</v>
      </c>
      <c r="I152" s="6">
        <v>57.914999999999999</v>
      </c>
      <c r="J152" s="6" t="s">
        <v>194</v>
      </c>
      <c r="K152" s="6" t="s">
        <v>195</v>
      </c>
      <c r="L152" s="7" t="s">
        <v>196</v>
      </c>
      <c r="M152" s="7" t="s">
        <v>172</v>
      </c>
      <c r="N152" s="8" t="s">
        <v>1686</v>
      </c>
      <c r="O152" s="5">
        <v>-6904.7</v>
      </c>
      <c r="P152" s="6">
        <v>213.38</v>
      </c>
      <c r="Q152" s="6">
        <v>-6629.38</v>
      </c>
      <c r="R152" s="12">
        <v>6807.24</v>
      </c>
      <c r="S152" s="4" t="s">
        <v>1687</v>
      </c>
      <c r="T152" s="4" t="s">
        <v>1688</v>
      </c>
      <c r="U152" s="4" t="s">
        <v>1689</v>
      </c>
      <c r="V152" s="4" t="s">
        <v>1690</v>
      </c>
      <c r="W152" s="4" t="s">
        <v>1691</v>
      </c>
      <c r="X152" s="4" t="s">
        <v>1692</v>
      </c>
      <c r="Y152" s="4" t="s">
        <v>1693</v>
      </c>
      <c r="Z152" s="4" t="s">
        <v>1694</v>
      </c>
      <c r="AA152" s="4" t="s">
        <v>1695</v>
      </c>
      <c r="AB152" s="4" t="s">
        <v>1696</v>
      </c>
      <c r="AC152" s="4" t="s">
        <v>1697</v>
      </c>
      <c r="AD152" s="4" t="s">
        <v>1698</v>
      </c>
      <c r="AE152" s="4" t="s">
        <v>1699</v>
      </c>
      <c r="AF152" s="4" t="s">
        <v>1700</v>
      </c>
      <c r="AG152" s="4" t="s">
        <v>1701</v>
      </c>
      <c r="AH152" s="4" t="s">
        <v>1702</v>
      </c>
      <c r="AI152" s="4" t="s">
        <v>1703</v>
      </c>
      <c r="AJ152" s="4" t="s">
        <v>1704</v>
      </c>
      <c r="AK152" s="4" t="s">
        <v>1705</v>
      </c>
      <c r="AL152" s="4" t="s">
        <v>1706</v>
      </c>
      <c r="AM152" s="3">
        <v>-2775.24</v>
      </c>
      <c r="AN152" s="3">
        <v>-2752.92</v>
      </c>
      <c r="AO152" s="3">
        <v>-2722.19</v>
      </c>
      <c r="AP152" s="3">
        <v>-2694.02</v>
      </c>
      <c r="AQ152" s="3">
        <v>-2661.04</v>
      </c>
      <c r="AR152" s="3">
        <v>-2635.09</v>
      </c>
      <c r="AS152" s="3">
        <v>-2626.65</v>
      </c>
      <c r="AT152" s="3">
        <v>-2581.84</v>
      </c>
      <c r="AU152" s="3">
        <v>-2555.9899999999998</v>
      </c>
      <c r="AV152" s="3">
        <v>-2582.91</v>
      </c>
      <c r="AW152" s="3">
        <v>-2604.42</v>
      </c>
      <c r="AX152" s="3">
        <v>-2710.8</v>
      </c>
      <c r="AY152" s="3">
        <v>-2806.32</v>
      </c>
      <c r="AZ152" s="3">
        <v>-2887.26</v>
      </c>
      <c r="BA152" s="3">
        <v>-2955.68</v>
      </c>
      <c r="BB152" s="3">
        <v>-3007.24</v>
      </c>
      <c r="BC152" s="3">
        <v>-3041.68</v>
      </c>
      <c r="BD152" s="3">
        <v>-2928.23</v>
      </c>
      <c r="BE152" s="3">
        <v>-2775.84</v>
      </c>
      <c r="BF152" s="3">
        <v>-2804.84</v>
      </c>
      <c r="BG152" s="3">
        <v>131.63999999999999</v>
      </c>
      <c r="BH152" s="3">
        <v>130.65</v>
      </c>
      <c r="BI152" s="3">
        <v>133.828</v>
      </c>
      <c r="BJ152" s="3">
        <v>144.77699999999999</v>
      </c>
      <c r="BK152" s="3">
        <v>154.02699999999999</v>
      </c>
      <c r="BL152" s="3">
        <v>149.22</v>
      </c>
      <c r="BM152" s="3">
        <v>123.748</v>
      </c>
      <c r="BN152" s="3">
        <v>88.168300000000002</v>
      </c>
      <c r="BO152" s="3">
        <v>64.992500000000007</v>
      </c>
      <c r="BP152" s="3">
        <v>55.439599999999999</v>
      </c>
      <c r="BQ152" s="3">
        <v>31.060700000000001</v>
      </c>
      <c r="BR152" s="3">
        <v>42.472799999999999</v>
      </c>
      <c r="BS152" s="3">
        <v>44.4801</v>
      </c>
      <c r="BT152" s="3">
        <v>37.638199999999998</v>
      </c>
      <c r="BU152" s="3">
        <v>27.6509</v>
      </c>
      <c r="BV152" s="3">
        <v>21.846599999999999</v>
      </c>
      <c r="BW152" s="3">
        <v>62.152500000000003</v>
      </c>
      <c r="BX152" s="3">
        <v>110.705</v>
      </c>
      <c r="BY152" s="3">
        <v>130.41900000000001</v>
      </c>
      <c r="BZ152" s="3">
        <v>125.298</v>
      </c>
      <c r="CA152" s="3">
        <v>174.78100000000001</v>
      </c>
      <c r="CB152" s="3">
        <v>195.90100000000001</v>
      </c>
      <c r="CC152" s="3">
        <v>228.62799999999999</v>
      </c>
      <c r="CD152" s="3">
        <v>260.01299999999998</v>
      </c>
      <c r="CE152" s="3">
        <v>279.839</v>
      </c>
      <c r="CF152" s="3">
        <v>294.42</v>
      </c>
      <c r="CG152" s="3">
        <v>275.39299999999997</v>
      </c>
      <c r="CH152" s="3">
        <v>292.41699999999997</v>
      </c>
      <c r="CI152" s="3">
        <v>334.916</v>
      </c>
      <c r="CJ152" s="3">
        <v>314.971</v>
      </c>
      <c r="CK152" s="3">
        <v>215.351</v>
      </c>
      <c r="CL152" s="3">
        <v>183.21600000000001</v>
      </c>
      <c r="CM152" s="3">
        <v>143.06200000000001</v>
      </c>
      <c r="CN152" s="3">
        <v>103.964</v>
      </c>
      <c r="CO152" s="3">
        <v>71.128600000000006</v>
      </c>
      <c r="CP152" s="3">
        <v>44.0291</v>
      </c>
      <c r="CQ152" s="3">
        <v>97.205600000000004</v>
      </c>
      <c r="CR152" s="3">
        <v>128.358</v>
      </c>
      <c r="CS152" s="3">
        <v>137.09200000000001</v>
      </c>
      <c r="CT152" s="3">
        <v>153.84399999999999</v>
      </c>
      <c r="CU152" s="3">
        <v>563.375</v>
      </c>
      <c r="CV152" s="3">
        <v>566.97199999999998</v>
      </c>
      <c r="CW152" s="3">
        <v>546.57299999999998</v>
      </c>
      <c r="CX152" s="3">
        <v>353.30399999999997</v>
      </c>
      <c r="CY152" s="3">
        <v>-75.055999999999997</v>
      </c>
      <c r="CZ152" s="3">
        <v>-651.11</v>
      </c>
      <c r="DA152" s="3">
        <v>-683.40899999999999</v>
      </c>
      <c r="DB152" s="3">
        <v>-814.07899999999995</v>
      </c>
      <c r="DC152" s="3">
        <v>-931.81700000000001</v>
      </c>
      <c r="DD152" s="3">
        <v>-1062.92</v>
      </c>
      <c r="DE152" s="3">
        <v>-1302.18</v>
      </c>
      <c r="DF152" s="3">
        <v>-541.39800000000002</v>
      </c>
      <c r="DG152" s="3">
        <v>-43.8508</v>
      </c>
      <c r="DH152" s="3">
        <v>182.071</v>
      </c>
      <c r="DI152" s="3">
        <v>231.637</v>
      </c>
      <c r="DJ152" s="3">
        <v>203.11799999999999</v>
      </c>
      <c r="DK152" s="3">
        <v>175.71299999999999</v>
      </c>
      <c r="DL152" s="3">
        <v>205.16399999999999</v>
      </c>
      <c r="DM152" s="3">
        <v>314.87200000000001</v>
      </c>
      <c r="DN152" s="3">
        <v>415.13900000000001</v>
      </c>
      <c r="DO152" s="3">
        <v>1738.31</v>
      </c>
      <c r="DP152" s="3">
        <v>1751.52</v>
      </c>
      <c r="DQ152" s="3">
        <v>1739.46</v>
      </c>
      <c r="DR152" s="3">
        <v>1720</v>
      </c>
      <c r="DS152" s="3">
        <v>1735.84</v>
      </c>
      <c r="DT152" s="3">
        <v>1722.5</v>
      </c>
      <c r="DU152" s="3">
        <v>1595.82</v>
      </c>
      <c r="DV152" s="3">
        <v>1521.91</v>
      </c>
      <c r="DW152" s="3">
        <v>1268.31</v>
      </c>
      <c r="DX152" s="3">
        <v>753.75300000000004</v>
      </c>
      <c r="DY152" s="3">
        <v>307.26100000000002</v>
      </c>
      <c r="DZ152" s="3">
        <v>350.41500000000002</v>
      </c>
      <c r="EA152" s="3">
        <v>382.89</v>
      </c>
      <c r="EB152" s="3">
        <v>397.83300000000003</v>
      </c>
      <c r="EC152" s="3">
        <v>390.04700000000003</v>
      </c>
      <c r="ED152" s="3">
        <v>321.13600000000002</v>
      </c>
      <c r="EE152" s="3">
        <v>658.78700000000003</v>
      </c>
      <c r="EF152" s="3">
        <v>899.726</v>
      </c>
      <c r="EG152" s="3">
        <v>1135.92</v>
      </c>
      <c r="EH152" s="3">
        <v>1472.38</v>
      </c>
      <c r="EI152" s="3">
        <v>474.84899999999999</v>
      </c>
      <c r="EJ152" s="3">
        <v>430.15100000000001</v>
      </c>
      <c r="EK152" s="3">
        <v>370.887</v>
      </c>
      <c r="EL152" s="3">
        <v>376.82400000000001</v>
      </c>
      <c r="EM152" s="3">
        <v>492.12299999999999</v>
      </c>
      <c r="EN152" s="3">
        <v>601.41499999999996</v>
      </c>
      <c r="EO152" s="3">
        <v>710.86400000000003</v>
      </c>
      <c r="EP152" s="3">
        <v>744.41</v>
      </c>
      <c r="EQ152" s="3">
        <v>642.39800000000002</v>
      </c>
      <c r="ER152" s="3">
        <v>610.48299999999995</v>
      </c>
      <c r="ES152" s="3">
        <v>722.58900000000006</v>
      </c>
      <c r="ET152" s="3">
        <v>785.11300000000006</v>
      </c>
      <c r="EU152" s="3">
        <v>853.22400000000005</v>
      </c>
      <c r="EV152" s="3">
        <v>888.38699999999994</v>
      </c>
      <c r="EW152" s="3">
        <v>875.36</v>
      </c>
      <c r="EX152" s="3">
        <v>819.78800000000001</v>
      </c>
      <c r="EY152" s="3">
        <v>680.24199999999996</v>
      </c>
      <c r="EZ152" s="3">
        <v>510.81799999999998</v>
      </c>
      <c r="FA152" s="3">
        <v>463.07100000000003</v>
      </c>
      <c r="FB152" s="3">
        <v>488.38299999999998</v>
      </c>
      <c r="FC152" s="3">
        <v>-2597.8200000000002</v>
      </c>
      <c r="FD152" s="3">
        <v>-2888.84</v>
      </c>
      <c r="FE152" s="3">
        <v>34.191499999999998</v>
      </c>
      <c r="FF152" s="3">
        <v>140.69</v>
      </c>
      <c r="FG152" s="3">
        <v>122.55200000000001</v>
      </c>
      <c r="FH152" s="3">
        <v>287.911</v>
      </c>
      <c r="FI152" s="3">
        <v>297.34399999999999</v>
      </c>
      <c r="FJ152" s="3">
        <v>-1046.44</v>
      </c>
      <c r="FK152" s="3">
        <v>-631.66700000000003</v>
      </c>
      <c r="FL152" s="3">
        <v>0</v>
      </c>
      <c r="FM152" s="3"/>
    </row>
    <row r="153" spans="1:169" x14ac:dyDescent="0.3">
      <c r="A153" s="2">
        <v>145</v>
      </c>
      <c r="B153" s="5">
        <v>25</v>
      </c>
      <c r="C153" s="6">
        <v>3102932</v>
      </c>
      <c r="D153" s="6" t="s">
        <v>285</v>
      </c>
      <c r="E153" s="6">
        <v>3917010</v>
      </c>
      <c r="F153" s="6">
        <v>3917012</v>
      </c>
      <c r="G153" s="6">
        <v>4917010</v>
      </c>
      <c r="H153" s="6">
        <v>3917013</v>
      </c>
      <c r="I153" s="6">
        <v>51.48</v>
      </c>
      <c r="J153" s="6" t="s">
        <v>169</v>
      </c>
      <c r="K153" s="6" t="s">
        <v>170</v>
      </c>
      <c r="L153" s="7" t="s">
        <v>171</v>
      </c>
      <c r="M153" s="7" t="s">
        <v>172</v>
      </c>
      <c r="N153" s="8" t="s">
        <v>1707</v>
      </c>
      <c r="O153" s="5">
        <v>36322.400000000001</v>
      </c>
      <c r="P153" s="6">
        <v>5289.97</v>
      </c>
      <c r="Q153" s="6">
        <v>509.15100000000001</v>
      </c>
      <c r="R153" s="12">
        <v>27867.1</v>
      </c>
      <c r="S153" s="4" t="s">
        <v>1708</v>
      </c>
      <c r="T153" s="4" t="s">
        <v>1709</v>
      </c>
      <c r="U153" s="4" t="s">
        <v>1710</v>
      </c>
      <c r="V153" s="4" t="s">
        <v>1711</v>
      </c>
      <c r="W153" s="4" t="s">
        <v>1712</v>
      </c>
      <c r="X153" s="4" t="s">
        <v>1713</v>
      </c>
      <c r="Y153" s="4" t="s">
        <v>1714</v>
      </c>
      <c r="Z153" s="4" t="s">
        <v>1715</v>
      </c>
      <c r="AA153" s="4" t="s">
        <v>1716</v>
      </c>
      <c r="AB153" s="4" t="s">
        <v>1717</v>
      </c>
      <c r="AC153" s="4" t="s">
        <v>1718</v>
      </c>
      <c r="AD153" s="4" t="s">
        <v>1719</v>
      </c>
      <c r="AE153" s="4" t="s">
        <v>1720</v>
      </c>
      <c r="AF153" s="4" t="s">
        <v>1721</v>
      </c>
      <c r="AG153" s="4" t="s">
        <v>1722</v>
      </c>
      <c r="AH153" s="4" t="s">
        <v>1723</v>
      </c>
      <c r="AI153" s="4" t="s">
        <v>1724</v>
      </c>
      <c r="AJ153" s="4" t="s">
        <v>1725</v>
      </c>
      <c r="AK153" s="4" t="s">
        <v>1726</v>
      </c>
      <c r="AL153" s="4" t="s">
        <v>1727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0.20952499999999999</v>
      </c>
      <c r="FM153" s="3" t="s">
        <v>1601</v>
      </c>
    </row>
    <row r="154" spans="1:169" x14ac:dyDescent="0.3">
      <c r="A154" s="2">
        <v>146</v>
      </c>
      <c r="B154" s="5">
        <v>25</v>
      </c>
      <c r="C154" s="6">
        <v>3102932</v>
      </c>
      <c r="D154" s="6" t="s">
        <v>285</v>
      </c>
      <c r="E154" s="6">
        <v>3917010</v>
      </c>
      <c r="F154" s="6">
        <v>3917012</v>
      </c>
      <c r="G154" s="6">
        <v>4917010</v>
      </c>
      <c r="H154" s="6">
        <v>3917013</v>
      </c>
      <c r="I154" s="6">
        <v>51.48</v>
      </c>
      <c r="J154" s="6" t="s">
        <v>194</v>
      </c>
      <c r="K154" s="6" t="s">
        <v>195</v>
      </c>
      <c r="L154" s="7" t="s">
        <v>196</v>
      </c>
      <c r="M154" s="7" t="s">
        <v>172</v>
      </c>
      <c r="N154" s="8" t="s">
        <v>1707</v>
      </c>
      <c r="O154" s="5">
        <v>-33894.6</v>
      </c>
      <c r="P154" s="6">
        <v>-5001.72</v>
      </c>
      <c r="Q154" s="6">
        <v>-437.774</v>
      </c>
      <c r="R154" s="12">
        <v>6807.24</v>
      </c>
      <c r="S154" s="4" t="s">
        <v>1708</v>
      </c>
      <c r="T154" s="4" t="s">
        <v>1709</v>
      </c>
      <c r="U154" s="4" t="s">
        <v>1710</v>
      </c>
      <c r="V154" s="4" t="s">
        <v>1711</v>
      </c>
      <c r="W154" s="4" t="s">
        <v>1712</v>
      </c>
      <c r="X154" s="4" t="s">
        <v>1713</v>
      </c>
      <c r="Y154" s="4" t="s">
        <v>1714</v>
      </c>
      <c r="Z154" s="4" t="s">
        <v>1715</v>
      </c>
      <c r="AA154" s="4" t="s">
        <v>1716</v>
      </c>
      <c r="AB154" s="4" t="s">
        <v>1717</v>
      </c>
      <c r="AC154" s="4" t="s">
        <v>1718</v>
      </c>
      <c r="AD154" s="4" t="s">
        <v>1719</v>
      </c>
      <c r="AE154" s="4" t="s">
        <v>1720</v>
      </c>
      <c r="AF154" s="4" t="s">
        <v>1721</v>
      </c>
      <c r="AG154" s="4" t="s">
        <v>1722</v>
      </c>
      <c r="AH154" s="4" t="s">
        <v>1723</v>
      </c>
      <c r="AI154" s="4" t="s">
        <v>1724</v>
      </c>
      <c r="AJ154" s="4" t="s">
        <v>1725</v>
      </c>
      <c r="AK154" s="4" t="s">
        <v>1726</v>
      </c>
      <c r="AL154" s="4" t="s">
        <v>1727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0.194742</v>
      </c>
      <c r="FM154" s="3" t="s">
        <v>1601</v>
      </c>
    </row>
    <row r="155" spans="1:169" x14ac:dyDescent="0.3">
      <c r="A155" s="2">
        <v>147</v>
      </c>
      <c r="B155" s="5">
        <v>25</v>
      </c>
      <c r="C155" s="6">
        <v>4601501</v>
      </c>
      <c r="D155" s="6" t="s">
        <v>1327</v>
      </c>
      <c r="E155" s="6">
        <v>4917010</v>
      </c>
      <c r="F155" s="6">
        <v>4600119</v>
      </c>
      <c r="G155" s="6">
        <v>0</v>
      </c>
      <c r="H155" s="6">
        <v>0</v>
      </c>
      <c r="I155" s="6">
        <v>51.48</v>
      </c>
      <c r="J155" s="6" t="s">
        <v>169</v>
      </c>
      <c r="K155" s="6" t="s">
        <v>170</v>
      </c>
      <c r="L155" s="7" t="s">
        <v>171</v>
      </c>
      <c r="M155" s="7" t="s">
        <v>172</v>
      </c>
      <c r="N155" s="8" t="s">
        <v>1728</v>
      </c>
      <c r="O155" s="5">
        <v>-6389.79</v>
      </c>
      <c r="P155" s="6">
        <v>-28217.4</v>
      </c>
      <c r="Q155" s="6">
        <v>8092.84</v>
      </c>
      <c r="R155" s="12">
        <v>27867.1</v>
      </c>
      <c r="S155" s="4" t="s">
        <v>1729</v>
      </c>
      <c r="T155" s="4" t="s">
        <v>1730</v>
      </c>
      <c r="U155" s="4" t="s">
        <v>1731</v>
      </c>
      <c r="V155" s="4" t="s">
        <v>1732</v>
      </c>
      <c r="W155" s="4" t="s">
        <v>1733</v>
      </c>
      <c r="X155" s="4" t="s">
        <v>1734</v>
      </c>
      <c r="Y155" s="4" t="s">
        <v>1735</v>
      </c>
      <c r="Z155" s="4" t="s">
        <v>1736</v>
      </c>
      <c r="AA155" s="4" t="s">
        <v>1737</v>
      </c>
      <c r="AB155" s="4" t="s">
        <v>1738</v>
      </c>
      <c r="AC155" s="4" t="s">
        <v>1739</v>
      </c>
      <c r="AD155" s="4" t="s">
        <v>1740</v>
      </c>
      <c r="AE155" s="4" t="s">
        <v>1741</v>
      </c>
      <c r="AF155" s="4" t="s">
        <v>1742</v>
      </c>
      <c r="AG155" s="4" t="s">
        <v>1743</v>
      </c>
      <c r="AH155" s="4" t="s">
        <v>1744</v>
      </c>
      <c r="AI155" s="4" t="s">
        <v>1745</v>
      </c>
      <c r="AJ155" s="4" t="s">
        <v>1746</v>
      </c>
      <c r="AK155" s="4" t="s">
        <v>1747</v>
      </c>
      <c r="AL155" s="4" t="s">
        <v>1748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/>
    </row>
    <row r="156" spans="1:169" x14ac:dyDescent="0.3">
      <c r="A156" s="2">
        <v>148</v>
      </c>
      <c r="B156" s="5">
        <v>25</v>
      </c>
      <c r="C156" s="6">
        <v>4601501</v>
      </c>
      <c r="D156" s="6" t="s">
        <v>1327</v>
      </c>
      <c r="E156" s="6">
        <v>4917010</v>
      </c>
      <c r="F156" s="6">
        <v>4600119</v>
      </c>
      <c r="G156" s="6">
        <v>0</v>
      </c>
      <c r="H156" s="6">
        <v>0</v>
      </c>
      <c r="I156" s="6">
        <v>51.48</v>
      </c>
      <c r="J156" s="6" t="s">
        <v>194</v>
      </c>
      <c r="K156" s="6" t="s">
        <v>195</v>
      </c>
      <c r="L156" s="7" t="s">
        <v>196</v>
      </c>
      <c r="M156" s="7" t="s">
        <v>172</v>
      </c>
      <c r="N156" s="8" t="s">
        <v>1728</v>
      </c>
      <c r="O156" s="5">
        <v>5846.51</v>
      </c>
      <c r="P156" s="6">
        <v>26865.1</v>
      </c>
      <c r="Q156" s="6">
        <v>-7581.17</v>
      </c>
      <c r="R156" s="12">
        <v>6807.24</v>
      </c>
      <c r="S156" s="4" t="s">
        <v>1729</v>
      </c>
      <c r="T156" s="4" t="s">
        <v>1730</v>
      </c>
      <c r="U156" s="4" t="s">
        <v>1731</v>
      </c>
      <c r="V156" s="4" t="s">
        <v>1732</v>
      </c>
      <c r="W156" s="4" t="s">
        <v>1733</v>
      </c>
      <c r="X156" s="4" t="s">
        <v>1734</v>
      </c>
      <c r="Y156" s="4" t="s">
        <v>1735</v>
      </c>
      <c r="Z156" s="4" t="s">
        <v>1736</v>
      </c>
      <c r="AA156" s="4" t="s">
        <v>1737</v>
      </c>
      <c r="AB156" s="4" t="s">
        <v>1738</v>
      </c>
      <c r="AC156" s="4" t="s">
        <v>1739</v>
      </c>
      <c r="AD156" s="4" t="s">
        <v>1740</v>
      </c>
      <c r="AE156" s="4" t="s">
        <v>1741</v>
      </c>
      <c r="AF156" s="4" t="s">
        <v>1742</v>
      </c>
      <c r="AG156" s="4" t="s">
        <v>1743</v>
      </c>
      <c r="AH156" s="4" t="s">
        <v>1744</v>
      </c>
      <c r="AI156" s="4" t="s">
        <v>1745</v>
      </c>
      <c r="AJ156" s="4" t="s">
        <v>1746</v>
      </c>
      <c r="AK156" s="4" t="s">
        <v>1747</v>
      </c>
      <c r="AL156" s="4" t="s">
        <v>1748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/>
    </row>
    <row r="157" spans="1:169" x14ac:dyDescent="0.3">
      <c r="A157" s="2">
        <v>149</v>
      </c>
      <c r="B157" s="5">
        <v>26</v>
      </c>
      <c r="C157" s="6">
        <v>2101404</v>
      </c>
      <c r="D157" s="6" t="s">
        <v>241</v>
      </c>
      <c r="E157" s="6">
        <v>2917010</v>
      </c>
      <c r="F157" s="6">
        <v>2917010</v>
      </c>
      <c r="G157" s="6">
        <v>0</v>
      </c>
      <c r="H157" s="6">
        <v>0</v>
      </c>
      <c r="I157" s="6">
        <v>51.48</v>
      </c>
      <c r="J157" s="6" t="s">
        <v>169</v>
      </c>
      <c r="K157" s="6" t="s">
        <v>170</v>
      </c>
      <c r="L157" s="7" t="s">
        <v>171</v>
      </c>
      <c r="M157" s="7" t="s">
        <v>172</v>
      </c>
      <c r="N157" s="8" t="s">
        <v>1749</v>
      </c>
      <c r="O157" s="5">
        <v>-10886.3</v>
      </c>
      <c r="P157" s="6">
        <v>3496.86</v>
      </c>
      <c r="Q157" s="6">
        <v>-299.947</v>
      </c>
      <c r="R157" s="12">
        <v>0</v>
      </c>
      <c r="S157" s="4" t="s">
        <v>1750</v>
      </c>
      <c r="T157" s="4" t="s">
        <v>1751</v>
      </c>
      <c r="U157" s="4" t="s">
        <v>1752</v>
      </c>
      <c r="V157" s="4" t="s">
        <v>1753</v>
      </c>
      <c r="W157" s="4" t="s">
        <v>1754</v>
      </c>
      <c r="X157" s="4" t="s">
        <v>1755</v>
      </c>
      <c r="Y157" s="4" t="s">
        <v>1756</v>
      </c>
      <c r="Z157" s="4" t="s">
        <v>1757</v>
      </c>
      <c r="AA157" s="4" t="s">
        <v>1758</v>
      </c>
      <c r="AB157" s="4" t="s">
        <v>1759</v>
      </c>
      <c r="AC157" s="4" t="s">
        <v>1760</v>
      </c>
      <c r="AD157" s="4" t="s">
        <v>1761</v>
      </c>
      <c r="AE157" s="4" t="s">
        <v>1762</v>
      </c>
      <c r="AF157" s="4" t="s">
        <v>1763</v>
      </c>
      <c r="AG157" s="4" t="s">
        <v>1764</v>
      </c>
      <c r="AH157" s="4" t="s">
        <v>1765</v>
      </c>
      <c r="AI157" s="4" t="s">
        <v>1766</v>
      </c>
      <c r="AJ157" s="4" t="s">
        <v>1767</v>
      </c>
      <c r="AK157" s="4" t="s">
        <v>1768</v>
      </c>
      <c r="AL157" s="4" t="s">
        <v>1769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/>
    </row>
    <row r="158" spans="1:169" x14ac:dyDescent="0.3">
      <c r="A158" s="2">
        <v>150</v>
      </c>
      <c r="B158" s="5">
        <v>26</v>
      </c>
      <c r="C158" s="6">
        <v>2101404</v>
      </c>
      <c r="D158" s="6" t="s">
        <v>241</v>
      </c>
      <c r="E158" s="6">
        <v>2917010</v>
      </c>
      <c r="F158" s="6">
        <v>2917010</v>
      </c>
      <c r="G158" s="6">
        <v>0</v>
      </c>
      <c r="H158" s="6">
        <v>0</v>
      </c>
      <c r="I158" s="6">
        <v>51.48</v>
      </c>
      <c r="J158" s="6" t="s">
        <v>194</v>
      </c>
      <c r="K158" s="6" t="s">
        <v>195</v>
      </c>
      <c r="L158" s="7" t="s">
        <v>196</v>
      </c>
      <c r="M158" s="7" t="s">
        <v>172</v>
      </c>
      <c r="N158" s="8" t="s">
        <v>1749</v>
      </c>
      <c r="O158" s="5">
        <v>10982.3</v>
      </c>
      <c r="P158" s="6">
        <v>-3820.95</v>
      </c>
      <c r="Q158" s="6">
        <v>327.90699999999998</v>
      </c>
      <c r="R158" s="12">
        <v>11059.7</v>
      </c>
      <c r="S158" s="4" t="s">
        <v>1750</v>
      </c>
      <c r="T158" s="4" t="s">
        <v>1751</v>
      </c>
      <c r="U158" s="4" t="s">
        <v>1752</v>
      </c>
      <c r="V158" s="4" t="s">
        <v>1753</v>
      </c>
      <c r="W158" s="4" t="s">
        <v>1754</v>
      </c>
      <c r="X158" s="4" t="s">
        <v>1755</v>
      </c>
      <c r="Y158" s="4" t="s">
        <v>1756</v>
      </c>
      <c r="Z158" s="4" t="s">
        <v>1757</v>
      </c>
      <c r="AA158" s="4" t="s">
        <v>1758</v>
      </c>
      <c r="AB158" s="4" t="s">
        <v>1759</v>
      </c>
      <c r="AC158" s="4" t="s">
        <v>1760</v>
      </c>
      <c r="AD158" s="4" t="s">
        <v>1761</v>
      </c>
      <c r="AE158" s="4" t="s">
        <v>1762</v>
      </c>
      <c r="AF158" s="4" t="s">
        <v>1763</v>
      </c>
      <c r="AG158" s="4" t="s">
        <v>1764</v>
      </c>
      <c r="AH158" s="4" t="s">
        <v>1765</v>
      </c>
      <c r="AI158" s="4" t="s">
        <v>1766</v>
      </c>
      <c r="AJ158" s="4" t="s">
        <v>1767</v>
      </c>
      <c r="AK158" s="4" t="s">
        <v>1768</v>
      </c>
      <c r="AL158" s="4" t="s">
        <v>1769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/>
    </row>
    <row r="159" spans="1:169" x14ac:dyDescent="0.3">
      <c r="A159" s="2">
        <v>151</v>
      </c>
      <c r="B159" s="5">
        <v>26</v>
      </c>
      <c r="C159" s="6">
        <v>51800097</v>
      </c>
      <c r="D159" s="6" t="s">
        <v>860</v>
      </c>
      <c r="E159" s="6">
        <v>2917010</v>
      </c>
      <c r="F159" s="6">
        <v>1917012</v>
      </c>
      <c r="G159" s="6">
        <v>0</v>
      </c>
      <c r="H159" s="6">
        <v>0</v>
      </c>
      <c r="I159" s="6">
        <v>51.48</v>
      </c>
      <c r="J159" s="6" t="s">
        <v>169</v>
      </c>
      <c r="K159" s="6" t="s">
        <v>170</v>
      </c>
      <c r="L159" s="7" t="s">
        <v>171</v>
      </c>
      <c r="M159" s="7" t="s">
        <v>172</v>
      </c>
      <c r="N159" s="8" t="s">
        <v>1770</v>
      </c>
      <c r="O159" s="5">
        <v>9840.27</v>
      </c>
      <c r="P159" s="6">
        <v>-5807.38</v>
      </c>
      <c r="Q159" s="6">
        <v>-521.74800000000005</v>
      </c>
      <c r="R159" s="12">
        <v>0</v>
      </c>
      <c r="S159" s="4" t="s">
        <v>1771</v>
      </c>
      <c r="T159" s="4" t="s">
        <v>1772</v>
      </c>
      <c r="U159" s="4" t="s">
        <v>1773</v>
      </c>
      <c r="V159" s="4" t="s">
        <v>1774</v>
      </c>
      <c r="W159" s="4" t="s">
        <v>1775</v>
      </c>
      <c r="X159" s="4" t="s">
        <v>1776</v>
      </c>
      <c r="Y159" s="4" t="s">
        <v>1777</v>
      </c>
      <c r="Z159" s="4" t="s">
        <v>1778</v>
      </c>
      <c r="AA159" s="4" t="s">
        <v>1779</v>
      </c>
      <c r="AB159" s="4" t="s">
        <v>1780</v>
      </c>
      <c r="AC159" s="4" t="s">
        <v>1781</v>
      </c>
      <c r="AD159" s="4" t="s">
        <v>1782</v>
      </c>
      <c r="AE159" s="4" t="s">
        <v>1783</v>
      </c>
      <c r="AF159" s="4" t="s">
        <v>1784</v>
      </c>
      <c r="AG159" s="4" t="s">
        <v>1785</v>
      </c>
      <c r="AH159" s="4" t="s">
        <v>1786</v>
      </c>
      <c r="AI159" s="4" t="s">
        <v>1787</v>
      </c>
      <c r="AJ159" s="4" t="s">
        <v>1788</v>
      </c>
      <c r="AK159" s="4" t="s">
        <v>1789</v>
      </c>
      <c r="AL159" s="4" t="s">
        <v>1790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 t="s">
        <v>1093</v>
      </c>
    </row>
    <row r="160" spans="1:169" x14ac:dyDescent="0.3">
      <c r="A160" s="2">
        <v>152</v>
      </c>
      <c r="B160" s="5">
        <v>26</v>
      </c>
      <c r="C160" s="6">
        <v>51800097</v>
      </c>
      <c r="D160" s="6" t="s">
        <v>860</v>
      </c>
      <c r="E160" s="6">
        <v>2917010</v>
      </c>
      <c r="F160" s="6">
        <v>1917012</v>
      </c>
      <c r="G160" s="6">
        <v>0</v>
      </c>
      <c r="H160" s="6">
        <v>0</v>
      </c>
      <c r="I160" s="6">
        <v>51.48</v>
      </c>
      <c r="J160" s="6" t="s">
        <v>194</v>
      </c>
      <c r="K160" s="6" t="s">
        <v>195</v>
      </c>
      <c r="L160" s="7" t="s">
        <v>196</v>
      </c>
      <c r="M160" s="7" t="s">
        <v>172</v>
      </c>
      <c r="N160" s="8" t="s">
        <v>1770</v>
      </c>
      <c r="O160" s="5">
        <v>-10145.799999999999</v>
      </c>
      <c r="P160" s="6">
        <v>5663.49</v>
      </c>
      <c r="Q160" s="6">
        <v>553.56399999999996</v>
      </c>
      <c r="R160" s="12">
        <v>11059.7</v>
      </c>
      <c r="S160" s="4" t="s">
        <v>1771</v>
      </c>
      <c r="T160" s="4" t="s">
        <v>1772</v>
      </c>
      <c r="U160" s="4" t="s">
        <v>1773</v>
      </c>
      <c r="V160" s="4" t="s">
        <v>1774</v>
      </c>
      <c r="W160" s="4" t="s">
        <v>1775</v>
      </c>
      <c r="X160" s="4" t="s">
        <v>1776</v>
      </c>
      <c r="Y160" s="4" t="s">
        <v>1777</v>
      </c>
      <c r="Z160" s="4" t="s">
        <v>1778</v>
      </c>
      <c r="AA160" s="4" t="s">
        <v>1779</v>
      </c>
      <c r="AB160" s="4" t="s">
        <v>1780</v>
      </c>
      <c r="AC160" s="4" t="s">
        <v>1781</v>
      </c>
      <c r="AD160" s="4" t="s">
        <v>1782</v>
      </c>
      <c r="AE160" s="4" t="s">
        <v>1783</v>
      </c>
      <c r="AF160" s="4" t="s">
        <v>1784</v>
      </c>
      <c r="AG160" s="4" t="s">
        <v>1785</v>
      </c>
      <c r="AH160" s="4" t="s">
        <v>1786</v>
      </c>
      <c r="AI160" s="4" t="s">
        <v>1787</v>
      </c>
      <c r="AJ160" s="4" t="s">
        <v>1788</v>
      </c>
      <c r="AK160" s="4" t="s">
        <v>1789</v>
      </c>
      <c r="AL160" s="4" t="s">
        <v>1790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 t="s">
        <v>1093</v>
      </c>
    </row>
    <row r="161" spans="1:169" x14ac:dyDescent="0.3">
      <c r="A161" s="2">
        <v>153</v>
      </c>
      <c r="B161" s="5">
        <v>27</v>
      </c>
      <c r="C161" s="6">
        <v>1502993</v>
      </c>
      <c r="D161" s="6" t="s">
        <v>197</v>
      </c>
      <c r="E161" s="6">
        <v>2914020</v>
      </c>
      <c r="F161" s="6">
        <v>1914022</v>
      </c>
      <c r="G161" s="6">
        <v>0</v>
      </c>
      <c r="H161" s="6">
        <v>0</v>
      </c>
      <c r="I161" s="6">
        <v>57.914999999999999</v>
      </c>
      <c r="J161" s="6" t="s">
        <v>169</v>
      </c>
      <c r="K161" s="6" t="s">
        <v>170</v>
      </c>
      <c r="L161" s="7" t="s">
        <v>171</v>
      </c>
      <c r="M161" s="7" t="s">
        <v>172</v>
      </c>
      <c r="N161" s="8" t="s">
        <v>1791</v>
      </c>
      <c r="O161" s="5">
        <v>-11301.5</v>
      </c>
      <c r="P161" s="6">
        <v>218.21299999999999</v>
      </c>
      <c r="Q161" s="6">
        <v>239.06</v>
      </c>
      <c r="R161" s="12">
        <v>11279.3</v>
      </c>
      <c r="S161" s="4" t="s">
        <v>1792</v>
      </c>
      <c r="T161" s="4" t="s">
        <v>1793</v>
      </c>
      <c r="U161" s="4" t="s">
        <v>1794</v>
      </c>
      <c r="V161" s="4" t="s">
        <v>1795</v>
      </c>
      <c r="W161" s="4" t="s">
        <v>1796</v>
      </c>
      <c r="X161" s="4" t="s">
        <v>1797</v>
      </c>
      <c r="Y161" s="4" t="s">
        <v>1798</v>
      </c>
      <c r="Z161" s="4" t="s">
        <v>1799</v>
      </c>
      <c r="AA161" s="4" t="s">
        <v>1800</v>
      </c>
      <c r="AB161" s="4" t="s">
        <v>1801</v>
      </c>
      <c r="AC161" s="4" t="s">
        <v>1802</v>
      </c>
      <c r="AD161" s="4" t="s">
        <v>1803</v>
      </c>
      <c r="AE161" s="4" t="s">
        <v>1804</v>
      </c>
      <c r="AF161" s="4" t="s">
        <v>1805</v>
      </c>
      <c r="AG161" s="4" t="s">
        <v>1806</v>
      </c>
      <c r="AH161" s="4" t="s">
        <v>1807</v>
      </c>
      <c r="AI161" s="4" t="s">
        <v>1808</v>
      </c>
      <c r="AJ161" s="4" t="s">
        <v>1809</v>
      </c>
      <c r="AK161" s="4" t="s">
        <v>1810</v>
      </c>
      <c r="AL161" s="4" t="s">
        <v>1811</v>
      </c>
      <c r="AM161" s="3">
        <v>-345.923</v>
      </c>
      <c r="AN161" s="3">
        <v>-327.702</v>
      </c>
      <c r="AO161" s="3">
        <v>-308.452</v>
      </c>
      <c r="AP161" s="3">
        <v>-274.709</v>
      </c>
      <c r="AQ161" s="3">
        <v>-241.39699999999999</v>
      </c>
      <c r="AR161" s="3">
        <v>-211.221</v>
      </c>
      <c r="AS161" s="3">
        <v>-346.36599999999999</v>
      </c>
      <c r="AT161" s="3">
        <v>-486.42500000000001</v>
      </c>
      <c r="AU161" s="3">
        <v>-643.63099999999997</v>
      </c>
      <c r="AV161" s="3">
        <v>-809.31899999999996</v>
      </c>
      <c r="AW161" s="3">
        <v>-963.73400000000004</v>
      </c>
      <c r="AX161" s="3">
        <v>-975.21100000000001</v>
      </c>
      <c r="AY161" s="3">
        <v>-984.19500000000005</v>
      </c>
      <c r="AZ161" s="3">
        <v>-995.58</v>
      </c>
      <c r="BA161" s="3">
        <v>-1019.27</v>
      </c>
      <c r="BB161" s="3">
        <v>-1023.53</v>
      </c>
      <c r="BC161" s="3">
        <v>-899.89700000000005</v>
      </c>
      <c r="BD161" s="3">
        <v>-770.88900000000001</v>
      </c>
      <c r="BE161" s="3">
        <v>-631.11099999999999</v>
      </c>
      <c r="BF161" s="3">
        <v>-486.46499999999997</v>
      </c>
      <c r="BG161" s="3">
        <v>375.27199999999999</v>
      </c>
      <c r="BH161" s="3">
        <v>381.19600000000003</v>
      </c>
      <c r="BI161" s="3">
        <v>389.67500000000001</v>
      </c>
      <c r="BJ161" s="3">
        <v>391.40499999999997</v>
      </c>
      <c r="BK161" s="3">
        <v>383.95100000000002</v>
      </c>
      <c r="BL161" s="3">
        <v>372.85399999999998</v>
      </c>
      <c r="BM161" s="3">
        <v>352.43299999999999</v>
      </c>
      <c r="BN161" s="3">
        <v>331.71</v>
      </c>
      <c r="BO161" s="3">
        <v>315.14800000000002</v>
      </c>
      <c r="BP161" s="3">
        <v>301.851</v>
      </c>
      <c r="BQ161" s="3">
        <v>290.185</v>
      </c>
      <c r="BR161" s="3">
        <v>290.33999999999997</v>
      </c>
      <c r="BS161" s="3">
        <v>286.625</v>
      </c>
      <c r="BT161" s="3">
        <v>285.51799999999997</v>
      </c>
      <c r="BU161" s="3">
        <v>291.38400000000001</v>
      </c>
      <c r="BV161" s="3">
        <v>299.84899999999999</v>
      </c>
      <c r="BW161" s="3">
        <v>315.27499999999998</v>
      </c>
      <c r="BX161" s="3">
        <v>332.28300000000002</v>
      </c>
      <c r="BY161" s="3">
        <v>347.483</v>
      </c>
      <c r="BZ161" s="3">
        <v>361.12799999999999</v>
      </c>
      <c r="CA161" s="3">
        <v>-392.29700000000003</v>
      </c>
      <c r="CB161" s="3">
        <v>-405.15800000000002</v>
      </c>
      <c r="CC161" s="3">
        <v>-413.39100000000002</v>
      </c>
      <c r="CD161" s="3">
        <v>-417.11099999999999</v>
      </c>
      <c r="CE161" s="3">
        <v>-423.34699999999998</v>
      </c>
      <c r="CF161" s="3">
        <v>-438.64400000000001</v>
      </c>
      <c r="CG161" s="3">
        <v>-412.88900000000001</v>
      </c>
      <c r="CH161" s="3">
        <v>-393.13400000000001</v>
      </c>
      <c r="CI161" s="3">
        <v>-378.80700000000002</v>
      </c>
      <c r="CJ161" s="3">
        <v>-363.46100000000001</v>
      </c>
      <c r="CK161" s="3">
        <v>-348.86700000000002</v>
      </c>
      <c r="CL161" s="3">
        <v>-340.72399999999999</v>
      </c>
      <c r="CM161" s="3">
        <v>-337.89400000000001</v>
      </c>
      <c r="CN161" s="3">
        <v>-339.39499999999998</v>
      </c>
      <c r="CO161" s="3">
        <v>-337.37700000000001</v>
      </c>
      <c r="CP161" s="3">
        <v>-327.38499999999999</v>
      </c>
      <c r="CQ161" s="3">
        <v>-337.69400000000002</v>
      </c>
      <c r="CR161" s="3">
        <v>-345.33800000000002</v>
      </c>
      <c r="CS161" s="3">
        <v>-354.017</v>
      </c>
      <c r="CT161" s="3">
        <v>-370.166</v>
      </c>
      <c r="CU161" s="3">
        <v>-1798.87</v>
      </c>
      <c r="CV161" s="3">
        <v>-2189.8200000000002</v>
      </c>
      <c r="CW161" s="3">
        <v>-2330.8200000000002</v>
      </c>
      <c r="CX161" s="3">
        <v>-2358.7800000000002</v>
      </c>
      <c r="CY161" s="3">
        <v>-2489.58</v>
      </c>
      <c r="CZ161" s="3">
        <v>-2956.56</v>
      </c>
      <c r="DA161" s="3">
        <v>-3058.73</v>
      </c>
      <c r="DB161" s="3">
        <v>-3141.48</v>
      </c>
      <c r="DC161" s="3">
        <v>-3231.32</v>
      </c>
      <c r="DD161" s="3">
        <v>-3349.57</v>
      </c>
      <c r="DE161" s="3">
        <v>-3497.19</v>
      </c>
      <c r="DF161" s="3">
        <v>-2934.05</v>
      </c>
      <c r="DG161" s="3">
        <v>-2675.5</v>
      </c>
      <c r="DH161" s="3">
        <v>-2605.29</v>
      </c>
      <c r="DI161" s="3">
        <v>-2501.59</v>
      </c>
      <c r="DJ161" s="3">
        <v>-2137.1999999999998</v>
      </c>
      <c r="DK161" s="3">
        <v>-2229.37</v>
      </c>
      <c r="DL161" s="3">
        <v>-2243.81</v>
      </c>
      <c r="DM161" s="3">
        <v>-2185.5700000000002</v>
      </c>
      <c r="DN161" s="3">
        <v>-2038.25</v>
      </c>
      <c r="DO161" s="3">
        <v>-1490.24</v>
      </c>
      <c r="DP161" s="3">
        <v>-1634.86</v>
      </c>
      <c r="DQ161" s="3">
        <v>-1743.93</v>
      </c>
      <c r="DR161" s="3">
        <v>-1930.33</v>
      </c>
      <c r="DS161" s="3">
        <v>-2049.69</v>
      </c>
      <c r="DT161" s="3">
        <v>-2100.79</v>
      </c>
      <c r="DU161" s="3">
        <v>-2136.48</v>
      </c>
      <c r="DV161" s="3">
        <v>-2186.88</v>
      </c>
      <c r="DW161" s="3">
        <v>-2346.6799999999998</v>
      </c>
      <c r="DX161" s="3">
        <v>-2613.19</v>
      </c>
      <c r="DY161" s="3">
        <v>-2766.89</v>
      </c>
      <c r="DZ161" s="3">
        <v>-2547.29</v>
      </c>
      <c r="EA161" s="3">
        <v>-2321.02</v>
      </c>
      <c r="EB161" s="3">
        <v>-2075.84</v>
      </c>
      <c r="EC161" s="3">
        <v>-1906.84</v>
      </c>
      <c r="ED161" s="3">
        <v>-1756.59</v>
      </c>
      <c r="EE161" s="3">
        <v>-1899.18</v>
      </c>
      <c r="EF161" s="3">
        <v>-2052</v>
      </c>
      <c r="EG161" s="3">
        <v>-2036.13</v>
      </c>
      <c r="EH161" s="3">
        <v>-1801.91</v>
      </c>
      <c r="EI161" s="3">
        <v>-702.88900000000001</v>
      </c>
      <c r="EJ161" s="3">
        <v>-596.87300000000005</v>
      </c>
      <c r="EK161" s="3">
        <v>-401.65100000000001</v>
      </c>
      <c r="EL161" s="3">
        <v>-345.83199999999999</v>
      </c>
      <c r="EM161" s="3">
        <v>-382.05399999999997</v>
      </c>
      <c r="EN161" s="3">
        <v>-407.31200000000001</v>
      </c>
      <c r="EO161" s="3">
        <v>-497.733</v>
      </c>
      <c r="EP161" s="3">
        <v>-511.53100000000001</v>
      </c>
      <c r="EQ161" s="3">
        <v>-356.89600000000002</v>
      </c>
      <c r="ER161" s="3">
        <v>-166.65100000000001</v>
      </c>
      <c r="ES161" s="3">
        <v>-94.081699999999998</v>
      </c>
      <c r="ET161" s="3">
        <v>-180.64699999999999</v>
      </c>
      <c r="EU161" s="3">
        <v>-295.85599999999999</v>
      </c>
      <c r="EV161" s="3">
        <v>-354.78899999999999</v>
      </c>
      <c r="EW161" s="3">
        <v>-301.81799999999998</v>
      </c>
      <c r="EX161" s="3">
        <v>-220.16200000000001</v>
      </c>
      <c r="EY161" s="3">
        <v>-236.047</v>
      </c>
      <c r="EZ161" s="3">
        <v>-334.93599999999998</v>
      </c>
      <c r="FA161" s="3">
        <v>-501.82600000000002</v>
      </c>
      <c r="FB161" s="3">
        <v>-639.94000000000005</v>
      </c>
      <c r="FC161" s="3">
        <v>-576.78200000000004</v>
      </c>
      <c r="FD161" s="3">
        <v>-692.96799999999996</v>
      </c>
      <c r="FE161" s="3">
        <v>290.64999999999998</v>
      </c>
      <c r="FF161" s="3">
        <v>382.392</v>
      </c>
      <c r="FG161" s="3">
        <v>-338.60700000000003</v>
      </c>
      <c r="FH161" s="3">
        <v>-414.99099999999999</v>
      </c>
      <c r="FI161" s="3">
        <v>2655.66</v>
      </c>
      <c r="FJ161" s="3">
        <v>2027.02</v>
      </c>
      <c r="FK161" s="3">
        <v>373.08199999999999</v>
      </c>
      <c r="FL161" s="3">
        <v>0</v>
      </c>
      <c r="FM161" s="3"/>
    </row>
    <row r="162" spans="1:169" x14ac:dyDescent="0.3">
      <c r="A162" s="2">
        <v>154</v>
      </c>
      <c r="B162" s="5">
        <v>27</v>
      </c>
      <c r="C162" s="6">
        <v>1502993</v>
      </c>
      <c r="D162" s="6" t="s">
        <v>197</v>
      </c>
      <c r="E162" s="6">
        <v>2914020</v>
      </c>
      <c r="F162" s="6">
        <v>1914022</v>
      </c>
      <c r="G162" s="6">
        <v>0</v>
      </c>
      <c r="H162" s="6">
        <v>0</v>
      </c>
      <c r="I162" s="6">
        <v>57.914999999999999</v>
      </c>
      <c r="J162" s="6" t="s">
        <v>194</v>
      </c>
      <c r="K162" s="6" t="s">
        <v>195</v>
      </c>
      <c r="L162" s="7" t="s">
        <v>196</v>
      </c>
      <c r="M162" s="7" t="s">
        <v>172</v>
      </c>
      <c r="N162" s="8" t="s">
        <v>1791</v>
      </c>
      <c r="O162" s="5">
        <v>11367.1</v>
      </c>
      <c r="P162" s="6">
        <v>401.63099999999997</v>
      </c>
      <c r="Q162" s="6">
        <v>-173.81100000000001</v>
      </c>
      <c r="R162" s="12">
        <v>0</v>
      </c>
      <c r="S162" s="4" t="s">
        <v>1792</v>
      </c>
      <c r="T162" s="4" t="s">
        <v>1793</v>
      </c>
      <c r="U162" s="4" t="s">
        <v>1794</v>
      </c>
      <c r="V162" s="4" t="s">
        <v>1795</v>
      </c>
      <c r="W162" s="4" t="s">
        <v>1796</v>
      </c>
      <c r="X162" s="4" t="s">
        <v>1797</v>
      </c>
      <c r="Y162" s="4" t="s">
        <v>1798</v>
      </c>
      <c r="Z162" s="4" t="s">
        <v>1799</v>
      </c>
      <c r="AA162" s="4" t="s">
        <v>1800</v>
      </c>
      <c r="AB162" s="4" t="s">
        <v>1801</v>
      </c>
      <c r="AC162" s="4" t="s">
        <v>1802</v>
      </c>
      <c r="AD162" s="4" t="s">
        <v>1803</v>
      </c>
      <c r="AE162" s="4" t="s">
        <v>1804</v>
      </c>
      <c r="AF162" s="4" t="s">
        <v>1805</v>
      </c>
      <c r="AG162" s="4" t="s">
        <v>1806</v>
      </c>
      <c r="AH162" s="4" t="s">
        <v>1807</v>
      </c>
      <c r="AI162" s="4" t="s">
        <v>1808</v>
      </c>
      <c r="AJ162" s="4" t="s">
        <v>1809</v>
      </c>
      <c r="AK162" s="4" t="s">
        <v>1810</v>
      </c>
      <c r="AL162" s="4" t="s">
        <v>1811</v>
      </c>
      <c r="AM162" s="3">
        <v>384.17200000000003</v>
      </c>
      <c r="AN162" s="3">
        <v>371.50400000000002</v>
      </c>
      <c r="AO162" s="3">
        <v>359.24299999999999</v>
      </c>
      <c r="AP162" s="3">
        <v>332.50700000000001</v>
      </c>
      <c r="AQ162" s="3">
        <v>306.75299999999999</v>
      </c>
      <c r="AR162" s="3">
        <v>285.447</v>
      </c>
      <c r="AS162" s="3">
        <v>429.58499999999998</v>
      </c>
      <c r="AT162" s="3">
        <v>575.37699999999995</v>
      </c>
      <c r="AU162" s="3">
        <v>734.36199999999997</v>
      </c>
      <c r="AV162" s="3">
        <v>895.68700000000001</v>
      </c>
      <c r="AW162" s="3">
        <v>1037.21</v>
      </c>
      <c r="AX162" s="3">
        <v>1034.8499999999999</v>
      </c>
      <c r="AY162" s="3">
        <v>1032.57</v>
      </c>
      <c r="AZ162" s="3">
        <v>1035.0999999999999</v>
      </c>
      <c r="BA162" s="3">
        <v>1051.3499999999999</v>
      </c>
      <c r="BB162" s="3">
        <v>1051.1300000000001</v>
      </c>
      <c r="BC162" s="3">
        <v>935.82100000000003</v>
      </c>
      <c r="BD162" s="3">
        <v>812.423</v>
      </c>
      <c r="BE162" s="3">
        <v>674.34</v>
      </c>
      <c r="BF162" s="3">
        <v>528.048</v>
      </c>
      <c r="BG162" s="3">
        <v>-384.02800000000002</v>
      </c>
      <c r="BH162" s="3">
        <v>-392.07299999999998</v>
      </c>
      <c r="BI162" s="3">
        <v>-403.43200000000002</v>
      </c>
      <c r="BJ162" s="3">
        <v>-407.68299999999999</v>
      </c>
      <c r="BK162" s="3">
        <v>-402.26499999999999</v>
      </c>
      <c r="BL162" s="3">
        <v>-393.13499999999999</v>
      </c>
      <c r="BM162" s="3">
        <v>-374.44799999999998</v>
      </c>
      <c r="BN162" s="3">
        <v>-353.87200000000001</v>
      </c>
      <c r="BO162" s="3">
        <v>-335.62200000000001</v>
      </c>
      <c r="BP162" s="3">
        <v>-318.02300000000002</v>
      </c>
      <c r="BQ162" s="3">
        <v>-298.798</v>
      </c>
      <c r="BR162" s="3">
        <v>-294.11599999999999</v>
      </c>
      <c r="BS162" s="3">
        <v>-286.38299999999998</v>
      </c>
      <c r="BT162" s="3">
        <v>-282.46899999999999</v>
      </c>
      <c r="BU162" s="3">
        <v>-287.05500000000001</v>
      </c>
      <c r="BV162" s="3">
        <v>-295.58300000000003</v>
      </c>
      <c r="BW162" s="3">
        <v>-316.036</v>
      </c>
      <c r="BX162" s="3">
        <v>-337.04399999999998</v>
      </c>
      <c r="BY162" s="3">
        <v>-354.803</v>
      </c>
      <c r="BZ162" s="3">
        <v>-369.62299999999999</v>
      </c>
      <c r="CA162" s="3">
        <v>391.29899999999998</v>
      </c>
      <c r="CB162" s="3">
        <v>403.935</v>
      </c>
      <c r="CC162" s="3">
        <v>411.4</v>
      </c>
      <c r="CD162" s="3">
        <v>413.18700000000001</v>
      </c>
      <c r="CE162" s="3">
        <v>417.29</v>
      </c>
      <c r="CF162" s="3">
        <v>430.40300000000002</v>
      </c>
      <c r="CG162" s="3">
        <v>415.65499999999997</v>
      </c>
      <c r="CH162" s="3">
        <v>410.16399999999999</v>
      </c>
      <c r="CI162" s="3">
        <v>412.80799999999999</v>
      </c>
      <c r="CJ162" s="3">
        <v>414.74799999999999</v>
      </c>
      <c r="CK162" s="3">
        <v>416.09399999999999</v>
      </c>
      <c r="CL162" s="3">
        <v>399.10899999999998</v>
      </c>
      <c r="CM162" s="3">
        <v>388.42899999999997</v>
      </c>
      <c r="CN162" s="3">
        <v>383.30700000000002</v>
      </c>
      <c r="CO162" s="3">
        <v>375.40800000000002</v>
      </c>
      <c r="CP162" s="3">
        <v>359.53399999999999</v>
      </c>
      <c r="CQ162" s="3">
        <v>364.06700000000001</v>
      </c>
      <c r="CR162" s="3">
        <v>364.584</v>
      </c>
      <c r="CS162" s="3">
        <v>365.61200000000002</v>
      </c>
      <c r="CT162" s="3">
        <v>374.89499999999998</v>
      </c>
      <c r="CU162" s="3">
        <v>1713.91</v>
      </c>
      <c r="CV162" s="3">
        <v>2107.62</v>
      </c>
      <c r="CW162" s="3">
        <v>2262.62</v>
      </c>
      <c r="CX162" s="3">
        <v>2332.59</v>
      </c>
      <c r="CY162" s="3">
        <v>2522.14</v>
      </c>
      <c r="CZ162" s="3">
        <v>3057.76</v>
      </c>
      <c r="DA162" s="3">
        <v>3123.56</v>
      </c>
      <c r="DB162" s="3">
        <v>3160.67</v>
      </c>
      <c r="DC162" s="3">
        <v>3198.88</v>
      </c>
      <c r="DD162" s="3">
        <v>3267.09</v>
      </c>
      <c r="DE162" s="3">
        <v>3368.87</v>
      </c>
      <c r="DF162" s="3">
        <v>2789.35</v>
      </c>
      <c r="DG162" s="3">
        <v>2517.2600000000002</v>
      </c>
      <c r="DH162" s="3">
        <v>2431.67</v>
      </c>
      <c r="DI162" s="3">
        <v>2312.96</v>
      </c>
      <c r="DJ162" s="3">
        <v>1943.68</v>
      </c>
      <c r="DK162" s="3">
        <v>2054.71</v>
      </c>
      <c r="DL162" s="3">
        <v>2090.6799999999998</v>
      </c>
      <c r="DM162" s="3">
        <v>2055.1</v>
      </c>
      <c r="DN162" s="3">
        <v>1929.9</v>
      </c>
      <c r="DO162" s="3">
        <v>1588.45</v>
      </c>
      <c r="DP162" s="3">
        <v>1754.15</v>
      </c>
      <c r="DQ162" s="3">
        <v>1890.12</v>
      </c>
      <c r="DR162" s="3">
        <v>2105.02</v>
      </c>
      <c r="DS162" s="3">
        <v>2257.2600000000002</v>
      </c>
      <c r="DT162" s="3">
        <v>2348.7399999999998</v>
      </c>
      <c r="DU162" s="3">
        <v>2351.7399999999998</v>
      </c>
      <c r="DV162" s="3">
        <v>2372.6999999999998</v>
      </c>
      <c r="DW162" s="3">
        <v>2504.0300000000002</v>
      </c>
      <c r="DX162" s="3">
        <v>2725.45</v>
      </c>
      <c r="DY162" s="3">
        <v>2804.79</v>
      </c>
      <c r="DZ162" s="3">
        <v>2558.5700000000002</v>
      </c>
      <c r="EA162" s="3">
        <v>2311.7800000000002</v>
      </c>
      <c r="EB162" s="3">
        <v>2049.8200000000002</v>
      </c>
      <c r="EC162" s="3">
        <v>1863.45</v>
      </c>
      <c r="ED162" s="3">
        <v>1702.7</v>
      </c>
      <c r="EE162" s="3">
        <v>1895.51</v>
      </c>
      <c r="EF162" s="3">
        <v>2080.35</v>
      </c>
      <c r="EG162" s="3">
        <v>2085.34</v>
      </c>
      <c r="EH162" s="3">
        <v>1873.16</v>
      </c>
      <c r="EI162" s="3">
        <v>706.98</v>
      </c>
      <c r="EJ162" s="3">
        <v>607.24400000000003</v>
      </c>
      <c r="EK162" s="3">
        <v>423.226</v>
      </c>
      <c r="EL162" s="3">
        <v>383.43900000000002</v>
      </c>
      <c r="EM162" s="3">
        <v>429.96499999999997</v>
      </c>
      <c r="EN162" s="3">
        <v>462.988</v>
      </c>
      <c r="EO162" s="3">
        <v>527.13099999999997</v>
      </c>
      <c r="EP162" s="3">
        <v>517.05799999999999</v>
      </c>
      <c r="EQ162" s="3">
        <v>344.64600000000002</v>
      </c>
      <c r="ER162" s="3">
        <v>141.54599999999999</v>
      </c>
      <c r="ES162" s="3">
        <v>48.967100000000002</v>
      </c>
      <c r="ET162" s="3">
        <v>128.191</v>
      </c>
      <c r="EU162" s="3">
        <v>233.24600000000001</v>
      </c>
      <c r="EV162" s="3">
        <v>281.31299999999999</v>
      </c>
      <c r="EW162" s="3">
        <v>222.946</v>
      </c>
      <c r="EX162" s="3">
        <v>143.078</v>
      </c>
      <c r="EY162" s="3">
        <v>178.821</v>
      </c>
      <c r="EZ162" s="3">
        <v>298.81700000000001</v>
      </c>
      <c r="FA162" s="3">
        <v>481.41800000000001</v>
      </c>
      <c r="FB162" s="3">
        <v>630.58799999999997</v>
      </c>
      <c r="FC162" s="3">
        <v>659.61099999999999</v>
      </c>
      <c r="FD162" s="3">
        <v>730.99</v>
      </c>
      <c r="FE162" s="3">
        <v>-290.73399999999998</v>
      </c>
      <c r="FF162" s="3">
        <v>-397.10300000000001</v>
      </c>
      <c r="FG162" s="3">
        <v>369.99799999999999</v>
      </c>
      <c r="FH162" s="3">
        <v>416.64499999999998</v>
      </c>
      <c r="FI162" s="3">
        <v>-2580.4</v>
      </c>
      <c r="FJ162" s="3">
        <v>-2102.9</v>
      </c>
      <c r="FK162" s="3">
        <v>-356.40100000000001</v>
      </c>
      <c r="FL162" s="3">
        <v>0</v>
      </c>
      <c r="FM162" s="3"/>
    </row>
    <row r="163" spans="1:169" x14ac:dyDescent="0.3">
      <c r="A163" s="2">
        <v>155</v>
      </c>
      <c r="B163" s="5">
        <v>27</v>
      </c>
      <c r="C163" s="6">
        <v>2501765</v>
      </c>
      <c r="D163" s="6" t="s">
        <v>168</v>
      </c>
      <c r="E163" s="6">
        <v>2914020</v>
      </c>
      <c r="F163" s="6">
        <v>2914020</v>
      </c>
      <c r="G163" s="6">
        <v>0</v>
      </c>
      <c r="H163" s="6">
        <v>0</v>
      </c>
      <c r="I163" s="6">
        <v>51.48</v>
      </c>
      <c r="J163" s="6" t="s">
        <v>169</v>
      </c>
      <c r="K163" s="6" t="s">
        <v>170</v>
      </c>
      <c r="L163" s="7" t="s">
        <v>171</v>
      </c>
      <c r="M163" s="7" t="s">
        <v>172</v>
      </c>
      <c r="N163" s="8" t="s">
        <v>1812</v>
      </c>
      <c r="O163" s="5">
        <v>11120.6</v>
      </c>
      <c r="P163" s="6">
        <v>-2032.26</v>
      </c>
      <c r="Q163" s="6">
        <v>175.47300000000001</v>
      </c>
      <c r="R163" s="12">
        <v>11279.3</v>
      </c>
      <c r="S163" s="4" t="s">
        <v>1813</v>
      </c>
      <c r="T163" s="4" t="s">
        <v>1814</v>
      </c>
      <c r="U163" s="4" t="s">
        <v>1815</v>
      </c>
      <c r="V163" s="4" t="s">
        <v>1816</v>
      </c>
      <c r="W163" s="4" t="s">
        <v>1817</v>
      </c>
      <c r="X163" s="4" t="s">
        <v>1818</v>
      </c>
      <c r="Y163" s="4" t="s">
        <v>1819</v>
      </c>
      <c r="Z163" s="4" t="s">
        <v>1820</v>
      </c>
      <c r="AA163" s="4" t="s">
        <v>1821</v>
      </c>
      <c r="AB163" s="4" t="s">
        <v>1822</v>
      </c>
      <c r="AC163" s="4" t="s">
        <v>1823</v>
      </c>
      <c r="AD163" s="4" t="s">
        <v>1824</v>
      </c>
      <c r="AE163" s="4" t="s">
        <v>1825</v>
      </c>
      <c r="AF163" s="4" t="s">
        <v>1826</v>
      </c>
      <c r="AG163" s="4" t="s">
        <v>1827</v>
      </c>
      <c r="AH163" s="4" t="s">
        <v>1828</v>
      </c>
      <c r="AI163" s="4" t="s">
        <v>1829</v>
      </c>
      <c r="AJ163" s="4" t="s">
        <v>1830</v>
      </c>
      <c r="AK163" s="4" t="s">
        <v>1831</v>
      </c>
      <c r="AL163" s="4" t="s">
        <v>1832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 t="s">
        <v>882</v>
      </c>
    </row>
    <row r="164" spans="1:169" x14ac:dyDescent="0.3">
      <c r="A164" s="2">
        <v>156</v>
      </c>
      <c r="B164" s="5">
        <v>27</v>
      </c>
      <c r="C164" s="6">
        <v>2501765</v>
      </c>
      <c r="D164" s="6" t="s">
        <v>168</v>
      </c>
      <c r="E164" s="6">
        <v>2914020</v>
      </c>
      <c r="F164" s="6">
        <v>2914020</v>
      </c>
      <c r="G164" s="6">
        <v>0</v>
      </c>
      <c r="H164" s="6">
        <v>0</v>
      </c>
      <c r="I164" s="6">
        <v>51.48</v>
      </c>
      <c r="J164" s="6" t="s">
        <v>194</v>
      </c>
      <c r="K164" s="6" t="s">
        <v>195</v>
      </c>
      <c r="L164" s="7" t="s">
        <v>196</v>
      </c>
      <c r="M164" s="7" t="s">
        <v>172</v>
      </c>
      <c r="N164" s="8" t="s">
        <v>1812</v>
      </c>
      <c r="O164" s="5">
        <v>-11061.4</v>
      </c>
      <c r="P164" s="6">
        <v>2652.57</v>
      </c>
      <c r="Q164" s="6">
        <v>-108.682</v>
      </c>
      <c r="R164" s="12">
        <v>0</v>
      </c>
      <c r="S164" s="4" t="s">
        <v>1813</v>
      </c>
      <c r="T164" s="4" t="s">
        <v>1814</v>
      </c>
      <c r="U164" s="4" t="s">
        <v>1815</v>
      </c>
      <c r="V164" s="4" t="s">
        <v>1816</v>
      </c>
      <c r="W164" s="4" t="s">
        <v>1817</v>
      </c>
      <c r="X164" s="4" t="s">
        <v>1818</v>
      </c>
      <c r="Y164" s="4" t="s">
        <v>1819</v>
      </c>
      <c r="Z164" s="4" t="s">
        <v>1820</v>
      </c>
      <c r="AA164" s="4" t="s">
        <v>1821</v>
      </c>
      <c r="AB164" s="4" t="s">
        <v>1822</v>
      </c>
      <c r="AC164" s="4" t="s">
        <v>1823</v>
      </c>
      <c r="AD164" s="4" t="s">
        <v>1824</v>
      </c>
      <c r="AE164" s="4" t="s">
        <v>1825</v>
      </c>
      <c r="AF164" s="4" t="s">
        <v>1826</v>
      </c>
      <c r="AG164" s="4" t="s">
        <v>1827</v>
      </c>
      <c r="AH164" s="4" t="s">
        <v>1828</v>
      </c>
      <c r="AI164" s="4" t="s">
        <v>1829</v>
      </c>
      <c r="AJ164" s="4" t="s">
        <v>1830</v>
      </c>
      <c r="AK164" s="4" t="s">
        <v>1831</v>
      </c>
      <c r="AL164" s="4" t="s">
        <v>1832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 t="s">
        <v>882</v>
      </c>
    </row>
    <row r="165" spans="1:169" x14ac:dyDescent="0.3">
      <c r="A165" s="2">
        <v>157</v>
      </c>
      <c r="B165" s="5">
        <v>28</v>
      </c>
      <c r="C165" s="6">
        <v>2501830</v>
      </c>
      <c r="D165" s="6" t="s">
        <v>168</v>
      </c>
      <c r="E165" s="6">
        <v>2901020</v>
      </c>
      <c r="F165" s="6">
        <v>2901020</v>
      </c>
      <c r="G165" s="6">
        <v>0</v>
      </c>
      <c r="H165" s="6">
        <v>0</v>
      </c>
      <c r="I165" s="6">
        <v>51.48</v>
      </c>
      <c r="J165" s="6" t="s">
        <v>169</v>
      </c>
      <c r="K165" s="6" t="s">
        <v>170</v>
      </c>
      <c r="L165" s="7" t="s">
        <v>171</v>
      </c>
      <c r="M165" s="7" t="s">
        <v>172</v>
      </c>
      <c r="N165" s="8" t="s">
        <v>1833</v>
      </c>
      <c r="O165" s="5">
        <v>23416.400000000001</v>
      </c>
      <c r="P165" s="6">
        <v>-11244.3</v>
      </c>
      <c r="Q165" s="6">
        <v>70.300200000000004</v>
      </c>
      <c r="R165" s="12">
        <v>0</v>
      </c>
      <c r="S165" s="4" t="s">
        <v>1834</v>
      </c>
      <c r="T165" s="4" t="s">
        <v>1835</v>
      </c>
      <c r="U165" s="4" t="s">
        <v>1836</v>
      </c>
      <c r="V165" s="4" t="s">
        <v>1837</v>
      </c>
      <c r="W165" s="4" t="s">
        <v>1838</v>
      </c>
      <c r="X165" s="4" t="s">
        <v>1839</v>
      </c>
      <c r="Y165" s="4" t="s">
        <v>1840</v>
      </c>
      <c r="Z165" s="4" t="s">
        <v>1841</v>
      </c>
      <c r="AA165" s="4" t="s">
        <v>1842</v>
      </c>
      <c r="AB165" s="4" t="s">
        <v>1843</v>
      </c>
      <c r="AC165" s="4" t="s">
        <v>1844</v>
      </c>
      <c r="AD165" s="4" t="s">
        <v>1845</v>
      </c>
      <c r="AE165" s="4" t="s">
        <v>1846</v>
      </c>
      <c r="AF165" s="4" t="s">
        <v>1847</v>
      </c>
      <c r="AG165" s="4" t="s">
        <v>1848</v>
      </c>
      <c r="AH165" s="4" t="s">
        <v>1849</v>
      </c>
      <c r="AI165" s="4" t="s">
        <v>1850</v>
      </c>
      <c r="AJ165" s="4" t="s">
        <v>1851</v>
      </c>
      <c r="AK165" s="4" t="s">
        <v>1852</v>
      </c>
      <c r="AL165" s="4" t="s">
        <v>1853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/>
    </row>
    <row r="166" spans="1:169" x14ac:dyDescent="0.3">
      <c r="A166" s="2">
        <v>158</v>
      </c>
      <c r="B166" s="5">
        <v>28</v>
      </c>
      <c r="C166" s="6">
        <v>2501830</v>
      </c>
      <c r="D166" s="6" t="s">
        <v>168</v>
      </c>
      <c r="E166" s="6">
        <v>2901020</v>
      </c>
      <c r="F166" s="6">
        <v>2901020</v>
      </c>
      <c r="G166" s="6">
        <v>0</v>
      </c>
      <c r="H166" s="6">
        <v>0</v>
      </c>
      <c r="I166" s="6">
        <v>51.48</v>
      </c>
      <c r="J166" s="6" t="s">
        <v>194</v>
      </c>
      <c r="K166" s="6" t="s">
        <v>195</v>
      </c>
      <c r="L166" s="7" t="s">
        <v>196</v>
      </c>
      <c r="M166" s="7" t="s">
        <v>172</v>
      </c>
      <c r="N166" s="8" t="s">
        <v>1833</v>
      </c>
      <c r="O166" s="5">
        <v>-20037.599999999999</v>
      </c>
      <c r="P166" s="6">
        <v>12236.9</v>
      </c>
      <c r="Q166" s="6">
        <v>-455.26900000000001</v>
      </c>
      <c r="R166" s="12">
        <v>8283.4699999999993</v>
      </c>
      <c r="S166" s="4" t="s">
        <v>1834</v>
      </c>
      <c r="T166" s="4" t="s">
        <v>1835</v>
      </c>
      <c r="U166" s="4" t="s">
        <v>1836</v>
      </c>
      <c r="V166" s="4" t="s">
        <v>1837</v>
      </c>
      <c r="W166" s="4" t="s">
        <v>1838</v>
      </c>
      <c r="X166" s="4" t="s">
        <v>1839</v>
      </c>
      <c r="Y166" s="4" t="s">
        <v>1840</v>
      </c>
      <c r="Z166" s="4" t="s">
        <v>1841</v>
      </c>
      <c r="AA166" s="4" t="s">
        <v>1842</v>
      </c>
      <c r="AB166" s="4" t="s">
        <v>1843</v>
      </c>
      <c r="AC166" s="4" t="s">
        <v>1844</v>
      </c>
      <c r="AD166" s="4" t="s">
        <v>1845</v>
      </c>
      <c r="AE166" s="4" t="s">
        <v>1846</v>
      </c>
      <c r="AF166" s="4" t="s">
        <v>1847</v>
      </c>
      <c r="AG166" s="4" t="s">
        <v>1848</v>
      </c>
      <c r="AH166" s="4" t="s">
        <v>1849</v>
      </c>
      <c r="AI166" s="4" t="s">
        <v>1850</v>
      </c>
      <c r="AJ166" s="4" t="s">
        <v>1851</v>
      </c>
      <c r="AK166" s="4" t="s">
        <v>1852</v>
      </c>
      <c r="AL166" s="4" t="s">
        <v>1853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/>
    </row>
    <row r="167" spans="1:169" x14ac:dyDescent="0.3">
      <c r="A167" s="2">
        <v>159</v>
      </c>
      <c r="B167" s="5">
        <v>28</v>
      </c>
      <c r="C167" s="6">
        <v>1501578</v>
      </c>
      <c r="D167" s="6" t="s">
        <v>197</v>
      </c>
      <c r="E167" s="6">
        <v>2901020</v>
      </c>
      <c r="F167" s="6">
        <v>1901022</v>
      </c>
      <c r="G167" s="6">
        <v>3901020</v>
      </c>
      <c r="H167" s="6">
        <v>1901023</v>
      </c>
      <c r="I167" s="6">
        <v>57.914999999999999</v>
      </c>
      <c r="J167" s="6" t="s">
        <v>169</v>
      </c>
      <c r="K167" s="6" t="s">
        <v>170</v>
      </c>
      <c r="L167" s="7" t="s">
        <v>171</v>
      </c>
      <c r="M167" s="7" t="s">
        <v>172</v>
      </c>
      <c r="N167" s="8" t="s">
        <v>1854</v>
      </c>
      <c r="O167" s="5">
        <v>1207.1400000000001</v>
      </c>
      <c r="P167" s="6">
        <v>432.86900000000003</v>
      </c>
      <c r="Q167" s="6">
        <v>-560.02800000000002</v>
      </c>
      <c r="R167" s="12">
        <v>0</v>
      </c>
      <c r="S167" s="4" t="s">
        <v>1855</v>
      </c>
      <c r="T167" s="4" t="s">
        <v>1856</v>
      </c>
      <c r="U167" s="4" t="s">
        <v>1857</v>
      </c>
      <c r="V167" s="4" t="s">
        <v>1858</v>
      </c>
      <c r="W167" s="4" t="s">
        <v>1859</v>
      </c>
      <c r="X167" s="4" t="s">
        <v>1860</v>
      </c>
      <c r="Y167" s="4" t="s">
        <v>1861</v>
      </c>
      <c r="Z167" s="4" t="s">
        <v>1862</v>
      </c>
      <c r="AA167" s="4" t="s">
        <v>1863</v>
      </c>
      <c r="AB167" s="4" t="s">
        <v>1864</v>
      </c>
      <c r="AC167" s="4" t="s">
        <v>1865</v>
      </c>
      <c r="AD167" s="4" t="s">
        <v>1866</v>
      </c>
      <c r="AE167" s="4" t="s">
        <v>1867</v>
      </c>
      <c r="AF167" s="4" t="s">
        <v>1868</v>
      </c>
      <c r="AG167" s="4" t="s">
        <v>1869</v>
      </c>
      <c r="AH167" s="4" t="s">
        <v>1870</v>
      </c>
      <c r="AI167" s="4" t="s">
        <v>1871</v>
      </c>
      <c r="AJ167" s="4" t="s">
        <v>1872</v>
      </c>
      <c r="AK167" s="4" t="s">
        <v>1873</v>
      </c>
      <c r="AL167" s="4" t="s">
        <v>1874</v>
      </c>
      <c r="AM167" s="3">
        <v>745.24599999999998</v>
      </c>
      <c r="AN167" s="3">
        <v>737.13800000000003</v>
      </c>
      <c r="AO167" s="3">
        <v>770.42700000000002</v>
      </c>
      <c r="AP167" s="3">
        <v>770.26499999999999</v>
      </c>
      <c r="AQ167" s="3">
        <v>758.63900000000001</v>
      </c>
      <c r="AR167" s="3">
        <v>699.81399999999996</v>
      </c>
      <c r="AS167" s="3">
        <v>496.709</v>
      </c>
      <c r="AT167" s="3">
        <v>287.10899999999998</v>
      </c>
      <c r="AU167" s="3">
        <v>118.746</v>
      </c>
      <c r="AV167" s="3">
        <v>-32.938899999999997</v>
      </c>
      <c r="AW167" s="3">
        <v>-183.89599999999999</v>
      </c>
      <c r="AX167" s="3">
        <v>-220.108</v>
      </c>
      <c r="AY167" s="3">
        <v>-238.86099999999999</v>
      </c>
      <c r="AZ167" s="3">
        <v>-245.351</v>
      </c>
      <c r="BA167" s="3">
        <v>-240</v>
      </c>
      <c r="BB167" s="3">
        <v>-232.274</v>
      </c>
      <c r="BC167" s="3">
        <v>-58.2851</v>
      </c>
      <c r="BD167" s="3">
        <v>124.90600000000001</v>
      </c>
      <c r="BE167" s="3">
        <v>313.65100000000001</v>
      </c>
      <c r="BF167" s="3">
        <v>522.30499999999995</v>
      </c>
      <c r="BG167" s="3">
        <v>345.30399999999997</v>
      </c>
      <c r="BH167" s="3">
        <v>329.69400000000002</v>
      </c>
      <c r="BI167" s="3">
        <v>296.476</v>
      </c>
      <c r="BJ167" s="3">
        <v>252.018</v>
      </c>
      <c r="BK167" s="3">
        <v>195.66</v>
      </c>
      <c r="BL167" s="3">
        <v>149.21100000000001</v>
      </c>
      <c r="BM167" s="3">
        <v>198.15</v>
      </c>
      <c r="BN167" s="3">
        <v>261.57499999999999</v>
      </c>
      <c r="BO167" s="3">
        <v>319.30500000000001</v>
      </c>
      <c r="BP167" s="3">
        <v>378.72699999999998</v>
      </c>
      <c r="BQ167" s="3">
        <v>450.36700000000002</v>
      </c>
      <c r="BR167" s="3">
        <v>511.05399999999997</v>
      </c>
      <c r="BS167" s="3">
        <v>541.33600000000001</v>
      </c>
      <c r="BT167" s="3">
        <v>541.40899999999999</v>
      </c>
      <c r="BU167" s="3">
        <v>519.15899999999999</v>
      </c>
      <c r="BV167" s="3">
        <v>485.17</v>
      </c>
      <c r="BW167" s="3">
        <v>457.49599999999998</v>
      </c>
      <c r="BX167" s="3">
        <v>430.55700000000002</v>
      </c>
      <c r="BY167" s="3">
        <v>405.00400000000002</v>
      </c>
      <c r="BZ167" s="3">
        <v>376.46600000000001</v>
      </c>
      <c r="CA167" s="3">
        <v>-551.04399999999998</v>
      </c>
      <c r="CB167" s="3">
        <v>-519.36099999999999</v>
      </c>
      <c r="CC167" s="3">
        <v>-485.13900000000001</v>
      </c>
      <c r="CD167" s="3">
        <v>-440.822</v>
      </c>
      <c r="CE167" s="3">
        <v>-381.27199999999999</v>
      </c>
      <c r="CF167" s="3">
        <v>-313.86500000000001</v>
      </c>
      <c r="CG167" s="3">
        <v>-315.87900000000002</v>
      </c>
      <c r="CH167" s="3">
        <v>-320.02999999999997</v>
      </c>
      <c r="CI167" s="3">
        <v>-305.66000000000003</v>
      </c>
      <c r="CJ167" s="3">
        <v>-281.892</v>
      </c>
      <c r="CK167" s="3">
        <v>-247.23400000000001</v>
      </c>
      <c r="CL167" s="3">
        <v>-325.42700000000002</v>
      </c>
      <c r="CM167" s="3">
        <v>-401.82799999999997</v>
      </c>
      <c r="CN167" s="3">
        <v>-465.327</v>
      </c>
      <c r="CO167" s="3">
        <v>-509.92700000000002</v>
      </c>
      <c r="CP167" s="3">
        <v>-542.74800000000005</v>
      </c>
      <c r="CQ167" s="3">
        <v>-544.18399999999997</v>
      </c>
      <c r="CR167" s="3">
        <v>-546.798</v>
      </c>
      <c r="CS167" s="3">
        <v>-552.38300000000004</v>
      </c>
      <c r="CT167" s="3">
        <v>-553.98500000000001</v>
      </c>
      <c r="CU167" s="3">
        <v>-7345.99</v>
      </c>
      <c r="CV167" s="3">
        <v>-5529.34</v>
      </c>
      <c r="CW167" s="3">
        <v>-4437.82</v>
      </c>
      <c r="CX167" s="3">
        <v>-3823.43</v>
      </c>
      <c r="CY167" s="3">
        <v>-3763.68</v>
      </c>
      <c r="CZ167" s="3">
        <v>-3808.49</v>
      </c>
      <c r="DA167" s="3">
        <v>-3880.01</v>
      </c>
      <c r="DB167" s="3">
        <v>-3940.73</v>
      </c>
      <c r="DC167" s="3">
        <v>-3338.12</v>
      </c>
      <c r="DD167" s="3">
        <v>-3061.02</v>
      </c>
      <c r="DE167" s="3">
        <v>-2539.0700000000002</v>
      </c>
      <c r="DF167" s="3">
        <v>-3869.91</v>
      </c>
      <c r="DG167" s="3">
        <v>-5216.42</v>
      </c>
      <c r="DH167" s="3">
        <v>-5829.23</v>
      </c>
      <c r="DI167" s="3">
        <v>-6137.16</v>
      </c>
      <c r="DJ167" s="3">
        <v>-6476.97</v>
      </c>
      <c r="DK167" s="3">
        <v>-6518.37</v>
      </c>
      <c r="DL167" s="3">
        <v>-6691.34</v>
      </c>
      <c r="DM167" s="3">
        <v>-7128.06</v>
      </c>
      <c r="DN167" s="3">
        <v>-7222.22</v>
      </c>
      <c r="DO167" s="3">
        <v>-1580.76</v>
      </c>
      <c r="DP167" s="3">
        <v>-680.39400000000001</v>
      </c>
      <c r="DQ167" s="3">
        <v>-254.12200000000001</v>
      </c>
      <c r="DR167" s="3">
        <v>50.316400000000002</v>
      </c>
      <c r="DS167" s="3">
        <v>112.61</v>
      </c>
      <c r="DT167" s="3">
        <v>38.475900000000003</v>
      </c>
      <c r="DU167" s="3">
        <v>158.31100000000001</v>
      </c>
      <c r="DV167" s="3">
        <v>-509.79700000000003</v>
      </c>
      <c r="DW167" s="3">
        <v>-1986.32</v>
      </c>
      <c r="DX167" s="3">
        <v>-2267.44</v>
      </c>
      <c r="DY167" s="3">
        <v>-1823.37</v>
      </c>
      <c r="DZ167" s="3">
        <v>-2141.09</v>
      </c>
      <c r="EA167" s="3">
        <v>-2241.33</v>
      </c>
      <c r="EB167" s="3">
        <v>-2259.8000000000002</v>
      </c>
      <c r="EC167" s="3">
        <v>-2276.94</v>
      </c>
      <c r="ED167" s="3">
        <v>-2043.72</v>
      </c>
      <c r="EE167" s="3">
        <v>-2502.85</v>
      </c>
      <c r="EF167" s="3">
        <v>-2039.81</v>
      </c>
      <c r="EG167" s="3">
        <v>-1253.04</v>
      </c>
      <c r="EH167" s="3">
        <v>-1209.8800000000001</v>
      </c>
      <c r="EI167" s="3">
        <v>2376.0100000000002</v>
      </c>
      <c r="EJ167" s="3">
        <v>2156.35</v>
      </c>
      <c r="EK167" s="3">
        <v>1593.02</v>
      </c>
      <c r="EL167" s="3">
        <v>1023.98</v>
      </c>
      <c r="EM167" s="3">
        <v>852.09</v>
      </c>
      <c r="EN167" s="3">
        <v>874.23</v>
      </c>
      <c r="EO167" s="3">
        <v>1116.23</v>
      </c>
      <c r="EP167" s="3">
        <v>1766.92</v>
      </c>
      <c r="EQ167" s="3">
        <v>1567.88</v>
      </c>
      <c r="ER167" s="3">
        <v>988.38599999999997</v>
      </c>
      <c r="ES167" s="3">
        <v>711.78399999999999</v>
      </c>
      <c r="ET167" s="3">
        <v>955.86800000000005</v>
      </c>
      <c r="EU167" s="3">
        <v>1444.5</v>
      </c>
      <c r="EV167" s="3">
        <v>1907.64</v>
      </c>
      <c r="EW167" s="3">
        <v>2096.06</v>
      </c>
      <c r="EX167" s="3">
        <v>2033.47</v>
      </c>
      <c r="EY167" s="3">
        <v>1537.94</v>
      </c>
      <c r="EZ167" s="3">
        <v>852.76400000000001</v>
      </c>
      <c r="FA167" s="3">
        <v>882.22799999999995</v>
      </c>
      <c r="FB167" s="3">
        <v>1575.46</v>
      </c>
      <c r="FC167" s="3">
        <v>230.92400000000001</v>
      </c>
      <c r="FD167" s="3">
        <v>235.92500000000001</v>
      </c>
      <c r="FE167" s="3">
        <v>261.39400000000001</v>
      </c>
      <c r="FF167" s="3">
        <v>508.08199999999999</v>
      </c>
      <c r="FG167" s="3">
        <v>-297.42700000000002</v>
      </c>
      <c r="FH167" s="3">
        <v>-548.524</v>
      </c>
      <c r="FI167" s="3">
        <v>5162.53</v>
      </c>
      <c r="FJ167" s="3">
        <v>1258.3399999999999</v>
      </c>
      <c r="FK167" s="3">
        <v>-1429.51</v>
      </c>
      <c r="FL167" s="3">
        <v>0</v>
      </c>
      <c r="FM167" s="3"/>
    </row>
    <row r="168" spans="1:169" x14ac:dyDescent="0.3">
      <c r="A168" s="2">
        <v>160</v>
      </c>
      <c r="B168" s="5">
        <v>28</v>
      </c>
      <c r="C168" s="6">
        <v>1501578</v>
      </c>
      <c r="D168" s="6" t="s">
        <v>197</v>
      </c>
      <c r="E168" s="6">
        <v>2901020</v>
      </c>
      <c r="F168" s="6">
        <v>1901022</v>
      </c>
      <c r="G168" s="6">
        <v>3901020</v>
      </c>
      <c r="H168" s="6">
        <v>1901023</v>
      </c>
      <c r="I168" s="6">
        <v>57.914999999999999</v>
      </c>
      <c r="J168" s="6" t="s">
        <v>194</v>
      </c>
      <c r="K168" s="6" t="s">
        <v>195</v>
      </c>
      <c r="L168" s="7" t="s">
        <v>196</v>
      </c>
      <c r="M168" s="7" t="s">
        <v>172</v>
      </c>
      <c r="N168" s="8" t="s">
        <v>1854</v>
      </c>
      <c r="O168" s="5">
        <v>-338.85399999999998</v>
      </c>
      <c r="P168" s="6">
        <v>898.01400000000001</v>
      </c>
      <c r="Q168" s="6">
        <v>491.36900000000003</v>
      </c>
      <c r="R168" s="12">
        <v>8283.4699999999993</v>
      </c>
      <c r="S168" s="4" t="s">
        <v>1855</v>
      </c>
      <c r="T168" s="4" t="s">
        <v>1856</v>
      </c>
      <c r="U168" s="4" t="s">
        <v>1857</v>
      </c>
      <c r="V168" s="4" t="s">
        <v>1858</v>
      </c>
      <c r="W168" s="4" t="s">
        <v>1859</v>
      </c>
      <c r="X168" s="4" t="s">
        <v>1860</v>
      </c>
      <c r="Y168" s="4" t="s">
        <v>1861</v>
      </c>
      <c r="Z168" s="4" t="s">
        <v>1862</v>
      </c>
      <c r="AA168" s="4" t="s">
        <v>1863</v>
      </c>
      <c r="AB168" s="4" t="s">
        <v>1864</v>
      </c>
      <c r="AC168" s="4" t="s">
        <v>1865</v>
      </c>
      <c r="AD168" s="4" t="s">
        <v>1866</v>
      </c>
      <c r="AE168" s="4" t="s">
        <v>1867</v>
      </c>
      <c r="AF168" s="4" t="s">
        <v>1868</v>
      </c>
      <c r="AG168" s="4" t="s">
        <v>1869</v>
      </c>
      <c r="AH168" s="4" t="s">
        <v>1870</v>
      </c>
      <c r="AI168" s="4" t="s">
        <v>1871</v>
      </c>
      <c r="AJ168" s="4" t="s">
        <v>1872</v>
      </c>
      <c r="AK168" s="4" t="s">
        <v>1873</v>
      </c>
      <c r="AL168" s="4" t="s">
        <v>1874</v>
      </c>
      <c r="AM168" s="3">
        <v>-1272.72</v>
      </c>
      <c r="AN168" s="3">
        <v>-1401.94</v>
      </c>
      <c r="AO168" s="3">
        <v>-1613.84</v>
      </c>
      <c r="AP168" s="3">
        <v>-1825.92</v>
      </c>
      <c r="AQ168" s="3">
        <v>-2048.91</v>
      </c>
      <c r="AR168" s="3">
        <v>-2236.9899999999998</v>
      </c>
      <c r="AS168" s="3">
        <v>-1662.93</v>
      </c>
      <c r="AT168" s="3">
        <v>-931.28200000000004</v>
      </c>
      <c r="AU168" s="3">
        <v>-284.60199999999998</v>
      </c>
      <c r="AV168" s="3">
        <v>305.75700000000001</v>
      </c>
      <c r="AW168" s="3">
        <v>882.447</v>
      </c>
      <c r="AX168" s="3">
        <v>921.02200000000005</v>
      </c>
      <c r="AY168" s="3">
        <v>960.99199999999996</v>
      </c>
      <c r="AZ168" s="3">
        <v>987.32</v>
      </c>
      <c r="BA168" s="3">
        <v>986.70399999999995</v>
      </c>
      <c r="BB168" s="3">
        <v>964.702</v>
      </c>
      <c r="BC168" s="3">
        <v>462.38200000000001</v>
      </c>
      <c r="BD168" s="3">
        <v>-20.4406</v>
      </c>
      <c r="BE168" s="3">
        <v>-482.11399999999998</v>
      </c>
      <c r="BF168" s="3">
        <v>-908.52599999999995</v>
      </c>
      <c r="BG168" s="3">
        <v>-270.637</v>
      </c>
      <c r="BH168" s="3">
        <v>-285.447</v>
      </c>
      <c r="BI168" s="3">
        <v>-308.40699999999998</v>
      </c>
      <c r="BJ168" s="3">
        <v>-328.06799999999998</v>
      </c>
      <c r="BK168" s="3">
        <v>-338.23399999999998</v>
      </c>
      <c r="BL168" s="3">
        <v>-330.31400000000002</v>
      </c>
      <c r="BM168" s="3">
        <v>-275.90699999999998</v>
      </c>
      <c r="BN168" s="3">
        <v>-204.71600000000001</v>
      </c>
      <c r="BO168" s="3">
        <v>-108.199</v>
      </c>
      <c r="BP168" s="3">
        <v>22.4556</v>
      </c>
      <c r="BQ168" s="3">
        <v>183.673</v>
      </c>
      <c r="BR168" s="3">
        <v>100.76</v>
      </c>
      <c r="BS168" s="3">
        <v>-10.6036</v>
      </c>
      <c r="BT168" s="3">
        <v>-124.687</v>
      </c>
      <c r="BU168" s="3">
        <v>-229.227</v>
      </c>
      <c r="BV168" s="3">
        <v>-302.35899999999998</v>
      </c>
      <c r="BW168" s="3">
        <v>-270.846</v>
      </c>
      <c r="BX168" s="3">
        <v>-255.13499999999999</v>
      </c>
      <c r="BY168" s="3">
        <v>-249.58699999999999</v>
      </c>
      <c r="BZ168" s="3">
        <v>-253.79400000000001</v>
      </c>
      <c r="CA168" s="3">
        <v>535.16</v>
      </c>
      <c r="CB168" s="3">
        <v>572.72299999999996</v>
      </c>
      <c r="CC168" s="3">
        <v>650.26300000000003</v>
      </c>
      <c r="CD168" s="3">
        <v>725.72</v>
      </c>
      <c r="CE168" s="3">
        <v>795.93499999999995</v>
      </c>
      <c r="CF168" s="3">
        <v>816.34400000000005</v>
      </c>
      <c r="CG168" s="3">
        <v>635.072</v>
      </c>
      <c r="CH168" s="3">
        <v>514.68299999999999</v>
      </c>
      <c r="CI168" s="3">
        <v>467.59899999999999</v>
      </c>
      <c r="CJ168" s="3">
        <v>448.22899999999998</v>
      </c>
      <c r="CK168" s="3">
        <v>423.21499999999997</v>
      </c>
      <c r="CL168" s="3">
        <v>279.46699999999998</v>
      </c>
      <c r="CM168" s="3">
        <v>195.55799999999999</v>
      </c>
      <c r="CN168" s="3">
        <v>162.90899999999999</v>
      </c>
      <c r="CO168" s="3">
        <v>166.92599999999999</v>
      </c>
      <c r="CP168" s="3">
        <v>198.44800000000001</v>
      </c>
      <c r="CQ168" s="3">
        <v>207.13300000000001</v>
      </c>
      <c r="CR168" s="3">
        <v>249.58099999999999</v>
      </c>
      <c r="CS168" s="3">
        <v>321.94299999999998</v>
      </c>
      <c r="CT168" s="3">
        <v>421.65499999999997</v>
      </c>
      <c r="CU168" s="3">
        <v>9659.2000000000007</v>
      </c>
      <c r="CV168" s="3">
        <v>8084.42</v>
      </c>
      <c r="CW168" s="3">
        <v>7203.28</v>
      </c>
      <c r="CX168" s="3">
        <v>6787.03</v>
      </c>
      <c r="CY168" s="3">
        <v>6787.69</v>
      </c>
      <c r="CZ168" s="3">
        <v>6797.68</v>
      </c>
      <c r="DA168" s="3">
        <v>6760.06</v>
      </c>
      <c r="DB168" s="3">
        <v>6732.54</v>
      </c>
      <c r="DC168" s="3">
        <v>6174.47</v>
      </c>
      <c r="DD168" s="3">
        <v>5999.64</v>
      </c>
      <c r="DE168" s="3">
        <v>5771.87</v>
      </c>
      <c r="DF168" s="3">
        <v>7602.11</v>
      </c>
      <c r="DG168" s="3">
        <v>9137.0400000000009</v>
      </c>
      <c r="DH168" s="3">
        <v>9753.57</v>
      </c>
      <c r="DI168" s="3">
        <v>9911.01</v>
      </c>
      <c r="DJ168" s="3">
        <v>10033.4</v>
      </c>
      <c r="DK168" s="3">
        <v>9730.68</v>
      </c>
      <c r="DL168" s="3">
        <v>9608.48</v>
      </c>
      <c r="DM168" s="3">
        <v>9765.57</v>
      </c>
      <c r="DN168" s="3">
        <v>9673.94</v>
      </c>
      <c r="DO168" s="3">
        <v>1633.88</v>
      </c>
      <c r="DP168" s="3">
        <v>699.5</v>
      </c>
      <c r="DQ168" s="3">
        <v>201.922</v>
      </c>
      <c r="DR168" s="3">
        <v>-133.553</v>
      </c>
      <c r="DS168" s="3">
        <v>-208.249</v>
      </c>
      <c r="DT168" s="3">
        <v>-143.02600000000001</v>
      </c>
      <c r="DU168" s="3">
        <v>-233.166</v>
      </c>
      <c r="DV168" s="3">
        <v>410.298</v>
      </c>
      <c r="DW168" s="3">
        <v>1670.27</v>
      </c>
      <c r="DX168" s="3">
        <v>1804.54</v>
      </c>
      <c r="DY168" s="3">
        <v>1279.25</v>
      </c>
      <c r="DZ168" s="3">
        <v>1655.79</v>
      </c>
      <c r="EA168" s="3">
        <v>1927.54</v>
      </c>
      <c r="EB168" s="3">
        <v>2165.0700000000002</v>
      </c>
      <c r="EC168" s="3">
        <v>2380.42</v>
      </c>
      <c r="ED168" s="3">
        <v>2329.42</v>
      </c>
      <c r="EE168" s="3">
        <v>2522.7399999999998</v>
      </c>
      <c r="EF168" s="3">
        <v>1966.21</v>
      </c>
      <c r="EG168" s="3">
        <v>1251.27</v>
      </c>
      <c r="EH168" s="3">
        <v>1278.82</v>
      </c>
      <c r="EI168" s="3">
        <v>-2591.1999999999998</v>
      </c>
      <c r="EJ168" s="3">
        <v>-2411.15</v>
      </c>
      <c r="EK168" s="3">
        <v>-1937</v>
      </c>
      <c r="EL168" s="3">
        <v>-1448.36</v>
      </c>
      <c r="EM168" s="3">
        <v>-1313.33</v>
      </c>
      <c r="EN168" s="3">
        <v>-1296.55</v>
      </c>
      <c r="EO168" s="3">
        <v>-1526.24</v>
      </c>
      <c r="EP168" s="3">
        <v>-2142.2600000000002</v>
      </c>
      <c r="EQ168" s="3">
        <v>-1989.57</v>
      </c>
      <c r="ER168" s="3">
        <v>-1570.05</v>
      </c>
      <c r="ES168" s="3">
        <v>-1435.94</v>
      </c>
      <c r="ET168" s="3">
        <v>-1437.66</v>
      </c>
      <c r="EU168" s="3">
        <v>-1632.25</v>
      </c>
      <c r="EV168" s="3">
        <v>-1783.73</v>
      </c>
      <c r="EW168" s="3">
        <v>-1738.34</v>
      </c>
      <c r="EX168" s="3">
        <v>-1529.78</v>
      </c>
      <c r="EY168" s="3">
        <v>-1253.32</v>
      </c>
      <c r="EZ168" s="3">
        <v>-797.73099999999999</v>
      </c>
      <c r="FA168" s="3">
        <v>-984.20600000000002</v>
      </c>
      <c r="FB168" s="3">
        <v>-1737.36</v>
      </c>
      <c r="FC168" s="3">
        <v>-209.452</v>
      </c>
      <c r="FD168" s="3">
        <v>-654.6</v>
      </c>
      <c r="FE168" s="3">
        <v>-63.740600000000001</v>
      </c>
      <c r="FF168" s="3">
        <v>-310.18400000000003</v>
      </c>
      <c r="FG168" s="3">
        <v>237.75399999999999</v>
      </c>
      <c r="FH168" s="3">
        <v>682.69100000000003</v>
      </c>
      <c r="FI168" s="3">
        <v>-8058.96</v>
      </c>
      <c r="FJ168" s="3">
        <v>-1149</v>
      </c>
      <c r="FK168" s="3">
        <v>1642.06</v>
      </c>
      <c r="FL168" s="3">
        <v>0</v>
      </c>
      <c r="FM168" s="3"/>
    </row>
    <row r="169" spans="1:169" x14ac:dyDescent="0.3">
      <c r="A169" s="2">
        <v>161</v>
      </c>
      <c r="B169" s="5">
        <v>28</v>
      </c>
      <c r="C169" s="6">
        <v>3501798</v>
      </c>
      <c r="D169" s="6" t="s">
        <v>219</v>
      </c>
      <c r="E169" s="6">
        <v>3901020</v>
      </c>
      <c r="F169" s="6">
        <v>3901021</v>
      </c>
      <c r="G169" s="6">
        <v>0</v>
      </c>
      <c r="H169" s="6">
        <v>0</v>
      </c>
      <c r="I169" s="6">
        <v>51.48</v>
      </c>
      <c r="J169" s="6" t="s">
        <v>169</v>
      </c>
      <c r="K169" s="6" t="s">
        <v>170</v>
      </c>
      <c r="L169" s="7" t="s">
        <v>171</v>
      </c>
      <c r="M169" s="7" t="s">
        <v>172</v>
      </c>
      <c r="N169" s="8" t="s">
        <v>1875</v>
      </c>
      <c r="O169" s="5">
        <v>-11555.3</v>
      </c>
      <c r="P169" s="6">
        <v>23421</v>
      </c>
      <c r="Q169" s="6">
        <v>533.37099999999998</v>
      </c>
      <c r="R169" s="12">
        <v>0</v>
      </c>
      <c r="S169" s="4" t="s">
        <v>1876</v>
      </c>
      <c r="T169" s="4" t="s">
        <v>1877</v>
      </c>
      <c r="U169" s="4" t="s">
        <v>1878</v>
      </c>
      <c r="V169" s="4" t="s">
        <v>1879</v>
      </c>
      <c r="W169" s="4" t="s">
        <v>1880</v>
      </c>
      <c r="X169" s="4" t="s">
        <v>1881</v>
      </c>
      <c r="Y169" s="4" t="s">
        <v>1882</v>
      </c>
      <c r="Z169" s="4" t="s">
        <v>1883</v>
      </c>
      <c r="AA169" s="4" t="s">
        <v>1884</v>
      </c>
      <c r="AB169" s="4" t="s">
        <v>1885</v>
      </c>
      <c r="AC169" s="4" t="s">
        <v>1886</v>
      </c>
      <c r="AD169" s="4" t="s">
        <v>1887</v>
      </c>
      <c r="AE169" s="4" t="s">
        <v>1888</v>
      </c>
      <c r="AF169" s="4" t="s">
        <v>1889</v>
      </c>
      <c r="AG169" s="4" t="s">
        <v>1890</v>
      </c>
      <c r="AH169" s="4" t="s">
        <v>1891</v>
      </c>
      <c r="AI169" s="4" t="s">
        <v>1892</v>
      </c>
      <c r="AJ169" s="4" t="s">
        <v>1893</v>
      </c>
      <c r="AK169" s="4" t="s">
        <v>1894</v>
      </c>
      <c r="AL169" s="4" t="s">
        <v>1895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/>
    </row>
    <row r="170" spans="1:169" x14ac:dyDescent="0.3">
      <c r="A170" s="2">
        <v>162</v>
      </c>
      <c r="B170" s="5">
        <v>28</v>
      </c>
      <c r="C170" s="6">
        <v>3501798</v>
      </c>
      <c r="D170" s="6" t="s">
        <v>219</v>
      </c>
      <c r="E170" s="6">
        <v>3901020</v>
      </c>
      <c r="F170" s="6">
        <v>3901021</v>
      </c>
      <c r="G170" s="6">
        <v>0</v>
      </c>
      <c r="H170" s="6">
        <v>0</v>
      </c>
      <c r="I170" s="6">
        <v>51.48</v>
      </c>
      <c r="J170" s="6" t="s">
        <v>194</v>
      </c>
      <c r="K170" s="6" t="s">
        <v>195</v>
      </c>
      <c r="L170" s="7" t="s">
        <v>196</v>
      </c>
      <c r="M170" s="7" t="s">
        <v>172</v>
      </c>
      <c r="N170" s="8" t="s">
        <v>1875</v>
      </c>
      <c r="O170" s="5">
        <v>12862.7</v>
      </c>
      <c r="P170" s="6">
        <v>-18487.400000000001</v>
      </c>
      <c r="Q170" s="6">
        <v>-852.24</v>
      </c>
      <c r="R170" s="12">
        <v>8283.4699999999993</v>
      </c>
      <c r="S170" s="4" t="s">
        <v>1876</v>
      </c>
      <c r="T170" s="4" t="s">
        <v>1877</v>
      </c>
      <c r="U170" s="4" t="s">
        <v>1878</v>
      </c>
      <c r="V170" s="4" t="s">
        <v>1879</v>
      </c>
      <c r="W170" s="4" t="s">
        <v>1880</v>
      </c>
      <c r="X170" s="4" t="s">
        <v>1881</v>
      </c>
      <c r="Y170" s="4" t="s">
        <v>1882</v>
      </c>
      <c r="Z170" s="4" t="s">
        <v>1883</v>
      </c>
      <c r="AA170" s="4" t="s">
        <v>1884</v>
      </c>
      <c r="AB170" s="4" t="s">
        <v>1885</v>
      </c>
      <c r="AC170" s="4" t="s">
        <v>1886</v>
      </c>
      <c r="AD170" s="4" t="s">
        <v>1887</v>
      </c>
      <c r="AE170" s="4" t="s">
        <v>1888</v>
      </c>
      <c r="AF170" s="4" t="s">
        <v>1889</v>
      </c>
      <c r="AG170" s="4" t="s">
        <v>1890</v>
      </c>
      <c r="AH170" s="4" t="s">
        <v>1891</v>
      </c>
      <c r="AI170" s="4" t="s">
        <v>1892</v>
      </c>
      <c r="AJ170" s="4" t="s">
        <v>1893</v>
      </c>
      <c r="AK170" s="4" t="s">
        <v>1894</v>
      </c>
      <c r="AL170" s="4" t="s">
        <v>1895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/>
    </row>
    <row r="171" spans="1:169" x14ac:dyDescent="0.3">
      <c r="A171" s="2">
        <v>163</v>
      </c>
      <c r="B171" s="5">
        <v>29</v>
      </c>
      <c r="C171" s="6">
        <v>2500871</v>
      </c>
      <c r="D171" s="6" t="s">
        <v>168</v>
      </c>
      <c r="E171" s="6">
        <v>2902020</v>
      </c>
      <c r="F171" s="6">
        <v>2902020</v>
      </c>
      <c r="G171" s="6">
        <v>0</v>
      </c>
      <c r="H171" s="6">
        <v>0</v>
      </c>
      <c r="I171" s="6">
        <v>51.48</v>
      </c>
      <c r="J171" s="6" t="s">
        <v>169</v>
      </c>
      <c r="K171" s="6" t="s">
        <v>170</v>
      </c>
      <c r="L171" s="7" t="s">
        <v>171</v>
      </c>
      <c r="M171" s="7" t="s">
        <v>172</v>
      </c>
      <c r="N171" s="8" t="s">
        <v>1896</v>
      </c>
      <c r="O171" s="5">
        <v>-7811.97</v>
      </c>
      <c r="P171" s="6">
        <v>2620.85</v>
      </c>
      <c r="Q171" s="6">
        <v>-817.25</v>
      </c>
      <c r="R171" s="12">
        <v>66780</v>
      </c>
      <c r="S171" s="4" t="s">
        <v>1897</v>
      </c>
      <c r="T171" s="4" t="s">
        <v>1898</v>
      </c>
      <c r="U171" s="4" t="s">
        <v>1899</v>
      </c>
      <c r="V171" s="4" t="s">
        <v>1900</v>
      </c>
      <c r="W171" s="4" t="s">
        <v>1901</v>
      </c>
      <c r="X171" s="4" t="s">
        <v>1902</v>
      </c>
      <c r="Y171" s="4" t="s">
        <v>1903</v>
      </c>
      <c r="Z171" s="4" t="s">
        <v>1904</v>
      </c>
      <c r="AA171" s="4" t="s">
        <v>1905</v>
      </c>
      <c r="AB171" s="4" t="s">
        <v>1906</v>
      </c>
      <c r="AC171" s="4" t="s">
        <v>1907</v>
      </c>
      <c r="AD171" s="4" t="s">
        <v>1908</v>
      </c>
      <c r="AE171" s="4" t="s">
        <v>1909</v>
      </c>
      <c r="AF171" s="4" t="s">
        <v>1910</v>
      </c>
      <c r="AG171" s="4" t="s">
        <v>1911</v>
      </c>
      <c r="AH171" s="4" t="s">
        <v>1912</v>
      </c>
      <c r="AI171" s="4" t="s">
        <v>1913</v>
      </c>
      <c r="AJ171" s="4" t="s">
        <v>1914</v>
      </c>
      <c r="AK171" s="4" t="s">
        <v>1915</v>
      </c>
      <c r="AL171" s="4" t="s">
        <v>1916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/>
    </row>
    <row r="172" spans="1:169" x14ac:dyDescent="0.3">
      <c r="A172" s="2">
        <v>164</v>
      </c>
      <c r="B172" s="5">
        <v>29</v>
      </c>
      <c r="C172" s="6">
        <v>2500871</v>
      </c>
      <c r="D172" s="6" t="s">
        <v>168</v>
      </c>
      <c r="E172" s="6">
        <v>2902020</v>
      </c>
      <c r="F172" s="6">
        <v>2902020</v>
      </c>
      <c r="G172" s="6">
        <v>0</v>
      </c>
      <c r="H172" s="6">
        <v>0</v>
      </c>
      <c r="I172" s="6">
        <v>51.48</v>
      </c>
      <c r="J172" s="6" t="s">
        <v>194</v>
      </c>
      <c r="K172" s="6" t="s">
        <v>195</v>
      </c>
      <c r="L172" s="7" t="s">
        <v>196</v>
      </c>
      <c r="M172" s="7" t="s">
        <v>172</v>
      </c>
      <c r="N172" s="8" t="s">
        <v>1896</v>
      </c>
      <c r="O172" s="5">
        <v>8158.09</v>
      </c>
      <c r="P172" s="6">
        <v>-884.42200000000003</v>
      </c>
      <c r="Q172" s="6">
        <v>610.23599999999999</v>
      </c>
      <c r="R172" s="12">
        <v>0</v>
      </c>
      <c r="S172" s="4" t="s">
        <v>1897</v>
      </c>
      <c r="T172" s="4" t="s">
        <v>1898</v>
      </c>
      <c r="U172" s="4" t="s">
        <v>1899</v>
      </c>
      <c r="V172" s="4" t="s">
        <v>1900</v>
      </c>
      <c r="W172" s="4" t="s">
        <v>1901</v>
      </c>
      <c r="X172" s="4" t="s">
        <v>1902</v>
      </c>
      <c r="Y172" s="4" t="s">
        <v>1903</v>
      </c>
      <c r="Z172" s="4" t="s">
        <v>1904</v>
      </c>
      <c r="AA172" s="4" t="s">
        <v>1905</v>
      </c>
      <c r="AB172" s="4" t="s">
        <v>1906</v>
      </c>
      <c r="AC172" s="4" t="s">
        <v>1907</v>
      </c>
      <c r="AD172" s="4" t="s">
        <v>1908</v>
      </c>
      <c r="AE172" s="4" t="s">
        <v>1909</v>
      </c>
      <c r="AF172" s="4" t="s">
        <v>1910</v>
      </c>
      <c r="AG172" s="4" t="s">
        <v>1911</v>
      </c>
      <c r="AH172" s="4" t="s">
        <v>1912</v>
      </c>
      <c r="AI172" s="4" t="s">
        <v>1913</v>
      </c>
      <c r="AJ172" s="4" t="s">
        <v>1914</v>
      </c>
      <c r="AK172" s="4" t="s">
        <v>1915</v>
      </c>
      <c r="AL172" s="4" t="s">
        <v>1916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/>
    </row>
    <row r="173" spans="1:169" x14ac:dyDescent="0.3">
      <c r="A173" s="2">
        <v>165</v>
      </c>
      <c r="B173" s="5">
        <v>29</v>
      </c>
      <c r="C173" s="6">
        <v>1501264</v>
      </c>
      <c r="D173" s="6" t="s">
        <v>197</v>
      </c>
      <c r="E173" s="6">
        <v>2902020</v>
      </c>
      <c r="F173" s="6">
        <v>1902022</v>
      </c>
      <c r="G173" s="6">
        <v>3902020</v>
      </c>
      <c r="H173" s="6">
        <v>1902021</v>
      </c>
      <c r="I173" s="6">
        <v>57.914999999999999</v>
      </c>
      <c r="J173" s="6" t="s">
        <v>169</v>
      </c>
      <c r="K173" s="6" t="s">
        <v>170</v>
      </c>
      <c r="L173" s="7" t="s">
        <v>171</v>
      </c>
      <c r="M173" s="7" t="s">
        <v>172</v>
      </c>
      <c r="N173" s="8" t="s">
        <v>1917</v>
      </c>
      <c r="O173" s="5">
        <v>-6819.26</v>
      </c>
      <c r="P173" s="6">
        <v>-575.68499999999995</v>
      </c>
      <c r="Q173" s="6">
        <v>16161.7</v>
      </c>
      <c r="R173" s="12">
        <v>66780</v>
      </c>
      <c r="S173" s="4" t="s">
        <v>1918</v>
      </c>
      <c r="T173" s="4" t="s">
        <v>1919</v>
      </c>
      <c r="U173" s="4" t="s">
        <v>1920</v>
      </c>
      <c r="V173" s="4" t="s">
        <v>1921</v>
      </c>
      <c r="W173" s="4" t="s">
        <v>1922</v>
      </c>
      <c r="X173" s="4" t="s">
        <v>1923</v>
      </c>
      <c r="Y173" s="4" t="s">
        <v>1924</v>
      </c>
      <c r="Z173" s="4" t="s">
        <v>1925</v>
      </c>
      <c r="AA173" s="4" t="s">
        <v>1926</v>
      </c>
      <c r="AB173" s="4" t="s">
        <v>1927</v>
      </c>
      <c r="AC173" s="4" t="s">
        <v>1928</v>
      </c>
      <c r="AD173" s="4" t="s">
        <v>1929</v>
      </c>
      <c r="AE173" s="4" t="s">
        <v>1930</v>
      </c>
      <c r="AF173" s="4" t="s">
        <v>1931</v>
      </c>
      <c r="AG173" s="4" t="s">
        <v>1932</v>
      </c>
      <c r="AH173" s="4" t="s">
        <v>1933</v>
      </c>
      <c r="AI173" s="4" t="s">
        <v>1934</v>
      </c>
      <c r="AJ173" s="4" t="s">
        <v>1935</v>
      </c>
      <c r="AK173" s="4" t="s">
        <v>1936</v>
      </c>
      <c r="AL173" s="4" t="s">
        <v>1937</v>
      </c>
      <c r="AM173" s="3">
        <v>1044.03</v>
      </c>
      <c r="AN173" s="3">
        <v>1081.6500000000001</v>
      </c>
      <c r="AO173" s="3">
        <v>1120.3399999999999</v>
      </c>
      <c r="AP173" s="3">
        <v>1159.29</v>
      </c>
      <c r="AQ173" s="3">
        <v>1158.8499999999999</v>
      </c>
      <c r="AR173" s="3">
        <v>1132.6400000000001</v>
      </c>
      <c r="AS173" s="3">
        <v>1066.03</v>
      </c>
      <c r="AT173" s="3">
        <v>896.94399999999996</v>
      </c>
      <c r="AU173" s="3">
        <v>689.09500000000003</v>
      </c>
      <c r="AV173" s="3">
        <v>465.77499999999998</v>
      </c>
      <c r="AW173" s="3">
        <v>260.70100000000002</v>
      </c>
      <c r="AX173" s="3">
        <v>252.21799999999999</v>
      </c>
      <c r="AY173" s="3">
        <v>242.935</v>
      </c>
      <c r="AZ173" s="3">
        <v>230.76900000000001</v>
      </c>
      <c r="BA173" s="3">
        <v>213.56100000000001</v>
      </c>
      <c r="BB173" s="3">
        <v>190.12200000000001</v>
      </c>
      <c r="BC173" s="3">
        <v>334.08800000000002</v>
      </c>
      <c r="BD173" s="3">
        <v>471.53399999999999</v>
      </c>
      <c r="BE173" s="3">
        <v>646.36900000000003</v>
      </c>
      <c r="BF173" s="3">
        <v>846.08699999999999</v>
      </c>
      <c r="BG173" s="3">
        <v>380.58</v>
      </c>
      <c r="BH173" s="3">
        <v>373.83499999999998</v>
      </c>
      <c r="BI173" s="3">
        <v>369.47300000000001</v>
      </c>
      <c r="BJ173" s="3">
        <v>359.35599999999999</v>
      </c>
      <c r="BK173" s="3">
        <v>341.803</v>
      </c>
      <c r="BL173" s="3">
        <v>323.15899999999999</v>
      </c>
      <c r="BM173" s="3">
        <v>326.71600000000001</v>
      </c>
      <c r="BN173" s="3">
        <v>337.20800000000003</v>
      </c>
      <c r="BO173" s="3">
        <v>356.74599999999998</v>
      </c>
      <c r="BP173" s="3">
        <v>387.33</v>
      </c>
      <c r="BQ173" s="3">
        <v>410.20400000000001</v>
      </c>
      <c r="BR173" s="3">
        <v>402.49</v>
      </c>
      <c r="BS173" s="3">
        <v>386.38400000000001</v>
      </c>
      <c r="BT173" s="3">
        <v>371.32499999999999</v>
      </c>
      <c r="BU173" s="3">
        <v>364.68200000000002</v>
      </c>
      <c r="BV173" s="3">
        <v>366.06299999999999</v>
      </c>
      <c r="BW173" s="3">
        <v>377.041</v>
      </c>
      <c r="BX173" s="3">
        <v>391.065</v>
      </c>
      <c r="BY173" s="3">
        <v>393.89699999999999</v>
      </c>
      <c r="BZ173" s="3">
        <v>385.68799999999999</v>
      </c>
      <c r="CA173" s="3">
        <v>-658.024</v>
      </c>
      <c r="CB173" s="3">
        <v>-656.06299999999999</v>
      </c>
      <c r="CC173" s="3">
        <v>-654.72799999999995</v>
      </c>
      <c r="CD173" s="3">
        <v>-648.22699999999998</v>
      </c>
      <c r="CE173" s="3">
        <v>-628.79</v>
      </c>
      <c r="CF173" s="3">
        <v>-602.524</v>
      </c>
      <c r="CG173" s="3">
        <v>-584.93200000000002</v>
      </c>
      <c r="CH173" s="3">
        <v>-563.10599999999999</v>
      </c>
      <c r="CI173" s="3">
        <v>-567.42700000000002</v>
      </c>
      <c r="CJ173" s="3">
        <v>-567.75400000000002</v>
      </c>
      <c r="CK173" s="3">
        <v>-562.35699999999997</v>
      </c>
      <c r="CL173" s="3">
        <v>-575.4</v>
      </c>
      <c r="CM173" s="3">
        <v>-578.81799999999998</v>
      </c>
      <c r="CN173" s="3">
        <v>-579.09400000000005</v>
      </c>
      <c r="CO173" s="3">
        <v>-573.82399999999996</v>
      </c>
      <c r="CP173" s="3">
        <v>-564.50199999999995</v>
      </c>
      <c r="CQ173" s="3">
        <v>-590.39700000000005</v>
      </c>
      <c r="CR173" s="3">
        <v>-604.79499999999996</v>
      </c>
      <c r="CS173" s="3">
        <v>-607.83699999999999</v>
      </c>
      <c r="CT173" s="3">
        <v>-626.84400000000005</v>
      </c>
      <c r="CU173" s="3">
        <v>-5338.11</v>
      </c>
      <c r="CV173" s="3">
        <v>-5711.34</v>
      </c>
      <c r="CW173" s="3">
        <v>-6492.58</v>
      </c>
      <c r="CX173" s="3">
        <v>-7222.33</v>
      </c>
      <c r="CY173" s="3">
        <v>-7839.8</v>
      </c>
      <c r="CZ173" s="3">
        <v>-8140.16</v>
      </c>
      <c r="DA173" s="3">
        <v>-8296.61</v>
      </c>
      <c r="DB173" s="3">
        <v>-8319.5300000000007</v>
      </c>
      <c r="DC173" s="3">
        <v>-8125.97</v>
      </c>
      <c r="DD173" s="3">
        <v>-8116.55</v>
      </c>
      <c r="DE173" s="3">
        <v>-7737.89</v>
      </c>
      <c r="DF173" s="3">
        <v>-9035.52</v>
      </c>
      <c r="DG173" s="3">
        <v>-9426.52</v>
      </c>
      <c r="DH173" s="3">
        <v>-9145.69</v>
      </c>
      <c r="DI173" s="3">
        <v>-8480.8700000000008</v>
      </c>
      <c r="DJ173" s="3">
        <v>-7677.69</v>
      </c>
      <c r="DK173" s="3">
        <v>-7061.17</v>
      </c>
      <c r="DL173" s="3">
        <v>-6569.44</v>
      </c>
      <c r="DM173" s="3">
        <v>-6256.37</v>
      </c>
      <c r="DN173" s="3">
        <v>-5786.79</v>
      </c>
      <c r="DO173" s="3">
        <v>-1315.51</v>
      </c>
      <c r="DP173" s="3">
        <v>-1233.74</v>
      </c>
      <c r="DQ173" s="3">
        <v>-1128.72</v>
      </c>
      <c r="DR173" s="3">
        <v>-1048.45</v>
      </c>
      <c r="DS173" s="3">
        <v>-1041.72</v>
      </c>
      <c r="DT173" s="3">
        <v>-1051.45</v>
      </c>
      <c r="DU173" s="3">
        <v>-1210.3399999999999</v>
      </c>
      <c r="DV173" s="3">
        <v>-1826</v>
      </c>
      <c r="DW173" s="3">
        <v>-2164.52</v>
      </c>
      <c r="DX173" s="3">
        <v>-1780.91</v>
      </c>
      <c r="DY173" s="3">
        <v>-1711.73</v>
      </c>
      <c r="DZ173" s="3">
        <v>-1996.74</v>
      </c>
      <c r="EA173" s="3">
        <v>-2108.12</v>
      </c>
      <c r="EB173" s="3">
        <v>-2201.89</v>
      </c>
      <c r="EC173" s="3">
        <v>-2142.1799999999998</v>
      </c>
      <c r="ED173" s="3">
        <v>-2037.73</v>
      </c>
      <c r="EE173" s="3">
        <v>-2337.88</v>
      </c>
      <c r="EF173" s="3">
        <v>-2094.4699999999998</v>
      </c>
      <c r="EG173" s="3">
        <v>-1646.86</v>
      </c>
      <c r="EH173" s="3">
        <v>-1454.96</v>
      </c>
      <c r="EI173" s="3">
        <v>1657.06</v>
      </c>
      <c r="EJ173" s="3">
        <v>1840.18</v>
      </c>
      <c r="EK173" s="3">
        <v>2056.9499999999998</v>
      </c>
      <c r="EL173" s="3">
        <v>2432.02</v>
      </c>
      <c r="EM173" s="3">
        <v>2807.34</v>
      </c>
      <c r="EN173" s="3">
        <v>3030.29</v>
      </c>
      <c r="EO173" s="3">
        <v>3052.64</v>
      </c>
      <c r="EP173" s="3">
        <v>2918.79</v>
      </c>
      <c r="EQ173" s="3">
        <v>2201.4299999999998</v>
      </c>
      <c r="ER173" s="3">
        <v>1404.94</v>
      </c>
      <c r="ES173" s="3">
        <v>981.26400000000001</v>
      </c>
      <c r="ET173" s="3">
        <v>1390.17</v>
      </c>
      <c r="EU173" s="3">
        <v>1860.4</v>
      </c>
      <c r="EV173" s="3">
        <v>2121.1799999999998</v>
      </c>
      <c r="EW173" s="3">
        <v>2021.52</v>
      </c>
      <c r="EX173" s="3">
        <v>1708.93</v>
      </c>
      <c r="EY173" s="3">
        <v>1628.12</v>
      </c>
      <c r="EZ173" s="3">
        <v>1348.5</v>
      </c>
      <c r="FA173" s="3">
        <v>1349.04</v>
      </c>
      <c r="FB173" s="3">
        <v>1487.83</v>
      </c>
      <c r="FC173" s="3">
        <v>588.70500000000004</v>
      </c>
      <c r="FD173" s="3">
        <v>751.86500000000001</v>
      </c>
      <c r="FE173" s="3">
        <v>358.03399999999999</v>
      </c>
      <c r="FF173" s="3">
        <v>383.52499999999998</v>
      </c>
      <c r="FG173" s="3">
        <v>-572.33199999999999</v>
      </c>
      <c r="FH173" s="3">
        <v>-641.39300000000003</v>
      </c>
      <c r="FI173" s="3">
        <v>7285.52</v>
      </c>
      <c r="FJ173" s="3">
        <v>1584.83</v>
      </c>
      <c r="FK173" s="3">
        <v>-1944.84</v>
      </c>
      <c r="FL173" s="3">
        <v>0</v>
      </c>
      <c r="FM173" s="3" t="s">
        <v>1601</v>
      </c>
    </row>
    <row r="174" spans="1:169" x14ac:dyDescent="0.3">
      <c r="A174" s="2">
        <v>166</v>
      </c>
      <c r="B174" s="5">
        <v>29</v>
      </c>
      <c r="C174" s="6">
        <v>1501264</v>
      </c>
      <c r="D174" s="6" t="s">
        <v>197</v>
      </c>
      <c r="E174" s="6">
        <v>2902020</v>
      </c>
      <c r="F174" s="6">
        <v>1902022</v>
      </c>
      <c r="G174" s="6">
        <v>3902020</v>
      </c>
      <c r="H174" s="6">
        <v>1902021</v>
      </c>
      <c r="I174" s="6">
        <v>57.914999999999999</v>
      </c>
      <c r="J174" s="6" t="s">
        <v>194</v>
      </c>
      <c r="K174" s="6" t="s">
        <v>195</v>
      </c>
      <c r="L174" s="7" t="s">
        <v>196</v>
      </c>
      <c r="M174" s="7" t="s">
        <v>172</v>
      </c>
      <c r="N174" s="8" t="s">
        <v>1917</v>
      </c>
      <c r="O174" s="5">
        <v>7596.85</v>
      </c>
      <c r="P174" s="6">
        <v>1137.8900000000001</v>
      </c>
      <c r="Q174" s="6">
        <v>-17626.7</v>
      </c>
      <c r="R174" s="12">
        <v>0</v>
      </c>
      <c r="S174" s="4" t="s">
        <v>1918</v>
      </c>
      <c r="T174" s="4" t="s">
        <v>1919</v>
      </c>
      <c r="U174" s="4" t="s">
        <v>1920</v>
      </c>
      <c r="V174" s="4" t="s">
        <v>1921</v>
      </c>
      <c r="W174" s="4" t="s">
        <v>1922</v>
      </c>
      <c r="X174" s="4" t="s">
        <v>1923</v>
      </c>
      <c r="Y174" s="4" t="s">
        <v>1924</v>
      </c>
      <c r="Z174" s="4" t="s">
        <v>1925</v>
      </c>
      <c r="AA174" s="4" t="s">
        <v>1926</v>
      </c>
      <c r="AB174" s="4" t="s">
        <v>1927</v>
      </c>
      <c r="AC174" s="4" t="s">
        <v>1928</v>
      </c>
      <c r="AD174" s="4" t="s">
        <v>1929</v>
      </c>
      <c r="AE174" s="4" t="s">
        <v>1930</v>
      </c>
      <c r="AF174" s="4" t="s">
        <v>1931</v>
      </c>
      <c r="AG174" s="4" t="s">
        <v>1932</v>
      </c>
      <c r="AH174" s="4" t="s">
        <v>1933</v>
      </c>
      <c r="AI174" s="4" t="s">
        <v>1934</v>
      </c>
      <c r="AJ174" s="4" t="s">
        <v>1935</v>
      </c>
      <c r="AK174" s="4" t="s">
        <v>1936</v>
      </c>
      <c r="AL174" s="4" t="s">
        <v>1937</v>
      </c>
      <c r="AM174" s="3">
        <v>-1205.57</v>
      </c>
      <c r="AN174" s="3">
        <v>-1279.81</v>
      </c>
      <c r="AO174" s="3">
        <v>-1360.89</v>
      </c>
      <c r="AP174" s="3">
        <v>-1443.28</v>
      </c>
      <c r="AQ174" s="3">
        <v>-1506.77</v>
      </c>
      <c r="AR174" s="3">
        <v>-1573.36</v>
      </c>
      <c r="AS174" s="3">
        <v>-1546.26</v>
      </c>
      <c r="AT174" s="3">
        <v>-1407.34</v>
      </c>
      <c r="AU174" s="3">
        <v>-1135.55</v>
      </c>
      <c r="AV174" s="3">
        <v>-755.96199999999999</v>
      </c>
      <c r="AW174" s="3">
        <v>-331.34300000000002</v>
      </c>
      <c r="AX174" s="3">
        <v>-257.65600000000001</v>
      </c>
      <c r="AY174" s="3">
        <v>-198.51400000000001</v>
      </c>
      <c r="AZ174" s="3">
        <v>-145.50299999999999</v>
      </c>
      <c r="BA174" s="3">
        <v>-103.19799999999999</v>
      </c>
      <c r="BB174" s="3">
        <v>-61.714199999999998</v>
      </c>
      <c r="BC174" s="3">
        <v>-315.29700000000003</v>
      </c>
      <c r="BD174" s="3">
        <v>-538.34100000000001</v>
      </c>
      <c r="BE174" s="3">
        <v>-774.34500000000003</v>
      </c>
      <c r="BF174" s="3">
        <v>-1004.31</v>
      </c>
      <c r="BG174" s="3">
        <v>-357.86</v>
      </c>
      <c r="BH174" s="3">
        <v>-358.09699999999998</v>
      </c>
      <c r="BI174" s="3">
        <v>-367.65</v>
      </c>
      <c r="BJ174" s="3">
        <v>-380.45400000000001</v>
      </c>
      <c r="BK174" s="3">
        <v>-387.55700000000002</v>
      </c>
      <c r="BL174" s="3">
        <v>-394.029</v>
      </c>
      <c r="BM174" s="3">
        <v>-365.142</v>
      </c>
      <c r="BN174" s="3">
        <v>-299.524</v>
      </c>
      <c r="BO174" s="3">
        <v>-263.15199999999999</v>
      </c>
      <c r="BP174" s="3">
        <v>-260.10500000000002</v>
      </c>
      <c r="BQ174" s="3">
        <v>-263.88600000000002</v>
      </c>
      <c r="BR174" s="3">
        <v>-286.714</v>
      </c>
      <c r="BS174" s="3">
        <v>-300.50400000000002</v>
      </c>
      <c r="BT174" s="3">
        <v>-315.11700000000002</v>
      </c>
      <c r="BU174" s="3">
        <v>-333.04700000000003</v>
      </c>
      <c r="BV174" s="3">
        <v>-355.54199999999997</v>
      </c>
      <c r="BW174" s="3">
        <v>-345.28800000000001</v>
      </c>
      <c r="BX174" s="3">
        <v>-348.87599999999998</v>
      </c>
      <c r="BY174" s="3">
        <v>-349.88400000000001</v>
      </c>
      <c r="BZ174" s="3">
        <v>-348.72899999999998</v>
      </c>
      <c r="CA174" s="3">
        <v>653.26099999999997</v>
      </c>
      <c r="CB174" s="3">
        <v>672.303</v>
      </c>
      <c r="CC174" s="3">
        <v>700.22799999999995</v>
      </c>
      <c r="CD174" s="3">
        <v>731.46400000000006</v>
      </c>
      <c r="CE174" s="3">
        <v>755.62</v>
      </c>
      <c r="CF174" s="3">
        <v>778.87199999999996</v>
      </c>
      <c r="CG174" s="3">
        <v>729.62800000000004</v>
      </c>
      <c r="CH174" s="3">
        <v>606.27</v>
      </c>
      <c r="CI174" s="3">
        <v>499.49299999999999</v>
      </c>
      <c r="CJ174" s="3">
        <v>395.08800000000002</v>
      </c>
      <c r="CK174" s="3">
        <v>305.10399999999998</v>
      </c>
      <c r="CL174" s="3">
        <v>314.62299999999999</v>
      </c>
      <c r="CM174" s="3">
        <v>327.39600000000002</v>
      </c>
      <c r="CN174" s="3">
        <v>349.85300000000001</v>
      </c>
      <c r="CO174" s="3">
        <v>368.45299999999997</v>
      </c>
      <c r="CP174" s="3">
        <v>386.75</v>
      </c>
      <c r="CQ174" s="3">
        <v>433.91</v>
      </c>
      <c r="CR174" s="3">
        <v>481.27499999999998</v>
      </c>
      <c r="CS174" s="3">
        <v>523.59100000000001</v>
      </c>
      <c r="CT174" s="3">
        <v>584.59500000000003</v>
      </c>
      <c r="CU174" s="3">
        <v>6423.77</v>
      </c>
      <c r="CV174" s="3">
        <v>7012.03</v>
      </c>
      <c r="CW174" s="3">
        <v>7955.85</v>
      </c>
      <c r="CX174" s="3">
        <v>8817.85</v>
      </c>
      <c r="CY174" s="3">
        <v>9592.11</v>
      </c>
      <c r="CZ174" s="3">
        <v>10070.5</v>
      </c>
      <c r="DA174" s="3">
        <v>10291.200000000001</v>
      </c>
      <c r="DB174" s="3">
        <v>10450.4</v>
      </c>
      <c r="DC174" s="3">
        <v>10397</v>
      </c>
      <c r="DD174" s="3">
        <v>10547</v>
      </c>
      <c r="DE174" s="3">
        <v>10395</v>
      </c>
      <c r="DF174" s="3">
        <v>11557.7</v>
      </c>
      <c r="DG174" s="3">
        <v>11769.9</v>
      </c>
      <c r="DH174" s="3">
        <v>11259.7</v>
      </c>
      <c r="DI174" s="3">
        <v>10328.6</v>
      </c>
      <c r="DJ174" s="3">
        <v>9247.2999999999993</v>
      </c>
      <c r="DK174" s="3">
        <v>8605.91</v>
      </c>
      <c r="DL174" s="3">
        <v>8032.81</v>
      </c>
      <c r="DM174" s="3">
        <v>7608.04</v>
      </c>
      <c r="DN174" s="3">
        <v>7014.63</v>
      </c>
      <c r="DO174" s="3">
        <v>1344.5</v>
      </c>
      <c r="DP174" s="3">
        <v>1261.44</v>
      </c>
      <c r="DQ174" s="3">
        <v>1142.44</v>
      </c>
      <c r="DR174" s="3">
        <v>1044.6500000000001</v>
      </c>
      <c r="DS174" s="3">
        <v>1017.35</v>
      </c>
      <c r="DT174" s="3">
        <v>1003.95</v>
      </c>
      <c r="DU174" s="3">
        <v>1183.9100000000001</v>
      </c>
      <c r="DV174" s="3">
        <v>1859.45</v>
      </c>
      <c r="DW174" s="3">
        <v>2244.15</v>
      </c>
      <c r="DX174" s="3">
        <v>1856.16</v>
      </c>
      <c r="DY174" s="3">
        <v>1739.87</v>
      </c>
      <c r="DZ174" s="3">
        <v>2139.5</v>
      </c>
      <c r="EA174" s="3">
        <v>2342.4</v>
      </c>
      <c r="EB174" s="3">
        <v>2518.89</v>
      </c>
      <c r="EC174" s="3">
        <v>2516.87</v>
      </c>
      <c r="ED174" s="3">
        <v>2453.09</v>
      </c>
      <c r="EE174" s="3">
        <v>2719.07</v>
      </c>
      <c r="EF174" s="3">
        <v>2453.4499999999998</v>
      </c>
      <c r="EG174" s="3">
        <v>1928.96</v>
      </c>
      <c r="EH174" s="3">
        <v>1607.87</v>
      </c>
      <c r="EI174" s="3">
        <v>-1702.86</v>
      </c>
      <c r="EJ174" s="3">
        <v>-1952.58</v>
      </c>
      <c r="EK174" s="3">
        <v>-2256.8200000000002</v>
      </c>
      <c r="EL174" s="3">
        <v>-2715.4</v>
      </c>
      <c r="EM174" s="3">
        <v>-3151.85</v>
      </c>
      <c r="EN174" s="3">
        <v>-3411.08</v>
      </c>
      <c r="EO174" s="3">
        <v>-3398.26</v>
      </c>
      <c r="EP174" s="3">
        <v>-3171.06</v>
      </c>
      <c r="EQ174" s="3">
        <v>-2371.9699999999998</v>
      </c>
      <c r="ER174" s="3">
        <v>-1504.14</v>
      </c>
      <c r="ES174" s="3">
        <v>-979.72400000000005</v>
      </c>
      <c r="ET174" s="3">
        <v>-1266.77</v>
      </c>
      <c r="EU174" s="3">
        <v>-1664.04</v>
      </c>
      <c r="EV174" s="3">
        <v>-1890.79</v>
      </c>
      <c r="EW174" s="3">
        <v>-1787.01</v>
      </c>
      <c r="EX174" s="3">
        <v>-1481.62</v>
      </c>
      <c r="EY174" s="3">
        <v>-1482.22</v>
      </c>
      <c r="EZ174" s="3">
        <v>-1263.55</v>
      </c>
      <c r="FA174" s="3">
        <v>-1301.99</v>
      </c>
      <c r="FB174" s="3">
        <v>-1488.21</v>
      </c>
      <c r="FC174" s="3">
        <v>-649.92999999999995</v>
      </c>
      <c r="FD174" s="3">
        <v>-1124.97</v>
      </c>
      <c r="FE174" s="3">
        <v>-309.13499999999999</v>
      </c>
      <c r="FF174" s="3">
        <v>-374.27499999999998</v>
      </c>
      <c r="FG174" s="3">
        <v>342.03</v>
      </c>
      <c r="FH174" s="3">
        <v>715.29200000000003</v>
      </c>
      <c r="FI174" s="3">
        <v>-9090.2999999999993</v>
      </c>
      <c r="FJ174" s="3">
        <v>-1710.41</v>
      </c>
      <c r="FK174" s="3">
        <v>1992.38</v>
      </c>
      <c r="FL174" s="3">
        <v>2.6746700000000002E-2</v>
      </c>
      <c r="FM174" s="3" t="s">
        <v>1601</v>
      </c>
    </row>
    <row r="175" spans="1:169" x14ac:dyDescent="0.3">
      <c r="A175" s="2">
        <v>167</v>
      </c>
      <c r="B175" s="5">
        <v>29</v>
      </c>
      <c r="C175" s="6">
        <v>3502536</v>
      </c>
      <c r="D175" s="6" t="s">
        <v>219</v>
      </c>
      <c r="E175" s="6">
        <v>3902020</v>
      </c>
      <c r="F175" s="6">
        <v>3902022</v>
      </c>
      <c r="G175" s="6">
        <v>5902020</v>
      </c>
      <c r="H175" s="6">
        <v>3902023</v>
      </c>
      <c r="I175" s="6">
        <v>51.48</v>
      </c>
      <c r="J175" s="6" t="s">
        <v>169</v>
      </c>
      <c r="K175" s="6" t="s">
        <v>170</v>
      </c>
      <c r="L175" s="7" t="s">
        <v>171</v>
      </c>
      <c r="M175" s="7" t="s">
        <v>172</v>
      </c>
      <c r="N175" s="8" t="s">
        <v>1938</v>
      </c>
      <c r="O175" s="5">
        <v>-20076.7</v>
      </c>
      <c r="P175" s="6">
        <v>56233.5</v>
      </c>
      <c r="Q175" s="6">
        <v>2022.8</v>
      </c>
      <c r="R175" s="12">
        <v>66780</v>
      </c>
      <c r="S175" s="4" t="s">
        <v>1939</v>
      </c>
      <c r="T175" s="4" t="s">
        <v>1940</v>
      </c>
      <c r="U175" s="4" t="s">
        <v>1941</v>
      </c>
      <c r="V175" s="4" t="s">
        <v>1942</v>
      </c>
      <c r="W175" s="4" t="s">
        <v>1943</v>
      </c>
      <c r="X175" s="4" t="s">
        <v>1944</v>
      </c>
      <c r="Y175" s="4" t="s">
        <v>1945</v>
      </c>
      <c r="Z175" s="4" t="s">
        <v>1946</v>
      </c>
      <c r="AA175" s="4" t="s">
        <v>1947</v>
      </c>
      <c r="AB175" s="4" t="s">
        <v>1948</v>
      </c>
      <c r="AC175" s="4" t="s">
        <v>1949</v>
      </c>
      <c r="AD175" s="4" t="s">
        <v>1950</v>
      </c>
      <c r="AE175" s="4" t="s">
        <v>1951</v>
      </c>
      <c r="AF175" s="4" t="s">
        <v>1952</v>
      </c>
      <c r="AG175" s="4" t="s">
        <v>1953</v>
      </c>
      <c r="AH175" s="4" t="s">
        <v>1954</v>
      </c>
      <c r="AI175" s="4" t="s">
        <v>1955</v>
      </c>
      <c r="AJ175" s="4" t="s">
        <v>1956</v>
      </c>
      <c r="AK175" s="4" t="s">
        <v>1957</v>
      </c>
      <c r="AL175" s="4" t="s">
        <v>1958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/>
    </row>
    <row r="176" spans="1:169" x14ac:dyDescent="0.3">
      <c r="A176" s="2">
        <v>168</v>
      </c>
      <c r="B176" s="5">
        <v>29</v>
      </c>
      <c r="C176" s="6">
        <v>3502536</v>
      </c>
      <c r="D176" s="6" t="s">
        <v>219</v>
      </c>
      <c r="E176" s="6">
        <v>3902020</v>
      </c>
      <c r="F176" s="6">
        <v>3902022</v>
      </c>
      <c r="G176" s="6">
        <v>5902020</v>
      </c>
      <c r="H176" s="6">
        <v>3902023</v>
      </c>
      <c r="I176" s="6">
        <v>51.48</v>
      </c>
      <c r="J176" s="6" t="s">
        <v>194</v>
      </c>
      <c r="K176" s="6" t="s">
        <v>195</v>
      </c>
      <c r="L176" s="7" t="s">
        <v>196</v>
      </c>
      <c r="M176" s="7" t="s">
        <v>172</v>
      </c>
      <c r="N176" s="8" t="s">
        <v>1938</v>
      </c>
      <c r="O176" s="5">
        <v>20811.5</v>
      </c>
      <c r="P176" s="6">
        <v>-59886.8</v>
      </c>
      <c r="Q176" s="6">
        <v>-2973.97</v>
      </c>
      <c r="R176" s="12">
        <v>0</v>
      </c>
      <c r="S176" s="4" t="s">
        <v>1939</v>
      </c>
      <c r="T176" s="4" t="s">
        <v>1940</v>
      </c>
      <c r="U176" s="4" t="s">
        <v>1941</v>
      </c>
      <c r="V176" s="4" t="s">
        <v>1942</v>
      </c>
      <c r="W176" s="4" t="s">
        <v>1943</v>
      </c>
      <c r="X176" s="4" t="s">
        <v>1944</v>
      </c>
      <c r="Y176" s="4" t="s">
        <v>1945</v>
      </c>
      <c r="Z176" s="4" t="s">
        <v>1946</v>
      </c>
      <c r="AA176" s="4" t="s">
        <v>1947</v>
      </c>
      <c r="AB176" s="4" t="s">
        <v>1948</v>
      </c>
      <c r="AC176" s="4" t="s">
        <v>1949</v>
      </c>
      <c r="AD176" s="4" t="s">
        <v>1950</v>
      </c>
      <c r="AE176" s="4" t="s">
        <v>1951</v>
      </c>
      <c r="AF176" s="4" t="s">
        <v>1952</v>
      </c>
      <c r="AG176" s="4" t="s">
        <v>1953</v>
      </c>
      <c r="AH176" s="4" t="s">
        <v>1954</v>
      </c>
      <c r="AI176" s="4" t="s">
        <v>1955</v>
      </c>
      <c r="AJ176" s="4" t="s">
        <v>1956</v>
      </c>
      <c r="AK176" s="4" t="s">
        <v>1957</v>
      </c>
      <c r="AL176" s="4" t="s">
        <v>1958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/>
    </row>
    <row r="177" spans="1:169" x14ac:dyDescent="0.3">
      <c r="A177" s="2">
        <v>169</v>
      </c>
      <c r="B177" s="5">
        <v>29</v>
      </c>
      <c r="C177" s="6">
        <v>611705</v>
      </c>
      <c r="D177" s="6" t="s">
        <v>1959</v>
      </c>
      <c r="E177" s="6">
        <v>5902020</v>
      </c>
      <c r="F177" s="6">
        <v>610733</v>
      </c>
      <c r="G177" s="6">
        <v>0</v>
      </c>
      <c r="H177" s="6">
        <v>0</v>
      </c>
      <c r="I177" s="6">
        <v>51.48</v>
      </c>
      <c r="J177" s="6" t="s">
        <v>169</v>
      </c>
      <c r="K177" s="6" t="s">
        <v>170</v>
      </c>
      <c r="L177" s="7" t="s">
        <v>171</v>
      </c>
      <c r="M177" s="7" t="s">
        <v>172</v>
      </c>
      <c r="N177" s="8" t="s">
        <v>1960</v>
      </c>
      <c r="O177" s="5">
        <v>67483.399999999994</v>
      </c>
      <c r="P177" s="6">
        <v>14431.4</v>
      </c>
      <c r="Q177" s="6">
        <v>-20215</v>
      </c>
      <c r="R177" s="12">
        <v>66780</v>
      </c>
      <c r="S177" s="4" t="s">
        <v>1961</v>
      </c>
      <c r="T177" s="4" t="s">
        <v>1962</v>
      </c>
      <c r="U177" s="4" t="s">
        <v>1963</v>
      </c>
      <c r="V177" s="4" t="s">
        <v>1964</v>
      </c>
      <c r="W177" s="4" t="s">
        <v>1965</v>
      </c>
      <c r="X177" s="4" t="s">
        <v>1966</v>
      </c>
      <c r="Y177" s="4" t="s">
        <v>1967</v>
      </c>
      <c r="Z177" s="4" t="s">
        <v>1968</v>
      </c>
      <c r="AA177" s="4" t="s">
        <v>1969</v>
      </c>
      <c r="AB177" s="4" t="s">
        <v>1970</v>
      </c>
      <c r="AC177" s="4" t="s">
        <v>1971</v>
      </c>
      <c r="AD177" s="4" t="s">
        <v>1972</v>
      </c>
      <c r="AE177" s="4" t="s">
        <v>1973</v>
      </c>
      <c r="AF177" s="4" t="s">
        <v>1974</v>
      </c>
      <c r="AG177" s="4" t="s">
        <v>1975</v>
      </c>
      <c r="AH177" s="4" t="s">
        <v>1976</v>
      </c>
      <c r="AI177" s="4" t="s">
        <v>1977</v>
      </c>
      <c r="AJ177" s="4" t="s">
        <v>1978</v>
      </c>
      <c r="AK177" s="4" t="s">
        <v>1979</v>
      </c>
      <c r="AL177" s="4" t="s">
        <v>1980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 t="s">
        <v>1178</v>
      </c>
    </row>
    <row r="178" spans="1:169" x14ac:dyDescent="0.3">
      <c r="A178" s="2">
        <v>170</v>
      </c>
      <c r="B178" s="5">
        <v>29</v>
      </c>
      <c r="C178" s="6">
        <v>611705</v>
      </c>
      <c r="D178" s="6" t="s">
        <v>1959</v>
      </c>
      <c r="E178" s="6">
        <v>5902020</v>
      </c>
      <c r="F178" s="6">
        <v>610733</v>
      </c>
      <c r="G178" s="6">
        <v>0</v>
      </c>
      <c r="H178" s="6">
        <v>0</v>
      </c>
      <c r="I178" s="6">
        <v>51.48</v>
      </c>
      <c r="J178" s="6" t="s">
        <v>194</v>
      </c>
      <c r="K178" s="6" t="s">
        <v>195</v>
      </c>
      <c r="L178" s="7" t="s">
        <v>196</v>
      </c>
      <c r="M178" s="7" t="s">
        <v>172</v>
      </c>
      <c r="N178" s="8" t="s">
        <v>1960</v>
      </c>
      <c r="O178" s="5">
        <v>-70005.5</v>
      </c>
      <c r="P178" s="6">
        <v>-14920.3</v>
      </c>
      <c r="Q178" s="6">
        <v>22463.4</v>
      </c>
      <c r="R178" s="12">
        <v>0</v>
      </c>
      <c r="S178" s="4" t="s">
        <v>1961</v>
      </c>
      <c r="T178" s="4" t="s">
        <v>1962</v>
      </c>
      <c r="U178" s="4" t="s">
        <v>1963</v>
      </c>
      <c r="V178" s="4" t="s">
        <v>1964</v>
      </c>
      <c r="W178" s="4" t="s">
        <v>1965</v>
      </c>
      <c r="X178" s="4" t="s">
        <v>1966</v>
      </c>
      <c r="Y178" s="4" t="s">
        <v>1967</v>
      </c>
      <c r="Z178" s="4" t="s">
        <v>1968</v>
      </c>
      <c r="AA178" s="4" t="s">
        <v>1969</v>
      </c>
      <c r="AB178" s="4" t="s">
        <v>1970</v>
      </c>
      <c r="AC178" s="4" t="s">
        <v>1971</v>
      </c>
      <c r="AD178" s="4" t="s">
        <v>1972</v>
      </c>
      <c r="AE178" s="4" t="s">
        <v>1973</v>
      </c>
      <c r="AF178" s="4" t="s">
        <v>1974</v>
      </c>
      <c r="AG178" s="4" t="s">
        <v>1975</v>
      </c>
      <c r="AH178" s="4" t="s">
        <v>1976</v>
      </c>
      <c r="AI178" s="4" t="s">
        <v>1977</v>
      </c>
      <c r="AJ178" s="4" t="s">
        <v>1978</v>
      </c>
      <c r="AK178" s="4" t="s">
        <v>1979</v>
      </c>
      <c r="AL178" s="4" t="s">
        <v>1980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 t="s">
        <v>1178</v>
      </c>
    </row>
    <row r="179" spans="1:169" x14ac:dyDescent="0.3">
      <c r="A179" s="2">
        <v>171</v>
      </c>
      <c r="B179" s="5">
        <v>30</v>
      </c>
      <c r="C179" s="6">
        <v>2500618</v>
      </c>
      <c r="D179" s="6" t="s">
        <v>168</v>
      </c>
      <c r="E179" s="6">
        <v>2904020</v>
      </c>
      <c r="F179" s="6">
        <v>2904020</v>
      </c>
      <c r="G179" s="6">
        <v>0</v>
      </c>
      <c r="H179" s="6">
        <v>0</v>
      </c>
      <c r="I179" s="6">
        <v>51.48</v>
      </c>
      <c r="J179" s="6" t="s">
        <v>169</v>
      </c>
      <c r="K179" s="6" t="s">
        <v>170</v>
      </c>
      <c r="L179" s="7" t="s">
        <v>171</v>
      </c>
      <c r="M179" s="7" t="s">
        <v>172</v>
      </c>
      <c r="N179" s="8" t="s">
        <v>1981</v>
      </c>
      <c r="O179" s="5">
        <v>17596.400000000001</v>
      </c>
      <c r="P179" s="6">
        <v>1175.25</v>
      </c>
      <c r="Q179" s="6">
        <v>1060.6400000000001</v>
      </c>
      <c r="R179" s="12">
        <v>17245.2</v>
      </c>
      <c r="S179" s="4" t="s">
        <v>1982</v>
      </c>
      <c r="T179" s="4" t="s">
        <v>1983</v>
      </c>
      <c r="U179" s="4" t="s">
        <v>1984</v>
      </c>
      <c r="V179" s="4" t="s">
        <v>1985</v>
      </c>
      <c r="W179" s="4" t="s">
        <v>1986</v>
      </c>
      <c r="X179" s="4" t="s">
        <v>1987</v>
      </c>
      <c r="Y179" s="4" t="s">
        <v>1988</v>
      </c>
      <c r="Z179" s="4" t="s">
        <v>1989</v>
      </c>
      <c r="AA179" s="4" t="s">
        <v>1990</v>
      </c>
      <c r="AB179" s="4" t="s">
        <v>1991</v>
      </c>
      <c r="AC179" s="4" t="s">
        <v>1992</v>
      </c>
      <c r="AD179" s="4" t="s">
        <v>1993</v>
      </c>
      <c r="AE179" s="4" t="s">
        <v>1994</v>
      </c>
      <c r="AF179" s="4" t="s">
        <v>1995</v>
      </c>
      <c r="AG179" s="4" t="s">
        <v>1996</v>
      </c>
      <c r="AH179" s="4" t="s">
        <v>1997</v>
      </c>
      <c r="AI179" s="4" t="s">
        <v>1998</v>
      </c>
      <c r="AJ179" s="4" t="s">
        <v>1999</v>
      </c>
      <c r="AK179" s="4" t="s">
        <v>2000</v>
      </c>
      <c r="AL179" s="4" t="s">
        <v>2001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/>
    </row>
    <row r="180" spans="1:169" x14ac:dyDescent="0.3">
      <c r="A180" s="2">
        <v>172</v>
      </c>
      <c r="B180" s="5">
        <v>30</v>
      </c>
      <c r="C180" s="6">
        <v>2500618</v>
      </c>
      <c r="D180" s="6" t="s">
        <v>168</v>
      </c>
      <c r="E180" s="6">
        <v>2904020</v>
      </c>
      <c r="F180" s="6">
        <v>2904020</v>
      </c>
      <c r="G180" s="6">
        <v>0</v>
      </c>
      <c r="H180" s="6">
        <v>0</v>
      </c>
      <c r="I180" s="6">
        <v>51.48</v>
      </c>
      <c r="J180" s="6" t="s">
        <v>194</v>
      </c>
      <c r="K180" s="6" t="s">
        <v>195</v>
      </c>
      <c r="L180" s="7" t="s">
        <v>196</v>
      </c>
      <c r="M180" s="7" t="s">
        <v>172</v>
      </c>
      <c r="N180" s="8" t="s">
        <v>1981</v>
      </c>
      <c r="O180" s="5">
        <v>-14731.5</v>
      </c>
      <c r="P180" s="6">
        <v>-288.35899999999998</v>
      </c>
      <c r="Q180" s="6">
        <v>-369.18200000000002</v>
      </c>
      <c r="R180" s="12">
        <v>34608.699999999997</v>
      </c>
      <c r="S180" s="4" t="s">
        <v>1982</v>
      </c>
      <c r="T180" s="4" t="s">
        <v>1983</v>
      </c>
      <c r="U180" s="4" t="s">
        <v>1984</v>
      </c>
      <c r="V180" s="4" t="s">
        <v>1985</v>
      </c>
      <c r="W180" s="4" t="s">
        <v>1986</v>
      </c>
      <c r="X180" s="4" t="s">
        <v>1987</v>
      </c>
      <c r="Y180" s="4" t="s">
        <v>1988</v>
      </c>
      <c r="Z180" s="4" t="s">
        <v>1989</v>
      </c>
      <c r="AA180" s="4" t="s">
        <v>1990</v>
      </c>
      <c r="AB180" s="4" t="s">
        <v>1991</v>
      </c>
      <c r="AC180" s="4" t="s">
        <v>1992</v>
      </c>
      <c r="AD180" s="4" t="s">
        <v>1993</v>
      </c>
      <c r="AE180" s="4" t="s">
        <v>1994</v>
      </c>
      <c r="AF180" s="4" t="s">
        <v>1995</v>
      </c>
      <c r="AG180" s="4" t="s">
        <v>1996</v>
      </c>
      <c r="AH180" s="4" t="s">
        <v>1997</v>
      </c>
      <c r="AI180" s="4" t="s">
        <v>1998</v>
      </c>
      <c r="AJ180" s="4" t="s">
        <v>1999</v>
      </c>
      <c r="AK180" s="4" t="s">
        <v>2000</v>
      </c>
      <c r="AL180" s="4" t="s">
        <v>2001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/>
    </row>
    <row r="181" spans="1:169" x14ac:dyDescent="0.3">
      <c r="A181" s="2">
        <v>173</v>
      </c>
      <c r="B181" s="5">
        <v>30</v>
      </c>
      <c r="C181" s="6">
        <v>1500869</v>
      </c>
      <c r="D181" s="6" t="s">
        <v>197</v>
      </c>
      <c r="E181" s="6">
        <v>2904020</v>
      </c>
      <c r="F181" s="6">
        <v>1904022</v>
      </c>
      <c r="G181" s="6">
        <v>3904020</v>
      </c>
      <c r="H181" s="6">
        <v>1904021</v>
      </c>
      <c r="I181" s="6">
        <v>57.914999999999999</v>
      </c>
      <c r="J181" s="6" t="s">
        <v>169</v>
      </c>
      <c r="K181" s="6" t="s">
        <v>170</v>
      </c>
      <c r="L181" s="7" t="s">
        <v>171</v>
      </c>
      <c r="M181" s="7" t="s">
        <v>172</v>
      </c>
      <c r="N181" s="8" t="s">
        <v>2002</v>
      </c>
      <c r="O181" s="5">
        <v>4158.3999999999996</v>
      </c>
      <c r="P181" s="6">
        <v>5154.46</v>
      </c>
      <c r="Q181" s="6">
        <v>18953</v>
      </c>
      <c r="R181" s="12">
        <v>17245.2</v>
      </c>
      <c r="S181" s="4" t="s">
        <v>2003</v>
      </c>
      <c r="T181" s="4" t="s">
        <v>2004</v>
      </c>
      <c r="U181" s="4" t="s">
        <v>2005</v>
      </c>
      <c r="V181" s="4" t="s">
        <v>2006</v>
      </c>
      <c r="W181" s="4" t="s">
        <v>2007</v>
      </c>
      <c r="X181" s="4" t="s">
        <v>2008</v>
      </c>
      <c r="Y181" s="4" t="s">
        <v>2009</v>
      </c>
      <c r="Z181" s="4" t="s">
        <v>2010</v>
      </c>
      <c r="AA181" s="4" t="s">
        <v>2011</v>
      </c>
      <c r="AB181" s="4" t="s">
        <v>2012</v>
      </c>
      <c r="AC181" s="4" t="s">
        <v>2013</v>
      </c>
      <c r="AD181" s="4" t="s">
        <v>2014</v>
      </c>
      <c r="AE181" s="4" t="s">
        <v>2015</v>
      </c>
      <c r="AF181" s="4" t="s">
        <v>2016</v>
      </c>
      <c r="AG181" s="4" t="s">
        <v>2017</v>
      </c>
      <c r="AH181" s="4" t="s">
        <v>2018</v>
      </c>
      <c r="AI181" s="4" t="s">
        <v>2019</v>
      </c>
      <c r="AJ181" s="4" t="s">
        <v>2020</v>
      </c>
      <c r="AK181" s="4" t="s">
        <v>2021</v>
      </c>
      <c r="AL181" s="4" t="s">
        <v>2022</v>
      </c>
      <c r="AM181" s="3">
        <v>-1140.46</v>
      </c>
      <c r="AN181" s="3">
        <v>-1122.1500000000001</v>
      </c>
      <c r="AO181" s="3">
        <v>-1099.06</v>
      </c>
      <c r="AP181" s="3">
        <v>-1075.45</v>
      </c>
      <c r="AQ181" s="3">
        <v>-1048.81</v>
      </c>
      <c r="AR181" s="3">
        <v>-1017.45</v>
      </c>
      <c r="AS181" s="3">
        <v>-1260.08</v>
      </c>
      <c r="AT181" s="3">
        <v>-1549.54</v>
      </c>
      <c r="AU181" s="3">
        <v>-1844.68</v>
      </c>
      <c r="AV181" s="3">
        <v>-2132.7600000000002</v>
      </c>
      <c r="AW181" s="3">
        <v>-2398.9299999999998</v>
      </c>
      <c r="AX181" s="3">
        <v>-2310.21</v>
      </c>
      <c r="AY181" s="3">
        <v>-2238.7800000000002</v>
      </c>
      <c r="AZ181" s="3">
        <v>-2171.46</v>
      </c>
      <c r="BA181" s="3">
        <v>-2115.8200000000002</v>
      </c>
      <c r="BB181" s="3">
        <v>-2077</v>
      </c>
      <c r="BC181" s="3">
        <v>-1881.76</v>
      </c>
      <c r="BD181" s="3">
        <v>-1684.19</v>
      </c>
      <c r="BE181" s="3">
        <v>-1501.61</v>
      </c>
      <c r="BF181" s="3">
        <v>-1326.88</v>
      </c>
      <c r="BG181" s="3">
        <v>264.84199999999998</v>
      </c>
      <c r="BH181" s="3">
        <v>264.72300000000001</v>
      </c>
      <c r="BI181" s="3">
        <v>266.935</v>
      </c>
      <c r="BJ181" s="3">
        <v>282.37099999999998</v>
      </c>
      <c r="BK181" s="3">
        <v>312.77800000000002</v>
      </c>
      <c r="BL181" s="3">
        <v>353.17099999999999</v>
      </c>
      <c r="BM181" s="3">
        <v>353.35700000000003</v>
      </c>
      <c r="BN181" s="3">
        <v>373.31900000000002</v>
      </c>
      <c r="BO181" s="3">
        <v>392.24400000000003</v>
      </c>
      <c r="BP181" s="3">
        <v>402.38400000000001</v>
      </c>
      <c r="BQ181" s="3">
        <v>396.846</v>
      </c>
      <c r="BR181" s="3">
        <v>367.86500000000001</v>
      </c>
      <c r="BS181" s="3">
        <v>341.12799999999999</v>
      </c>
      <c r="BT181" s="3">
        <v>307.72800000000001</v>
      </c>
      <c r="BU181" s="3">
        <v>275.47699999999998</v>
      </c>
      <c r="BV181" s="3">
        <v>255.13900000000001</v>
      </c>
      <c r="BW181" s="3">
        <v>263.32499999999999</v>
      </c>
      <c r="BX181" s="3">
        <v>262.85199999999998</v>
      </c>
      <c r="BY181" s="3">
        <v>263.654</v>
      </c>
      <c r="BZ181" s="3">
        <v>264.98500000000001</v>
      </c>
      <c r="CA181" s="3">
        <v>-344.55500000000001</v>
      </c>
      <c r="CB181" s="3">
        <v>-347.77300000000002</v>
      </c>
      <c r="CC181" s="3">
        <v>-362.92</v>
      </c>
      <c r="CD181" s="3">
        <v>-387.47199999999998</v>
      </c>
      <c r="CE181" s="3">
        <v>-407.50099999999998</v>
      </c>
      <c r="CF181" s="3">
        <v>-420.22699999999998</v>
      </c>
      <c r="CG181" s="3">
        <v>-379.29500000000002</v>
      </c>
      <c r="CH181" s="3">
        <v>-344.19299999999998</v>
      </c>
      <c r="CI181" s="3">
        <v>-336.053</v>
      </c>
      <c r="CJ181" s="3">
        <v>-378.96699999999998</v>
      </c>
      <c r="CK181" s="3">
        <v>-464.73399999999998</v>
      </c>
      <c r="CL181" s="3">
        <v>-449.43200000000002</v>
      </c>
      <c r="CM181" s="3">
        <v>-423.84899999999999</v>
      </c>
      <c r="CN181" s="3">
        <v>-389.35300000000001</v>
      </c>
      <c r="CO181" s="3">
        <v>-354.84699999999998</v>
      </c>
      <c r="CP181" s="3">
        <v>-331.30099999999999</v>
      </c>
      <c r="CQ181" s="3">
        <v>-309.96600000000001</v>
      </c>
      <c r="CR181" s="3">
        <v>-310.23200000000003</v>
      </c>
      <c r="CS181" s="3">
        <v>-322.62799999999999</v>
      </c>
      <c r="CT181" s="3">
        <v>-333.09399999999999</v>
      </c>
      <c r="CU181" s="3">
        <v>-11443.1</v>
      </c>
      <c r="CV181" s="3">
        <v>-12566</v>
      </c>
      <c r="CW181" s="3">
        <v>-12683.1</v>
      </c>
      <c r="CX181" s="3">
        <v>-11897.1</v>
      </c>
      <c r="CY181" s="3">
        <v>-10743.8</v>
      </c>
      <c r="CZ181" s="3">
        <v>-9586.65</v>
      </c>
      <c r="DA181" s="3">
        <v>-9421.56</v>
      </c>
      <c r="DB181" s="3">
        <v>-9265.5400000000009</v>
      </c>
      <c r="DC181" s="3">
        <v>-9025.5</v>
      </c>
      <c r="DD181" s="3">
        <v>-8878.68</v>
      </c>
      <c r="DE181" s="3">
        <v>-8818.08</v>
      </c>
      <c r="DF181" s="3">
        <v>-10100.6</v>
      </c>
      <c r="DG181" s="3">
        <v>-11622.7</v>
      </c>
      <c r="DH181" s="3">
        <v>-12554.4</v>
      </c>
      <c r="DI181" s="3">
        <v>-12350.4</v>
      </c>
      <c r="DJ181" s="3">
        <v>-10981</v>
      </c>
      <c r="DK181" s="3">
        <v>-11531.2</v>
      </c>
      <c r="DL181" s="3">
        <v>-11838.5</v>
      </c>
      <c r="DM181" s="3">
        <v>-12101.2</v>
      </c>
      <c r="DN181" s="3">
        <v>-11960.2</v>
      </c>
      <c r="DO181" s="3">
        <v>-2475.39</v>
      </c>
      <c r="DP181" s="3">
        <v>-2047.98</v>
      </c>
      <c r="DQ181" s="3">
        <v>-1667.44</v>
      </c>
      <c r="DR181" s="3">
        <v>-1336.99</v>
      </c>
      <c r="DS181" s="3">
        <v>-808.09799999999996</v>
      </c>
      <c r="DT181" s="3">
        <v>-126.90600000000001</v>
      </c>
      <c r="DU181" s="3">
        <v>508.53</v>
      </c>
      <c r="DV181" s="3">
        <v>613.06799999999998</v>
      </c>
      <c r="DW181" s="3">
        <v>-87.140900000000002</v>
      </c>
      <c r="DX181" s="3">
        <v>-1093.03</v>
      </c>
      <c r="DY181" s="3">
        <v>-1808.52</v>
      </c>
      <c r="DZ181" s="3">
        <v>-1955.63</v>
      </c>
      <c r="EA181" s="3">
        <v>-1834.03</v>
      </c>
      <c r="EB181" s="3">
        <v>-1748</v>
      </c>
      <c r="EC181" s="3">
        <v>-1625.73</v>
      </c>
      <c r="ED181" s="3">
        <v>-1550.65</v>
      </c>
      <c r="EE181" s="3">
        <v>-2595.2199999999998</v>
      </c>
      <c r="EF181" s="3">
        <v>-3492.29</v>
      </c>
      <c r="EG181" s="3">
        <v>-3479.1</v>
      </c>
      <c r="EH181" s="3">
        <v>-2828.33</v>
      </c>
      <c r="EI181" s="3">
        <v>-551.60900000000004</v>
      </c>
      <c r="EJ181" s="3">
        <v>-71.774000000000001</v>
      </c>
      <c r="EK181" s="3">
        <v>324.63</v>
      </c>
      <c r="EL181" s="3">
        <v>446.01400000000001</v>
      </c>
      <c r="EM181" s="3">
        <v>330.61099999999999</v>
      </c>
      <c r="EN181" s="3">
        <v>270.779</v>
      </c>
      <c r="EO181" s="3">
        <v>-383.09</v>
      </c>
      <c r="EP181" s="3">
        <v>-1012.7</v>
      </c>
      <c r="EQ181" s="3">
        <v>-1620.15</v>
      </c>
      <c r="ER181" s="3">
        <v>-2236.06</v>
      </c>
      <c r="ES181" s="3">
        <v>-2452.9299999999998</v>
      </c>
      <c r="ET181" s="3">
        <v>-2462.16</v>
      </c>
      <c r="EU181" s="3">
        <v>-2254.35</v>
      </c>
      <c r="EV181" s="3">
        <v>-1777.55</v>
      </c>
      <c r="EW181" s="3">
        <v>-1211.3399999999999</v>
      </c>
      <c r="EX181" s="3">
        <v>-882.45</v>
      </c>
      <c r="EY181" s="3">
        <v>-687.99699999999996</v>
      </c>
      <c r="EZ181" s="3">
        <v>-1023.04</v>
      </c>
      <c r="FA181" s="3">
        <v>-1435.11</v>
      </c>
      <c r="FB181" s="3">
        <v>-1241.74</v>
      </c>
      <c r="FC181" s="3">
        <v>-1601.98</v>
      </c>
      <c r="FD181" s="3">
        <v>-1700.57</v>
      </c>
      <c r="FE181" s="3">
        <v>290.803</v>
      </c>
      <c r="FF181" s="3">
        <v>324.02999999999997</v>
      </c>
      <c r="FG181" s="3">
        <v>-325.29599999999999</v>
      </c>
      <c r="FH181" s="3">
        <v>-402.25299999999999</v>
      </c>
      <c r="FI181" s="3">
        <v>10404.299999999999</v>
      </c>
      <c r="FJ181" s="3">
        <v>1582.11</v>
      </c>
      <c r="FK181" s="3">
        <v>981.17600000000004</v>
      </c>
      <c r="FL181" s="3">
        <v>0</v>
      </c>
      <c r="FM181" s="3"/>
    </row>
    <row r="182" spans="1:169" x14ac:dyDescent="0.3">
      <c r="A182" s="2">
        <v>174</v>
      </c>
      <c r="B182" s="5">
        <v>30</v>
      </c>
      <c r="C182" s="6">
        <v>1500869</v>
      </c>
      <c r="D182" s="6" t="s">
        <v>197</v>
      </c>
      <c r="E182" s="6">
        <v>2904020</v>
      </c>
      <c r="F182" s="6">
        <v>1904022</v>
      </c>
      <c r="G182" s="6">
        <v>3904020</v>
      </c>
      <c r="H182" s="6">
        <v>1904021</v>
      </c>
      <c r="I182" s="6">
        <v>57.914999999999999</v>
      </c>
      <c r="J182" s="6" t="s">
        <v>194</v>
      </c>
      <c r="K182" s="6" t="s">
        <v>195</v>
      </c>
      <c r="L182" s="7" t="s">
        <v>196</v>
      </c>
      <c r="M182" s="7" t="s">
        <v>172</v>
      </c>
      <c r="N182" s="8" t="s">
        <v>2002</v>
      </c>
      <c r="O182" s="5">
        <v>-832.95399999999995</v>
      </c>
      <c r="P182" s="6">
        <v>-5730.46</v>
      </c>
      <c r="Q182" s="6">
        <v>-17947.3</v>
      </c>
      <c r="R182" s="12">
        <v>34608.699999999997</v>
      </c>
      <c r="S182" s="4" t="s">
        <v>2003</v>
      </c>
      <c r="T182" s="4" t="s">
        <v>2004</v>
      </c>
      <c r="U182" s="4" t="s">
        <v>2005</v>
      </c>
      <c r="V182" s="4" t="s">
        <v>2006</v>
      </c>
      <c r="W182" s="4" t="s">
        <v>2007</v>
      </c>
      <c r="X182" s="4" t="s">
        <v>2008</v>
      </c>
      <c r="Y182" s="4" t="s">
        <v>2009</v>
      </c>
      <c r="Z182" s="4" t="s">
        <v>2010</v>
      </c>
      <c r="AA182" s="4" t="s">
        <v>2011</v>
      </c>
      <c r="AB182" s="4" t="s">
        <v>2012</v>
      </c>
      <c r="AC182" s="4" t="s">
        <v>2013</v>
      </c>
      <c r="AD182" s="4" t="s">
        <v>2014</v>
      </c>
      <c r="AE182" s="4" t="s">
        <v>2015</v>
      </c>
      <c r="AF182" s="4" t="s">
        <v>2016</v>
      </c>
      <c r="AG182" s="4" t="s">
        <v>2017</v>
      </c>
      <c r="AH182" s="4" t="s">
        <v>2018</v>
      </c>
      <c r="AI182" s="4" t="s">
        <v>2019</v>
      </c>
      <c r="AJ182" s="4" t="s">
        <v>2020</v>
      </c>
      <c r="AK182" s="4" t="s">
        <v>2021</v>
      </c>
      <c r="AL182" s="4" t="s">
        <v>2022</v>
      </c>
      <c r="AM182" s="3">
        <v>1467.58</v>
      </c>
      <c r="AN182" s="3">
        <v>1539.64</v>
      </c>
      <c r="AO182" s="3">
        <v>1627.17</v>
      </c>
      <c r="AP182" s="3">
        <v>1743.46</v>
      </c>
      <c r="AQ182" s="3">
        <v>1905.41</v>
      </c>
      <c r="AR182" s="3">
        <v>2085.2800000000002</v>
      </c>
      <c r="AS182" s="3">
        <v>1967.94</v>
      </c>
      <c r="AT182" s="3">
        <v>1702.2</v>
      </c>
      <c r="AU182" s="3">
        <v>1364.95</v>
      </c>
      <c r="AV182" s="3">
        <v>1039.82</v>
      </c>
      <c r="AW182" s="3">
        <v>812.47</v>
      </c>
      <c r="AX182" s="3">
        <v>979.56299999999999</v>
      </c>
      <c r="AY182" s="3">
        <v>1116.04</v>
      </c>
      <c r="AZ182" s="3">
        <v>1227.53</v>
      </c>
      <c r="BA182" s="3">
        <v>1317.08</v>
      </c>
      <c r="BB182" s="3">
        <v>1398.93</v>
      </c>
      <c r="BC182" s="3">
        <v>1400.89</v>
      </c>
      <c r="BD182" s="3">
        <v>1433.5</v>
      </c>
      <c r="BE182" s="3">
        <v>1478.81</v>
      </c>
      <c r="BF182" s="3">
        <v>1497.48</v>
      </c>
      <c r="BG182" s="3">
        <v>-338.99299999999999</v>
      </c>
      <c r="BH182" s="3">
        <v>-359.80399999999997</v>
      </c>
      <c r="BI182" s="3">
        <v>-385.84</v>
      </c>
      <c r="BJ182" s="3">
        <v>-426.46</v>
      </c>
      <c r="BK182" s="3">
        <v>-479.61200000000002</v>
      </c>
      <c r="BL182" s="3">
        <v>-524.03099999999995</v>
      </c>
      <c r="BM182" s="3">
        <v>-468.91500000000002</v>
      </c>
      <c r="BN182" s="3">
        <v>-381.77800000000002</v>
      </c>
      <c r="BO182" s="3">
        <v>-276.29399999999998</v>
      </c>
      <c r="BP182" s="3">
        <v>-171.988</v>
      </c>
      <c r="BQ182" s="3">
        <v>-88.344700000000003</v>
      </c>
      <c r="BR182" s="3">
        <v>-65.449100000000001</v>
      </c>
      <c r="BS182" s="3">
        <v>-50.468699999999998</v>
      </c>
      <c r="BT182" s="3">
        <v>-32.130600000000001</v>
      </c>
      <c r="BU182" s="3">
        <v>-14.0967</v>
      </c>
      <c r="BV182" s="3">
        <v>-10.1119</v>
      </c>
      <c r="BW182" s="3">
        <v>-80.209000000000003</v>
      </c>
      <c r="BX182" s="3">
        <v>-153.48400000000001</v>
      </c>
      <c r="BY182" s="3">
        <v>-227.255</v>
      </c>
      <c r="BZ182" s="3">
        <v>-289.80399999999997</v>
      </c>
      <c r="CA182" s="3">
        <v>705.11199999999997</v>
      </c>
      <c r="CB182" s="3">
        <v>754.81600000000003</v>
      </c>
      <c r="CC182" s="3">
        <v>818.25400000000002</v>
      </c>
      <c r="CD182" s="3">
        <v>888.91399999999999</v>
      </c>
      <c r="CE182" s="3">
        <v>953.577</v>
      </c>
      <c r="CF182" s="3">
        <v>1001.41</v>
      </c>
      <c r="CG182" s="3">
        <v>1186.8</v>
      </c>
      <c r="CH182" s="3">
        <v>1297.81</v>
      </c>
      <c r="CI182" s="3">
        <v>1328.16</v>
      </c>
      <c r="CJ182" s="3">
        <v>1266.48</v>
      </c>
      <c r="CK182" s="3">
        <v>1115.81</v>
      </c>
      <c r="CL182" s="3">
        <v>1040.54</v>
      </c>
      <c r="CM182" s="3">
        <v>949.18100000000004</v>
      </c>
      <c r="CN182" s="3">
        <v>847.03200000000004</v>
      </c>
      <c r="CO182" s="3">
        <v>753.18200000000002</v>
      </c>
      <c r="CP182" s="3">
        <v>675.92100000000005</v>
      </c>
      <c r="CQ182" s="3">
        <v>744.17200000000003</v>
      </c>
      <c r="CR182" s="3">
        <v>787.779</v>
      </c>
      <c r="CS182" s="3">
        <v>795.202</v>
      </c>
      <c r="CT182" s="3">
        <v>761.54100000000005</v>
      </c>
      <c r="CU182" s="3">
        <v>11723.5</v>
      </c>
      <c r="CV182" s="3">
        <v>12935.4</v>
      </c>
      <c r="CW182" s="3">
        <v>13286.7</v>
      </c>
      <c r="CX182" s="3">
        <v>12880.8</v>
      </c>
      <c r="CY182" s="3">
        <v>12173.7</v>
      </c>
      <c r="CZ182" s="3">
        <v>11483.2</v>
      </c>
      <c r="DA182" s="3">
        <v>10983</v>
      </c>
      <c r="DB182" s="3">
        <v>10592.8</v>
      </c>
      <c r="DC182" s="3">
        <v>10295.6</v>
      </c>
      <c r="DD182" s="3">
        <v>10298</v>
      </c>
      <c r="DE182" s="3">
        <v>10493.3</v>
      </c>
      <c r="DF182" s="3">
        <v>11643.1</v>
      </c>
      <c r="DG182" s="3">
        <v>12889.9</v>
      </c>
      <c r="DH182" s="3">
        <v>13476.2</v>
      </c>
      <c r="DI182" s="3">
        <v>12949.7</v>
      </c>
      <c r="DJ182" s="3">
        <v>11367.2</v>
      </c>
      <c r="DK182" s="3">
        <v>11747.5</v>
      </c>
      <c r="DL182" s="3">
        <v>11969.5</v>
      </c>
      <c r="DM182" s="3">
        <v>12203.4</v>
      </c>
      <c r="DN182" s="3">
        <v>12115.3</v>
      </c>
      <c r="DO182" s="3">
        <v>2992.24</v>
      </c>
      <c r="DP182" s="3">
        <v>2788.42</v>
      </c>
      <c r="DQ182" s="3">
        <v>2662.03</v>
      </c>
      <c r="DR182" s="3">
        <v>2628.81</v>
      </c>
      <c r="DS182" s="3">
        <v>2500.6999999999998</v>
      </c>
      <c r="DT182" s="3">
        <v>2281.5100000000002</v>
      </c>
      <c r="DU182" s="3">
        <v>1642.07</v>
      </c>
      <c r="DV182" s="3">
        <v>1258.1400000000001</v>
      </c>
      <c r="DW182" s="3">
        <v>1329.5</v>
      </c>
      <c r="DX182" s="3">
        <v>1386.4</v>
      </c>
      <c r="DY182" s="3">
        <v>1121.1099999999999</v>
      </c>
      <c r="DZ182" s="3">
        <v>1374.6</v>
      </c>
      <c r="EA182" s="3">
        <v>1323.36</v>
      </c>
      <c r="EB182" s="3">
        <v>1289.01</v>
      </c>
      <c r="EC182" s="3">
        <v>1197.55</v>
      </c>
      <c r="ED182" s="3">
        <v>1120.06</v>
      </c>
      <c r="EE182" s="3">
        <v>2314.98</v>
      </c>
      <c r="EF182" s="3">
        <v>3310.04</v>
      </c>
      <c r="EG182" s="3">
        <v>3459.61</v>
      </c>
      <c r="EH182" s="3">
        <v>3079.18</v>
      </c>
      <c r="EI182" s="3">
        <v>486.57100000000003</v>
      </c>
      <c r="EJ182" s="3">
        <v>77.722800000000007</v>
      </c>
      <c r="EK182" s="3">
        <v>-225.52799999999999</v>
      </c>
      <c r="EL182" s="3">
        <v>-252.095</v>
      </c>
      <c r="EM182" s="3">
        <v>-36.909300000000002</v>
      </c>
      <c r="EN182" s="3">
        <v>167.67599999999999</v>
      </c>
      <c r="EO182" s="3">
        <v>321.74200000000002</v>
      </c>
      <c r="EP182" s="3">
        <v>356.63299999999998</v>
      </c>
      <c r="EQ182" s="3">
        <v>492.10399999999998</v>
      </c>
      <c r="ER182" s="3">
        <v>849.46600000000001</v>
      </c>
      <c r="ES182" s="3">
        <v>1096.29</v>
      </c>
      <c r="ET182" s="3">
        <v>1360.25</v>
      </c>
      <c r="EU182" s="3">
        <v>1340.83</v>
      </c>
      <c r="EV182" s="3">
        <v>1054.1300000000001</v>
      </c>
      <c r="EW182" s="3">
        <v>669.51300000000003</v>
      </c>
      <c r="EX182" s="3">
        <v>492.55599999999998</v>
      </c>
      <c r="EY182" s="3">
        <v>325.80500000000001</v>
      </c>
      <c r="EZ182" s="3">
        <v>700.00099999999998</v>
      </c>
      <c r="FA182" s="3">
        <v>1136.26</v>
      </c>
      <c r="FB182" s="3">
        <v>1022.9</v>
      </c>
      <c r="FC182" s="3">
        <v>1446.2</v>
      </c>
      <c r="FD182" s="3">
        <v>1495.44</v>
      </c>
      <c r="FE182" s="3">
        <v>-43.433599999999998</v>
      </c>
      <c r="FF182" s="3">
        <v>-419.12299999999999</v>
      </c>
      <c r="FG182" s="3">
        <v>744.95399999999995</v>
      </c>
      <c r="FH182" s="3">
        <v>1199.4100000000001</v>
      </c>
      <c r="FI182" s="3">
        <v>-11272.7</v>
      </c>
      <c r="FJ182" s="3">
        <v>-1939.95</v>
      </c>
      <c r="FK182" s="3">
        <v>-569.95899999999995</v>
      </c>
      <c r="FL182" s="3">
        <v>9.3985400000000004E-3</v>
      </c>
      <c r="FM182" s="3"/>
    </row>
    <row r="183" spans="1:169" x14ac:dyDescent="0.3">
      <c r="A183" s="2">
        <v>175</v>
      </c>
      <c r="B183" s="5">
        <v>30</v>
      </c>
      <c r="C183" s="6">
        <v>3502640</v>
      </c>
      <c r="D183" s="6" t="s">
        <v>219</v>
      </c>
      <c r="E183" s="6">
        <v>3904020</v>
      </c>
      <c r="F183" s="6">
        <v>3904022</v>
      </c>
      <c r="G183" s="6">
        <v>5904020</v>
      </c>
      <c r="H183" s="6">
        <v>3904023</v>
      </c>
      <c r="I183" s="6">
        <v>51.48</v>
      </c>
      <c r="J183" s="6" t="s">
        <v>169</v>
      </c>
      <c r="K183" s="6" t="s">
        <v>170</v>
      </c>
      <c r="L183" s="7" t="s">
        <v>171</v>
      </c>
      <c r="M183" s="7" t="s">
        <v>172</v>
      </c>
      <c r="N183" s="8" t="s">
        <v>2023</v>
      </c>
      <c r="O183" s="5">
        <v>34900.699999999997</v>
      </c>
      <c r="P183" s="6">
        <v>-7812.07</v>
      </c>
      <c r="Q183" s="6">
        <v>820.09199999999998</v>
      </c>
      <c r="R183" s="12">
        <v>17245.2</v>
      </c>
      <c r="S183" s="4" t="s">
        <v>2024</v>
      </c>
      <c r="T183" s="4" t="s">
        <v>2025</v>
      </c>
      <c r="U183" s="4" t="s">
        <v>2026</v>
      </c>
      <c r="V183" s="4" t="s">
        <v>2027</v>
      </c>
      <c r="W183" s="4" t="s">
        <v>2028</v>
      </c>
      <c r="X183" s="4" t="s">
        <v>2029</v>
      </c>
      <c r="Y183" s="4" t="s">
        <v>2030</v>
      </c>
      <c r="Z183" s="4" t="s">
        <v>2031</v>
      </c>
      <c r="AA183" s="4" t="s">
        <v>2032</v>
      </c>
      <c r="AB183" s="4" t="s">
        <v>2033</v>
      </c>
      <c r="AC183" s="4" t="s">
        <v>2034</v>
      </c>
      <c r="AD183" s="4" t="s">
        <v>2035</v>
      </c>
      <c r="AE183" s="4" t="s">
        <v>2036</v>
      </c>
      <c r="AF183" s="4" t="s">
        <v>2037</v>
      </c>
      <c r="AG183" s="4" t="s">
        <v>2038</v>
      </c>
      <c r="AH183" s="4" t="s">
        <v>2039</v>
      </c>
      <c r="AI183" s="4" t="s">
        <v>2040</v>
      </c>
      <c r="AJ183" s="4" t="s">
        <v>2041</v>
      </c>
      <c r="AK183" s="4" t="s">
        <v>2042</v>
      </c>
      <c r="AL183" s="4" t="s">
        <v>2043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/>
    </row>
    <row r="184" spans="1:169" x14ac:dyDescent="0.3">
      <c r="A184" s="2">
        <v>176</v>
      </c>
      <c r="B184" s="5">
        <v>30</v>
      </c>
      <c r="C184" s="6">
        <v>3502640</v>
      </c>
      <c r="D184" s="6" t="s">
        <v>219</v>
      </c>
      <c r="E184" s="6">
        <v>3904020</v>
      </c>
      <c r="F184" s="6">
        <v>3904022</v>
      </c>
      <c r="G184" s="6">
        <v>5904020</v>
      </c>
      <c r="H184" s="6">
        <v>3904023</v>
      </c>
      <c r="I184" s="6">
        <v>51.48</v>
      </c>
      <c r="J184" s="6" t="s">
        <v>194</v>
      </c>
      <c r="K184" s="6" t="s">
        <v>195</v>
      </c>
      <c r="L184" s="7" t="s">
        <v>196</v>
      </c>
      <c r="M184" s="7" t="s">
        <v>172</v>
      </c>
      <c r="N184" s="8" t="s">
        <v>2023</v>
      </c>
      <c r="O184" s="5">
        <v>-35545.300000000003</v>
      </c>
      <c r="P184" s="6">
        <v>14930.7</v>
      </c>
      <c r="Q184" s="6">
        <v>-704.029</v>
      </c>
      <c r="R184" s="12">
        <v>34608.699999999997</v>
      </c>
      <c r="S184" s="4" t="s">
        <v>2024</v>
      </c>
      <c r="T184" s="4" t="s">
        <v>2025</v>
      </c>
      <c r="U184" s="4" t="s">
        <v>2026</v>
      </c>
      <c r="V184" s="4" t="s">
        <v>2027</v>
      </c>
      <c r="W184" s="4" t="s">
        <v>2028</v>
      </c>
      <c r="X184" s="4" t="s">
        <v>2029</v>
      </c>
      <c r="Y184" s="4" t="s">
        <v>2030</v>
      </c>
      <c r="Z184" s="4" t="s">
        <v>2031</v>
      </c>
      <c r="AA184" s="4" t="s">
        <v>2032</v>
      </c>
      <c r="AB184" s="4" t="s">
        <v>2033</v>
      </c>
      <c r="AC184" s="4" t="s">
        <v>2034</v>
      </c>
      <c r="AD184" s="4" t="s">
        <v>2035</v>
      </c>
      <c r="AE184" s="4" t="s">
        <v>2036</v>
      </c>
      <c r="AF184" s="4" t="s">
        <v>2037</v>
      </c>
      <c r="AG184" s="4" t="s">
        <v>2038</v>
      </c>
      <c r="AH184" s="4" t="s">
        <v>2039</v>
      </c>
      <c r="AI184" s="4" t="s">
        <v>2040</v>
      </c>
      <c r="AJ184" s="4" t="s">
        <v>2041</v>
      </c>
      <c r="AK184" s="4" t="s">
        <v>2042</v>
      </c>
      <c r="AL184" s="4" t="s">
        <v>2043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/>
    </row>
    <row r="185" spans="1:169" x14ac:dyDescent="0.3">
      <c r="A185" s="2">
        <v>177</v>
      </c>
      <c r="B185" s="5">
        <v>30</v>
      </c>
      <c r="C185" s="6">
        <v>6301091</v>
      </c>
      <c r="D185" s="6" t="s">
        <v>774</v>
      </c>
      <c r="E185" s="6">
        <v>5904020</v>
      </c>
      <c r="F185" s="6">
        <v>5904020</v>
      </c>
      <c r="G185" s="6">
        <v>0</v>
      </c>
      <c r="H185" s="6">
        <v>0</v>
      </c>
      <c r="I185" s="6">
        <v>51.48</v>
      </c>
      <c r="J185" s="6" t="s">
        <v>169</v>
      </c>
      <c r="K185" s="6" t="s">
        <v>170</v>
      </c>
      <c r="L185" s="7" t="s">
        <v>171</v>
      </c>
      <c r="M185" s="7" t="s">
        <v>172</v>
      </c>
      <c r="N185" s="8" t="s">
        <v>2044</v>
      </c>
      <c r="O185" s="5">
        <v>-41951.3</v>
      </c>
      <c r="P185" s="6">
        <v>24372.6</v>
      </c>
      <c r="Q185" s="6">
        <v>-19272.7</v>
      </c>
      <c r="R185" s="12">
        <v>17245.2</v>
      </c>
      <c r="S185" s="4" t="s">
        <v>2045</v>
      </c>
      <c r="T185" s="4" t="s">
        <v>2046</v>
      </c>
      <c r="U185" s="4" t="s">
        <v>2047</v>
      </c>
      <c r="V185" s="4" t="s">
        <v>2048</v>
      </c>
      <c r="W185" s="4" t="s">
        <v>2049</v>
      </c>
      <c r="X185" s="4" t="s">
        <v>2050</v>
      </c>
      <c r="Y185" s="4" t="s">
        <v>2051</v>
      </c>
      <c r="Z185" s="4" t="s">
        <v>2052</v>
      </c>
      <c r="AA185" s="4" t="s">
        <v>2053</v>
      </c>
      <c r="AB185" s="4" t="s">
        <v>2054</v>
      </c>
      <c r="AC185" s="4" t="s">
        <v>2055</v>
      </c>
      <c r="AD185" s="4" t="s">
        <v>2056</v>
      </c>
      <c r="AE185" s="4" t="s">
        <v>2057</v>
      </c>
      <c r="AF185" s="4" t="s">
        <v>2058</v>
      </c>
      <c r="AG185" s="4" t="s">
        <v>2059</v>
      </c>
      <c r="AH185" s="4" t="s">
        <v>2060</v>
      </c>
      <c r="AI185" s="4" t="s">
        <v>2061</v>
      </c>
      <c r="AJ185" s="4" t="s">
        <v>2062</v>
      </c>
      <c r="AK185" s="4" t="s">
        <v>2063</v>
      </c>
      <c r="AL185" s="4" t="s">
        <v>2064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 t="s">
        <v>2065</v>
      </c>
    </row>
    <row r="186" spans="1:169" x14ac:dyDescent="0.3">
      <c r="A186" s="2">
        <v>178</v>
      </c>
      <c r="B186" s="5">
        <v>30</v>
      </c>
      <c r="C186" s="6">
        <v>6301091</v>
      </c>
      <c r="D186" s="6" t="s">
        <v>774</v>
      </c>
      <c r="E186" s="6">
        <v>5904020</v>
      </c>
      <c r="F186" s="6">
        <v>5904020</v>
      </c>
      <c r="G186" s="6">
        <v>0</v>
      </c>
      <c r="H186" s="6">
        <v>0</v>
      </c>
      <c r="I186" s="6">
        <v>51.48</v>
      </c>
      <c r="J186" s="6" t="s">
        <v>194</v>
      </c>
      <c r="K186" s="6" t="s">
        <v>195</v>
      </c>
      <c r="L186" s="7" t="s">
        <v>196</v>
      </c>
      <c r="M186" s="7" t="s">
        <v>172</v>
      </c>
      <c r="N186" s="8" t="s">
        <v>2044</v>
      </c>
      <c r="O186" s="5">
        <v>43649.1</v>
      </c>
      <c r="P186" s="6">
        <v>-25102.7</v>
      </c>
      <c r="Q186" s="6">
        <v>18889.2</v>
      </c>
      <c r="R186" s="12">
        <v>34608.699999999997</v>
      </c>
      <c r="S186" s="4" t="s">
        <v>2045</v>
      </c>
      <c r="T186" s="4" t="s">
        <v>2046</v>
      </c>
      <c r="U186" s="4" t="s">
        <v>2047</v>
      </c>
      <c r="V186" s="4" t="s">
        <v>2048</v>
      </c>
      <c r="W186" s="4" t="s">
        <v>2049</v>
      </c>
      <c r="X186" s="4" t="s">
        <v>2050</v>
      </c>
      <c r="Y186" s="4" t="s">
        <v>2051</v>
      </c>
      <c r="Z186" s="4" t="s">
        <v>2052</v>
      </c>
      <c r="AA186" s="4" t="s">
        <v>2053</v>
      </c>
      <c r="AB186" s="4" t="s">
        <v>2054</v>
      </c>
      <c r="AC186" s="4" t="s">
        <v>2055</v>
      </c>
      <c r="AD186" s="4" t="s">
        <v>2056</v>
      </c>
      <c r="AE186" s="4" t="s">
        <v>2057</v>
      </c>
      <c r="AF186" s="4" t="s">
        <v>2058</v>
      </c>
      <c r="AG186" s="4" t="s">
        <v>2059</v>
      </c>
      <c r="AH186" s="4" t="s">
        <v>2060</v>
      </c>
      <c r="AI186" s="4" t="s">
        <v>2061</v>
      </c>
      <c r="AJ186" s="4" t="s">
        <v>2062</v>
      </c>
      <c r="AK186" s="4" t="s">
        <v>2063</v>
      </c>
      <c r="AL186" s="4" t="s">
        <v>2064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A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 t="s">
        <v>2065</v>
      </c>
    </row>
    <row r="187" spans="1:169" x14ac:dyDescent="0.3">
      <c r="A187" s="2">
        <v>179</v>
      </c>
      <c r="B187" s="5">
        <v>31</v>
      </c>
      <c r="C187" s="6">
        <v>4100628</v>
      </c>
      <c r="D187" s="6" t="s">
        <v>307</v>
      </c>
      <c r="E187" s="6">
        <v>4912020</v>
      </c>
      <c r="F187" s="6">
        <v>4912020</v>
      </c>
      <c r="G187" s="6">
        <v>0</v>
      </c>
      <c r="H187" s="6">
        <v>0</v>
      </c>
      <c r="I187" s="6">
        <v>57.914999999999999</v>
      </c>
      <c r="J187" s="6" t="s">
        <v>169</v>
      </c>
      <c r="K187" s="6" t="s">
        <v>170</v>
      </c>
      <c r="L187" s="7" t="s">
        <v>171</v>
      </c>
      <c r="M187" s="7" t="s">
        <v>172</v>
      </c>
      <c r="N187" s="8" t="s">
        <v>2066</v>
      </c>
      <c r="O187" s="5">
        <v>-37729.599999999999</v>
      </c>
      <c r="P187" s="6">
        <v>-19049.900000000001</v>
      </c>
      <c r="Q187" s="6">
        <v>18790.900000000001</v>
      </c>
      <c r="R187" s="12">
        <v>15697.2</v>
      </c>
      <c r="S187" s="4" t="s">
        <v>2067</v>
      </c>
      <c r="T187" s="4" t="s">
        <v>2068</v>
      </c>
      <c r="U187" s="4" t="s">
        <v>2069</v>
      </c>
      <c r="V187" s="4" t="s">
        <v>2070</v>
      </c>
      <c r="W187" s="4" t="s">
        <v>2071</v>
      </c>
      <c r="X187" s="4" t="s">
        <v>2072</v>
      </c>
      <c r="Y187" s="4" t="s">
        <v>2073</v>
      </c>
      <c r="Z187" s="4" t="s">
        <v>2074</v>
      </c>
      <c r="AA187" s="4" t="s">
        <v>2075</v>
      </c>
      <c r="AB187" s="4" t="s">
        <v>2076</v>
      </c>
      <c r="AC187" s="4" t="s">
        <v>2077</v>
      </c>
      <c r="AD187" s="4" t="s">
        <v>2078</v>
      </c>
      <c r="AE187" s="4" t="s">
        <v>2079</v>
      </c>
      <c r="AF187" s="4" t="s">
        <v>2080</v>
      </c>
      <c r="AG187" s="4" t="s">
        <v>2081</v>
      </c>
      <c r="AH187" s="4" t="s">
        <v>2082</v>
      </c>
      <c r="AI187" s="4" t="s">
        <v>2083</v>
      </c>
      <c r="AJ187" s="4" t="s">
        <v>2084</v>
      </c>
      <c r="AK187" s="4" t="s">
        <v>2085</v>
      </c>
      <c r="AL187" s="4" t="s">
        <v>2086</v>
      </c>
      <c r="AM187" s="3">
        <v>-450.06700000000001</v>
      </c>
      <c r="AN187" s="3">
        <v>-397.7</v>
      </c>
      <c r="AO187" s="3">
        <v>-315.74200000000002</v>
      </c>
      <c r="AP187" s="3">
        <v>-223.82</v>
      </c>
      <c r="AQ187" s="3">
        <v>-146.536</v>
      </c>
      <c r="AR187" s="3">
        <v>-46.091000000000001</v>
      </c>
      <c r="AS187" s="3">
        <v>-3.5987200000000001</v>
      </c>
      <c r="AT187" s="3">
        <v>32.259399999999999</v>
      </c>
      <c r="AU187" s="3">
        <v>37.428699999999999</v>
      </c>
      <c r="AV187" s="3">
        <v>20.417999999999999</v>
      </c>
      <c r="AW187" s="3">
        <v>-15.3843</v>
      </c>
      <c r="AX187" s="3">
        <v>-93.1755</v>
      </c>
      <c r="AY187" s="3">
        <v>-170.49299999999999</v>
      </c>
      <c r="AZ187" s="3">
        <v>-225.65600000000001</v>
      </c>
      <c r="BA187" s="3">
        <v>-273.74700000000001</v>
      </c>
      <c r="BB187" s="3">
        <v>-331.16300000000001</v>
      </c>
      <c r="BC187" s="3">
        <v>-393.68200000000002</v>
      </c>
      <c r="BD187" s="3">
        <v>-451.08800000000002</v>
      </c>
      <c r="BE187" s="3">
        <v>-481.84300000000002</v>
      </c>
      <c r="BF187" s="3">
        <v>-473.51499999999999</v>
      </c>
      <c r="BG187" s="3">
        <v>-20.565000000000001</v>
      </c>
      <c r="BH187" s="3">
        <v>-149.774</v>
      </c>
      <c r="BI187" s="3">
        <v>-174.05600000000001</v>
      </c>
      <c r="BJ187" s="3">
        <v>-118.873</v>
      </c>
      <c r="BK187" s="3">
        <v>-7.69069</v>
      </c>
      <c r="BL187" s="3">
        <v>45.564700000000002</v>
      </c>
      <c r="BM187" s="3">
        <v>1.55267</v>
      </c>
      <c r="BN187" s="3">
        <v>-68.353499999999997</v>
      </c>
      <c r="BO187" s="3">
        <v>-87.155500000000004</v>
      </c>
      <c r="BP187" s="3">
        <v>-65.656400000000005</v>
      </c>
      <c r="BQ187" s="3">
        <v>-22.313600000000001</v>
      </c>
      <c r="BR187" s="3">
        <v>48.209899999999998</v>
      </c>
      <c r="BS187" s="3">
        <v>18.4254</v>
      </c>
      <c r="BT187" s="3">
        <v>-43.969799999999999</v>
      </c>
      <c r="BU187" s="3">
        <v>-93.237399999999994</v>
      </c>
      <c r="BV187" s="3">
        <v>-88.144000000000005</v>
      </c>
      <c r="BW187" s="3">
        <v>-52.644599999999997</v>
      </c>
      <c r="BX187" s="3">
        <v>-8.2190799999999999</v>
      </c>
      <c r="BY187" s="3">
        <v>16.5061</v>
      </c>
      <c r="BZ187" s="3">
        <v>2.7226400000000002</v>
      </c>
      <c r="CA187" s="3">
        <v>-510.05399999999997</v>
      </c>
      <c r="CB187" s="3">
        <v>-413.36200000000002</v>
      </c>
      <c r="CC187" s="3">
        <v>-240.517</v>
      </c>
      <c r="CD187" s="3">
        <v>-74.670900000000003</v>
      </c>
      <c r="CE187" s="3">
        <v>-51.336399999999998</v>
      </c>
      <c r="CF187" s="3">
        <v>-73.274699999999996</v>
      </c>
      <c r="CG187" s="3">
        <v>-71.477599999999995</v>
      </c>
      <c r="CH187" s="3">
        <v>-56.856299999999997</v>
      </c>
      <c r="CI187" s="3">
        <v>-13.633800000000001</v>
      </c>
      <c r="CJ187" s="3">
        <v>30.218599999999999</v>
      </c>
      <c r="CK187" s="3">
        <v>43.334200000000003</v>
      </c>
      <c r="CL187" s="3">
        <v>26.837700000000002</v>
      </c>
      <c r="CM187" s="3">
        <v>-37.078400000000002</v>
      </c>
      <c r="CN187" s="3">
        <v>-88.541700000000006</v>
      </c>
      <c r="CO187" s="3">
        <v>-124.974</v>
      </c>
      <c r="CP187" s="3">
        <v>-149.81200000000001</v>
      </c>
      <c r="CQ187" s="3">
        <v>-140.566</v>
      </c>
      <c r="CR187" s="3">
        <v>-197.512</v>
      </c>
      <c r="CS187" s="3">
        <v>-302.91500000000002</v>
      </c>
      <c r="CT187" s="3">
        <v>-438.35599999999999</v>
      </c>
      <c r="CU187" s="3">
        <v>406.94099999999997</v>
      </c>
      <c r="CV187" s="3">
        <v>431.23899999999998</v>
      </c>
      <c r="CW187" s="3">
        <v>514.82799999999997</v>
      </c>
      <c r="CX187" s="3">
        <v>590.06399999999996</v>
      </c>
      <c r="CY187" s="3">
        <v>539.93600000000004</v>
      </c>
      <c r="CZ187" s="3">
        <v>418.61900000000003</v>
      </c>
      <c r="DA187" s="3">
        <v>326.33600000000001</v>
      </c>
      <c r="DB187" s="3">
        <v>163.97800000000001</v>
      </c>
      <c r="DC187" s="3">
        <v>68.297700000000006</v>
      </c>
      <c r="DD187" s="3">
        <v>21.762499999999999</v>
      </c>
      <c r="DE187" s="3">
        <v>7.5520100000000001</v>
      </c>
      <c r="DF187" s="3">
        <v>-144.33000000000001</v>
      </c>
      <c r="DG187" s="3">
        <v>-520.96799999999996</v>
      </c>
      <c r="DH187" s="3">
        <v>-815.23400000000004</v>
      </c>
      <c r="DI187" s="3">
        <v>-894.24199999999996</v>
      </c>
      <c r="DJ187" s="3">
        <v>-673.87599999999998</v>
      </c>
      <c r="DK187" s="3">
        <v>-606.27099999999996</v>
      </c>
      <c r="DL187" s="3">
        <v>-351.54300000000001</v>
      </c>
      <c r="DM187" s="3">
        <v>-19.588899999999999</v>
      </c>
      <c r="DN187" s="3">
        <v>288.47000000000003</v>
      </c>
      <c r="DO187" s="3">
        <v>970.35599999999999</v>
      </c>
      <c r="DP187" s="3">
        <v>1365.77</v>
      </c>
      <c r="DQ187" s="3">
        <v>1581.28</v>
      </c>
      <c r="DR187" s="3">
        <v>1528.76</v>
      </c>
      <c r="DS187" s="3">
        <v>1008.08</v>
      </c>
      <c r="DT187" s="3">
        <v>761.56500000000005</v>
      </c>
      <c r="DU187" s="3">
        <v>570.90899999999999</v>
      </c>
      <c r="DV187" s="3">
        <v>224.529</v>
      </c>
      <c r="DW187" s="3">
        <v>-45.609900000000003</v>
      </c>
      <c r="DX187" s="3">
        <v>-245.214</v>
      </c>
      <c r="DY187" s="3">
        <v>-377.06</v>
      </c>
      <c r="DZ187" s="3">
        <v>-507.46199999999999</v>
      </c>
      <c r="EA187" s="3">
        <v>-660.06700000000001</v>
      </c>
      <c r="EB187" s="3">
        <v>-761.69899999999996</v>
      </c>
      <c r="EC187" s="3">
        <v>-796.70799999999997</v>
      </c>
      <c r="ED187" s="3">
        <v>-758.3</v>
      </c>
      <c r="EE187" s="3">
        <v>-897.95699999999999</v>
      </c>
      <c r="EF187" s="3">
        <v>-763.07500000000005</v>
      </c>
      <c r="EG187" s="3">
        <v>-290.88099999999997</v>
      </c>
      <c r="EH187" s="3">
        <v>519.57899999999995</v>
      </c>
      <c r="EI187" s="3">
        <v>558.25199999999995</v>
      </c>
      <c r="EJ187" s="3">
        <v>418.82900000000001</v>
      </c>
      <c r="EK187" s="3">
        <v>-45.928100000000001</v>
      </c>
      <c r="EL187" s="3">
        <v>-578.02200000000005</v>
      </c>
      <c r="EM187" s="3">
        <v>-777.95500000000004</v>
      </c>
      <c r="EN187" s="3">
        <v>-507.40499999999997</v>
      </c>
      <c r="EO187" s="3">
        <v>-351.37700000000001</v>
      </c>
      <c r="EP187" s="3">
        <v>-199.904</v>
      </c>
      <c r="EQ187" s="3">
        <v>-104.40300000000001</v>
      </c>
      <c r="ER187" s="3">
        <v>-30.529</v>
      </c>
      <c r="ES187" s="3">
        <v>40.447699999999998</v>
      </c>
      <c r="ET187" s="3">
        <v>102.426</v>
      </c>
      <c r="EU187" s="3">
        <v>161.77600000000001</v>
      </c>
      <c r="EV187" s="3">
        <v>71.655000000000001</v>
      </c>
      <c r="EW187" s="3">
        <v>-104.548</v>
      </c>
      <c r="EX187" s="3">
        <v>-279.38099999999997</v>
      </c>
      <c r="EY187" s="3">
        <v>-315.483</v>
      </c>
      <c r="EZ187" s="3">
        <v>-79.373999999999995</v>
      </c>
      <c r="FA187" s="3">
        <v>265.86700000000002</v>
      </c>
      <c r="FB187" s="3">
        <v>552.67399999999998</v>
      </c>
      <c r="FC187" s="3">
        <v>4.1720100000000002</v>
      </c>
      <c r="FD187" s="3">
        <v>-430.226</v>
      </c>
      <c r="FE187" s="3">
        <v>-30.171600000000002</v>
      </c>
      <c r="FF187" s="3">
        <v>-70.899000000000001</v>
      </c>
      <c r="FG187" s="3">
        <v>-23.614899999999999</v>
      </c>
      <c r="FH187" s="3">
        <v>-289.86900000000003</v>
      </c>
      <c r="FI187" s="3">
        <v>-4.2231399999999999</v>
      </c>
      <c r="FJ187" s="3">
        <v>-279.54300000000001</v>
      </c>
      <c r="FK187" s="3">
        <v>57.936199999999999</v>
      </c>
      <c r="FL187" s="3">
        <v>0</v>
      </c>
      <c r="FM187" s="3"/>
    </row>
    <row r="188" spans="1:169" x14ac:dyDescent="0.3">
      <c r="A188" s="2">
        <v>180</v>
      </c>
      <c r="B188" s="5">
        <v>31</v>
      </c>
      <c r="C188" s="6">
        <v>4100628</v>
      </c>
      <c r="D188" s="6" t="s">
        <v>307</v>
      </c>
      <c r="E188" s="6">
        <v>4912020</v>
      </c>
      <c r="F188" s="6">
        <v>4912020</v>
      </c>
      <c r="G188" s="6">
        <v>0</v>
      </c>
      <c r="H188" s="6">
        <v>0</v>
      </c>
      <c r="I188" s="6">
        <v>57.914999999999999</v>
      </c>
      <c r="J188" s="6" t="s">
        <v>194</v>
      </c>
      <c r="K188" s="6" t="s">
        <v>195</v>
      </c>
      <c r="L188" s="7" t="s">
        <v>196</v>
      </c>
      <c r="M188" s="7" t="s">
        <v>172</v>
      </c>
      <c r="N188" s="8" t="s">
        <v>2066</v>
      </c>
      <c r="O188" s="5">
        <v>38169.699999999997</v>
      </c>
      <c r="P188" s="6">
        <v>19190.7</v>
      </c>
      <c r="Q188" s="6">
        <v>-18613.3</v>
      </c>
      <c r="R188" s="12">
        <v>38887.4</v>
      </c>
      <c r="S188" s="4" t="s">
        <v>2067</v>
      </c>
      <c r="T188" s="4" t="s">
        <v>2068</v>
      </c>
      <c r="U188" s="4" t="s">
        <v>2069</v>
      </c>
      <c r="V188" s="4" t="s">
        <v>2070</v>
      </c>
      <c r="W188" s="4" t="s">
        <v>2071</v>
      </c>
      <c r="X188" s="4" t="s">
        <v>2072</v>
      </c>
      <c r="Y188" s="4" t="s">
        <v>2073</v>
      </c>
      <c r="Z188" s="4" t="s">
        <v>2074</v>
      </c>
      <c r="AA188" s="4" t="s">
        <v>2075</v>
      </c>
      <c r="AB188" s="4" t="s">
        <v>2076</v>
      </c>
      <c r="AC188" s="4" t="s">
        <v>2077</v>
      </c>
      <c r="AD188" s="4" t="s">
        <v>2078</v>
      </c>
      <c r="AE188" s="4" t="s">
        <v>2079</v>
      </c>
      <c r="AF188" s="4" t="s">
        <v>2080</v>
      </c>
      <c r="AG188" s="4" t="s">
        <v>2081</v>
      </c>
      <c r="AH188" s="4" t="s">
        <v>2082</v>
      </c>
      <c r="AI188" s="4" t="s">
        <v>2083</v>
      </c>
      <c r="AJ188" s="4" t="s">
        <v>2084</v>
      </c>
      <c r="AK188" s="4" t="s">
        <v>2085</v>
      </c>
      <c r="AL188" s="4" t="s">
        <v>2086</v>
      </c>
      <c r="AM188" s="3">
        <v>455.87</v>
      </c>
      <c r="AN188" s="3">
        <v>401.88299999999998</v>
      </c>
      <c r="AO188" s="3">
        <v>319.66300000000001</v>
      </c>
      <c r="AP188" s="3">
        <v>228.16499999999999</v>
      </c>
      <c r="AQ188" s="3">
        <v>151.04300000000001</v>
      </c>
      <c r="AR188" s="3">
        <v>48.921100000000003</v>
      </c>
      <c r="AS188" s="3">
        <v>5.42781</v>
      </c>
      <c r="AT188" s="3">
        <v>-32.046900000000001</v>
      </c>
      <c r="AU188" s="3">
        <v>-38.376399999999997</v>
      </c>
      <c r="AV188" s="3">
        <v>-21.811299999999999</v>
      </c>
      <c r="AW188" s="3">
        <v>14.6387</v>
      </c>
      <c r="AX188" s="3">
        <v>92.593299999999999</v>
      </c>
      <c r="AY188" s="3">
        <v>170.50800000000001</v>
      </c>
      <c r="AZ188" s="3">
        <v>226.43100000000001</v>
      </c>
      <c r="BA188" s="3">
        <v>275.39100000000002</v>
      </c>
      <c r="BB188" s="3">
        <v>333.71600000000001</v>
      </c>
      <c r="BC188" s="3">
        <v>397.54</v>
      </c>
      <c r="BD188" s="3">
        <v>455.73700000000002</v>
      </c>
      <c r="BE188" s="3">
        <v>486.90199999999999</v>
      </c>
      <c r="BF188" s="3">
        <v>478.86599999999999</v>
      </c>
      <c r="BG188" s="3">
        <v>24.848700000000001</v>
      </c>
      <c r="BH188" s="3">
        <v>156.40100000000001</v>
      </c>
      <c r="BI188" s="3">
        <v>182.57400000000001</v>
      </c>
      <c r="BJ188" s="3">
        <v>128.06800000000001</v>
      </c>
      <c r="BK188" s="3">
        <v>14.814299999999999</v>
      </c>
      <c r="BL188" s="3">
        <v>-42.128999999999998</v>
      </c>
      <c r="BM188" s="3">
        <v>1.7582199999999999</v>
      </c>
      <c r="BN188" s="3">
        <v>71.873000000000005</v>
      </c>
      <c r="BO188" s="3">
        <v>90.810299999999998</v>
      </c>
      <c r="BP188" s="3">
        <v>69.079300000000003</v>
      </c>
      <c r="BQ188" s="3">
        <v>25.055</v>
      </c>
      <c r="BR188" s="3">
        <v>-45.250300000000003</v>
      </c>
      <c r="BS188" s="3">
        <v>-14.6867</v>
      </c>
      <c r="BT188" s="3">
        <v>48.576300000000003</v>
      </c>
      <c r="BU188" s="3">
        <v>98.4191</v>
      </c>
      <c r="BV188" s="3">
        <v>93.317999999999998</v>
      </c>
      <c r="BW188" s="3">
        <v>57.817599999999999</v>
      </c>
      <c r="BX188" s="3">
        <v>12.8332</v>
      </c>
      <c r="BY188" s="3">
        <v>-12.4316</v>
      </c>
      <c r="BZ188" s="3">
        <v>1.27657</v>
      </c>
      <c r="CA188" s="3">
        <v>507.11099999999999</v>
      </c>
      <c r="CB188" s="3">
        <v>413.517</v>
      </c>
      <c r="CC188" s="3">
        <v>243.55099999999999</v>
      </c>
      <c r="CD188" s="3">
        <v>79.362700000000004</v>
      </c>
      <c r="CE188" s="3">
        <v>54.546700000000001</v>
      </c>
      <c r="CF188" s="3">
        <v>74.806700000000006</v>
      </c>
      <c r="CG188" s="3">
        <v>73.135000000000005</v>
      </c>
      <c r="CH188" s="3">
        <v>58.408099999999997</v>
      </c>
      <c r="CI188" s="3">
        <v>14.4329</v>
      </c>
      <c r="CJ188" s="3">
        <v>-30.526700000000002</v>
      </c>
      <c r="CK188" s="3">
        <v>-44.610300000000002</v>
      </c>
      <c r="CL188" s="3">
        <v>-28.434100000000001</v>
      </c>
      <c r="CM188" s="3">
        <v>35.868299999999998</v>
      </c>
      <c r="CN188" s="3">
        <v>87.577299999999994</v>
      </c>
      <c r="CO188" s="3">
        <v>124.008</v>
      </c>
      <c r="CP188" s="3">
        <v>148.566</v>
      </c>
      <c r="CQ188" s="3">
        <v>139.286</v>
      </c>
      <c r="CR188" s="3">
        <v>196.56100000000001</v>
      </c>
      <c r="CS188" s="3">
        <v>301.96800000000002</v>
      </c>
      <c r="CT188" s="3">
        <v>436.46499999999997</v>
      </c>
      <c r="CU188" s="3">
        <v>-441.221</v>
      </c>
      <c r="CV188" s="3">
        <v>-462.53699999999998</v>
      </c>
      <c r="CW188" s="3">
        <v>-539.68899999999996</v>
      </c>
      <c r="CX188" s="3">
        <v>-607.62300000000005</v>
      </c>
      <c r="CY188" s="3">
        <v>-552.76199999999994</v>
      </c>
      <c r="CZ188" s="3">
        <v>-426.77699999999999</v>
      </c>
      <c r="DA188" s="3">
        <v>-334.988</v>
      </c>
      <c r="DB188" s="3">
        <v>-169.78800000000001</v>
      </c>
      <c r="DC188" s="3">
        <v>-70.212900000000005</v>
      </c>
      <c r="DD188" s="3">
        <v>-19.868099999999998</v>
      </c>
      <c r="DE188" s="3">
        <v>-3.7437399999999998</v>
      </c>
      <c r="DF188" s="3">
        <v>142.89699999999999</v>
      </c>
      <c r="DG188" s="3">
        <v>506.12299999999999</v>
      </c>
      <c r="DH188" s="3">
        <v>788.95699999999999</v>
      </c>
      <c r="DI188" s="3">
        <v>863.16800000000001</v>
      </c>
      <c r="DJ188" s="3">
        <v>647.93499999999995</v>
      </c>
      <c r="DK188" s="3">
        <v>573.06600000000003</v>
      </c>
      <c r="DL188" s="3">
        <v>316.488</v>
      </c>
      <c r="DM188" s="3">
        <v>-15.4473</v>
      </c>
      <c r="DN188" s="3">
        <v>-324.12900000000002</v>
      </c>
      <c r="DO188" s="3">
        <v>-1017.68</v>
      </c>
      <c r="DP188" s="3">
        <v>-1411.13</v>
      </c>
      <c r="DQ188" s="3">
        <v>-1628.35</v>
      </c>
      <c r="DR188" s="3">
        <v>-1577.53</v>
      </c>
      <c r="DS188" s="3">
        <v>-1051.44</v>
      </c>
      <c r="DT188" s="3">
        <v>-791.36099999999999</v>
      </c>
      <c r="DU188" s="3">
        <v>-600.35599999999999</v>
      </c>
      <c r="DV188" s="3">
        <v>-252.114</v>
      </c>
      <c r="DW188" s="3">
        <v>16.947500000000002</v>
      </c>
      <c r="DX188" s="3">
        <v>216.99</v>
      </c>
      <c r="DY188" s="3">
        <v>353.68599999999998</v>
      </c>
      <c r="DZ188" s="3">
        <v>477.30700000000002</v>
      </c>
      <c r="EA188" s="3">
        <v>624.50300000000004</v>
      </c>
      <c r="EB188" s="3">
        <v>721.23599999999999</v>
      </c>
      <c r="EC188" s="3">
        <v>753.16200000000003</v>
      </c>
      <c r="ED188" s="3">
        <v>714.904</v>
      </c>
      <c r="EE188" s="3">
        <v>832.93200000000002</v>
      </c>
      <c r="EF188" s="3">
        <v>688.13400000000001</v>
      </c>
      <c r="EG188" s="3">
        <v>217.386</v>
      </c>
      <c r="EH188" s="3">
        <v>-580.62099999999998</v>
      </c>
      <c r="EI188" s="3">
        <v>-548.38800000000003</v>
      </c>
      <c r="EJ188" s="3">
        <v>-427.98500000000001</v>
      </c>
      <c r="EK188" s="3">
        <v>20.884399999999999</v>
      </c>
      <c r="EL188" s="3">
        <v>544.98</v>
      </c>
      <c r="EM188" s="3">
        <v>754.08</v>
      </c>
      <c r="EN188" s="3">
        <v>491.56099999999998</v>
      </c>
      <c r="EO188" s="3">
        <v>338.89600000000002</v>
      </c>
      <c r="EP188" s="3">
        <v>187.61600000000001</v>
      </c>
      <c r="EQ188" s="3">
        <v>93.008399999999995</v>
      </c>
      <c r="ER188" s="3">
        <v>22.299800000000001</v>
      </c>
      <c r="ES188" s="3">
        <v>-41.938899999999997</v>
      </c>
      <c r="ET188" s="3">
        <v>-93.435299999999998</v>
      </c>
      <c r="EU188" s="3">
        <v>-154.05799999999999</v>
      </c>
      <c r="EV188" s="3">
        <v>-75.267700000000005</v>
      </c>
      <c r="EW188" s="3">
        <v>86.462599999999995</v>
      </c>
      <c r="EX188" s="3">
        <v>251.17599999999999</v>
      </c>
      <c r="EY188" s="3">
        <v>290.911</v>
      </c>
      <c r="EZ188" s="3">
        <v>65.8613</v>
      </c>
      <c r="FA188" s="3">
        <v>-266.72699999999998</v>
      </c>
      <c r="FB188" s="3">
        <v>-544.25</v>
      </c>
      <c r="FC188" s="3">
        <v>-3.8745099999999999</v>
      </c>
      <c r="FD188" s="3">
        <v>434.77199999999999</v>
      </c>
      <c r="FE188" s="3">
        <v>34.238599999999998</v>
      </c>
      <c r="FF188" s="3">
        <v>77.429400000000001</v>
      </c>
      <c r="FG188" s="3">
        <v>24.2743</v>
      </c>
      <c r="FH188" s="3">
        <v>288.32600000000002</v>
      </c>
      <c r="FI188" s="3">
        <v>22.390499999999999</v>
      </c>
      <c r="FJ188" s="3">
        <v>319.39100000000002</v>
      </c>
      <c r="FK188" s="3">
        <v>-47.837400000000002</v>
      </c>
      <c r="FL188" s="3">
        <v>0</v>
      </c>
      <c r="FM188" s="3"/>
    </row>
    <row r="189" spans="1:169" x14ac:dyDescent="0.3">
      <c r="A189" s="2">
        <v>181</v>
      </c>
      <c r="B189" s="5">
        <v>31</v>
      </c>
      <c r="C189" s="6">
        <v>3503560</v>
      </c>
      <c r="D189" s="6" t="s">
        <v>219</v>
      </c>
      <c r="E189" s="6">
        <v>4912020</v>
      </c>
      <c r="F189" s="6">
        <v>3912023</v>
      </c>
      <c r="G189" s="6">
        <v>3912020</v>
      </c>
      <c r="H189" s="6">
        <v>3912022</v>
      </c>
      <c r="I189" s="6">
        <v>51.48</v>
      </c>
      <c r="J189" s="6" t="s">
        <v>169</v>
      </c>
      <c r="K189" s="6" t="s">
        <v>170</v>
      </c>
      <c r="L189" s="7" t="s">
        <v>171</v>
      </c>
      <c r="M189" s="7" t="s">
        <v>172</v>
      </c>
      <c r="N189" s="8" t="s">
        <v>2087</v>
      </c>
      <c r="O189" s="5">
        <v>-8509.1200000000008</v>
      </c>
      <c r="P189" s="6">
        <v>30065.7</v>
      </c>
      <c r="Q189" s="6">
        <v>-1177.99</v>
      </c>
      <c r="R189" s="12">
        <v>15697.2</v>
      </c>
      <c r="S189" s="4" t="s">
        <v>2088</v>
      </c>
      <c r="T189" s="4" t="s">
        <v>2089</v>
      </c>
      <c r="U189" s="4" t="s">
        <v>2090</v>
      </c>
      <c r="V189" s="4" t="s">
        <v>2091</v>
      </c>
      <c r="W189" s="4" t="s">
        <v>2092</v>
      </c>
      <c r="X189" s="4" t="s">
        <v>2093</v>
      </c>
      <c r="Y189" s="4" t="s">
        <v>2094</v>
      </c>
      <c r="Z189" s="4" t="s">
        <v>2095</v>
      </c>
      <c r="AA189" s="4" t="s">
        <v>2096</v>
      </c>
      <c r="AB189" s="4" t="s">
        <v>2097</v>
      </c>
      <c r="AC189" s="4" t="s">
        <v>2098</v>
      </c>
      <c r="AD189" s="4" t="s">
        <v>2099</v>
      </c>
      <c r="AE189" s="4" t="s">
        <v>2100</v>
      </c>
      <c r="AF189" s="4" t="s">
        <v>2101</v>
      </c>
      <c r="AG189" s="4" t="s">
        <v>2102</v>
      </c>
      <c r="AH189" s="4" t="s">
        <v>2103</v>
      </c>
      <c r="AI189" s="4" t="s">
        <v>2104</v>
      </c>
      <c r="AJ189" s="4" t="s">
        <v>2105</v>
      </c>
      <c r="AK189" s="4" t="s">
        <v>2106</v>
      </c>
      <c r="AL189" s="4" t="s">
        <v>2107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/>
    </row>
    <row r="190" spans="1:169" x14ac:dyDescent="0.3">
      <c r="A190" s="2">
        <v>182</v>
      </c>
      <c r="B190" s="5">
        <v>31</v>
      </c>
      <c r="C190" s="6">
        <v>3503560</v>
      </c>
      <c r="D190" s="6" t="s">
        <v>219</v>
      </c>
      <c r="E190" s="6">
        <v>4912020</v>
      </c>
      <c r="F190" s="6">
        <v>3912023</v>
      </c>
      <c r="G190" s="6">
        <v>3912020</v>
      </c>
      <c r="H190" s="6">
        <v>3912022</v>
      </c>
      <c r="I190" s="6">
        <v>51.48</v>
      </c>
      <c r="J190" s="6" t="s">
        <v>194</v>
      </c>
      <c r="K190" s="6" t="s">
        <v>195</v>
      </c>
      <c r="L190" s="7" t="s">
        <v>196</v>
      </c>
      <c r="M190" s="7" t="s">
        <v>172</v>
      </c>
      <c r="N190" s="8" t="s">
        <v>2087</v>
      </c>
      <c r="O190" s="5">
        <v>6766.88</v>
      </c>
      <c r="P190" s="6">
        <v>-32848.400000000001</v>
      </c>
      <c r="Q190" s="6">
        <v>810.24199999999996</v>
      </c>
      <c r="R190" s="12">
        <v>38887.4</v>
      </c>
      <c r="S190" s="4" t="s">
        <v>2088</v>
      </c>
      <c r="T190" s="4" t="s">
        <v>2089</v>
      </c>
      <c r="U190" s="4" t="s">
        <v>2090</v>
      </c>
      <c r="V190" s="4" t="s">
        <v>2091</v>
      </c>
      <c r="W190" s="4" t="s">
        <v>2092</v>
      </c>
      <c r="X190" s="4" t="s">
        <v>2093</v>
      </c>
      <c r="Y190" s="4" t="s">
        <v>2094</v>
      </c>
      <c r="Z190" s="4" t="s">
        <v>2095</v>
      </c>
      <c r="AA190" s="4" t="s">
        <v>2096</v>
      </c>
      <c r="AB190" s="4" t="s">
        <v>2097</v>
      </c>
      <c r="AC190" s="4" t="s">
        <v>2098</v>
      </c>
      <c r="AD190" s="4" t="s">
        <v>2099</v>
      </c>
      <c r="AE190" s="4" t="s">
        <v>2100</v>
      </c>
      <c r="AF190" s="4" t="s">
        <v>2101</v>
      </c>
      <c r="AG190" s="4" t="s">
        <v>2102</v>
      </c>
      <c r="AH190" s="4" t="s">
        <v>2103</v>
      </c>
      <c r="AI190" s="4" t="s">
        <v>2104</v>
      </c>
      <c r="AJ190" s="4" t="s">
        <v>2105</v>
      </c>
      <c r="AK190" s="4" t="s">
        <v>2106</v>
      </c>
      <c r="AL190" s="4" t="s">
        <v>2107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0</v>
      </c>
      <c r="DZ190" s="3">
        <v>0</v>
      </c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/>
    </row>
    <row r="191" spans="1:169" x14ac:dyDescent="0.3">
      <c r="A191" s="2">
        <v>183</v>
      </c>
      <c r="B191" s="5">
        <v>31</v>
      </c>
      <c r="C191" s="6">
        <v>1500570</v>
      </c>
      <c r="D191" s="6" t="s">
        <v>197</v>
      </c>
      <c r="E191" s="6">
        <v>3912020</v>
      </c>
      <c r="F191" s="6">
        <v>1912021</v>
      </c>
      <c r="G191" s="6">
        <v>2912020</v>
      </c>
      <c r="H191" s="6">
        <v>1912022</v>
      </c>
      <c r="I191" s="6">
        <v>57.914999999999999</v>
      </c>
      <c r="J191" s="6" t="s">
        <v>169</v>
      </c>
      <c r="K191" s="6" t="s">
        <v>170</v>
      </c>
      <c r="L191" s="7" t="s">
        <v>171</v>
      </c>
      <c r="M191" s="7" t="s">
        <v>172</v>
      </c>
      <c r="N191" s="8" t="s">
        <v>2108</v>
      </c>
      <c r="O191" s="5">
        <v>-3350.62</v>
      </c>
      <c r="P191" s="6">
        <v>4627.07</v>
      </c>
      <c r="Q191" s="6">
        <v>-15566.9</v>
      </c>
      <c r="R191" s="12">
        <v>15697.2</v>
      </c>
      <c r="S191" s="4" t="s">
        <v>2109</v>
      </c>
      <c r="T191" s="4" t="s">
        <v>2110</v>
      </c>
      <c r="U191" s="4" t="s">
        <v>2111</v>
      </c>
      <c r="V191" s="4" t="s">
        <v>2112</v>
      </c>
      <c r="W191" s="4" t="s">
        <v>2113</v>
      </c>
      <c r="X191" s="4" t="s">
        <v>2114</v>
      </c>
      <c r="Y191" s="4" t="s">
        <v>2115</v>
      </c>
      <c r="Z191" s="4" t="s">
        <v>2116</v>
      </c>
      <c r="AA191" s="4" t="s">
        <v>2117</v>
      </c>
      <c r="AB191" s="4" t="s">
        <v>2118</v>
      </c>
      <c r="AC191" s="4" t="s">
        <v>2119</v>
      </c>
      <c r="AD191" s="4" t="s">
        <v>2120</v>
      </c>
      <c r="AE191" s="4" t="s">
        <v>2121</v>
      </c>
      <c r="AF191" s="4" t="s">
        <v>2122</v>
      </c>
      <c r="AG191" s="4" t="s">
        <v>2123</v>
      </c>
      <c r="AH191" s="4" t="s">
        <v>2124</v>
      </c>
      <c r="AI191" s="4" t="s">
        <v>2125</v>
      </c>
      <c r="AJ191" s="4" t="s">
        <v>2126</v>
      </c>
      <c r="AK191" s="4" t="s">
        <v>2127</v>
      </c>
      <c r="AL191" s="4" t="s">
        <v>2128</v>
      </c>
      <c r="AM191" s="3">
        <v>-2559.91</v>
      </c>
      <c r="AN191" s="3">
        <v>-2547.25</v>
      </c>
      <c r="AO191" s="3">
        <v>-2544.29</v>
      </c>
      <c r="AP191" s="3">
        <v>-2538.88</v>
      </c>
      <c r="AQ191" s="3">
        <v>-2531</v>
      </c>
      <c r="AR191" s="3">
        <v>-2526.84</v>
      </c>
      <c r="AS191" s="3">
        <v>-2537.58</v>
      </c>
      <c r="AT191" s="3">
        <v>-2522.9699999999998</v>
      </c>
      <c r="AU191" s="3">
        <v>-2487.0100000000002</v>
      </c>
      <c r="AV191" s="3">
        <v>-2399.64</v>
      </c>
      <c r="AW191" s="3">
        <v>-2261.69</v>
      </c>
      <c r="AX191" s="3">
        <v>-2234.69</v>
      </c>
      <c r="AY191" s="3">
        <v>-2209.0300000000002</v>
      </c>
      <c r="AZ191" s="3">
        <v>-2193.56</v>
      </c>
      <c r="BA191" s="3">
        <v>-2192.8000000000002</v>
      </c>
      <c r="BB191" s="3">
        <v>-2196.4899999999998</v>
      </c>
      <c r="BC191" s="3">
        <v>-2320.11</v>
      </c>
      <c r="BD191" s="3">
        <v>-2415.65</v>
      </c>
      <c r="BE191" s="3">
        <v>-2477.4499999999998</v>
      </c>
      <c r="BF191" s="3">
        <v>-2521.73</v>
      </c>
      <c r="BG191" s="3">
        <v>163.15299999999999</v>
      </c>
      <c r="BH191" s="3">
        <v>159.84299999999999</v>
      </c>
      <c r="BI191" s="3">
        <v>158.06299999999999</v>
      </c>
      <c r="BJ191" s="3">
        <v>150.864</v>
      </c>
      <c r="BK191" s="3">
        <v>135.81700000000001</v>
      </c>
      <c r="BL191" s="3">
        <v>118.25</v>
      </c>
      <c r="BM191" s="3">
        <v>148.20699999999999</v>
      </c>
      <c r="BN191" s="3">
        <v>175.124</v>
      </c>
      <c r="BO191" s="3">
        <v>201.66900000000001</v>
      </c>
      <c r="BP191" s="3">
        <v>223.15100000000001</v>
      </c>
      <c r="BQ191" s="3">
        <v>234.37100000000001</v>
      </c>
      <c r="BR191" s="3">
        <v>230.13200000000001</v>
      </c>
      <c r="BS191" s="3">
        <v>221.25800000000001</v>
      </c>
      <c r="BT191" s="3">
        <v>216.58500000000001</v>
      </c>
      <c r="BU191" s="3">
        <v>223.364</v>
      </c>
      <c r="BV191" s="3">
        <v>231.61</v>
      </c>
      <c r="BW191" s="3">
        <v>224.828</v>
      </c>
      <c r="BX191" s="3">
        <v>215.91900000000001</v>
      </c>
      <c r="BY191" s="3">
        <v>199.26900000000001</v>
      </c>
      <c r="BZ191" s="3">
        <v>180.06399999999999</v>
      </c>
      <c r="CA191" s="3">
        <v>-312.31</v>
      </c>
      <c r="CB191" s="3">
        <v>-335.44900000000001</v>
      </c>
      <c r="CC191" s="3">
        <v>-374.89600000000002</v>
      </c>
      <c r="CD191" s="3">
        <v>-428.47399999999999</v>
      </c>
      <c r="CE191" s="3">
        <v>-479.30599999999998</v>
      </c>
      <c r="CF191" s="3">
        <v>-518.54600000000005</v>
      </c>
      <c r="CG191" s="3">
        <v>-511.30599999999998</v>
      </c>
      <c r="CH191" s="3">
        <v>-480.66699999999997</v>
      </c>
      <c r="CI191" s="3">
        <v>-431.92399999999998</v>
      </c>
      <c r="CJ191" s="3">
        <v>-385.49099999999999</v>
      </c>
      <c r="CK191" s="3">
        <v>-350.20299999999997</v>
      </c>
      <c r="CL191" s="3">
        <v>-338.93200000000002</v>
      </c>
      <c r="CM191" s="3">
        <v>-321.65300000000002</v>
      </c>
      <c r="CN191" s="3">
        <v>-294.553</v>
      </c>
      <c r="CO191" s="3">
        <v>-269.35000000000002</v>
      </c>
      <c r="CP191" s="3">
        <v>-259.02800000000002</v>
      </c>
      <c r="CQ191" s="3">
        <v>-266.92099999999999</v>
      </c>
      <c r="CR191" s="3">
        <v>-287.12200000000001</v>
      </c>
      <c r="CS191" s="3">
        <v>-309.38099999999997</v>
      </c>
      <c r="CT191" s="3">
        <v>-319.00299999999999</v>
      </c>
      <c r="CU191" s="3">
        <v>-958.774</v>
      </c>
      <c r="CV191" s="3">
        <v>-1418.72</v>
      </c>
      <c r="CW191" s="3">
        <v>-1533.39</v>
      </c>
      <c r="CX191" s="3">
        <v>-2136.16</v>
      </c>
      <c r="CY191" s="3">
        <v>-3485.57</v>
      </c>
      <c r="CZ191" s="3">
        <v>-5514.12</v>
      </c>
      <c r="DA191" s="3">
        <v>-5566.04</v>
      </c>
      <c r="DB191" s="3">
        <v>-5726.04</v>
      </c>
      <c r="DC191" s="3">
        <v>-6023.91</v>
      </c>
      <c r="DD191" s="3">
        <v>-6429.75</v>
      </c>
      <c r="DE191" s="3">
        <v>-6849.39</v>
      </c>
      <c r="DF191" s="3">
        <v>-4908.2299999999996</v>
      </c>
      <c r="DG191" s="3">
        <v>-3631.18</v>
      </c>
      <c r="DH191" s="3">
        <v>-3107.99</v>
      </c>
      <c r="DI191" s="3">
        <v>-2878.72</v>
      </c>
      <c r="DJ191" s="3">
        <v>-2246.15</v>
      </c>
      <c r="DK191" s="3">
        <v>-1900.49</v>
      </c>
      <c r="DL191" s="3">
        <v>-1666.54</v>
      </c>
      <c r="DM191" s="3">
        <v>-1466.41</v>
      </c>
      <c r="DN191" s="3">
        <v>-1210.6099999999999</v>
      </c>
      <c r="DO191" s="3">
        <v>2011.76</v>
      </c>
      <c r="DP191" s="3">
        <v>1950.19</v>
      </c>
      <c r="DQ191" s="3">
        <v>1656.03</v>
      </c>
      <c r="DR191" s="3">
        <v>1297.78</v>
      </c>
      <c r="DS191" s="3">
        <v>943.46500000000003</v>
      </c>
      <c r="DT191" s="3">
        <v>632.78099999999995</v>
      </c>
      <c r="DU191" s="3">
        <v>478.03800000000001</v>
      </c>
      <c r="DV191" s="3">
        <v>298.10000000000002</v>
      </c>
      <c r="DW191" s="3">
        <v>-67.554000000000002</v>
      </c>
      <c r="DX191" s="3">
        <v>-549.94100000000003</v>
      </c>
      <c r="DY191" s="3">
        <v>-909.39400000000001</v>
      </c>
      <c r="DZ191" s="3">
        <v>-819.45500000000004</v>
      </c>
      <c r="EA191" s="3">
        <v>-533.91600000000005</v>
      </c>
      <c r="EB191" s="3">
        <v>-132.041</v>
      </c>
      <c r="EC191" s="3">
        <v>239.21100000000001</v>
      </c>
      <c r="ED191" s="3">
        <v>458.35</v>
      </c>
      <c r="EE191" s="3">
        <v>874.67600000000004</v>
      </c>
      <c r="EF191" s="3">
        <v>1421.99</v>
      </c>
      <c r="EG191" s="3">
        <v>1906.16</v>
      </c>
      <c r="EH191" s="3">
        <v>2134.0700000000002</v>
      </c>
      <c r="EI191" s="3">
        <v>-477.11500000000001</v>
      </c>
      <c r="EJ191" s="3">
        <v>-626.18100000000004</v>
      </c>
      <c r="EK191" s="3">
        <v>-601.51300000000003</v>
      </c>
      <c r="EL191" s="3">
        <v>-299.31400000000002</v>
      </c>
      <c r="EM191" s="3">
        <v>-22.4194</v>
      </c>
      <c r="EN191" s="3">
        <v>168.566</v>
      </c>
      <c r="EO191" s="3">
        <v>33.236899999999999</v>
      </c>
      <c r="EP191" s="3">
        <v>-618.79899999999998</v>
      </c>
      <c r="EQ191" s="3">
        <v>-1401.2</v>
      </c>
      <c r="ER191" s="3">
        <v>-1637.55</v>
      </c>
      <c r="ES191" s="3">
        <v>-1299</v>
      </c>
      <c r="ET191" s="3">
        <v>-1094.3800000000001</v>
      </c>
      <c r="EU191" s="3">
        <v>-900.63499999999999</v>
      </c>
      <c r="EV191" s="3">
        <v>-753.05600000000004</v>
      </c>
      <c r="EW191" s="3">
        <v>-685.58600000000001</v>
      </c>
      <c r="EX191" s="3">
        <v>-561.49</v>
      </c>
      <c r="EY191" s="3">
        <v>-512.30600000000004</v>
      </c>
      <c r="EZ191" s="3">
        <v>-416.64100000000002</v>
      </c>
      <c r="FA191" s="3">
        <v>-349.12700000000001</v>
      </c>
      <c r="FB191" s="3">
        <v>-380.589</v>
      </c>
      <c r="FC191" s="3">
        <v>-2415.2199999999998</v>
      </c>
      <c r="FD191" s="3">
        <v>-2455.96</v>
      </c>
      <c r="FE191" s="3">
        <v>147.66499999999999</v>
      </c>
      <c r="FF191" s="3">
        <v>226.22</v>
      </c>
      <c r="FG191" s="3">
        <v>-292.29399999999998</v>
      </c>
      <c r="FH191" s="3">
        <v>-446.35599999999999</v>
      </c>
      <c r="FI191" s="3">
        <v>3796.52</v>
      </c>
      <c r="FJ191" s="3">
        <v>-566.23</v>
      </c>
      <c r="FK191" s="3">
        <v>608.50599999999997</v>
      </c>
      <c r="FL191" s="3">
        <v>0</v>
      </c>
      <c r="FM191" s="3"/>
    </row>
    <row r="192" spans="1:169" x14ac:dyDescent="0.3">
      <c r="A192" s="2">
        <v>184</v>
      </c>
      <c r="B192" s="5">
        <v>31</v>
      </c>
      <c r="C192" s="6">
        <v>1500570</v>
      </c>
      <c r="D192" s="6" t="s">
        <v>197</v>
      </c>
      <c r="E192" s="6">
        <v>3912020</v>
      </c>
      <c r="F192" s="6">
        <v>1912021</v>
      </c>
      <c r="G192" s="6">
        <v>2912020</v>
      </c>
      <c r="H192" s="6">
        <v>1912022</v>
      </c>
      <c r="I192" s="6">
        <v>57.914999999999999</v>
      </c>
      <c r="J192" s="6" t="s">
        <v>194</v>
      </c>
      <c r="K192" s="6" t="s">
        <v>195</v>
      </c>
      <c r="L192" s="7" t="s">
        <v>196</v>
      </c>
      <c r="M192" s="7" t="s">
        <v>172</v>
      </c>
      <c r="N192" s="8" t="s">
        <v>2108</v>
      </c>
      <c r="O192" s="5">
        <v>6248.78</v>
      </c>
      <c r="P192" s="6">
        <v>-4337.04</v>
      </c>
      <c r="Q192" s="6">
        <v>15993.4</v>
      </c>
      <c r="R192" s="12">
        <v>38887.4</v>
      </c>
      <c r="S192" s="4" t="s">
        <v>2109</v>
      </c>
      <c r="T192" s="4" t="s">
        <v>2110</v>
      </c>
      <c r="U192" s="4" t="s">
        <v>2111</v>
      </c>
      <c r="V192" s="4" t="s">
        <v>2112</v>
      </c>
      <c r="W192" s="4" t="s">
        <v>2113</v>
      </c>
      <c r="X192" s="4" t="s">
        <v>2114</v>
      </c>
      <c r="Y192" s="4" t="s">
        <v>2115</v>
      </c>
      <c r="Z192" s="4" t="s">
        <v>2116</v>
      </c>
      <c r="AA192" s="4" t="s">
        <v>2117</v>
      </c>
      <c r="AB192" s="4" t="s">
        <v>2118</v>
      </c>
      <c r="AC192" s="4" t="s">
        <v>2119</v>
      </c>
      <c r="AD192" s="4" t="s">
        <v>2120</v>
      </c>
      <c r="AE192" s="4" t="s">
        <v>2121</v>
      </c>
      <c r="AF192" s="4" t="s">
        <v>2122</v>
      </c>
      <c r="AG192" s="4" t="s">
        <v>2123</v>
      </c>
      <c r="AH192" s="4" t="s">
        <v>2124</v>
      </c>
      <c r="AI192" s="4" t="s">
        <v>2125</v>
      </c>
      <c r="AJ192" s="4" t="s">
        <v>2126</v>
      </c>
      <c r="AK192" s="4" t="s">
        <v>2127</v>
      </c>
      <c r="AL192" s="4" t="s">
        <v>2128</v>
      </c>
      <c r="AM192" s="3">
        <v>2387.19</v>
      </c>
      <c r="AN192" s="3">
        <v>2342.17</v>
      </c>
      <c r="AO192" s="3">
        <v>2305.34</v>
      </c>
      <c r="AP192" s="3">
        <v>2264.61</v>
      </c>
      <c r="AQ192" s="3">
        <v>2216.4699999999998</v>
      </c>
      <c r="AR192" s="3">
        <v>2165.91</v>
      </c>
      <c r="AS192" s="3">
        <v>2057.12</v>
      </c>
      <c r="AT192" s="3">
        <v>1946.38</v>
      </c>
      <c r="AU192" s="3">
        <v>1849.37</v>
      </c>
      <c r="AV192" s="3">
        <v>1743.31</v>
      </c>
      <c r="AW192" s="3">
        <v>1636.44</v>
      </c>
      <c r="AX192" s="3">
        <v>1704.51</v>
      </c>
      <c r="AY192" s="3">
        <v>1761.16</v>
      </c>
      <c r="AZ192" s="3">
        <v>1813</v>
      </c>
      <c r="BA192" s="3">
        <v>1868.33</v>
      </c>
      <c r="BB192" s="3">
        <v>1920.16</v>
      </c>
      <c r="BC192" s="3">
        <v>2038.8</v>
      </c>
      <c r="BD192" s="3">
        <v>2147.44</v>
      </c>
      <c r="BE192" s="3">
        <v>2231.42</v>
      </c>
      <c r="BF192" s="3">
        <v>2305.6999999999998</v>
      </c>
      <c r="BG192" s="3">
        <v>-47.222900000000003</v>
      </c>
      <c r="BH192" s="3">
        <v>-25.9023</v>
      </c>
      <c r="BI192" s="3">
        <v>-10.4323</v>
      </c>
      <c r="BJ192" s="3">
        <v>7.8500500000000004</v>
      </c>
      <c r="BK192" s="3">
        <v>33.812100000000001</v>
      </c>
      <c r="BL192" s="3">
        <v>64.044300000000007</v>
      </c>
      <c r="BM192" s="3">
        <v>69.113</v>
      </c>
      <c r="BN192" s="3">
        <v>69.855900000000005</v>
      </c>
      <c r="BO192" s="3">
        <v>60.160600000000002</v>
      </c>
      <c r="BP192" s="3">
        <v>41.5715</v>
      </c>
      <c r="BQ192" s="3">
        <v>16.9511</v>
      </c>
      <c r="BR192" s="3">
        <v>-5.1884699999999997</v>
      </c>
      <c r="BS192" s="3">
        <v>-20.2121</v>
      </c>
      <c r="BT192" s="3">
        <v>-34.840699999999998</v>
      </c>
      <c r="BU192" s="3">
        <v>-58.886899999999997</v>
      </c>
      <c r="BV192" s="3">
        <v>-85.957099999999997</v>
      </c>
      <c r="BW192" s="3">
        <v>-74.018900000000002</v>
      </c>
      <c r="BX192" s="3">
        <v>-67.725899999999996</v>
      </c>
      <c r="BY192" s="3">
        <v>-57.970300000000002</v>
      </c>
      <c r="BZ192" s="3">
        <v>-48.780099999999997</v>
      </c>
      <c r="CA192" s="3">
        <v>199.27600000000001</v>
      </c>
      <c r="CB192" s="3">
        <v>201.94</v>
      </c>
      <c r="CC192" s="3">
        <v>215.82300000000001</v>
      </c>
      <c r="CD192" s="3">
        <v>240.98699999999999</v>
      </c>
      <c r="CE192" s="3">
        <v>260.70600000000002</v>
      </c>
      <c r="CF192" s="3">
        <v>265.113</v>
      </c>
      <c r="CG192" s="3">
        <v>315.60199999999998</v>
      </c>
      <c r="CH192" s="3">
        <v>350.387</v>
      </c>
      <c r="CI192" s="3">
        <v>372.75200000000001</v>
      </c>
      <c r="CJ192" s="3">
        <v>415.33100000000002</v>
      </c>
      <c r="CK192" s="3">
        <v>483.34699999999998</v>
      </c>
      <c r="CL192" s="3">
        <v>454.18200000000002</v>
      </c>
      <c r="CM192" s="3">
        <v>420.59100000000001</v>
      </c>
      <c r="CN192" s="3">
        <v>378.07400000000001</v>
      </c>
      <c r="CO192" s="3">
        <v>338.197</v>
      </c>
      <c r="CP192" s="3">
        <v>315.13</v>
      </c>
      <c r="CQ192" s="3">
        <v>278.75</v>
      </c>
      <c r="CR192" s="3">
        <v>261.83600000000001</v>
      </c>
      <c r="CS192" s="3">
        <v>253.81100000000001</v>
      </c>
      <c r="CT192" s="3">
        <v>234.298</v>
      </c>
      <c r="CU192" s="3">
        <v>916.79</v>
      </c>
      <c r="CV192" s="3">
        <v>1441</v>
      </c>
      <c r="CW192" s="3">
        <v>1666.11</v>
      </c>
      <c r="CX192" s="3">
        <v>2399.17</v>
      </c>
      <c r="CY192" s="3">
        <v>3898.96</v>
      </c>
      <c r="CZ192" s="3">
        <v>6099.6</v>
      </c>
      <c r="DA192" s="3">
        <v>6118.03</v>
      </c>
      <c r="DB192" s="3">
        <v>6239.39</v>
      </c>
      <c r="DC192" s="3">
        <v>6495.74</v>
      </c>
      <c r="DD192" s="3">
        <v>6841.51</v>
      </c>
      <c r="DE192" s="3">
        <v>7179.47</v>
      </c>
      <c r="DF192" s="3">
        <v>5115.6400000000003</v>
      </c>
      <c r="DG192" s="3">
        <v>3710.72</v>
      </c>
      <c r="DH192" s="3">
        <v>3072.89</v>
      </c>
      <c r="DI192" s="3">
        <v>2766.57</v>
      </c>
      <c r="DJ192" s="3">
        <v>2115.0300000000002</v>
      </c>
      <c r="DK192" s="3">
        <v>1789.14</v>
      </c>
      <c r="DL192" s="3">
        <v>1571.61</v>
      </c>
      <c r="DM192" s="3">
        <v>1382.7</v>
      </c>
      <c r="DN192" s="3">
        <v>1143.6500000000001</v>
      </c>
      <c r="DO192" s="3">
        <v>-2250.77</v>
      </c>
      <c r="DP192" s="3">
        <v>-2191.9499999999998</v>
      </c>
      <c r="DQ192" s="3">
        <v>-1899.78</v>
      </c>
      <c r="DR192" s="3">
        <v>-1538.34</v>
      </c>
      <c r="DS192" s="3">
        <v>-1180.49</v>
      </c>
      <c r="DT192" s="3">
        <v>-860.755</v>
      </c>
      <c r="DU192" s="3">
        <v>-803.27099999999996</v>
      </c>
      <c r="DV192" s="3">
        <v>-760.697</v>
      </c>
      <c r="DW192" s="3">
        <v>-530.79399999999998</v>
      </c>
      <c r="DX192" s="3">
        <v>-97.770799999999994</v>
      </c>
      <c r="DY192" s="3">
        <v>321.767</v>
      </c>
      <c r="DZ192" s="3">
        <v>264.16199999999998</v>
      </c>
      <c r="EA192" s="3">
        <v>13.5451</v>
      </c>
      <c r="EB192" s="3">
        <v>-352.50400000000002</v>
      </c>
      <c r="EC192" s="3">
        <v>-695.80600000000004</v>
      </c>
      <c r="ED192" s="3">
        <v>-887.91399999999999</v>
      </c>
      <c r="EE192" s="3">
        <v>-1339.45</v>
      </c>
      <c r="EF192" s="3">
        <v>-1867.79</v>
      </c>
      <c r="EG192" s="3">
        <v>-2281.36</v>
      </c>
      <c r="EH192" s="3">
        <v>-2427.2600000000002</v>
      </c>
      <c r="EI192" s="3">
        <v>569.61900000000003</v>
      </c>
      <c r="EJ192" s="3">
        <v>710.43100000000004</v>
      </c>
      <c r="EK192" s="3">
        <v>686.31700000000001</v>
      </c>
      <c r="EL192" s="3">
        <v>402.57299999999998</v>
      </c>
      <c r="EM192" s="3">
        <v>146.149</v>
      </c>
      <c r="EN192" s="3">
        <v>-31.093699999999998</v>
      </c>
      <c r="EO192" s="3">
        <v>63.479500000000002</v>
      </c>
      <c r="EP192" s="3">
        <v>655.01099999999997</v>
      </c>
      <c r="EQ192" s="3">
        <v>1357.7</v>
      </c>
      <c r="ER192" s="3">
        <v>1514.51</v>
      </c>
      <c r="ES192" s="3">
        <v>1114.06</v>
      </c>
      <c r="ET192" s="3">
        <v>962.23800000000006</v>
      </c>
      <c r="EU192" s="3">
        <v>794.11300000000006</v>
      </c>
      <c r="EV192" s="3">
        <v>652.08799999999997</v>
      </c>
      <c r="EW192" s="3">
        <v>584.24099999999999</v>
      </c>
      <c r="EX192" s="3">
        <v>480.62700000000001</v>
      </c>
      <c r="EY192" s="3">
        <v>470.53800000000001</v>
      </c>
      <c r="EZ192" s="3">
        <v>426.28500000000003</v>
      </c>
      <c r="FA192" s="3">
        <v>404.01400000000001</v>
      </c>
      <c r="FB192" s="3">
        <v>460.81299999999999</v>
      </c>
      <c r="FC192" s="3">
        <v>1899.76</v>
      </c>
      <c r="FD192" s="3">
        <v>2171.7800000000002</v>
      </c>
      <c r="FE192" s="3">
        <v>3.6915100000000001</v>
      </c>
      <c r="FF192" s="3">
        <v>-31.355699999999999</v>
      </c>
      <c r="FG192" s="3">
        <v>230.64099999999999</v>
      </c>
      <c r="FH192" s="3">
        <v>398.25400000000002</v>
      </c>
      <c r="FI192" s="3">
        <v>-3991.06</v>
      </c>
      <c r="FJ192" s="3">
        <v>938.23699999999997</v>
      </c>
      <c r="FK192" s="3">
        <v>-606.53800000000001</v>
      </c>
      <c r="FL192" s="3">
        <v>0</v>
      </c>
      <c r="FM192" s="3"/>
    </row>
    <row r="193" spans="1:169" x14ac:dyDescent="0.3">
      <c r="A193" s="2">
        <v>185</v>
      </c>
      <c r="B193" s="5">
        <v>31</v>
      </c>
      <c r="C193" s="6">
        <v>2501378</v>
      </c>
      <c r="D193" s="6" t="s">
        <v>168</v>
      </c>
      <c r="E193" s="6">
        <v>2912020</v>
      </c>
      <c r="F193" s="6">
        <v>2912020</v>
      </c>
      <c r="G193" s="6">
        <v>0</v>
      </c>
      <c r="H193" s="6">
        <v>0</v>
      </c>
      <c r="I193" s="6">
        <v>51.48</v>
      </c>
      <c r="J193" s="6" t="s">
        <v>169</v>
      </c>
      <c r="K193" s="6" t="s">
        <v>170</v>
      </c>
      <c r="L193" s="7" t="s">
        <v>171</v>
      </c>
      <c r="M193" s="7" t="s">
        <v>172</v>
      </c>
      <c r="N193" s="8" t="s">
        <v>2129</v>
      </c>
      <c r="O193" s="5">
        <v>1443.73</v>
      </c>
      <c r="P193" s="6">
        <v>-15987.5</v>
      </c>
      <c r="Q193" s="6">
        <v>1253.94</v>
      </c>
      <c r="R193" s="12">
        <v>15697.2</v>
      </c>
      <c r="S193" s="4" t="s">
        <v>2130</v>
      </c>
      <c r="T193" s="4" t="s">
        <v>2131</v>
      </c>
      <c r="U193" s="4" t="s">
        <v>2132</v>
      </c>
      <c r="V193" s="4" t="s">
        <v>2133</v>
      </c>
      <c r="W193" s="4" t="s">
        <v>2134</v>
      </c>
      <c r="X193" s="4" t="s">
        <v>2135</v>
      </c>
      <c r="Y193" s="4" t="s">
        <v>2136</v>
      </c>
      <c r="Z193" s="4" t="s">
        <v>2137</v>
      </c>
      <c r="AA193" s="4" t="s">
        <v>2138</v>
      </c>
      <c r="AB193" s="4" t="s">
        <v>2139</v>
      </c>
      <c r="AC193" s="4" t="s">
        <v>2140</v>
      </c>
      <c r="AD193" s="4" t="s">
        <v>2141</v>
      </c>
      <c r="AE193" s="4" t="s">
        <v>2142</v>
      </c>
      <c r="AF193" s="4" t="s">
        <v>2143</v>
      </c>
      <c r="AG193" s="4" t="s">
        <v>2144</v>
      </c>
      <c r="AH193" s="4" t="s">
        <v>2145</v>
      </c>
      <c r="AI193" s="4" t="s">
        <v>2146</v>
      </c>
      <c r="AJ193" s="4" t="s">
        <v>2147</v>
      </c>
      <c r="AK193" s="4" t="s">
        <v>2148</v>
      </c>
      <c r="AL193" s="4" t="s">
        <v>2149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/>
    </row>
    <row r="194" spans="1:169" x14ac:dyDescent="0.3">
      <c r="A194" s="2">
        <v>186</v>
      </c>
      <c r="B194" s="5">
        <v>31</v>
      </c>
      <c r="C194" s="6">
        <v>2501378</v>
      </c>
      <c r="D194" s="6" t="s">
        <v>168</v>
      </c>
      <c r="E194" s="6">
        <v>2912020</v>
      </c>
      <c r="F194" s="6">
        <v>2912020</v>
      </c>
      <c r="G194" s="6">
        <v>0</v>
      </c>
      <c r="H194" s="6">
        <v>0</v>
      </c>
      <c r="I194" s="6">
        <v>51.48</v>
      </c>
      <c r="J194" s="6" t="s">
        <v>194</v>
      </c>
      <c r="K194" s="6" t="s">
        <v>195</v>
      </c>
      <c r="L194" s="7" t="s">
        <v>196</v>
      </c>
      <c r="M194" s="7" t="s">
        <v>172</v>
      </c>
      <c r="N194" s="8" t="s">
        <v>2129</v>
      </c>
      <c r="O194" s="5">
        <v>-277.62700000000001</v>
      </c>
      <c r="P194" s="6">
        <v>15972.5</v>
      </c>
      <c r="Q194" s="6">
        <v>-1018.89</v>
      </c>
      <c r="R194" s="12">
        <v>38887.4</v>
      </c>
      <c r="S194" s="4" t="s">
        <v>2130</v>
      </c>
      <c r="T194" s="4" t="s">
        <v>2131</v>
      </c>
      <c r="U194" s="4" t="s">
        <v>2132</v>
      </c>
      <c r="V194" s="4" t="s">
        <v>2133</v>
      </c>
      <c r="W194" s="4" t="s">
        <v>2134</v>
      </c>
      <c r="X194" s="4" t="s">
        <v>2135</v>
      </c>
      <c r="Y194" s="4" t="s">
        <v>2136</v>
      </c>
      <c r="Z194" s="4" t="s">
        <v>2137</v>
      </c>
      <c r="AA194" s="4" t="s">
        <v>2138</v>
      </c>
      <c r="AB194" s="4" t="s">
        <v>2139</v>
      </c>
      <c r="AC194" s="4" t="s">
        <v>2140</v>
      </c>
      <c r="AD194" s="4" t="s">
        <v>2141</v>
      </c>
      <c r="AE194" s="4" t="s">
        <v>2142</v>
      </c>
      <c r="AF194" s="4" t="s">
        <v>2143</v>
      </c>
      <c r="AG194" s="4" t="s">
        <v>2144</v>
      </c>
      <c r="AH194" s="4" t="s">
        <v>2145</v>
      </c>
      <c r="AI194" s="4" t="s">
        <v>2146</v>
      </c>
      <c r="AJ194" s="4" t="s">
        <v>2147</v>
      </c>
      <c r="AK194" s="4" t="s">
        <v>2148</v>
      </c>
      <c r="AL194" s="4" t="s">
        <v>2149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/>
    </row>
    <row r="195" spans="1:169" x14ac:dyDescent="0.3">
      <c r="A195" s="2">
        <v>187</v>
      </c>
      <c r="B195" s="5">
        <v>32</v>
      </c>
      <c r="C195" s="6">
        <v>2501536</v>
      </c>
      <c r="D195" s="6" t="s">
        <v>168</v>
      </c>
      <c r="E195" s="6">
        <v>2909020</v>
      </c>
      <c r="F195" s="6">
        <v>2909020</v>
      </c>
      <c r="G195" s="6">
        <v>0</v>
      </c>
      <c r="H195" s="6">
        <v>0</v>
      </c>
      <c r="I195" s="6">
        <v>51.48</v>
      </c>
      <c r="J195" s="6" t="s">
        <v>169</v>
      </c>
      <c r="K195" s="6" t="s">
        <v>170</v>
      </c>
      <c r="L195" s="7" t="s">
        <v>171</v>
      </c>
      <c r="M195" s="7" t="s">
        <v>172</v>
      </c>
      <c r="N195" s="8" t="s">
        <v>2150</v>
      </c>
      <c r="O195" s="5">
        <v>-2208.61</v>
      </c>
      <c r="P195" s="6">
        <v>7214.56</v>
      </c>
      <c r="Q195" s="6">
        <v>126.861</v>
      </c>
      <c r="R195" s="12">
        <v>8868.9</v>
      </c>
      <c r="S195" s="4" t="s">
        <v>2151</v>
      </c>
      <c r="T195" s="4" t="s">
        <v>2152</v>
      </c>
      <c r="U195" s="4" t="s">
        <v>2153</v>
      </c>
      <c r="V195" s="4" t="s">
        <v>2154</v>
      </c>
      <c r="W195" s="4" t="s">
        <v>2155</v>
      </c>
      <c r="X195" s="4" t="s">
        <v>2156</v>
      </c>
      <c r="Y195" s="4" t="s">
        <v>2157</v>
      </c>
      <c r="Z195" s="4" t="s">
        <v>2158</v>
      </c>
      <c r="AA195" s="4" t="s">
        <v>2159</v>
      </c>
      <c r="AB195" s="4" t="s">
        <v>2160</v>
      </c>
      <c r="AC195" s="4" t="s">
        <v>2161</v>
      </c>
      <c r="AD195" s="4" t="s">
        <v>2162</v>
      </c>
      <c r="AE195" s="4" t="s">
        <v>2163</v>
      </c>
      <c r="AF195" s="4" t="s">
        <v>2164</v>
      </c>
      <c r="AG195" s="4" t="s">
        <v>2165</v>
      </c>
      <c r="AH195" s="4" t="s">
        <v>2166</v>
      </c>
      <c r="AI195" s="4" t="s">
        <v>2167</v>
      </c>
      <c r="AJ195" s="4" t="s">
        <v>2168</v>
      </c>
      <c r="AK195" s="4" t="s">
        <v>2169</v>
      </c>
      <c r="AL195" s="4" t="s">
        <v>2170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/>
    </row>
    <row r="196" spans="1:169" x14ac:dyDescent="0.3">
      <c r="A196" s="2">
        <v>188</v>
      </c>
      <c r="B196" s="5">
        <v>32</v>
      </c>
      <c r="C196" s="6">
        <v>2501536</v>
      </c>
      <c r="D196" s="6" t="s">
        <v>168</v>
      </c>
      <c r="E196" s="6">
        <v>2909020</v>
      </c>
      <c r="F196" s="6">
        <v>2909020</v>
      </c>
      <c r="G196" s="6">
        <v>0</v>
      </c>
      <c r="H196" s="6">
        <v>0</v>
      </c>
      <c r="I196" s="6">
        <v>51.48</v>
      </c>
      <c r="J196" s="6" t="s">
        <v>194</v>
      </c>
      <c r="K196" s="6" t="s">
        <v>195</v>
      </c>
      <c r="L196" s="7" t="s">
        <v>196</v>
      </c>
      <c r="M196" s="7" t="s">
        <v>172</v>
      </c>
      <c r="N196" s="8" t="s">
        <v>2150</v>
      </c>
      <c r="O196" s="5">
        <v>2917.1</v>
      </c>
      <c r="P196" s="6">
        <v>-8469.4599999999991</v>
      </c>
      <c r="Q196" s="6">
        <v>-138.471</v>
      </c>
      <c r="R196" s="12">
        <v>0</v>
      </c>
      <c r="S196" s="4" t="s">
        <v>2151</v>
      </c>
      <c r="T196" s="4" t="s">
        <v>2152</v>
      </c>
      <c r="U196" s="4" t="s">
        <v>2153</v>
      </c>
      <c r="V196" s="4" t="s">
        <v>2154</v>
      </c>
      <c r="W196" s="4" t="s">
        <v>2155</v>
      </c>
      <c r="X196" s="4" t="s">
        <v>2156</v>
      </c>
      <c r="Y196" s="4" t="s">
        <v>2157</v>
      </c>
      <c r="Z196" s="4" t="s">
        <v>2158</v>
      </c>
      <c r="AA196" s="4" t="s">
        <v>2159</v>
      </c>
      <c r="AB196" s="4" t="s">
        <v>2160</v>
      </c>
      <c r="AC196" s="4" t="s">
        <v>2161</v>
      </c>
      <c r="AD196" s="4" t="s">
        <v>2162</v>
      </c>
      <c r="AE196" s="4" t="s">
        <v>2163</v>
      </c>
      <c r="AF196" s="4" t="s">
        <v>2164</v>
      </c>
      <c r="AG196" s="4" t="s">
        <v>2165</v>
      </c>
      <c r="AH196" s="4" t="s">
        <v>2166</v>
      </c>
      <c r="AI196" s="4" t="s">
        <v>2167</v>
      </c>
      <c r="AJ196" s="4" t="s">
        <v>2168</v>
      </c>
      <c r="AK196" s="4" t="s">
        <v>2169</v>
      </c>
      <c r="AL196" s="4" t="s">
        <v>2170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/>
    </row>
    <row r="197" spans="1:169" x14ac:dyDescent="0.3">
      <c r="A197" s="2">
        <v>189</v>
      </c>
      <c r="B197" s="5">
        <v>32</v>
      </c>
      <c r="C197" s="6">
        <v>1500944</v>
      </c>
      <c r="D197" s="6" t="s">
        <v>197</v>
      </c>
      <c r="E197" s="6">
        <v>2909020</v>
      </c>
      <c r="F197" s="6">
        <v>1909022</v>
      </c>
      <c r="G197" s="6">
        <v>3909020</v>
      </c>
      <c r="H197" s="6">
        <v>1909023</v>
      </c>
      <c r="I197" s="6">
        <v>57.914999999999999</v>
      </c>
      <c r="J197" s="6" t="s">
        <v>169</v>
      </c>
      <c r="K197" s="6" t="s">
        <v>170</v>
      </c>
      <c r="L197" s="7" t="s">
        <v>171</v>
      </c>
      <c r="M197" s="7" t="s">
        <v>172</v>
      </c>
      <c r="N197" s="8" t="s">
        <v>2171</v>
      </c>
      <c r="O197" s="5">
        <v>2499.67</v>
      </c>
      <c r="P197" s="6">
        <v>-6636.8</v>
      </c>
      <c r="Q197" s="6">
        <v>236.042</v>
      </c>
      <c r="R197" s="12">
        <v>8868.9</v>
      </c>
      <c r="S197" s="4" t="s">
        <v>2172</v>
      </c>
      <c r="T197" s="4" t="s">
        <v>2173</v>
      </c>
      <c r="U197" s="4" t="s">
        <v>2174</v>
      </c>
      <c r="V197" s="4" t="s">
        <v>2175</v>
      </c>
      <c r="W197" s="4" t="s">
        <v>2176</v>
      </c>
      <c r="X197" s="4" t="s">
        <v>2177</v>
      </c>
      <c r="Y197" s="4" t="s">
        <v>2178</v>
      </c>
      <c r="Z197" s="4" t="s">
        <v>2179</v>
      </c>
      <c r="AA197" s="4" t="s">
        <v>2180</v>
      </c>
      <c r="AB197" s="4" t="s">
        <v>2181</v>
      </c>
      <c r="AC197" s="4" t="s">
        <v>2182</v>
      </c>
      <c r="AD197" s="4" t="s">
        <v>2183</v>
      </c>
      <c r="AE197" s="4" t="s">
        <v>2184</v>
      </c>
      <c r="AF197" s="4" t="s">
        <v>2185</v>
      </c>
      <c r="AG197" s="4" t="s">
        <v>2186</v>
      </c>
      <c r="AH197" s="4" t="s">
        <v>2187</v>
      </c>
      <c r="AI197" s="4" t="s">
        <v>2188</v>
      </c>
      <c r="AJ197" s="4" t="s">
        <v>2189</v>
      </c>
      <c r="AK197" s="4" t="s">
        <v>2190</v>
      </c>
      <c r="AL197" s="4" t="s">
        <v>2191</v>
      </c>
      <c r="AM197" s="3">
        <v>433.49</v>
      </c>
      <c r="AN197" s="3">
        <v>462.08300000000003</v>
      </c>
      <c r="AO197" s="3">
        <v>492.74299999999999</v>
      </c>
      <c r="AP197" s="3">
        <v>533.78800000000001</v>
      </c>
      <c r="AQ197" s="3">
        <v>582.07600000000002</v>
      </c>
      <c r="AR197" s="3">
        <v>631.89400000000001</v>
      </c>
      <c r="AS197" s="3">
        <v>475.43400000000003</v>
      </c>
      <c r="AT197" s="3">
        <v>309.17399999999998</v>
      </c>
      <c r="AU197" s="3">
        <v>151.291</v>
      </c>
      <c r="AV197" s="3">
        <v>13.4214</v>
      </c>
      <c r="AW197" s="3">
        <v>-117.836</v>
      </c>
      <c r="AX197" s="3">
        <v>-141.233</v>
      </c>
      <c r="AY197" s="3">
        <v>-161.61000000000001</v>
      </c>
      <c r="AZ197" s="3">
        <v>-188.52500000000001</v>
      </c>
      <c r="BA197" s="3">
        <v>-219.12200000000001</v>
      </c>
      <c r="BB197" s="3">
        <v>-257.59500000000003</v>
      </c>
      <c r="BC197" s="3">
        <v>-116.307</v>
      </c>
      <c r="BD197" s="3">
        <v>35.042099999999998</v>
      </c>
      <c r="BE197" s="3">
        <v>184.44200000000001</v>
      </c>
      <c r="BF197" s="3">
        <v>314.64800000000002</v>
      </c>
      <c r="BG197" s="3">
        <v>452.69299999999998</v>
      </c>
      <c r="BH197" s="3">
        <v>476.71</v>
      </c>
      <c r="BI197" s="3">
        <v>494.75099999999998</v>
      </c>
      <c r="BJ197" s="3">
        <v>488.536</v>
      </c>
      <c r="BK197" s="3">
        <v>465.93599999999998</v>
      </c>
      <c r="BL197" s="3">
        <v>437.23</v>
      </c>
      <c r="BM197" s="3">
        <v>425.61099999999999</v>
      </c>
      <c r="BN197" s="3">
        <v>408.60199999999998</v>
      </c>
      <c r="BO197" s="3">
        <v>387.95699999999999</v>
      </c>
      <c r="BP197" s="3">
        <v>360.74200000000002</v>
      </c>
      <c r="BQ197" s="3">
        <v>335.50700000000001</v>
      </c>
      <c r="BR197" s="3">
        <v>325.51400000000001</v>
      </c>
      <c r="BS197" s="3">
        <v>319.62599999999998</v>
      </c>
      <c r="BT197" s="3">
        <v>326.26299999999998</v>
      </c>
      <c r="BU197" s="3">
        <v>338.435</v>
      </c>
      <c r="BV197" s="3">
        <v>348.56400000000002</v>
      </c>
      <c r="BW197" s="3">
        <v>368.59500000000003</v>
      </c>
      <c r="BX197" s="3">
        <v>388.38200000000001</v>
      </c>
      <c r="BY197" s="3">
        <v>409.73599999999999</v>
      </c>
      <c r="BZ197" s="3">
        <v>433.17599999999999</v>
      </c>
      <c r="CA197" s="3">
        <v>-614.22900000000004</v>
      </c>
      <c r="CB197" s="3">
        <v>-628.71500000000003</v>
      </c>
      <c r="CC197" s="3">
        <v>-632.54100000000005</v>
      </c>
      <c r="CD197" s="3">
        <v>-634.70299999999997</v>
      </c>
      <c r="CE197" s="3">
        <v>-643.55399999999997</v>
      </c>
      <c r="CF197" s="3">
        <v>-654.11800000000005</v>
      </c>
      <c r="CG197" s="3">
        <v>-611.35900000000004</v>
      </c>
      <c r="CH197" s="3">
        <v>-575.42899999999997</v>
      </c>
      <c r="CI197" s="3">
        <v>-537.24800000000005</v>
      </c>
      <c r="CJ197" s="3">
        <v>-499.04599999999999</v>
      </c>
      <c r="CK197" s="3">
        <v>-468.166</v>
      </c>
      <c r="CL197" s="3">
        <v>-453.90100000000001</v>
      </c>
      <c r="CM197" s="3">
        <v>-456.78199999999998</v>
      </c>
      <c r="CN197" s="3">
        <v>-464.80099999999999</v>
      </c>
      <c r="CO197" s="3">
        <v>-461.76</v>
      </c>
      <c r="CP197" s="3">
        <v>-444.358</v>
      </c>
      <c r="CQ197" s="3">
        <v>-470.98700000000002</v>
      </c>
      <c r="CR197" s="3">
        <v>-501.20499999999998</v>
      </c>
      <c r="CS197" s="3">
        <v>-539.76900000000001</v>
      </c>
      <c r="CT197" s="3">
        <v>-579.94600000000003</v>
      </c>
      <c r="CU197" s="3">
        <v>-1985.57</v>
      </c>
      <c r="CV197" s="3">
        <v>-2272.79</v>
      </c>
      <c r="CW197" s="3">
        <v>-2370.29</v>
      </c>
      <c r="CX197" s="3">
        <v>-2457.84</v>
      </c>
      <c r="CY197" s="3">
        <v>-2608.0100000000002</v>
      </c>
      <c r="CZ197" s="3">
        <v>-2846.6</v>
      </c>
      <c r="DA197" s="3">
        <v>-3302.28</v>
      </c>
      <c r="DB197" s="3">
        <v>-3836.27</v>
      </c>
      <c r="DC197" s="3">
        <v>-4348.99</v>
      </c>
      <c r="DD197" s="3">
        <v>-4837.6899999999996</v>
      </c>
      <c r="DE197" s="3">
        <v>-5204.88</v>
      </c>
      <c r="DF197" s="3">
        <v>-4527.79</v>
      </c>
      <c r="DG197" s="3">
        <v>-4300.25</v>
      </c>
      <c r="DH197" s="3">
        <v>-4281.8999999999996</v>
      </c>
      <c r="DI197" s="3">
        <v>-4154.53</v>
      </c>
      <c r="DJ197" s="3">
        <v>-3707.14</v>
      </c>
      <c r="DK197" s="3">
        <v>-3477.56</v>
      </c>
      <c r="DL197" s="3">
        <v>-3252.69</v>
      </c>
      <c r="DM197" s="3">
        <v>-2926.69</v>
      </c>
      <c r="DN197" s="3">
        <v>-2508.79</v>
      </c>
      <c r="DO197" s="3">
        <v>-916.02200000000005</v>
      </c>
      <c r="DP197" s="3">
        <v>-892.65200000000004</v>
      </c>
      <c r="DQ197" s="3">
        <v>-923.01099999999997</v>
      </c>
      <c r="DR197" s="3">
        <v>-955.654</v>
      </c>
      <c r="DS197" s="3">
        <v>-1002.57</v>
      </c>
      <c r="DT197" s="3">
        <v>-1093.25</v>
      </c>
      <c r="DU197" s="3">
        <v>-1254.6099999999999</v>
      </c>
      <c r="DV197" s="3">
        <v>-1371.15</v>
      </c>
      <c r="DW197" s="3">
        <v>-1711.9</v>
      </c>
      <c r="DX197" s="3">
        <v>-2255.17</v>
      </c>
      <c r="DY197" s="3">
        <v>-2782.63</v>
      </c>
      <c r="DZ197" s="3">
        <v>-2668.34</v>
      </c>
      <c r="EA197" s="3">
        <v>-2520.17</v>
      </c>
      <c r="EB197" s="3">
        <v>-2339.59</v>
      </c>
      <c r="EC197" s="3">
        <v>-2224.35</v>
      </c>
      <c r="ED197" s="3">
        <v>-2149.0100000000002</v>
      </c>
      <c r="EE197" s="3">
        <v>-2129.85</v>
      </c>
      <c r="EF197" s="3">
        <v>-2053.69</v>
      </c>
      <c r="EG197" s="3">
        <v>-1758.35</v>
      </c>
      <c r="EH197" s="3">
        <v>-1319.8</v>
      </c>
      <c r="EI197" s="3">
        <v>-339.50200000000001</v>
      </c>
      <c r="EJ197" s="3">
        <v>-73.346199999999996</v>
      </c>
      <c r="EK197" s="3">
        <v>151.358</v>
      </c>
      <c r="EL197" s="3">
        <v>255.608</v>
      </c>
      <c r="EM197" s="3">
        <v>301.464</v>
      </c>
      <c r="EN197" s="3">
        <v>422.85899999999998</v>
      </c>
      <c r="EO197" s="3">
        <v>409.51299999999998</v>
      </c>
      <c r="EP197" s="3">
        <v>372.596</v>
      </c>
      <c r="EQ197" s="3">
        <v>324.74</v>
      </c>
      <c r="ER197" s="3">
        <v>203.39099999999999</v>
      </c>
      <c r="ES197" s="3">
        <v>63.709499999999998</v>
      </c>
      <c r="ET197" s="3">
        <v>-32.765599999999999</v>
      </c>
      <c r="EU197" s="3">
        <v>-107.55</v>
      </c>
      <c r="EV197" s="3">
        <v>-168.16900000000001</v>
      </c>
      <c r="EW197" s="3">
        <v>-250.18700000000001</v>
      </c>
      <c r="EX197" s="3">
        <v>-376.858</v>
      </c>
      <c r="EY197" s="3">
        <v>-295.21600000000001</v>
      </c>
      <c r="EZ197" s="3">
        <v>-304.24900000000002</v>
      </c>
      <c r="FA197" s="3">
        <v>-372.70600000000002</v>
      </c>
      <c r="FB197" s="3">
        <v>-383.61200000000002</v>
      </c>
      <c r="FC197" s="3">
        <v>98.953500000000005</v>
      </c>
      <c r="FD197" s="3">
        <v>243.89599999999999</v>
      </c>
      <c r="FE197" s="3">
        <v>332.31799999999998</v>
      </c>
      <c r="FF197" s="3">
        <v>469.30900000000003</v>
      </c>
      <c r="FG197" s="3">
        <v>-458.29500000000002</v>
      </c>
      <c r="FH197" s="3">
        <v>-634.64300000000003</v>
      </c>
      <c r="FI197" s="3">
        <v>3519.6</v>
      </c>
      <c r="FJ197" s="3">
        <v>1705.61</v>
      </c>
      <c r="FK197" s="3">
        <v>17.863</v>
      </c>
      <c r="FL197" s="3">
        <v>0.20738200000000001</v>
      </c>
      <c r="FM197" s="3"/>
    </row>
    <row r="198" spans="1:169" x14ac:dyDescent="0.3">
      <c r="A198" s="2">
        <v>190</v>
      </c>
      <c r="B198" s="5">
        <v>32</v>
      </c>
      <c r="C198" s="6">
        <v>1500944</v>
      </c>
      <c r="D198" s="6" t="s">
        <v>197</v>
      </c>
      <c r="E198" s="6">
        <v>2909020</v>
      </c>
      <c r="F198" s="6">
        <v>1909022</v>
      </c>
      <c r="G198" s="6">
        <v>3909020</v>
      </c>
      <c r="H198" s="6">
        <v>1909023</v>
      </c>
      <c r="I198" s="6">
        <v>57.914999999999999</v>
      </c>
      <c r="J198" s="6" t="s">
        <v>194</v>
      </c>
      <c r="K198" s="6" t="s">
        <v>195</v>
      </c>
      <c r="L198" s="7" t="s">
        <v>196</v>
      </c>
      <c r="M198" s="7" t="s">
        <v>172</v>
      </c>
      <c r="N198" s="8" t="s">
        <v>2171</v>
      </c>
      <c r="O198" s="5">
        <v>-2117.09</v>
      </c>
      <c r="P198" s="6">
        <v>6571.47</v>
      </c>
      <c r="Q198" s="6">
        <v>-258.70800000000003</v>
      </c>
      <c r="R198" s="12">
        <v>0</v>
      </c>
      <c r="S198" s="4" t="s">
        <v>2172</v>
      </c>
      <c r="T198" s="4" t="s">
        <v>2173</v>
      </c>
      <c r="U198" s="4" t="s">
        <v>2174</v>
      </c>
      <c r="V198" s="4" t="s">
        <v>2175</v>
      </c>
      <c r="W198" s="4" t="s">
        <v>2176</v>
      </c>
      <c r="X198" s="4" t="s">
        <v>2177</v>
      </c>
      <c r="Y198" s="4" t="s">
        <v>2178</v>
      </c>
      <c r="Z198" s="4" t="s">
        <v>2179</v>
      </c>
      <c r="AA198" s="4" t="s">
        <v>2180</v>
      </c>
      <c r="AB198" s="4" t="s">
        <v>2181</v>
      </c>
      <c r="AC198" s="4" t="s">
        <v>2182</v>
      </c>
      <c r="AD198" s="4" t="s">
        <v>2183</v>
      </c>
      <c r="AE198" s="4" t="s">
        <v>2184</v>
      </c>
      <c r="AF198" s="4" t="s">
        <v>2185</v>
      </c>
      <c r="AG198" s="4" t="s">
        <v>2186</v>
      </c>
      <c r="AH198" s="4" t="s">
        <v>2187</v>
      </c>
      <c r="AI198" s="4" t="s">
        <v>2188</v>
      </c>
      <c r="AJ198" s="4" t="s">
        <v>2189</v>
      </c>
      <c r="AK198" s="4" t="s">
        <v>2190</v>
      </c>
      <c r="AL198" s="4" t="s">
        <v>2191</v>
      </c>
      <c r="AM198" s="3">
        <v>-418.82900000000001</v>
      </c>
      <c r="AN198" s="3">
        <v>-450.55799999999999</v>
      </c>
      <c r="AO198" s="3">
        <v>-485.55599999999998</v>
      </c>
      <c r="AP198" s="3">
        <v>-532.61900000000003</v>
      </c>
      <c r="AQ198" s="3">
        <v>-588.29300000000001</v>
      </c>
      <c r="AR198" s="3">
        <v>-649.69399999999996</v>
      </c>
      <c r="AS198" s="3">
        <v>-468.87</v>
      </c>
      <c r="AT198" s="3">
        <v>-268.32</v>
      </c>
      <c r="AU198" s="3">
        <v>-68.631500000000003</v>
      </c>
      <c r="AV198" s="3">
        <v>116.10899999999999</v>
      </c>
      <c r="AW198" s="3">
        <v>294.065</v>
      </c>
      <c r="AX198" s="3">
        <v>296.90699999999998</v>
      </c>
      <c r="AY198" s="3">
        <v>298.43099999999998</v>
      </c>
      <c r="AZ198" s="3">
        <v>308.14400000000001</v>
      </c>
      <c r="BA198" s="3">
        <v>323.71600000000001</v>
      </c>
      <c r="BB198" s="3">
        <v>349.11799999999999</v>
      </c>
      <c r="BC198" s="3">
        <v>194.67599999999999</v>
      </c>
      <c r="BD198" s="3">
        <v>28.326799999999999</v>
      </c>
      <c r="BE198" s="3">
        <v>-137.92699999999999</v>
      </c>
      <c r="BF198" s="3">
        <v>-285.18200000000002</v>
      </c>
      <c r="BG198" s="3">
        <v>-455.423</v>
      </c>
      <c r="BH198" s="3">
        <v>-477.82400000000001</v>
      </c>
      <c r="BI198" s="3">
        <v>-493.97699999999998</v>
      </c>
      <c r="BJ198" s="3">
        <v>-485.42500000000001</v>
      </c>
      <c r="BK198" s="3">
        <v>-459.90600000000001</v>
      </c>
      <c r="BL198" s="3">
        <v>-426.84100000000001</v>
      </c>
      <c r="BM198" s="3">
        <v>-420.92200000000003</v>
      </c>
      <c r="BN198" s="3">
        <v>-413.09100000000001</v>
      </c>
      <c r="BO198" s="3">
        <v>-404.68400000000003</v>
      </c>
      <c r="BP198" s="3">
        <v>-391.85899999999998</v>
      </c>
      <c r="BQ198" s="3">
        <v>-381.16300000000001</v>
      </c>
      <c r="BR198" s="3">
        <v>-367.637</v>
      </c>
      <c r="BS198" s="3">
        <v>-357.32</v>
      </c>
      <c r="BT198" s="3">
        <v>-359.07400000000001</v>
      </c>
      <c r="BU198" s="3">
        <v>-366.83800000000002</v>
      </c>
      <c r="BV198" s="3">
        <v>-373.34</v>
      </c>
      <c r="BW198" s="3">
        <v>-389.96600000000001</v>
      </c>
      <c r="BX198" s="3">
        <v>-405.48700000000002</v>
      </c>
      <c r="BY198" s="3">
        <v>-421.86700000000002</v>
      </c>
      <c r="BZ198" s="3">
        <v>-440.16300000000001</v>
      </c>
      <c r="CA198" s="3">
        <v>583.44100000000003</v>
      </c>
      <c r="CB198" s="3">
        <v>594.30700000000002</v>
      </c>
      <c r="CC198" s="3">
        <v>594.68799999999999</v>
      </c>
      <c r="CD198" s="3">
        <v>592.86199999999997</v>
      </c>
      <c r="CE198" s="3">
        <v>597.33900000000006</v>
      </c>
      <c r="CF198" s="3">
        <v>603.48199999999997</v>
      </c>
      <c r="CG198" s="3">
        <v>549.68200000000002</v>
      </c>
      <c r="CH198" s="3">
        <v>507.60399999999998</v>
      </c>
      <c r="CI198" s="3">
        <v>470.113</v>
      </c>
      <c r="CJ198" s="3">
        <v>439.90300000000002</v>
      </c>
      <c r="CK198" s="3">
        <v>424.95800000000003</v>
      </c>
      <c r="CL198" s="3">
        <v>423.48399999999998</v>
      </c>
      <c r="CM198" s="3">
        <v>435.30500000000001</v>
      </c>
      <c r="CN198" s="3">
        <v>450.29300000000001</v>
      </c>
      <c r="CO198" s="3">
        <v>452.46499999999997</v>
      </c>
      <c r="CP198" s="3">
        <v>439.34399999999999</v>
      </c>
      <c r="CQ198" s="3">
        <v>454.89</v>
      </c>
      <c r="CR198" s="3">
        <v>477.09300000000002</v>
      </c>
      <c r="CS198" s="3">
        <v>510.33499999999998</v>
      </c>
      <c r="CT198" s="3">
        <v>548.34100000000001</v>
      </c>
      <c r="CU198" s="3">
        <v>2206.15</v>
      </c>
      <c r="CV198" s="3">
        <v>2537.84</v>
      </c>
      <c r="CW198" s="3">
        <v>2662.75</v>
      </c>
      <c r="CX198" s="3">
        <v>2805.87</v>
      </c>
      <c r="CY198" s="3">
        <v>3058.52</v>
      </c>
      <c r="CZ198" s="3">
        <v>3450.11</v>
      </c>
      <c r="DA198" s="3">
        <v>3877.09</v>
      </c>
      <c r="DB198" s="3">
        <v>4401.09</v>
      </c>
      <c r="DC198" s="3">
        <v>4908.9399999999996</v>
      </c>
      <c r="DD198" s="3">
        <v>5396.18</v>
      </c>
      <c r="DE198" s="3">
        <v>5759.05</v>
      </c>
      <c r="DF198" s="3">
        <v>4963.34</v>
      </c>
      <c r="DG198" s="3">
        <v>4652.45</v>
      </c>
      <c r="DH198" s="3">
        <v>4569.53</v>
      </c>
      <c r="DI198" s="3">
        <v>4377.6000000000004</v>
      </c>
      <c r="DJ198" s="3">
        <v>3857.06</v>
      </c>
      <c r="DK198" s="3">
        <v>3679.56</v>
      </c>
      <c r="DL198" s="3">
        <v>3489.53</v>
      </c>
      <c r="DM198" s="3">
        <v>3179.25</v>
      </c>
      <c r="DN198" s="3">
        <v>2755.13</v>
      </c>
      <c r="DO198" s="3">
        <v>1097.42</v>
      </c>
      <c r="DP198" s="3">
        <v>1073.71</v>
      </c>
      <c r="DQ198" s="3">
        <v>1117.72</v>
      </c>
      <c r="DR198" s="3">
        <v>1165.54</v>
      </c>
      <c r="DS198" s="3">
        <v>1224.28</v>
      </c>
      <c r="DT198" s="3">
        <v>1320.86</v>
      </c>
      <c r="DU198" s="3">
        <v>1490.34</v>
      </c>
      <c r="DV198" s="3">
        <v>1634.45</v>
      </c>
      <c r="DW198" s="3">
        <v>2037.28</v>
      </c>
      <c r="DX198" s="3">
        <v>2656</v>
      </c>
      <c r="DY198" s="3">
        <v>3242.56</v>
      </c>
      <c r="DZ198" s="3">
        <v>3096.15</v>
      </c>
      <c r="EA198" s="3">
        <v>2909.28</v>
      </c>
      <c r="EB198" s="3">
        <v>2686.21</v>
      </c>
      <c r="EC198" s="3">
        <v>2534.71</v>
      </c>
      <c r="ED198" s="3">
        <v>2418.91</v>
      </c>
      <c r="EE198" s="3">
        <v>2435.96</v>
      </c>
      <c r="EF198" s="3">
        <v>2374.34</v>
      </c>
      <c r="EG198" s="3">
        <v>2047.88</v>
      </c>
      <c r="EH198" s="3">
        <v>1553.39</v>
      </c>
      <c r="EI198" s="3">
        <v>460.15600000000001</v>
      </c>
      <c r="EJ198" s="3">
        <v>176.875</v>
      </c>
      <c r="EK198" s="3">
        <v>-58.674599999999998</v>
      </c>
      <c r="EL198" s="3">
        <v>-162.76900000000001</v>
      </c>
      <c r="EM198" s="3">
        <v>-200.655</v>
      </c>
      <c r="EN198" s="3">
        <v>-312.48399999999998</v>
      </c>
      <c r="EO198" s="3">
        <v>-267.63099999999997</v>
      </c>
      <c r="EP198" s="3">
        <v>-221.815</v>
      </c>
      <c r="EQ198" s="3">
        <v>-168.571</v>
      </c>
      <c r="ER198" s="3">
        <v>-32.214700000000001</v>
      </c>
      <c r="ES198" s="3">
        <v>122.072</v>
      </c>
      <c r="ET198" s="3">
        <v>209.61699999999999</v>
      </c>
      <c r="EU198" s="3">
        <v>268.43799999999999</v>
      </c>
      <c r="EV198" s="3">
        <v>298.29399999999998</v>
      </c>
      <c r="EW198" s="3">
        <v>341.64699999999999</v>
      </c>
      <c r="EX198" s="3">
        <v>434.75799999999998</v>
      </c>
      <c r="EY198" s="3">
        <v>375.274</v>
      </c>
      <c r="EZ198" s="3">
        <v>410.15100000000001</v>
      </c>
      <c r="FA198" s="3">
        <v>498.08600000000001</v>
      </c>
      <c r="FB198" s="3">
        <v>510.78500000000003</v>
      </c>
      <c r="FC198" s="3">
        <v>-44.969499999999996</v>
      </c>
      <c r="FD198" s="3">
        <v>-174.22399999999999</v>
      </c>
      <c r="FE198" s="3">
        <v>-367.56200000000001</v>
      </c>
      <c r="FF198" s="3">
        <v>-466.56599999999997</v>
      </c>
      <c r="FG198" s="3">
        <v>437.642</v>
      </c>
      <c r="FH198" s="3">
        <v>594.35299999999995</v>
      </c>
      <c r="FI198" s="3">
        <v>-3913.26</v>
      </c>
      <c r="FJ198" s="3">
        <v>-1990.61</v>
      </c>
      <c r="FK198" s="3">
        <v>-141.077</v>
      </c>
      <c r="FL198" s="3">
        <v>0.270592</v>
      </c>
      <c r="FM198" s="3"/>
    </row>
    <row r="199" spans="1:169" x14ac:dyDescent="0.3">
      <c r="A199" s="2">
        <v>191</v>
      </c>
      <c r="B199" s="5">
        <v>32</v>
      </c>
      <c r="C199" s="6">
        <v>3503145</v>
      </c>
      <c r="D199" s="6" t="s">
        <v>219</v>
      </c>
      <c r="E199" s="6">
        <v>3909020</v>
      </c>
      <c r="F199" s="6">
        <v>3909021</v>
      </c>
      <c r="G199" s="6">
        <v>0</v>
      </c>
      <c r="H199" s="6">
        <v>0</v>
      </c>
      <c r="I199" s="6">
        <v>51.48</v>
      </c>
      <c r="J199" s="6" t="s">
        <v>169</v>
      </c>
      <c r="K199" s="6" t="s">
        <v>170</v>
      </c>
      <c r="L199" s="7" t="s">
        <v>171</v>
      </c>
      <c r="M199" s="7" t="s">
        <v>172</v>
      </c>
      <c r="N199" s="8" t="s">
        <v>2192</v>
      </c>
      <c r="O199" s="5">
        <v>5960.45</v>
      </c>
      <c r="P199" s="6">
        <v>-7128.2</v>
      </c>
      <c r="Q199" s="6">
        <v>-65.855599999999995</v>
      </c>
      <c r="R199" s="12">
        <v>8868.9</v>
      </c>
      <c r="S199" s="4" t="s">
        <v>2193</v>
      </c>
      <c r="T199" s="4" t="s">
        <v>2194</v>
      </c>
      <c r="U199" s="4" t="s">
        <v>2195</v>
      </c>
      <c r="V199" s="4" t="s">
        <v>2196</v>
      </c>
      <c r="W199" s="4" t="s">
        <v>2197</v>
      </c>
      <c r="X199" s="4" t="s">
        <v>2198</v>
      </c>
      <c r="Y199" s="4" t="s">
        <v>2199</v>
      </c>
      <c r="Z199" s="4" t="s">
        <v>2200</v>
      </c>
      <c r="AA199" s="4" t="s">
        <v>2201</v>
      </c>
      <c r="AB199" s="4" t="s">
        <v>2202</v>
      </c>
      <c r="AC199" s="4" t="s">
        <v>2203</v>
      </c>
      <c r="AD199" s="4" t="s">
        <v>2204</v>
      </c>
      <c r="AE199" s="4" t="s">
        <v>2205</v>
      </c>
      <c r="AF199" s="4" t="s">
        <v>2206</v>
      </c>
      <c r="AG199" s="4" t="s">
        <v>2207</v>
      </c>
      <c r="AH199" s="4" t="s">
        <v>2208</v>
      </c>
      <c r="AI199" s="4" t="s">
        <v>2209</v>
      </c>
      <c r="AJ199" s="4" t="s">
        <v>2210</v>
      </c>
      <c r="AK199" s="4" t="s">
        <v>2211</v>
      </c>
      <c r="AL199" s="4" t="s">
        <v>2212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  <c r="ED199" s="3">
        <v>0</v>
      </c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0</v>
      </c>
      <c r="FA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3">
        <v>0</v>
      </c>
      <c r="FJ199" s="3">
        <v>0</v>
      </c>
      <c r="FK199" s="3">
        <v>0</v>
      </c>
      <c r="FL199" s="3">
        <v>0</v>
      </c>
      <c r="FM199" s="3"/>
    </row>
    <row r="200" spans="1:169" x14ac:dyDescent="0.3">
      <c r="A200" s="2">
        <v>192</v>
      </c>
      <c r="B200" s="5">
        <v>32</v>
      </c>
      <c r="C200" s="6">
        <v>3503145</v>
      </c>
      <c r="D200" s="6" t="s">
        <v>219</v>
      </c>
      <c r="E200" s="6">
        <v>3909020</v>
      </c>
      <c r="F200" s="6">
        <v>3909021</v>
      </c>
      <c r="G200" s="6">
        <v>0</v>
      </c>
      <c r="H200" s="6">
        <v>0</v>
      </c>
      <c r="I200" s="6">
        <v>51.48</v>
      </c>
      <c r="J200" s="6" t="s">
        <v>194</v>
      </c>
      <c r="K200" s="6" t="s">
        <v>195</v>
      </c>
      <c r="L200" s="7" t="s">
        <v>196</v>
      </c>
      <c r="M200" s="7" t="s">
        <v>172</v>
      </c>
      <c r="N200" s="8" t="s">
        <v>2192</v>
      </c>
      <c r="O200" s="5">
        <v>-7075.32</v>
      </c>
      <c r="P200" s="6">
        <v>7212.58</v>
      </c>
      <c r="Q200" s="6">
        <v>66.939499999999995</v>
      </c>
      <c r="R200" s="12">
        <v>0</v>
      </c>
      <c r="S200" s="4" t="s">
        <v>2193</v>
      </c>
      <c r="T200" s="4" t="s">
        <v>2194</v>
      </c>
      <c r="U200" s="4" t="s">
        <v>2195</v>
      </c>
      <c r="V200" s="4" t="s">
        <v>2196</v>
      </c>
      <c r="W200" s="4" t="s">
        <v>2197</v>
      </c>
      <c r="X200" s="4" t="s">
        <v>2198</v>
      </c>
      <c r="Y200" s="4" t="s">
        <v>2199</v>
      </c>
      <c r="Z200" s="4" t="s">
        <v>2200</v>
      </c>
      <c r="AA200" s="4" t="s">
        <v>2201</v>
      </c>
      <c r="AB200" s="4" t="s">
        <v>2202</v>
      </c>
      <c r="AC200" s="4" t="s">
        <v>2203</v>
      </c>
      <c r="AD200" s="4" t="s">
        <v>2204</v>
      </c>
      <c r="AE200" s="4" t="s">
        <v>2205</v>
      </c>
      <c r="AF200" s="4" t="s">
        <v>2206</v>
      </c>
      <c r="AG200" s="4" t="s">
        <v>2207</v>
      </c>
      <c r="AH200" s="4" t="s">
        <v>2208</v>
      </c>
      <c r="AI200" s="4" t="s">
        <v>2209</v>
      </c>
      <c r="AJ200" s="4" t="s">
        <v>2210</v>
      </c>
      <c r="AK200" s="4" t="s">
        <v>2211</v>
      </c>
      <c r="AL200" s="4" t="s">
        <v>2212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A200" s="3">
        <v>0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/>
    </row>
    <row r="201" spans="1:169" x14ac:dyDescent="0.3">
      <c r="A201" s="2">
        <v>193</v>
      </c>
      <c r="B201" s="5">
        <v>33</v>
      </c>
      <c r="C201" s="6">
        <v>2501706</v>
      </c>
      <c r="D201" s="6" t="s">
        <v>168</v>
      </c>
      <c r="E201" s="6">
        <v>2910020</v>
      </c>
      <c r="F201" s="6">
        <v>2910020</v>
      </c>
      <c r="G201" s="6">
        <v>0</v>
      </c>
      <c r="H201" s="6">
        <v>0</v>
      </c>
      <c r="I201" s="6">
        <v>51.48</v>
      </c>
      <c r="J201" s="6" t="s">
        <v>169</v>
      </c>
      <c r="K201" s="6" t="s">
        <v>170</v>
      </c>
      <c r="L201" s="7" t="s">
        <v>171</v>
      </c>
      <c r="M201" s="7" t="s">
        <v>172</v>
      </c>
      <c r="N201" s="8" t="s">
        <v>2213</v>
      </c>
      <c r="O201" s="5">
        <v>-15859.3</v>
      </c>
      <c r="P201" s="6">
        <v>3737.69</v>
      </c>
      <c r="Q201" s="6">
        <v>399.238</v>
      </c>
      <c r="R201" s="12">
        <v>16204.2</v>
      </c>
      <c r="S201" s="4" t="s">
        <v>2214</v>
      </c>
      <c r="T201" s="4" t="s">
        <v>2215</v>
      </c>
      <c r="U201" s="4" t="s">
        <v>2216</v>
      </c>
      <c r="V201" s="4" t="s">
        <v>2217</v>
      </c>
      <c r="W201" s="4" t="s">
        <v>2218</v>
      </c>
      <c r="X201" s="4" t="s">
        <v>2219</v>
      </c>
      <c r="Y201" s="4" t="s">
        <v>2220</v>
      </c>
      <c r="Z201" s="4" t="s">
        <v>2221</v>
      </c>
      <c r="AA201" s="4" t="s">
        <v>2222</v>
      </c>
      <c r="AB201" s="4" t="s">
        <v>2223</v>
      </c>
      <c r="AC201" s="4" t="s">
        <v>2224</v>
      </c>
      <c r="AD201" s="4" t="s">
        <v>2225</v>
      </c>
      <c r="AE201" s="4" t="s">
        <v>2226</v>
      </c>
      <c r="AF201" s="4" t="s">
        <v>2227</v>
      </c>
      <c r="AG201" s="4" t="s">
        <v>2228</v>
      </c>
      <c r="AH201" s="4" t="s">
        <v>2229</v>
      </c>
      <c r="AI201" s="4" t="s">
        <v>2230</v>
      </c>
      <c r="AJ201" s="4" t="s">
        <v>2231</v>
      </c>
      <c r="AK201" s="4" t="s">
        <v>2232</v>
      </c>
      <c r="AL201" s="4" t="s">
        <v>2233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/>
    </row>
    <row r="202" spans="1:169" x14ac:dyDescent="0.3">
      <c r="A202" s="2">
        <v>194</v>
      </c>
      <c r="B202" s="5">
        <v>33</v>
      </c>
      <c r="C202" s="6">
        <v>2501706</v>
      </c>
      <c r="D202" s="6" t="s">
        <v>168</v>
      </c>
      <c r="E202" s="6">
        <v>2910020</v>
      </c>
      <c r="F202" s="6">
        <v>2910020</v>
      </c>
      <c r="G202" s="6">
        <v>0</v>
      </c>
      <c r="H202" s="6">
        <v>0</v>
      </c>
      <c r="I202" s="6">
        <v>51.48</v>
      </c>
      <c r="J202" s="6" t="s">
        <v>194</v>
      </c>
      <c r="K202" s="6" t="s">
        <v>195</v>
      </c>
      <c r="L202" s="7" t="s">
        <v>196</v>
      </c>
      <c r="M202" s="7" t="s">
        <v>172</v>
      </c>
      <c r="N202" s="8" t="s">
        <v>2213</v>
      </c>
      <c r="O202" s="5">
        <v>15654.9</v>
      </c>
      <c r="P202" s="6">
        <v>-4284.57</v>
      </c>
      <c r="Q202" s="6">
        <v>-277.60899999999998</v>
      </c>
      <c r="R202" s="12">
        <v>0</v>
      </c>
      <c r="S202" s="4" t="s">
        <v>2214</v>
      </c>
      <c r="T202" s="4" t="s">
        <v>2215</v>
      </c>
      <c r="U202" s="4" t="s">
        <v>2216</v>
      </c>
      <c r="V202" s="4" t="s">
        <v>2217</v>
      </c>
      <c r="W202" s="4" t="s">
        <v>2218</v>
      </c>
      <c r="X202" s="4" t="s">
        <v>2219</v>
      </c>
      <c r="Y202" s="4" t="s">
        <v>2220</v>
      </c>
      <c r="Z202" s="4" t="s">
        <v>2221</v>
      </c>
      <c r="AA202" s="4" t="s">
        <v>2222</v>
      </c>
      <c r="AB202" s="4" t="s">
        <v>2223</v>
      </c>
      <c r="AC202" s="4" t="s">
        <v>2224</v>
      </c>
      <c r="AD202" s="4" t="s">
        <v>2225</v>
      </c>
      <c r="AE202" s="4" t="s">
        <v>2226</v>
      </c>
      <c r="AF202" s="4" t="s">
        <v>2227</v>
      </c>
      <c r="AG202" s="4" t="s">
        <v>2228</v>
      </c>
      <c r="AH202" s="4" t="s">
        <v>2229</v>
      </c>
      <c r="AI202" s="4" t="s">
        <v>2230</v>
      </c>
      <c r="AJ202" s="4" t="s">
        <v>2231</v>
      </c>
      <c r="AK202" s="4" t="s">
        <v>2232</v>
      </c>
      <c r="AL202" s="4" t="s">
        <v>2233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A202" s="3">
        <v>0</v>
      </c>
      <c r="FB202" s="3">
        <v>0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/>
    </row>
    <row r="203" spans="1:169" x14ac:dyDescent="0.3">
      <c r="A203" s="2">
        <v>195</v>
      </c>
      <c r="B203" s="5">
        <v>33</v>
      </c>
      <c r="C203" s="6">
        <v>1501042</v>
      </c>
      <c r="D203" s="6" t="s">
        <v>197</v>
      </c>
      <c r="E203" s="6">
        <v>2910020</v>
      </c>
      <c r="F203" s="6">
        <v>1910022</v>
      </c>
      <c r="G203" s="6">
        <v>3910020</v>
      </c>
      <c r="H203" s="6">
        <v>1910023</v>
      </c>
      <c r="I203" s="6">
        <v>57.914999999999999</v>
      </c>
      <c r="J203" s="6" t="s">
        <v>169</v>
      </c>
      <c r="K203" s="6" t="s">
        <v>170</v>
      </c>
      <c r="L203" s="7" t="s">
        <v>171</v>
      </c>
      <c r="M203" s="7" t="s">
        <v>172</v>
      </c>
      <c r="N203" s="8" t="s">
        <v>2234</v>
      </c>
      <c r="O203" s="5">
        <v>-1795.47</v>
      </c>
      <c r="P203" s="6">
        <v>-3619.9</v>
      </c>
      <c r="Q203" s="6">
        <v>-182.249</v>
      </c>
      <c r="R203" s="12">
        <v>16204.2</v>
      </c>
      <c r="S203" s="4" t="s">
        <v>2235</v>
      </c>
      <c r="T203" s="4" t="s">
        <v>2236</v>
      </c>
      <c r="U203" s="4" t="s">
        <v>2237</v>
      </c>
      <c r="V203" s="4" t="s">
        <v>2238</v>
      </c>
      <c r="W203" s="4" t="s">
        <v>2239</v>
      </c>
      <c r="X203" s="4" t="s">
        <v>2240</v>
      </c>
      <c r="Y203" s="4" t="s">
        <v>2241</v>
      </c>
      <c r="Z203" s="4" t="s">
        <v>2242</v>
      </c>
      <c r="AA203" s="4" t="s">
        <v>2243</v>
      </c>
      <c r="AB203" s="4" t="s">
        <v>2244</v>
      </c>
      <c r="AC203" s="4" t="s">
        <v>2245</v>
      </c>
      <c r="AD203" s="4" t="s">
        <v>2246</v>
      </c>
      <c r="AE203" s="4" t="s">
        <v>2247</v>
      </c>
      <c r="AF203" s="4" t="s">
        <v>2248</v>
      </c>
      <c r="AG203" s="4" t="s">
        <v>2249</v>
      </c>
      <c r="AH203" s="4" t="s">
        <v>2250</v>
      </c>
      <c r="AI203" s="4" t="s">
        <v>2251</v>
      </c>
      <c r="AJ203" s="4" t="s">
        <v>2252</v>
      </c>
      <c r="AK203" s="4" t="s">
        <v>2253</v>
      </c>
      <c r="AL203" s="4" t="s">
        <v>2254</v>
      </c>
      <c r="AM203" s="3">
        <v>-351.625</v>
      </c>
      <c r="AN203" s="3">
        <v>-316.16399999999999</v>
      </c>
      <c r="AO203" s="3">
        <v>-290.69</v>
      </c>
      <c r="AP203" s="3">
        <v>-265.56</v>
      </c>
      <c r="AQ203" s="3">
        <v>-238.7</v>
      </c>
      <c r="AR203" s="3">
        <v>-213.40700000000001</v>
      </c>
      <c r="AS203" s="3">
        <v>-356.91</v>
      </c>
      <c r="AT203" s="3">
        <v>-510.03199999999998</v>
      </c>
      <c r="AU203" s="3">
        <v>-678.35199999999998</v>
      </c>
      <c r="AV203" s="3">
        <v>-851.55499999999995</v>
      </c>
      <c r="AW203" s="3">
        <v>-1023.55</v>
      </c>
      <c r="AX203" s="3">
        <v>-1039.17</v>
      </c>
      <c r="AY203" s="3">
        <v>-1052.05</v>
      </c>
      <c r="AZ203" s="3">
        <v>-1070.1300000000001</v>
      </c>
      <c r="BA203" s="3">
        <v>-1097.32</v>
      </c>
      <c r="BB203" s="3">
        <v>-1118.6099999999999</v>
      </c>
      <c r="BC203" s="3">
        <v>-975.82100000000003</v>
      </c>
      <c r="BD203" s="3">
        <v>-824.95500000000004</v>
      </c>
      <c r="BE203" s="3">
        <v>-660.95699999999999</v>
      </c>
      <c r="BF203" s="3">
        <v>-499.61700000000002</v>
      </c>
      <c r="BG203" s="3">
        <v>337.33199999999999</v>
      </c>
      <c r="BH203" s="3">
        <v>333.87</v>
      </c>
      <c r="BI203" s="3">
        <v>330.62400000000002</v>
      </c>
      <c r="BJ203" s="3">
        <v>326.29199999999997</v>
      </c>
      <c r="BK203" s="3">
        <v>324.00700000000001</v>
      </c>
      <c r="BL203" s="3">
        <v>325.05900000000003</v>
      </c>
      <c r="BM203" s="3">
        <v>305.56900000000002</v>
      </c>
      <c r="BN203" s="3">
        <v>284.24400000000003</v>
      </c>
      <c r="BO203" s="3">
        <v>270.60300000000001</v>
      </c>
      <c r="BP203" s="3">
        <v>261.30399999999997</v>
      </c>
      <c r="BQ203" s="3">
        <v>253.327</v>
      </c>
      <c r="BR203" s="3">
        <v>245.67099999999999</v>
      </c>
      <c r="BS203" s="3">
        <v>239.61600000000001</v>
      </c>
      <c r="BT203" s="3">
        <v>243.703</v>
      </c>
      <c r="BU203" s="3">
        <v>255.94399999999999</v>
      </c>
      <c r="BV203" s="3">
        <v>269.20400000000001</v>
      </c>
      <c r="BW203" s="3">
        <v>280.32900000000001</v>
      </c>
      <c r="BX203" s="3">
        <v>294.60300000000001</v>
      </c>
      <c r="BY203" s="3">
        <v>306.73200000000003</v>
      </c>
      <c r="BZ203" s="3">
        <v>320.76799999999997</v>
      </c>
      <c r="CA203" s="3">
        <v>-428.37200000000001</v>
      </c>
      <c r="CB203" s="3">
        <v>-444.62</v>
      </c>
      <c r="CC203" s="3">
        <v>-445.34300000000002</v>
      </c>
      <c r="CD203" s="3">
        <v>-439.20400000000001</v>
      </c>
      <c r="CE203" s="3">
        <v>-439.82100000000003</v>
      </c>
      <c r="CF203" s="3">
        <v>-452.59899999999999</v>
      </c>
      <c r="CG203" s="3">
        <v>-428.96899999999999</v>
      </c>
      <c r="CH203" s="3">
        <v>-410.863</v>
      </c>
      <c r="CI203" s="3">
        <v>-392.01499999999999</v>
      </c>
      <c r="CJ203" s="3">
        <v>-370.25599999999997</v>
      </c>
      <c r="CK203" s="3">
        <v>-350.99700000000001</v>
      </c>
      <c r="CL203" s="3">
        <v>-344.02</v>
      </c>
      <c r="CM203" s="3">
        <v>-342.964</v>
      </c>
      <c r="CN203" s="3">
        <v>-345.79599999999999</v>
      </c>
      <c r="CO203" s="3">
        <v>-345.702</v>
      </c>
      <c r="CP203" s="3">
        <v>-340.45800000000003</v>
      </c>
      <c r="CQ203" s="3">
        <v>-358.85300000000001</v>
      </c>
      <c r="CR203" s="3">
        <v>-373.98</v>
      </c>
      <c r="CS203" s="3">
        <v>-388.16699999999997</v>
      </c>
      <c r="CT203" s="3">
        <v>-405.92399999999998</v>
      </c>
      <c r="CU203" s="3">
        <v>-3933.17</v>
      </c>
      <c r="CV203" s="3">
        <v>-4435.8100000000004</v>
      </c>
      <c r="CW203" s="3">
        <v>-4461.3900000000003</v>
      </c>
      <c r="CX203" s="3">
        <v>-4390.4799999999996</v>
      </c>
      <c r="CY203" s="3">
        <v>-4645.71</v>
      </c>
      <c r="CZ203" s="3">
        <v>-5394.27</v>
      </c>
      <c r="DA203" s="3">
        <v>-5459.74</v>
      </c>
      <c r="DB203" s="3">
        <v>-5558.12</v>
      </c>
      <c r="DC203" s="3">
        <v>-5662.49</v>
      </c>
      <c r="DD203" s="3">
        <v>-5764.5</v>
      </c>
      <c r="DE203" s="3">
        <v>-5852.1</v>
      </c>
      <c r="DF203" s="3">
        <v>-5226.1000000000004</v>
      </c>
      <c r="DG203" s="3">
        <v>-5130.42</v>
      </c>
      <c r="DH203" s="3">
        <v>-5085.5600000000004</v>
      </c>
      <c r="DI203" s="3">
        <v>-4734.74</v>
      </c>
      <c r="DJ203" s="3">
        <v>-4035.33</v>
      </c>
      <c r="DK203" s="3">
        <v>-4353.3900000000003</v>
      </c>
      <c r="DL203" s="3">
        <v>-4450.2299999999996</v>
      </c>
      <c r="DM203" s="3">
        <v>-4393.37</v>
      </c>
      <c r="DN203" s="3">
        <v>-4183.82</v>
      </c>
      <c r="DO203" s="3">
        <v>-2253.34</v>
      </c>
      <c r="DP203" s="3">
        <v>-2304.02</v>
      </c>
      <c r="DQ203" s="3">
        <v>-2459.69</v>
      </c>
      <c r="DR203" s="3">
        <v>-2657.11</v>
      </c>
      <c r="DS203" s="3">
        <v>-2801.07</v>
      </c>
      <c r="DT203" s="3">
        <v>-2949</v>
      </c>
      <c r="DU203" s="3">
        <v>-2849.58</v>
      </c>
      <c r="DV203" s="3">
        <v>-2492.23</v>
      </c>
      <c r="DW203" s="3">
        <v>-2472.7600000000002</v>
      </c>
      <c r="DX203" s="3">
        <v>-2753.92</v>
      </c>
      <c r="DY203" s="3">
        <v>-2970.48</v>
      </c>
      <c r="DZ203" s="3">
        <v>-2998.92</v>
      </c>
      <c r="EA203" s="3">
        <v>-2818.92</v>
      </c>
      <c r="EB203" s="3">
        <v>-2694.76</v>
      </c>
      <c r="EC203" s="3">
        <v>-2681.92</v>
      </c>
      <c r="ED203" s="3">
        <v>-2777.88</v>
      </c>
      <c r="EE203" s="3">
        <v>-2898.02</v>
      </c>
      <c r="EF203" s="3">
        <v>-3051.91</v>
      </c>
      <c r="EG203" s="3">
        <v>-2875.5</v>
      </c>
      <c r="EH203" s="3">
        <v>-2539.44</v>
      </c>
      <c r="EI203" s="3">
        <v>-451.476</v>
      </c>
      <c r="EJ203" s="3">
        <v>-219.078</v>
      </c>
      <c r="EK203" s="3">
        <v>-39.810899999999997</v>
      </c>
      <c r="EL203" s="3">
        <v>36.357199999999999</v>
      </c>
      <c r="EM203" s="3">
        <v>-1.17049</v>
      </c>
      <c r="EN203" s="3">
        <v>13.4078</v>
      </c>
      <c r="EO203" s="3">
        <v>-86.979299999999995</v>
      </c>
      <c r="EP203" s="3">
        <v>-122.738</v>
      </c>
      <c r="EQ203" s="3">
        <v>-42.216999999999999</v>
      </c>
      <c r="ER203" s="3">
        <v>-72.806299999999993</v>
      </c>
      <c r="ES203" s="3">
        <v>-214.827</v>
      </c>
      <c r="ET203" s="3">
        <v>-343.041</v>
      </c>
      <c r="EU203" s="3">
        <v>-518.65899999999999</v>
      </c>
      <c r="EV203" s="3">
        <v>-602.82000000000005</v>
      </c>
      <c r="EW203" s="3">
        <v>-510.524</v>
      </c>
      <c r="EX203" s="3">
        <v>-276.53500000000003</v>
      </c>
      <c r="EY203" s="3">
        <v>-98.036500000000004</v>
      </c>
      <c r="EZ203" s="3">
        <v>-131.79300000000001</v>
      </c>
      <c r="FA203" s="3">
        <v>-335.96800000000002</v>
      </c>
      <c r="FB203" s="3">
        <v>-470.54700000000003</v>
      </c>
      <c r="FC203" s="3">
        <v>-605.63499999999999</v>
      </c>
      <c r="FD203" s="3">
        <v>-738.59799999999996</v>
      </c>
      <c r="FE203" s="3">
        <v>251.244</v>
      </c>
      <c r="FF203" s="3">
        <v>329.53100000000001</v>
      </c>
      <c r="FG203" s="3">
        <v>-344.98899999999998</v>
      </c>
      <c r="FH203" s="3">
        <v>-441.66</v>
      </c>
      <c r="FI203" s="3">
        <v>4920.04</v>
      </c>
      <c r="FJ203" s="3">
        <v>2697.26</v>
      </c>
      <c r="FK203" s="3">
        <v>225.779</v>
      </c>
      <c r="FL203" s="3">
        <v>0</v>
      </c>
      <c r="FM203" s="3"/>
    </row>
    <row r="204" spans="1:169" x14ac:dyDescent="0.3">
      <c r="A204" s="2">
        <v>196</v>
      </c>
      <c r="B204" s="5">
        <v>33</v>
      </c>
      <c r="C204" s="6">
        <v>1501042</v>
      </c>
      <c r="D204" s="6" t="s">
        <v>197</v>
      </c>
      <c r="E204" s="6">
        <v>2910020</v>
      </c>
      <c r="F204" s="6">
        <v>1910022</v>
      </c>
      <c r="G204" s="6">
        <v>3910020</v>
      </c>
      <c r="H204" s="6">
        <v>1910023</v>
      </c>
      <c r="I204" s="6">
        <v>57.914999999999999</v>
      </c>
      <c r="J204" s="6" t="s">
        <v>194</v>
      </c>
      <c r="K204" s="6" t="s">
        <v>195</v>
      </c>
      <c r="L204" s="7" t="s">
        <v>196</v>
      </c>
      <c r="M204" s="7" t="s">
        <v>172</v>
      </c>
      <c r="N204" s="8" t="s">
        <v>2234</v>
      </c>
      <c r="O204" s="5">
        <v>2244.63</v>
      </c>
      <c r="P204" s="6">
        <v>3507.28</v>
      </c>
      <c r="Q204" s="6">
        <v>141.5</v>
      </c>
      <c r="R204" s="12">
        <v>0</v>
      </c>
      <c r="S204" s="4" t="s">
        <v>2235</v>
      </c>
      <c r="T204" s="4" t="s">
        <v>2236</v>
      </c>
      <c r="U204" s="4" t="s">
        <v>2237</v>
      </c>
      <c r="V204" s="4" t="s">
        <v>2238</v>
      </c>
      <c r="W204" s="4" t="s">
        <v>2239</v>
      </c>
      <c r="X204" s="4" t="s">
        <v>2240</v>
      </c>
      <c r="Y204" s="4" t="s">
        <v>2241</v>
      </c>
      <c r="Z204" s="4" t="s">
        <v>2242</v>
      </c>
      <c r="AA204" s="4" t="s">
        <v>2243</v>
      </c>
      <c r="AB204" s="4" t="s">
        <v>2244</v>
      </c>
      <c r="AC204" s="4" t="s">
        <v>2245</v>
      </c>
      <c r="AD204" s="4" t="s">
        <v>2246</v>
      </c>
      <c r="AE204" s="4" t="s">
        <v>2247</v>
      </c>
      <c r="AF204" s="4" t="s">
        <v>2248</v>
      </c>
      <c r="AG204" s="4" t="s">
        <v>2249</v>
      </c>
      <c r="AH204" s="4" t="s">
        <v>2250</v>
      </c>
      <c r="AI204" s="4" t="s">
        <v>2251</v>
      </c>
      <c r="AJ204" s="4" t="s">
        <v>2252</v>
      </c>
      <c r="AK204" s="4" t="s">
        <v>2253</v>
      </c>
      <c r="AL204" s="4" t="s">
        <v>2254</v>
      </c>
      <c r="AM204" s="3">
        <v>451.517</v>
      </c>
      <c r="AN204" s="3">
        <v>431.99599999999998</v>
      </c>
      <c r="AO204" s="3">
        <v>425.15800000000002</v>
      </c>
      <c r="AP204" s="3">
        <v>420.58100000000002</v>
      </c>
      <c r="AQ204" s="3">
        <v>417.65600000000001</v>
      </c>
      <c r="AR204" s="3">
        <v>418.81</v>
      </c>
      <c r="AS204" s="3">
        <v>596.11300000000006</v>
      </c>
      <c r="AT204" s="3">
        <v>766.88400000000001</v>
      </c>
      <c r="AU204" s="3">
        <v>935.68399999999997</v>
      </c>
      <c r="AV204" s="3">
        <v>1088.77</v>
      </c>
      <c r="AW204" s="3">
        <v>1216.23</v>
      </c>
      <c r="AX204" s="3">
        <v>1193.3800000000001</v>
      </c>
      <c r="AY204" s="3">
        <v>1173.1400000000001</v>
      </c>
      <c r="AZ204" s="3">
        <v>1167.17</v>
      </c>
      <c r="BA204" s="3">
        <v>1173.77</v>
      </c>
      <c r="BB204" s="3">
        <v>1179.78</v>
      </c>
      <c r="BC204" s="3">
        <v>1062.73</v>
      </c>
      <c r="BD204" s="3">
        <v>929.02499999999998</v>
      </c>
      <c r="BE204" s="3">
        <v>772.077</v>
      </c>
      <c r="BF204" s="3">
        <v>607.94100000000003</v>
      </c>
      <c r="BG204" s="3">
        <v>-363.726</v>
      </c>
      <c r="BH204" s="3">
        <v>-364.81200000000001</v>
      </c>
      <c r="BI204" s="3">
        <v>-367.19200000000001</v>
      </c>
      <c r="BJ204" s="3">
        <v>-368.98200000000003</v>
      </c>
      <c r="BK204" s="3">
        <v>-372.96199999999999</v>
      </c>
      <c r="BL204" s="3">
        <v>-379.49200000000002</v>
      </c>
      <c r="BM204" s="3">
        <v>-370.66899999999998</v>
      </c>
      <c r="BN204" s="3">
        <v>-354.64100000000002</v>
      </c>
      <c r="BO204" s="3">
        <v>-340.26799999999997</v>
      </c>
      <c r="BP204" s="3">
        <v>-322.66199999999998</v>
      </c>
      <c r="BQ204" s="3">
        <v>-297.19099999999997</v>
      </c>
      <c r="BR204" s="3">
        <v>-277.27300000000002</v>
      </c>
      <c r="BS204" s="3">
        <v>-259.76100000000002</v>
      </c>
      <c r="BT204" s="3">
        <v>-255.464</v>
      </c>
      <c r="BU204" s="3">
        <v>-260.98700000000002</v>
      </c>
      <c r="BV204" s="3">
        <v>-269.63400000000001</v>
      </c>
      <c r="BW204" s="3">
        <v>-292.80700000000002</v>
      </c>
      <c r="BX204" s="3">
        <v>-315.87400000000002</v>
      </c>
      <c r="BY204" s="3">
        <v>-332.88</v>
      </c>
      <c r="BZ204" s="3">
        <v>-348.16199999999998</v>
      </c>
      <c r="CA204" s="3">
        <v>432.60899999999998</v>
      </c>
      <c r="CB204" s="3">
        <v>445.40899999999999</v>
      </c>
      <c r="CC204" s="3">
        <v>442.12099999999998</v>
      </c>
      <c r="CD204" s="3">
        <v>430.91</v>
      </c>
      <c r="CE204" s="3">
        <v>423.33300000000003</v>
      </c>
      <c r="CF204" s="3">
        <v>425.358</v>
      </c>
      <c r="CG204" s="3">
        <v>433.66800000000001</v>
      </c>
      <c r="CH204" s="3">
        <v>457.66699999999997</v>
      </c>
      <c r="CI204" s="3">
        <v>486.774</v>
      </c>
      <c r="CJ204" s="3">
        <v>514.19200000000001</v>
      </c>
      <c r="CK204" s="3">
        <v>541.53099999999995</v>
      </c>
      <c r="CL204" s="3">
        <v>512.702</v>
      </c>
      <c r="CM204" s="3">
        <v>490.21600000000001</v>
      </c>
      <c r="CN204" s="3">
        <v>473.84199999999998</v>
      </c>
      <c r="CO204" s="3">
        <v>457.09100000000001</v>
      </c>
      <c r="CP204" s="3">
        <v>436.87299999999999</v>
      </c>
      <c r="CQ204" s="3">
        <v>439.601</v>
      </c>
      <c r="CR204" s="3">
        <v>435.71699999999998</v>
      </c>
      <c r="CS204" s="3">
        <v>428.935</v>
      </c>
      <c r="CT204" s="3">
        <v>426.89100000000002</v>
      </c>
      <c r="CU204" s="3">
        <v>4043.71</v>
      </c>
      <c r="CV204" s="3">
        <v>4605.47</v>
      </c>
      <c r="CW204" s="3">
        <v>4697.9399999999996</v>
      </c>
      <c r="CX204" s="3">
        <v>4709.83</v>
      </c>
      <c r="CY204" s="3">
        <v>5070.9799999999996</v>
      </c>
      <c r="CZ204" s="3">
        <v>5945.57</v>
      </c>
      <c r="DA204" s="3">
        <v>5976.2</v>
      </c>
      <c r="DB204" s="3">
        <v>6006.85</v>
      </c>
      <c r="DC204" s="3">
        <v>6019.14</v>
      </c>
      <c r="DD204" s="3">
        <v>6024.79</v>
      </c>
      <c r="DE204" s="3">
        <v>6020.32</v>
      </c>
      <c r="DF204" s="3">
        <v>5316.3</v>
      </c>
      <c r="DG204" s="3">
        <v>5138.93</v>
      </c>
      <c r="DH204" s="3">
        <v>5026.8999999999996</v>
      </c>
      <c r="DI204" s="3">
        <v>4624.84</v>
      </c>
      <c r="DJ204" s="3">
        <v>3896.19</v>
      </c>
      <c r="DK204" s="3">
        <v>4243.3999999999996</v>
      </c>
      <c r="DL204" s="3">
        <v>4384.2</v>
      </c>
      <c r="DM204" s="3">
        <v>4382.79</v>
      </c>
      <c r="DN204" s="3">
        <v>4232.78</v>
      </c>
      <c r="DO204" s="3">
        <v>2499.25</v>
      </c>
      <c r="DP204" s="3">
        <v>2593.46</v>
      </c>
      <c r="DQ204" s="3">
        <v>2794.3</v>
      </c>
      <c r="DR204" s="3">
        <v>3037.07</v>
      </c>
      <c r="DS204" s="3">
        <v>3229.88</v>
      </c>
      <c r="DT204" s="3">
        <v>3428.03</v>
      </c>
      <c r="DU204" s="3">
        <v>3334.29</v>
      </c>
      <c r="DV204" s="3">
        <v>2967.12</v>
      </c>
      <c r="DW204" s="3">
        <v>2911.44</v>
      </c>
      <c r="DX204" s="3">
        <v>3108.21</v>
      </c>
      <c r="DY204" s="3">
        <v>3198.26</v>
      </c>
      <c r="DZ204" s="3">
        <v>3158.6</v>
      </c>
      <c r="EA204" s="3">
        <v>2919.27</v>
      </c>
      <c r="EB204" s="3">
        <v>2745.97</v>
      </c>
      <c r="EC204" s="3">
        <v>2681.14</v>
      </c>
      <c r="ED204" s="3">
        <v>2735.49</v>
      </c>
      <c r="EE204" s="3">
        <v>2960.94</v>
      </c>
      <c r="EF204" s="3">
        <v>3181.72</v>
      </c>
      <c r="EG204" s="3">
        <v>3048.34</v>
      </c>
      <c r="EH204" s="3">
        <v>2749.68</v>
      </c>
      <c r="EI204" s="3">
        <v>496.57400000000001</v>
      </c>
      <c r="EJ204" s="3">
        <v>296.62599999999998</v>
      </c>
      <c r="EK204" s="3">
        <v>153.55099999999999</v>
      </c>
      <c r="EL204" s="3">
        <v>109.01300000000001</v>
      </c>
      <c r="EM204" s="3">
        <v>165.297</v>
      </c>
      <c r="EN204" s="3">
        <v>166.636</v>
      </c>
      <c r="EO204" s="3">
        <v>236.703</v>
      </c>
      <c r="EP204" s="3">
        <v>230.321</v>
      </c>
      <c r="EQ204" s="3">
        <v>113.474</v>
      </c>
      <c r="ER204" s="3">
        <v>104.51600000000001</v>
      </c>
      <c r="ES204" s="3">
        <v>197.315</v>
      </c>
      <c r="ET204" s="3">
        <v>308.90600000000001</v>
      </c>
      <c r="EU204" s="3">
        <v>456.86200000000002</v>
      </c>
      <c r="EV204" s="3">
        <v>517.45600000000002</v>
      </c>
      <c r="EW204" s="3">
        <v>415.32299999999998</v>
      </c>
      <c r="EX204" s="3">
        <v>192.93899999999999</v>
      </c>
      <c r="EY204" s="3">
        <v>50.271900000000002</v>
      </c>
      <c r="EZ204" s="3">
        <v>117.318</v>
      </c>
      <c r="FA204" s="3">
        <v>342.23599999999999</v>
      </c>
      <c r="FB204" s="3">
        <v>494.303</v>
      </c>
      <c r="FC204" s="3">
        <v>833.846</v>
      </c>
      <c r="FD204" s="3">
        <v>837.08199999999999</v>
      </c>
      <c r="FE204" s="3">
        <v>-270.05200000000002</v>
      </c>
      <c r="FF204" s="3">
        <v>-369.52699999999999</v>
      </c>
      <c r="FG204" s="3">
        <v>433.29</v>
      </c>
      <c r="FH204" s="3">
        <v>485.37599999999998</v>
      </c>
      <c r="FI204" s="3">
        <v>-5097.99</v>
      </c>
      <c r="FJ204" s="3">
        <v>-2918.39</v>
      </c>
      <c r="FK204" s="3">
        <v>-259.12900000000002</v>
      </c>
      <c r="FL204" s="3">
        <v>0</v>
      </c>
      <c r="FM204" s="3"/>
    </row>
    <row r="205" spans="1:169" x14ac:dyDescent="0.3">
      <c r="A205" s="2">
        <v>197</v>
      </c>
      <c r="B205" s="5">
        <v>33</v>
      </c>
      <c r="C205" s="6">
        <v>3503629</v>
      </c>
      <c r="D205" s="6" t="s">
        <v>219</v>
      </c>
      <c r="E205" s="6">
        <v>3910020</v>
      </c>
      <c r="F205" s="6">
        <v>3910021</v>
      </c>
      <c r="G205" s="6">
        <v>0</v>
      </c>
      <c r="H205" s="6">
        <v>0</v>
      </c>
      <c r="I205" s="6">
        <v>51.48</v>
      </c>
      <c r="J205" s="6" t="s">
        <v>169</v>
      </c>
      <c r="K205" s="6" t="s">
        <v>170</v>
      </c>
      <c r="L205" s="7" t="s">
        <v>171</v>
      </c>
      <c r="M205" s="7" t="s">
        <v>172</v>
      </c>
      <c r="N205" s="8" t="s">
        <v>2255</v>
      </c>
      <c r="O205" s="5">
        <v>-4833.96</v>
      </c>
      <c r="P205" s="6">
        <v>-13721.2</v>
      </c>
      <c r="Q205" s="6">
        <v>793.81500000000005</v>
      </c>
      <c r="R205" s="12">
        <v>16204.2</v>
      </c>
      <c r="S205" s="4" t="s">
        <v>2256</v>
      </c>
      <c r="T205" s="4" t="s">
        <v>2257</v>
      </c>
      <c r="U205" s="4" t="s">
        <v>2258</v>
      </c>
      <c r="V205" s="4" t="s">
        <v>2259</v>
      </c>
      <c r="W205" s="4" t="s">
        <v>2260</v>
      </c>
      <c r="X205" s="4" t="s">
        <v>2261</v>
      </c>
      <c r="Y205" s="4" t="s">
        <v>2262</v>
      </c>
      <c r="Z205" s="4" t="s">
        <v>2263</v>
      </c>
      <c r="AA205" s="4" t="s">
        <v>2264</v>
      </c>
      <c r="AB205" s="4" t="s">
        <v>2265</v>
      </c>
      <c r="AC205" s="4" t="s">
        <v>2266</v>
      </c>
      <c r="AD205" s="4" t="s">
        <v>2267</v>
      </c>
      <c r="AE205" s="4" t="s">
        <v>2268</v>
      </c>
      <c r="AF205" s="4" t="s">
        <v>2269</v>
      </c>
      <c r="AG205" s="4" t="s">
        <v>2270</v>
      </c>
      <c r="AH205" s="4" t="s">
        <v>2271</v>
      </c>
      <c r="AI205" s="4" t="s">
        <v>2272</v>
      </c>
      <c r="AJ205" s="4" t="s">
        <v>2273</v>
      </c>
      <c r="AK205" s="4" t="s">
        <v>2274</v>
      </c>
      <c r="AL205" s="4" t="s">
        <v>2275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/>
    </row>
    <row r="206" spans="1:169" x14ac:dyDescent="0.3">
      <c r="A206" s="2">
        <v>198</v>
      </c>
      <c r="B206" s="5">
        <v>33</v>
      </c>
      <c r="C206" s="6">
        <v>3503629</v>
      </c>
      <c r="D206" s="6" t="s">
        <v>219</v>
      </c>
      <c r="E206" s="6">
        <v>3910020</v>
      </c>
      <c r="F206" s="6">
        <v>3910021</v>
      </c>
      <c r="G206" s="6">
        <v>0</v>
      </c>
      <c r="H206" s="6">
        <v>0</v>
      </c>
      <c r="I206" s="6">
        <v>51.48</v>
      </c>
      <c r="J206" s="6" t="s">
        <v>194</v>
      </c>
      <c r="K206" s="6" t="s">
        <v>195</v>
      </c>
      <c r="L206" s="7" t="s">
        <v>196</v>
      </c>
      <c r="M206" s="7" t="s">
        <v>172</v>
      </c>
      <c r="N206" s="8" t="s">
        <v>2255</v>
      </c>
      <c r="O206" s="5">
        <v>4050.93</v>
      </c>
      <c r="P206" s="6">
        <v>13290.9</v>
      </c>
      <c r="Q206" s="6">
        <v>-625.73400000000004</v>
      </c>
      <c r="R206" s="12">
        <v>0</v>
      </c>
      <c r="S206" s="4" t="s">
        <v>2256</v>
      </c>
      <c r="T206" s="4" t="s">
        <v>2257</v>
      </c>
      <c r="U206" s="4" t="s">
        <v>2258</v>
      </c>
      <c r="V206" s="4" t="s">
        <v>2259</v>
      </c>
      <c r="W206" s="4" t="s">
        <v>2260</v>
      </c>
      <c r="X206" s="4" t="s">
        <v>2261</v>
      </c>
      <c r="Y206" s="4" t="s">
        <v>2262</v>
      </c>
      <c r="Z206" s="4" t="s">
        <v>2263</v>
      </c>
      <c r="AA206" s="4" t="s">
        <v>2264</v>
      </c>
      <c r="AB206" s="4" t="s">
        <v>2265</v>
      </c>
      <c r="AC206" s="4" t="s">
        <v>2266</v>
      </c>
      <c r="AD206" s="4" t="s">
        <v>2267</v>
      </c>
      <c r="AE206" s="4" t="s">
        <v>2268</v>
      </c>
      <c r="AF206" s="4" t="s">
        <v>2269</v>
      </c>
      <c r="AG206" s="4" t="s">
        <v>2270</v>
      </c>
      <c r="AH206" s="4" t="s">
        <v>2271</v>
      </c>
      <c r="AI206" s="4" t="s">
        <v>2272</v>
      </c>
      <c r="AJ206" s="4" t="s">
        <v>2273</v>
      </c>
      <c r="AK206" s="4" t="s">
        <v>2274</v>
      </c>
      <c r="AL206" s="4" t="s">
        <v>2275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A206" s="3">
        <v>0</v>
      </c>
      <c r="FB206" s="3">
        <v>0</v>
      </c>
      <c r="FC206" s="3">
        <v>0</v>
      </c>
      <c r="FD206" s="3">
        <v>0</v>
      </c>
      <c r="FE206" s="3">
        <v>0</v>
      </c>
      <c r="FF206" s="3">
        <v>0</v>
      </c>
      <c r="FG206" s="3">
        <v>0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/>
    </row>
    <row r="207" spans="1:169" x14ac:dyDescent="0.3">
      <c r="A207" s="2">
        <v>199</v>
      </c>
      <c r="B207" s="5">
        <v>34</v>
      </c>
      <c r="C207" s="6">
        <v>2501252</v>
      </c>
      <c r="D207" s="6" t="s">
        <v>168</v>
      </c>
      <c r="E207" s="6">
        <v>2915020</v>
      </c>
      <c r="F207" s="6">
        <v>2915020</v>
      </c>
      <c r="G207" s="6">
        <v>0</v>
      </c>
      <c r="H207" s="6">
        <v>0</v>
      </c>
      <c r="I207" s="6">
        <v>51.48</v>
      </c>
      <c r="J207" s="6" t="s">
        <v>169</v>
      </c>
      <c r="K207" s="6" t="s">
        <v>170</v>
      </c>
      <c r="L207" s="7" t="s">
        <v>171</v>
      </c>
      <c r="M207" s="7" t="s">
        <v>172</v>
      </c>
      <c r="N207" s="8" t="s">
        <v>2276</v>
      </c>
      <c r="O207" s="5">
        <v>10939.7</v>
      </c>
      <c r="P207" s="6">
        <v>8307.36</v>
      </c>
      <c r="Q207" s="6">
        <v>336.42500000000001</v>
      </c>
      <c r="R207" s="12">
        <v>11674.8</v>
      </c>
      <c r="S207" s="4" t="s">
        <v>2277</v>
      </c>
      <c r="T207" s="4" t="s">
        <v>2278</v>
      </c>
      <c r="U207" s="4" t="s">
        <v>2279</v>
      </c>
      <c r="V207" s="4" t="s">
        <v>2280</v>
      </c>
      <c r="W207" s="4" t="s">
        <v>2281</v>
      </c>
      <c r="X207" s="4" t="s">
        <v>2282</v>
      </c>
      <c r="Y207" s="4" t="s">
        <v>2283</v>
      </c>
      <c r="Z207" s="4" t="s">
        <v>2284</v>
      </c>
      <c r="AA207" s="4" t="s">
        <v>2285</v>
      </c>
      <c r="AB207" s="4" t="s">
        <v>2286</v>
      </c>
      <c r="AC207" s="4" t="s">
        <v>2287</v>
      </c>
      <c r="AD207" s="4" t="s">
        <v>2288</v>
      </c>
      <c r="AE207" s="4" t="s">
        <v>2289</v>
      </c>
      <c r="AF207" s="4" t="s">
        <v>2290</v>
      </c>
      <c r="AG207" s="4" t="s">
        <v>2291</v>
      </c>
      <c r="AH207" s="4" t="s">
        <v>2292</v>
      </c>
      <c r="AI207" s="4" t="s">
        <v>2293</v>
      </c>
      <c r="AJ207" s="4" t="s">
        <v>2294</v>
      </c>
      <c r="AK207" s="4" t="s">
        <v>2295</v>
      </c>
      <c r="AL207" s="4" t="s">
        <v>2296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0</v>
      </c>
      <c r="DY207" s="3">
        <v>0</v>
      </c>
      <c r="DZ207" s="3">
        <v>0</v>
      </c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0</v>
      </c>
      <c r="FA207" s="3">
        <v>0</v>
      </c>
      <c r="FB207" s="3">
        <v>0</v>
      </c>
      <c r="FC207" s="3">
        <v>0</v>
      </c>
      <c r="FD207" s="3">
        <v>0</v>
      </c>
      <c r="FE207" s="3">
        <v>0</v>
      </c>
      <c r="FF207" s="3">
        <v>0</v>
      </c>
      <c r="FG207" s="3">
        <v>0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/>
    </row>
    <row r="208" spans="1:169" x14ac:dyDescent="0.3">
      <c r="A208" s="2">
        <v>200</v>
      </c>
      <c r="B208" s="5">
        <v>34</v>
      </c>
      <c r="C208" s="6">
        <v>2501252</v>
      </c>
      <c r="D208" s="6" t="s">
        <v>168</v>
      </c>
      <c r="E208" s="6">
        <v>2915020</v>
      </c>
      <c r="F208" s="6">
        <v>2915020</v>
      </c>
      <c r="G208" s="6">
        <v>0</v>
      </c>
      <c r="H208" s="6">
        <v>0</v>
      </c>
      <c r="I208" s="6">
        <v>51.48</v>
      </c>
      <c r="J208" s="6" t="s">
        <v>194</v>
      </c>
      <c r="K208" s="6" t="s">
        <v>195</v>
      </c>
      <c r="L208" s="7" t="s">
        <v>196</v>
      </c>
      <c r="M208" s="7" t="s">
        <v>172</v>
      </c>
      <c r="N208" s="8" t="s">
        <v>2276</v>
      </c>
      <c r="O208" s="5">
        <v>-10647.6</v>
      </c>
      <c r="P208" s="6">
        <v>-7149.22</v>
      </c>
      <c r="Q208" s="6">
        <v>-230.221</v>
      </c>
      <c r="R208" s="12">
        <v>37566.199999999997</v>
      </c>
      <c r="S208" s="4" t="s">
        <v>2277</v>
      </c>
      <c r="T208" s="4" t="s">
        <v>2278</v>
      </c>
      <c r="U208" s="4" t="s">
        <v>2279</v>
      </c>
      <c r="V208" s="4" t="s">
        <v>2280</v>
      </c>
      <c r="W208" s="4" t="s">
        <v>2281</v>
      </c>
      <c r="X208" s="4" t="s">
        <v>2282</v>
      </c>
      <c r="Y208" s="4" t="s">
        <v>2283</v>
      </c>
      <c r="Z208" s="4" t="s">
        <v>2284</v>
      </c>
      <c r="AA208" s="4" t="s">
        <v>2285</v>
      </c>
      <c r="AB208" s="4" t="s">
        <v>2286</v>
      </c>
      <c r="AC208" s="4" t="s">
        <v>2287</v>
      </c>
      <c r="AD208" s="4" t="s">
        <v>2288</v>
      </c>
      <c r="AE208" s="4" t="s">
        <v>2289</v>
      </c>
      <c r="AF208" s="4" t="s">
        <v>2290</v>
      </c>
      <c r="AG208" s="4" t="s">
        <v>2291</v>
      </c>
      <c r="AH208" s="4" t="s">
        <v>2292</v>
      </c>
      <c r="AI208" s="4" t="s">
        <v>2293</v>
      </c>
      <c r="AJ208" s="4" t="s">
        <v>2294</v>
      </c>
      <c r="AK208" s="4" t="s">
        <v>2295</v>
      </c>
      <c r="AL208" s="4" t="s">
        <v>2296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/>
    </row>
    <row r="209" spans="1:169" x14ac:dyDescent="0.3">
      <c r="A209" s="2">
        <v>201</v>
      </c>
      <c r="B209" s="5">
        <v>34</v>
      </c>
      <c r="C209" s="6">
        <v>1502047</v>
      </c>
      <c r="D209" s="6" t="s">
        <v>197</v>
      </c>
      <c r="E209" s="6">
        <v>2915020</v>
      </c>
      <c r="F209" s="6">
        <v>1915022</v>
      </c>
      <c r="G209" s="6">
        <v>3915020</v>
      </c>
      <c r="H209" s="6">
        <v>1915021</v>
      </c>
      <c r="I209" s="6">
        <v>57.914999999999999</v>
      </c>
      <c r="J209" s="6" t="s">
        <v>169</v>
      </c>
      <c r="K209" s="6" t="s">
        <v>170</v>
      </c>
      <c r="L209" s="7" t="s">
        <v>171</v>
      </c>
      <c r="M209" s="7" t="s">
        <v>172</v>
      </c>
      <c r="N209" s="8" t="s">
        <v>2297</v>
      </c>
      <c r="O209" s="5">
        <v>4032.98</v>
      </c>
      <c r="P209" s="6">
        <v>-4733.42</v>
      </c>
      <c r="Q209" s="6">
        <v>-1948.34</v>
      </c>
      <c r="R209" s="12">
        <v>11674.8</v>
      </c>
      <c r="S209" s="4" t="s">
        <v>2298</v>
      </c>
      <c r="T209" s="4" t="s">
        <v>2299</v>
      </c>
      <c r="U209" s="4" t="s">
        <v>2300</v>
      </c>
      <c r="V209" s="4" t="s">
        <v>2301</v>
      </c>
      <c r="W209" s="4" t="s">
        <v>2302</v>
      </c>
      <c r="X209" s="4" t="s">
        <v>2303</v>
      </c>
      <c r="Y209" s="4" t="s">
        <v>2304</v>
      </c>
      <c r="Z209" s="4" t="s">
        <v>2305</v>
      </c>
      <c r="AA209" s="4" t="s">
        <v>2306</v>
      </c>
      <c r="AB209" s="4" t="s">
        <v>2307</v>
      </c>
      <c r="AC209" s="4" t="s">
        <v>2308</v>
      </c>
      <c r="AD209" s="4" t="s">
        <v>2309</v>
      </c>
      <c r="AE209" s="4" t="s">
        <v>2310</v>
      </c>
      <c r="AF209" s="4" t="s">
        <v>2311</v>
      </c>
      <c r="AG209" s="4" t="s">
        <v>2312</v>
      </c>
      <c r="AH209" s="4" t="s">
        <v>2313</v>
      </c>
      <c r="AI209" s="4" t="s">
        <v>2314</v>
      </c>
      <c r="AJ209" s="4" t="s">
        <v>2315</v>
      </c>
      <c r="AK209" s="4" t="s">
        <v>2316</v>
      </c>
      <c r="AL209" s="4" t="s">
        <v>2317</v>
      </c>
      <c r="AM209" s="3">
        <v>-1310.3</v>
      </c>
      <c r="AN209" s="3">
        <v>-1312.24</v>
      </c>
      <c r="AO209" s="3">
        <v>-1312.8</v>
      </c>
      <c r="AP209" s="3">
        <v>-1305.04</v>
      </c>
      <c r="AQ209" s="3">
        <v>-1291.44</v>
      </c>
      <c r="AR209" s="3">
        <v>-1278.76</v>
      </c>
      <c r="AS209" s="3">
        <v>-1430.29</v>
      </c>
      <c r="AT209" s="3">
        <v>-1592.99</v>
      </c>
      <c r="AU209" s="3">
        <v>-1752.28</v>
      </c>
      <c r="AV209" s="3">
        <v>-1893.53</v>
      </c>
      <c r="AW209" s="3">
        <v>-2026.06</v>
      </c>
      <c r="AX209" s="3">
        <v>-2024.41</v>
      </c>
      <c r="AY209" s="3">
        <v>-2023.67</v>
      </c>
      <c r="AZ209" s="3">
        <v>-2030.37</v>
      </c>
      <c r="BA209" s="3">
        <v>-2042.59</v>
      </c>
      <c r="BB209" s="3">
        <v>-2049.6</v>
      </c>
      <c r="BC209" s="3">
        <v>-1870.82</v>
      </c>
      <c r="BD209" s="3">
        <v>-1706.76</v>
      </c>
      <c r="BE209" s="3">
        <v>-1557.34</v>
      </c>
      <c r="BF209" s="3">
        <v>-1429.2</v>
      </c>
      <c r="BG209" s="3">
        <v>278.78899999999999</v>
      </c>
      <c r="BH209" s="3">
        <v>285.23700000000002</v>
      </c>
      <c r="BI209" s="3">
        <v>291.54000000000002</v>
      </c>
      <c r="BJ209" s="3">
        <v>288.791</v>
      </c>
      <c r="BK209" s="3">
        <v>276.46800000000002</v>
      </c>
      <c r="BL209" s="3">
        <v>264.5</v>
      </c>
      <c r="BM209" s="3">
        <v>258.76</v>
      </c>
      <c r="BN209" s="3">
        <v>253.596</v>
      </c>
      <c r="BO209" s="3">
        <v>246.77799999999999</v>
      </c>
      <c r="BP209" s="3">
        <v>236.06299999999999</v>
      </c>
      <c r="BQ209" s="3">
        <v>229.76</v>
      </c>
      <c r="BR209" s="3">
        <v>217.87899999999999</v>
      </c>
      <c r="BS209" s="3">
        <v>208.67500000000001</v>
      </c>
      <c r="BT209" s="3">
        <v>210.09</v>
      </c>
      <c r="BU209" s="3">
        <v>221.06800000000001</v>
      </c>
      <c r="BV209" s="3">
        <v>230.976</v>
      </c>
      <c r="BW209" s="3">
        <v>231.739</v>
      </c>
      <c r="BX209" s="3">
        <v>237.36199999999999</v>
      </c>
      <c r="BY209" s="3">
        <v>248.08600000000001</v>
      </c>
      <c r="BZ209" s="3">
        <v>267.09800000000001</v>
      </c>
      <c r="CA209" s="3">
        <v>-317.51</v>
      </c>
      <c r="CB209" s="3">
        <v>-322.858</v>
      </c>
      <c r="CC209" s="3">
        <v>-320.80200000000002</v>
      </c>
      <c r="CD209" s="3">
        <v>-314.61700000000002</v>
      </c>
      <c r="CE209" s="3">
        <v>-315.27600000000001</v>
      </c>
      <c r="CF209" s="3">
        <v>-321.81099999999998</v>
      </c>
      <c r="CG209" s="3">
        <v>-309.65300000000002</v>
      </c>
      <c r="CH209" s="3">
        <v>-294.66699999999997</v>
      </c>
      <c r="CI209" s="3">
        <v>-272.25400000000002</v>
      </c>
      <c r="CJ209" s="3">
        <v>-254.42</v>
      </c>
      <c r="CK209" s="3">
        <v>-250.16499999999999</v>
      </c>
      <c r="CL209" s="3">
        <v>-250.31700000000001</v>
      </c>
      <c r="CM209" s="3">
        <v>-257.404</v>
      </c>
      <c r="CN209" s="3">
        <v>-269.58</v>
      </c>
      <c r="CO209" s="3">
        <v>-279.45499999999998</v>
      </c>
      <c r="CP209" s="3">
        <v>-285.63400000000001</v>
      </c>
      <c r="CQ209" s="3">
        <v>-284.19499999999999</v>
      </c>
      <c r="CR209" s="3">
        <v>-289.346</v>
      </c>
      <c r="CS209" s="3">
        <v>-304.47800000000001</v>
      </c>
      <c r="CT209" s="3">
        <v>-316.74599999999998</v>
      </c>
      <c r="CU209" s="3">
        <v>-2534.4699999999998</v>
      </c>
      <c r="CV209" s="3">
        <v>-3020.14</v>
      </c>
      <c r="CW209" s="3">
        <v>-3134.13</v>
      </c>
      <c r="CX209" s="3">
        <v>-2919.58</v>
      </c>
      <c r="CY209" s="3">
        <v>-2755.98</v>
      </c>
      <c r="CZ209" s="3">
        <v>-3304.97</v>
      </c>
      <c r="DA209" s="3">
        <v>-2657.58</v>
      </c>
      <c r="DB209" s="3">
        <v>-2124.42</v>
      </c>
      <c r="DC209" s="3">
        <v>-1755.35</v>
      </c>
      <c r="DD209" s="3">
        <v>-1431.72</v>
      </c>
      <c r="DE209" s="3">
        <v>-1235</v>
      </c>
      <c r="DF209" s="3">
        <v>-376.07499999999999</v>
      </c>
      <c r="DG209" s="3">
        <v>-115.372</v>
      </c>
      <c r="DH209" s="3">
        <v>-406.15300000000002</v>
      </c>
      <c r="DI209" s="3">
        <v>-887.52</v>
      </c>
      <c r="DJ209" s="3">
        <v>-869.30600000000004</v>
      </c>
      <c r="DK209" s="3">
        <v>-1612.24</v>
      </c>
      <c r="DL209" s="3">
        <v>-2172.92</v>
      </c>
      <c r="DM209" s="3">
        <v>-2475.5100000000002</v>
      </c>
      <c r="DN209" s="3">
        <v>-2696.83</v>
      </c>
      <c r="DO209" s="3">
        <v>-2028.05</v>
      </c>
      <c r="DP209" s="3">
        <v>-2244.9299999999998</v>
      </c>
      <c r="DQ209" s="3">
        <v>-2446.87</v>
      </c>
      <c r="DR209" s="3">
        <v>-2672.92</v>
      </c>
      <c r="DS209" s="3">
        <v>-2812.74</v>
      </c>
      <c r="DT209" s="3">
        <v>-2730.97</v>
      </c>
      <c r="DU209" s="3">
        <v>-2355.44</v>
      </c>
      <c r="DV209" s="3">
        <v>-1526.43</v>
      </c>
      <c r="DW209" s="3">
        <v>-567.16</v>
      </c>
      <c r="DX209" s="3">
        <v>-31.194900000000001</v>
      </c>
      <c r="DY209" s="3">
        <v>165.70500000000001</v>
      </c>
      <c r="DZ209" s="3">
        <v>235.66</v>
      </c>
      <c r="EA209" s="3">
        <v>365.23200000000003</v>
      </c>
      <c r="EB209" s="3">
        <v>505.59300000000002</v>
      </c>
      <c r="EC209" s="3">
        <v>541.89</v>
      </c>
      <c r="ED209" s="3">
        <v>329.83699999999999</v>
      </c>
      <c r="EE209" s="3">
        <v>-415.19400000000002</v>
      </c>
      <c r="EF209" s="3">
        <v>-1394.45</v>
      </c>
      <c r="EG209" s="3">
        <v>-2219.3000000000002</v>
      </c>
      <c r="EH209" s="3">
        <v>-2347.02</v>
      </c>
      <c r="EI209" s="3">
        <v>-106.79</v>
      </c>
      <c r="EJ209" s="3">
        <v>15.34</v>
      </c>
      <c r="EK209" s="3">
        <v>189.40899999999999</v>
      </c>
      <c r="EL209" s="3">
        <v>231.988</v>
      </c>
      <c r="EM209" s="3">
        <v>-68.308199999999999</v>
      </c>
      <c r="EN209" s="3">
        <v>-504.13099999999997</v>
      </c>
      <c r="EO209" s="3">
        <v>-738.02099999999996</v>
      </c>
      <c r="EP209" s="3">
        <v>-692.61300000000006</v>
      </c>
      <c r="EQ209" s="3">
        <v>-323.791</v>
      </c>
      <c r="ER209" s="3">
        <v>5.0626199999999999</v>
      </c>
      <c r="ES209" s="3">
        <v>-52.331699999999998</v>
      </c>
      <c r="ET209" s="3">
        <v>-138.346</v>
      </c>
      <c r="EU209" s="3">
        <v>-332.05700000000002</v>
      </c>
      <c r="EV209" s="3">
        <v>-451.64100000000002</v>
      </c>
      <c r="EW209" s="3">
        <v>-280.78800000000001</v>
      </c>
      <c r="EX209" s="3">
        <v>64.4863</v>
      </c>
      <c r="EY209" s="3">
        <v>385.05500000000001</v>
      </c>
      <c r="EZ209" s="3">
        <v>526.03300000000002</v>
      </c>
      <c r="FA209" s="3">
        <v>313.178</v>
      </c>
      <c r="FB209" s="3">
        <v>-14.2277</v>
      </c>
      <c r="FC209" s="3">
        <v>-1654</v>
      </c>
      <c r="FD209" s="3">
        <v>-1662.32</v>
      </c>
      <c r="FE209" s="3">
        <v>219.74100000000001</v>
      </c>
      <c r="FF209" s="3">
        <v>280.887</v>
      </c>
      <c r="FG209" s="3">
        <v>-265.42599999999999</v>
      </c>
      <c r="FH209" s="3">
        <v>-318.81200000000001</v>
      </c>
      <c r="FI209" s="3">
        <v>2072.5300000000002</v>
      </c>
      <c r="FJ209" s="3">
        <v>1066.05</v>
      </c>
      <c r="FK209" s="3">
        <v>107.136</v>
      </c>
      <c r="FL209" s="3">
        <v>0</v>
      </c>
      <c r="FM209" s="3"/>
    </row>
    <row r="210" spans="1:169" x14ac:dyDescent="0.3">
      <c r="A210" s="2">
        <v>202</v>
      </c>
      <c r="B210" s="5">
        <v>34</v>
      </c>
      <c r="C210" s="6">
        <v>1502047</v>
      </c>
      <c r="D210" s="6" t="s">
        <v>197</v>
      </c>
      <c r="E210" s="6">
        <v>2915020</v>
      </c>
      <c r="F210" s="6">
        <v>1915022</v>
      </c>
      <c r="G210" s="6">
        <v>3915020</v>
      </c>
      <c r="H210" s="6">
        <v>1915021</v>
      </c>
      <c r="I210" s="6">
        <v>57.914999999999999</v>
      </c>
      <c r="J210" s="6" t="s">
        <v>194</v>
      </c>
      <c r="K210" s="6" t="s">
        <v>195</v>
      </c>
      <c r="L210" s="7" t="s">
        <v>196</v>
      </c>
      <c r="M210" s="7" t="s">
        <v>172</v>
      </c>
      <c r="N210" s="8" t="s">
        <v>2297</v>
      </c>
      <c r="O210" s="5">
        <v>-2506.17</v>
      </c>
      <c r="P210" s="6">
        <v>4164.91</v>
      </c>
      <c r="Q210" s="6">
        <v>2077.58</v>
      </c>
      <c r="R210" s="12">
        <v>37566.199999999997</v>
      </c>
      <c r="S210" s="4" t="s">
        <v>2298</v>
      </c>
      <c r="T210" s="4" t="s">
        <v>2299</v>
      </c>
      <c r="U210" s="4" t="s">
        <v>2300</v>
      </c>
      <c r="V210" s="4" t="s">
        <v>2301</v>
      </c>
      <c r="W210" s="4" t="s">
        <v>2302</v>
      </c>
      <c r="X210" s="4" t="s">
        <v>2303</v>
      </c>
      <c r="Y210" s="4" t="s">
        <v>2304</v>
      </c>
      <c r="Z210" s="4" t="s">
        <v>2305</v>
      </c>
      <c r="AA210" s="4" t="s">
        <v>2306</v>
      </c>
      <c r="AB210" s="4" t="s">
        <v>2307</v>
      </c>
      <c r="AC210" s="4" t="s">
        <v>2308</v>
      </c>
      <c r="AD210" s="4" t="s">
        <v>2309</v>
      </c>
      <c r="AE210" s="4" t="s">
        <v>2310</v>
      </c>
      <c r="AF210" s="4" t="s">
        <v>2311</v>
      </c>
      <c r="AG210" s="4" t="s">
        <v>2312</v>
      </c>
      <c r="AH210" s="4" t="s">
        <v>2313</v>
      </c>
      <c r="AI210" s="4" t="s">
        <v>2314</v>
      </c>
      <c r="AJ210" s="4" t="s">
        <v>2315</v>
      </c>
      <c r="AK210" s="4" t="s">
        <v>2316</v>
      </c>
      <c r="AL210" s="4" t="s">
        <v>2317</v>
      </c>
      <c r="AM210" s="3">
        <v>1314.96</v>
      </c>
      <c r="AN210" s="3">
        <v>1317.9</v>
      </c>
      <c r="AO210" s="3">
        <v>1320.32</v>
      </c>
      <c r="AP210" s="3">
        <v>1316.71</v>
      </c>
      <c r="AQ210" s="3">
        <v>1309.02</v>
      </c>
      <c r="AR210" s="3">
        <v>1303.68</v>
      </c>
      <c r="AS210" s="3">
        <v>1414.54</v>
      </c>
      <c r="AT210" s="3">
        <v>1530.11</v>
      </c>
      <c r="AU210" s="3">
        <v>1643.62</v>
      </c>
      <c r="AV210" s="3">
        <v>1746.85</v>
      </c>
      <c r="AW210" s="3">
        <v>1848.49</v>
      </c>
      <c r="AX210" s="3">
        <v>1873.28</v>
      </c>
      <c r="AY210" s="3">
        <v>1895.15</v>
      </c>
      <c r="AZ210" s="3">
        <v>1920.47</v>
      </c>
      <c r="BA210" s="3">
        <v>1948.52</v>
      </c>
      <c r="BB210" s="3">
        <v>1969.23</v>
      </c>
      <c r="BC210" s="3">
        <v>1808.18</v>
      </c>
      <c r="BD210" s="3">
        <v>1666.17</v>
      </c>
      <c r="BE210" s="3">
        <v>1536.42</v>
      </c>
      <c r="BF210" s="3">
        <v>1421.69</v>
      </c>
      <c r="BG210" s="3">
        <v>-259.416</v>
      </c>
      <c r="BH210" s="3">
        <v>-263.73500000000001</v>
      </c>
      <c r="BI210" s="3">
        <v>-269.18</v>
      </c>
      <c r="BJ210" s="3">
        <v>-267.94600000000003</v>
      </c>
      <c r="BK210" s="3">
        <v>-258.39800000000002</v>
      </c>
      <c r="BL210" s="3">
        <v>-248.57400000000001</v>
      </c>
      <c r="BM210" s="3">
        <v>-225.82400000000001</v>
      </c>
      <c r="BN210" s="3">
        <v>-201.648</v>
      </c>
      <c r="BO210" s="3">
        <v>-176.47800000000001</v>
      </c>
      <c r="BP210" s="3">
        <v>-149.893</v>
      </c>
      <c r="BQ210" s="3">
        <v>-129.56299999999999</v>
      </c>
      <c r="BR210" s="3">
        <v>-130.82300000000001</v>
      </c>
      <c r="BS210" s="3">
        <v>-132.316</v>
      </c>
      <c r="BT210" s="3">
        <v>-141.76400000000001</v>
      </c>
      <c r="BU210" s="3">
        <v>-159.42500000000001</v>
      </c>
      <c r="BV210" s="3">
        <v>-176.215</v>
      </c>
      <c r="BW210" s="3">
        <v>-183.458</v>
      </c>
      <c r="BX210" s="3">
        <v>-197.38800000000001</v>
      </c>
      <c r="BY210" s="3">
        <v>-215.887</v>
      </c>
      <c r="BZ210" s="3">
        <v>-240.761</v>
      </c>
      <c r="CA210" s="3">
        <v>363.63900000000001</v>
      </c>
      <c r="CB210" s="3">
        <v>377.58199999999999</v>
      </c>
      <c r="CC210" s="3">
        <v>386.572</v>
      </c>
      <c r="CD210" s="3">
        <v>393.18</v>
      </c>
      <c r="CE210" s="3">
        <v>407.20600000000002</v>
      </c>
      <c r="CF210" s="3">
        <v>428.62900000000002</v>
      </c>
      <c r="CG210" s="3">
        <v>423.07799999999997</v>
      </c>
      <c r="CH210" s="3">
        <v>411.42</v>
      </c>
      <c r="CI210" s="3">
        <v>387.72800000000001</v>
      </c>
      <c r="CJ210" s="3">
        <v>357.91800000000001</v>
      </c>
      <c r="CK210" s="3">
        <v>329.87400000000002</v>
      </c>
      <c r="CL210" s="3">
        <v>317.55099999999999</v>
      </c>
      <c r="CM210" s="3">
        <v>312.92099999999999</v>
      </c>
      <c r="CN210" s="3">
        <v>314.80099999999999</v>
      </c>
      <c r="CO210" s="3">
        <v>316.95999999999998</v>
      </c>
      <c r="CP210" s="3">
        <v>317.30399999999997</v>
      </c>
      <c r="CQ210" s="3">
        <v>326.63900000000001</v>
      </c>
      <c r="CR210" s="3">
        <v>337.32600000000002</v>
      </c>
      <c r="CS210" s="3">
        <v>352.13299999999998</v>
      </c>
      <c r="CT210" s="3">
        <v>363.50099999999998</v>
      </c>
      <c r="CU210" s="3">
        <v>2271.98</v>
      </c>
      <c r="CV210" s="3">
        <v>2729.17</v>
      </c>
      <c r="CW210" s="3">
        <v>2844.1</v>
      </c>
      <c r="CX210" s="3">
        <v>2670.76</v>
      </c>
      <c r="CY210" s="3">
        <v>2571.29</v>
      </c>
      <c r="CZ210" s="3">
        <v>3154.43</v>
      </c>
      <c r="DA210" s="3">
        <v>2510.34</v>
      </c>
      <c r="DB210" s="3">
        <v>1975.3</v>
      </c>
      <c r="DC210" s="3">
        <v>1597.25</v>
      </c>
      <c r="DD210" s="3">
        <v>1271.78</v>
      </c>
      <c r="DE210" s="3">
        <v>1075.4100000000001</v>
      </c>
      <c r="DF210" s="3">
        <v>239.45099999999999</v>
      </c>
      <c r="DG210" s="3">
        <v>-23.017199999999999</v>
      </c>
      <c r="DH210" s="3">
        <v>238.53700000000001</v>
      </c>
      <c r="DI210" s="3">
        <v>678.04600000000005</v>
      </c>
      <c r="DJ210" s="3">
        <v>649.01900000000001</v>
      </c>
      <c r="DK210" s="3">
        <v>1353.06</v>
      </c>
      <c r="DL210" s="3">
        <v>1889.8</v>
      </c>
      <c r="DM210" s="3">
        <v>2188.61</v>
      </c>
      <c r="DN210" s="3">
        <v>2409.29</v>
      </c>
      <c r="DO210" s="3">
        <v>1820.17</v>
      </c>
      <c r="DP210" s="3">
        <v>2031.22</v>
      </c>
      <c r="DQ210" s="3">
        <v>2232.61</v>
      </c>
      <c r="DR210" s="3">
        <v>2461.75</v>
      </c>
      <c r="DS210" s="3">
        <v>2611.87</v>
      </c>
      <c r="DT210" s="3">
        <v>2558.5300000000002</v>
      </c>
      <c r="DU210" s="3">
        <v>2095.9499999999998</v>
      </c>
      <c r="DV210" s="3">
        <v>1233.04</v>
      </c>
      <c r="DW210" s="3">
        <v>281.25</v>
      </c>
      <c r="DX210" s="3">
        <v>-261.99700000000001</v>
      </c>
      <c r="DY210" s="3">
        <v>-501.12099999999998</v>
      </c>
      <c r="DZ210" s="3">
        <v>-554.32799999999997</v>
      </c>
      <c r="EA210" s="3">
        <v>-662.32600000000002</v>
      </c>
      <c r="EB210" s="3">
        <v>-781.55200000000002</v>
      </c>
      <c r="EC210" s="3">
        <v>-803.00099999999998</v>
      </c>
      <c r="ED210" s="3">
        <v>-593.36599999999999</v>
      </c>
      <c r="EE210" s="3">
        <v>141.63800000000001</v>
      </c>
      <c r="EF210" s="3">
        <v>1088.5</v>
      </c>
      <c r="EG210" s="3">
        <v>1888.41</v>
      </c>
      <c r="EH210" s="3">
        <v>2051.4299999999998</v>
      </c>
      <c r="EI210" s="3">
        <v>12.346</v>
      </c>
      <c r="EJ210" s="3">
        <v>-104.444</v>
      </c>
      <c r="EK210" s="3">
        <v>-266.13499999999999</v>
      </c>
      <c r="EL210" s="3">
        <v>-300.04599999999999</v>
      </c>
      <c r="EM210" s="3">
        <v>-15.178900000000001</v>
      </c>
      <c r="EN210" s="3">
        <v>390.56200000000001</v>
      </c>
      <c r="EO210" s="3">
        <v>599.34699999999998</v>
      </c>
      <c r="EP210" s="3">
        <v>551.39</v>
      </c>
      <c r="EQ210" s="3">
        <v>209.66399999999999</v>
      </c>
      <c r="ER210" s="3">
        <v>-81.887</v>
      </c>
      <c r="ES210" s="3">
        <v>-7.1319400000000002</v>
      </c>
      <c r="ET210" s="3">
        <v>77.897300000000001</v>
      </c>
      <c r="EU210" s="3">
        <v>259.24700000000001</v>
      </c>
      <c r="EV210" s="3">
        <v>368.92899999999997</v>
      </c>
      <c r="EW210" s="3">
        <v>208.61199999999999</v>
      </c>
      <c r="EX210" s="3">
        <v>-110.464</v>
      </c>
      <c r="EY210" s="3">
        <v>-418.61700000000002</v>
      </c>
      <c r="EZ210" s="3">
        <v>-554.59</v>
      </c>
      <c r="FA210" s="3">
        <v>-363.28300000000002</v>
      </c>
      <c r="FB210" s="3">
        <v>-71.032200000000003</v>
      </c>
      <c r="FC210" s="3">
        <v>1581.22</v>
      </c>
      <c r="FD210" s="3">
        <v>1619.44</v>
      </c>
      <c r="FE210" s="3">
        <v>-145.018</v>
      </c>
      <c r="FF210" s="3">
        <v>-261.20800000000003</v>
      </c>
      <c r="FG210" s="3">
        <v>318.23500000000001</v>
      </c>
      <c r="FH210" s="3">
        <v>392.80099999999999</v>
      </c>
      <c r="FI210" s="3">
        <v>-1862.19</v>
      </c>
      <c r="FJ210" s="3">
        <v>-818.37199999999996</v>
      </c>
      <c r="FK210" s="3">
        <v>-27.9373</v>
      </c>
      <c r="FL210" s="3">
        <v>0</v>
      </c>
      <c r="FM210" s="3"/>
    </row>
    <row r="211" spans="1:169" x14ac:dyDescent="0.3">
      <c r="A211" s="2">
        <v>203</v>
      </c>
      <c r="B211" s="5">
        <v>34</v>
      </c>
      <c r="C211" s="6">
        <v>3502219</v>
      </c>
      <c r="D211" s="6" t="s">
        <v>219</v>
      </c>
      <c r="E211" s="6">
        <v>3915020</v>
      </c>
      <c r="F211" s="6">
        <v>3915022</v>
      </c>
      <c r="G211" s="6">
        <v>4915020</v>
      </c>
      <c r="H211" s="6">
        <v>3915023</v>
      </c>
      <c r="I211" s="6">
        <v>51.48</v>
      </c>
      <c r="J211" s="6" t="s">
        <v>169</v>
      </c>
      <c r="K211" s="6" t="s">
        <v>170</v>
      </c>
      <c r="L211" s="7" t="s">
        <v>171</v>
      </c>
      <c r="M211" s="7" t="s">
        <v>172</v>
      </c>
      <c r="N211" s="8" t="s">
        <v>2318</v>
      </c>
      <c r="O211" s="5">
        <v>-17412.8</v>
      </c>
      <c r="P211" s="6">
        <v>23443.200000000001</v>
      </c>
      <c r="Q211" s="6">
        <v>727.803</v>
      </c>
      <c r="R211" s="12">
        <v>11674.8</v>
      </c>
      <c r="S211" s="4" t="s">
        <v>2319</v>
      </c>
      <c r="T211" s="4" t="s">
        <v>2320</v>
      </c>
      <c r="U211" s="4" t="s">
        <v>2321</v>
      </c>
      <c r="V211" s="4" t="s">
        <v>2322</v>
      </c>
      <c r="W211" s="4" t="s">
        <v>2323</v>
      </c>
      <c r="X211" s="4" t="s">
        <v>2324</v>
      </c>
      <c r="Y211" s="4" t="s">
        <v>2325</v>
      </c>
      <c r="Z211" s="4" t="s">
        <v>2326</v>
      </c>
      <c r="AA211" s="4" t="s">
        <v>2327</v>
      </c>
      <c r="AB211" s="4" t="s">
        <v>2328</v>
      </c>
      <c r="AC211" s="4" t="s">
        <v>2329</v>
      </c>
      <c r="AD211" s="4" t="s">
        <v>2330</v>
      </c>
      <c r="AE211" s="4" t="s">
        <v>2331</v>
      </c>
      <c r="AF211" s="4" t="s">
        <v>2332</v>
      </c>
      <c r="AG211" s="4" t="s">
        <v>2333</v>
      </c>
      <c r="AH211" s="4" t="s">
        <v>2334</v>
      </c>
      <c r="AI211" s="4" t="s">
        <v>2335</v>
      </c>
      <c r="AJ211" s="4" t="s">
        <v>2336</v>
      </c>
      <c r="AK211" s="4" t="s">
        <v>2337</v>
      </c>
      <c r="AL211" s="4" t="s">
        <v>2338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0</v>
      </c>
      <c r="DW211" s="3">
        <v>0</v>
      </c>
      <c r="DX211" s="3">
        <v>0</v>
      </c>
      <c r="DY211" s="3">
        <v>0</v>
      </c>
      <c r="DZ211" s="3">
        <v>0</v>
      </c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/>
    </row>
    <row r="212" spans="1:169" x14ac:dyDescent="0.3">
      <c r="A212" s="2">
        <v>204</v>
      </c>
      <c r="B212" s="5">
        <v>34</v>
      </c>
      <c r="C212" s="6">
        <v>3502219</v>
      </c>
      <c r="D212" s="6" t="s">
        <v>219</v>
      </c>
      <c r="E212" s="6">
        <v>3915020</v>
      </c>
      <c r="F212" s="6">
        <v>3915022</v>
      </c>
      <c r="G212" s="6">
        <v>4915020</v>
      </c>
      <c r="H212" s="6">
        <v>3915023</v>
      </c>
      <c r="I212" s="6">
        <v>51.48</v>
      </c>
      <c r="J212" s="6" t="s">
        <v>194</v>
      </c>
      <c r="K212" s="6" t="s">
        <v>195</v>
      </c>
      <c r="L212" s="7" t="s">
        <v>196</v>
      </c>
      <c r="M212" s="7" t="s">
        <v>172</v>
      </c>
      <c r="N212" s="8" t="s">
        <v>2318</v>
      </c>
      <c r="O212" s="5">
        <v>15281.6</v>
      </c>
      <c r="P212" s="6">
        <v>-24850.1</v>
      </c>
      <c r="Q212" s="6">
        <v>-642.81399999999996</v>
      </c>
      <c r="R212" s="12">
        <v>37566.199999999997</v>
      </c>
      <c r="S212" s="4" t="s">
        <v>2319</v>
      </c>
      <c r="T212" s="4" t="s">
        <v>2320</v>
      </c>
      <c r="U212" s="4" t="s">
        <v>2321</v>
      </c>
      <c r="V212" s="4" t="s">
        <v>2322</v>
      </c>
      <c r="W212" s="4" t="s">
        <v>2323</v>
      </c>
      <c r="X212" s="4" t="s">
        <v>2324</v>
      </c>
      <c r="Y212" s="4" t="s">
        <v>2325</v>
      </c>
      <c r="Z212" s="4" t="s">
        <v>2326</v>
      </c>
      <c r="AA212" s="4" t="s">
        <v>2327</v>
      </c>
      <c r="AB212" s="4" t="s">
        <v>2328</v>
      </c>
      <c r="AC212" s="4" t="s">
        <v>2329</v>
      </c>
      <c r="AD212" s="4" t="s">
        <v>2330</v>
      </c>
      <c r="AE212" s="4" t="s">
        <v>2331</v>
      </c>
      <c r="AF212" s="4" t="s">
        <v>2332</v>
      </c>
      <c r="AG212" s="4" t="s">
        <v>2333</v>
      </c>
      <c r="AH212" s="4" t="s">
        <v>2334</v>
      </c>
      <c r="AI212" s="4" t="s">
        <v>2335</v>
      </c>
      <c r="AJ212" s="4" t="s">
        <v>2336</v>
      </c>
      <c r="AK212" s="4" t="s">
        <v>2337</v>
      </c>
      <c r="AL212" s="4" t="s">
        <v>2338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/>
    </row>
    <row r="213" spans="1:169" x14ac:dyDescent="0.3">
      <c r="A213" s="2">
        <v>205</v>
      </c>
      <c r="B213" s="5">
        <v>34</v>
      </c>
      <c r="C213" s="6">
        <v>4100669</v>
      </c>
      <c r="D213" s="6" t="s">
        <v>307</v>
      </c>
      <c r="E213" s="6">
        <v>4915020</v>
      </c>
      <c r="F213" s="6">
        <v>4915020</v>
      </c>
      <c r="G213" s="6">
        <v>0</v>
      </c>
      <c r="H213" s="6">
        <v>0</v>
      </c>
      <c r="I213" s="6">
        <v>57.914999999999999</v>
      </c>
      <c r="J213" s="6" t="s">
        <v>169</v>
      </c>
      <c r="K213" s="6" t="s">
        <v>170</v>
      </c>
      <c r="L213" s="7" t="s">
        <v>171</v>
      </c>
      <c r="M213" s="7" t="s">
        <v>172</v>
      </c>
      <c r="N213" s="8" t="s">
        <v>2339</v>
      </c>
      <c r="O213" s="5">
        <v>-37918.300000000003</v>
      </c>
      <c r="P213" s="6">
        <v>-7016.04</v>
      </c>
      <c r="Q213" s="6">
        <v>1255.75</v>
      </c>
      <c r="R213" s="12">
        <v>11674.8</v>
      </c>
      <c r="S213" s="4" t="s">
        <v>2340</v>
      </c>
      <c r="T213" s="4" t="s">
        <v>2341</v>
      </c>
      <c r="U213" s="4" t="s">
        <v>2342</v>
      </c>
      <c r="V213" s="4" t="s">
        <v>2343</v>
      </c>
      <c r="W213" s="4" t="s">
        <v>2344</v>
      </c>
      <c r="X213" s="4" t="s">
        <v>2345</v>
      </c>
      <c r="Y213" s="4" t="s">
        <v>2346</v>
      </c>
      <c r="Z213" s="4" t="s">
        <v>2347</v>
      </c>
      <c r="AA213" s="4" t="s">
        <v>2348</v>
      </c>
      <c r="AB213" s="4" t="s">
        <v>2349</v>
      </c>
      <c r="AC213" s="4" t="s">
        <v>2350</v>
      </c>
      <c r="AD213" s="4" t="s">
        <v>2351</v>
      </c>
      <c r="AE213" s="4" t="s">
        <v>2352</v>
      </c>
      <c r="AF213" s="4" t="s">
        <v>2353</v>
      </c>
      <c r="AG213" s="4" t="s">
        <v>2354</v>
      </c>
      <c r="AH213" s="4" t="s">
        <v>2355</v>
      </c>
      <c r="AI213" s="4" t="s">
        <v>2356</v>
      </c>
      <c r="AJ213" s="4" t="s">
        <v>2357</v>
      </c>
      <c r="AK213" s="4" t="s">
        <v>2358</v>
      </c>
      <c r="AL213" s="4" t="s">
        <v>2359</v>
      </c>
      <c r="AM213" s="3">
        <v>-745.90300000000002</v>
      </c>
      <c r="AN213" s="3">
        <v>-705.14499999999998</v>
      </c>
      <c r="AO213" s="3">
        <v>-646.928</v>
      </c>
      <c r="AP213" s="3">
        <v>-575.65</v>
      </c>
      <c r="AQ213" s="3">
        <v>-517.34299999999996</v>
      </c>
      <c r="AR213" s="3">
        <v>-472.18599999999998</v>
      </c>
      <c r="AS213" s="3">
        <v>-421.63900000000001</v>
      </c>
      <c r="AT213" s="3">
        <v>-350.608</v>
      </c>
      <c r="AU213" s="3">
        <v>-298.99099999999999</v>
      </c>
      <c r="AV213" s="3">
        <v>-305.31700000000001</v>
      </c>
      <c r="AW213" s="3">
        <v>-342.49400000000003</v>
      </c>
      <c r="AX213" s="3">
        <v>-364.96100000000001</v>
      </c>
      <c r="AY213" s="3">
        <v>-359.428</v>
      </c>
      <c r="AZ213" s="3">
        <v>-378.89299999999997</v>
      </c>
      <c r="BA213" s="3">
        <v>-472.31599999999997</v>
      </c>
      <c r="BB213" s="3">
        <v>-635.68600000000004</v>
      </c>
      <c r="BC213" s="3">
        <v>-632.86599999999999</v>
      </c>
      <c r="BD213" s="3">
        <v>-646.39300000000003</v>
      </c>
      <c r="BE213" s="3">
        <v>-682.35500000000002</v>
      </c>
      <c r="BF213" s="3">
        <v>-747.19299999999998</v>
      </c>
      <c r="BG213" s="3">
        <v>-50.683999999999997</v>
      </c>
      <c r="BH213" s="3">
        <v>-58.975900000000003</v>
      </c>
      <c r="BI213" s="3">
        <v>-29.7424</v>
      </c>
      <c r="BJ213" s="3">
        <v>45.387300000000003</v>
      </c>
      <c r="BK213" s="3">
        <v>96.701099999999997</v>
      </c>
      <c r="BL213" s="3">
        <v>61.029699999999998</v>
      </c>
      <c r="BM213" s="3">
        <v>49.402799999999999</v>
      </c>
      <c r="BN213" s="3">
        <v>11.2416</v>
      </c>
      <c r="BO213" s="3">
        <v>-8.1482500000000009</v>
      </c>
      <c r="BP213" s="3">
        <v>5.9619600000000004</v>
      </c>
      <c r="BQ213" s="3">
        <v>17.865100000000002</v>
      </c>
      <c r="BR213" s="3">
        <v>68.148600000000002</v>
      </c>
      <c r="BS213" s="3">
        <v>50.799900000000001</v>
      </c>
      <c r="BT213" s="3">
        <v>1.87384</v>
      </c>
      <c r="BU213" s="3">
        <v>-33.7669</v>
      </c>
      <c r="BV213" s="3">
        <v>-12.632400000000001</v>
      </c>
      <c r="BW213" s="3">
        <v>-2.2330700000000001</v>
      </c>
      <c r="BX213" s="3">
        <v>-1.6274200000000001</v>
      </c>
      <c r="BY213" s="3">
        <v>-10.717700000000001</v>
      </c>
      <c r="BZ213" s="3">
        <v>-26.228400000000001</v>
      </c>
      <c r="CA213" s="3">
        <v>-294.108</v>
      </c>
      <c r="CB213" s="3">
        <v>-306.31400000000002</v>
      </c>
      <c r="CC213" s="3">
        <v>-305.80500000000001</v>
      </c>
      <c r="CD213" s="3">
        <v>-292.35000000000002</v>
      </c>
      <c r="CE213" s="3">
        <v>-292.88799999999998</v>
      </c>
      <c r="CF213" s="3">
        <v>-281.68599999999998</v>
      </c>
      <c r="CG213" s="3">
        <v>-282.71800000000002</v>
      </c>
      <c r="CH213" s="3">
        <v>-203.191</v>
      </c>
      <c r="CI213" s="3">
        <v>-88.196899999999999</v>
      </c>
      <c r="CJ213" s="3">
        <v>8.6462900000000005</v>
      </c>
      <c r="CK213" s="3">
        <v>56.389499999999998</v>
      </c>
      <c r="CL213" s="3">
        <v>21.767600000000002</v>
      </c>
      <c r="CM213" s="3">
        <v>-31.218599999999999</v>
      </c>
      <c r="CN213" s="3">
        <v>-82.331599999999995</v>
      </c>
      <c r="CO213" s="3">
        <v>-109.538</v>
      </c>
      <c r="CP213" s="3">
        <v>-152.02199999999999</v>
      </c>
      <c r="CQ213" s="3">
        <v>-176.05199999999999</v>
      </c>
      <c r="CR213" s="3">
        <v>-212.251</v>
      </c>
      <c r="CS213" s="3">
        <v>-248.624</v>
      </c>
      <c r="CT213" s="3">
        <v>-292.47500000000002</v>
      </c>
      <c r="CU213" s="3">
        <v>-66.929100000000005</v>
      </c>
      <c r="CV213" s="3">
        <v>-359.738</v>
      </c>
      <c r="CW213" s="3">
        <v>-482.233</v>
      </c>
      <c r="CX213" s="3">
        <v>-378.767</v>
      </c>
      <c r="CY213" s="3">
        <v>-148.107</v>
      </c>
      <c r="CZ213" s="3">
        <v>-158.54400000000001</v>
      </c>
      <c r="DA213" s="3">
        <v>-170.64400000000001</v>
      </c>
      <c r="DB213" s="3">
        <v>-147.60499999999999</v>
      </c>
      <c r="DC213" s="3">
        <v>-107.67400000000001</v>
      </c>
      <c r="DD213" s="3">
        <v>-81.219399999999993</v>
      </c>
      <c r="DE213" s="3">
        <v>-70.947800000000001</v>
      </c>
      <c r="DF213" s="3">
        <v>52.418199999999999</v>
      </c>
      <c r="DG213" s="3">
        <v>21.604299999999999</v>
      </c>
      <c r="DH213" s="3">
        <v>-100.777</v>
      </c>
      <c r="DI213" s="3">
        <v>-255.70500000000001</v>
      </c>
      <c r="DJ213" s="3">
        <v>-225.05199999999999</v>
      </c>
      <c r="DK213" s="3">
        <v>-191.51900000000001</v>
      </c>
      <c r="DL213" s="3">
        <v>-172.03399999999999</v>
      </c>
      <c r="DM213" s="3">
        <v>-143.102</v>
      </c>
      <c r="DN213" s="3">
        <v>-112.63200000000001</v>
      </c>
      <c r="DO213" s="3">
        <v>-161.94999999999999</v>
      </c>
      <c r="DP213" s="3">
        <v>-354.11900000000003</v>
      </c>
      <c r="DQ213" s="3">
        <v>-502.15699999999998</v>
      </c>
      <c r="DR213" s="3">
        <v>-562.81600000000003</v>
      </c>
      <c r="DS213" s="3">
        <v>-545.96799999999996</v>
      </c>
      <c r="DT213" s="3">
        <v>-606.54100000000005</v>
      </c>
      <c r="DU213" s="3">
        <v>-582.58399999999995</v>
      </c>
      <c r="DV213" s="3">
        <v>-419.608</v>
      </c>
      <c r="DW213" s="3">
        <v>-209.92599999999999</v>
      </c>
      <c r="DX213" s="3">
        <v>-66.250500000000002</v>
      </c>
      <c r="DY213" s="3">
        <v>0.21682599999999999</v>
      </c>
      <c r="DZ213" s="3">
        <v>24.7195</v>
      </c>
      <c r="EA213" s="3">
        <v>-4.2845700000000004</v>
      </c>
      <c r="EB213" s="3">
        <v>-57.599400000000003</v>
      </c>
      <c r="EC213" s="3">
        <v>-130.93299999999999</v>
      </c>
      <c r="ED213" s="3">
        <v>-129.62</v>
      </c>
      <c r="EE213" s="3">
        <v>-171.392</v>
      </c>
      <c r="EF213" s="3">
        <v>-234.83</v>
      </c>
      <c r="EG213" s="3">
        <v>-262.16300000000001</v>
      </c>
      <c r="EH213" s="3">
        <v>-268.90100000000001</v>
      </c>
      <c r="EI213" s="3">
        <v>-126.968</v>
      </c>
      <c r="EJ213" s="3">
        <v>-92.885800000000003</v>
      </c>
      <c r="EK213" s="3">
        <v>-57.305100000000003</v>
      </c>
      <c r="EL213" s="3">
        <v>-55.325299999999999</v>
      </c>
      <c r="EM213" s="3">
        <v>-33.630099999999999</v>
      </c>
      <c r="EN213" s="3">
        <v>-52.770400000000002</v>
      </c>
      <c r="EO213" s="3">
        <v>-72.070300000000003</v>
      </c>
      <c r="EP213" s="3">
        <v>-83.679000000000002</v>
      </c>
      <c r="EQ213" s="3">
        <v>-120.6</v>
      </c>
      <c r="ER213" s="3">
        <v>-169.64</v>
      </c>
      <c r="ES213" s="3">
        <v>-181.61600000000001</v>
      </c>
      <c r="ET213" s="3">
        <v>-164.655</v>
      </c>
      <c r="EU213" s="3">
        <v>-122.886</v>
      </c>
      <c r="EV213" s="3">
        <v>-97.599100000000007</v>
      </c>
      <c r="EW213" s="3">
        <v>-141.83500000000001</v>
      </c>
      <c r="EX213" s="3">
        <v>-214.61099999999999</v>
      </c>
      <c r="EY213" s="3">
        <v>-186.726</v>
      </c>
      <c r="EZ213" s="3">
        <v>-136.255</v>
      </c>
      <c r="FA213" s="3">
        <v>-99.4405</v>
      </c>
      <c r="FB213" s="3">
        <v>-93.555199999999999</v>
      </c>
      <c r="FC213" s="3">
        <v>-365.20600000000002</v>
      </c>
      <c r="FD213" s="3">
        <v>-681.73299999999995</v>
      </c>
      <c r="FE213" s="3">
        <v>10.619300000000001</v>
      </c>
      <c r="FF213" s="3">
        <v>15.381399999999999</v>
      </c>
      <c r="FG213" s="3">
        <v>-49.492199999999997</v>
      </c>
      <c r="FH213" s="3">
        <v>-295.52499999999998</v>
      </c>
      <c r="FI213" s="3">
        <v>137.32499999999999</v>
      </c>
      <c r="FJ213" s="3">
        <v>252.58799999999999</v>
      </c>
      <c r="FK213" s="3">
        <v>120.001</v>
      </c>
      <c r="FL213" s="3">
        <v>0</v>
      </c>
      <c r="FM213" s="3" t="s">
        <v>1093</v>
      </c>
    </row>
    <row r="214" spans="1:169" x14ac:dyDescent="0.3">
      <c r="A214" s="2">
        <v>206</v>
      </c>
      <c r="B214" s="5">
        <v>34</v>
      </c>
      <c r="C214" s="6">
        <v>4100669</v>
      </c>
      <c r="D214" s="6" t="s">
        <v>307</v>
      </c>
      <c r="E214" s="6">
        <v>4915020</v>
      </c>
      <c r="F214" s="6">
        <v>4915020</v>
      </c>
      <c r="G214" s="6">
        <v>0</v>
      </c>
      <c r="H214" s="6">
        <v>0</v>
      </c>
      <c r="I214" s="6">
        <v>57.914999999999999</v>
      </c>
      <c r="J214" s="6" t="s">
        <v>194</v>
      </c>
      <c r="K214" s="6" t="s">
        <v>195</v>
      </c>
      <c r="L214" s="7" t="s">
        <v>196</v>
      </c>
      <c r="M214" s="7" t="s">
        <v>172</v>
      </c>
      <c r="N214" s="8" t="s">
        <v>2339</v>
      </c>
      <c r="O214" s="5">
        <v>37543.699999999997</v>
      </c>
      <c r="P214" s="6">
        <v>6681.6</v>
      </c>
      <c r="Q214" s="6">
        <v>-1351.79</v>
      </c>
      <c r="R214" s="12">
        <v>37566.199999999997</v>
      </c>
      <c r="S214" s="4" t="s">
        <v>2340</v>
      </c>
      <c r="T214" s="4" t="s">
        <v>2341</v>
      </c>
      <c r="U214" s="4" t="s">
        <v>2342</v>
      </c>
      <c r="V214" s="4" t="s">
        <v>2343</v>
      </c>
      <c r="W214" s="4" t="s">
        <v>2344</v>
      </c>
      <c r="X214" s="4" t="s">
        <v>2345</v>
      </c>
      <c r="Y214" s="4" t="s">
        <v>2346</v>
      </c>
      <c r="Z214" s="4" t="s">
        <v>2347</v>
      </c>
      <c r="AA214" s="4" t="s">
        <v>2348</v>
      </c>
      <c r="AB214" s="4" t="s">
        <v>2349</v>
      </c>
      <c r="AC214" s="4" t="s">
        <v>2350</v>
      </c>
      <c r="AD214" s="4" t="s">
        <v>2351</v>
      </c>
      <c r="AE214" s="4" t="s">
        <v>2352</v>
      </c>
      <c r="AF214" s="4" t="s">
        <v>2353</v>
      </c>
      <c r="AG214" s="4" t="s">
        <v>2354</v>
      </c>
      <c r="AH214" s="4" t="s">
        <v>2355</v>
      </c>
      <c r="AI214" s="4" t="s">
        <v>2356</v>
      </c>
      <c r="AJ214" s="4" t="s">
        <v>2357</v>
      </c>
      <c r="AK214" s="4" t="s">
        <v>2358</v>
      </c>
      <c r="AL214" s="4" t="s">
        <v>2359</v>
      </c>
      <c r="AM214" s="3">
        <v>751.75199999999995</v>
      </c>
      <c r="AN214" s="3">
        <v>710.14400000000001</v>
      </c>
      <c r="AO214" s="3">
        <v>651.16999999999996</v>
      </c>
      <c r="AP214" s="3">
        <v>579.60799999999995</v>
      </c>
      <c r="AQ214" s="3">
        <v>520.79700000000003</v>
      </c>
      <c r="AR214" s="3">
        <v>475.2</v>
      </c>
      <c r="AS214" s="3">
        <v>424.05099999999999</v>
      </c>
      <c r="AT214" s="3">
        <v>352.37099999999998</v>
      </c>
      <c r="AU214" s="3">
        <v>299.84199999999998</v>
      </c>
      <c r="AV214" s="3">
        <v>304.404</v>
      </c>
      <c r="AW214" s="3">
        <v>339.52699999999999</v>
      </c>
      <c r="AX214" s="3">
        <v>361.15600000000001</v>
      </c>
      <c r="AY214" s="3">
        <v>355.19299999999998</v>
      </c>
      <c r="AZ214" s="3">
        <v>374.48500000000001</v>
      </c>
      <c r="BA214" s="3">
        <v>468.07400000000001</v>
      </c>
      <c r="BB214" s="3">
        <v>631.96799999999996</v>
      </c>
      <c r="BC214" s="3">
        <v>630.35199999999998</v>
      </c>
      <c r="BD214" s="3">
        <v>645.07500000000005</v>
      </c>
      <c r="BE214" s="3">
        <v>682.88</v>
      </c>
      <c r="BF214" s="3">
        <v>750.09900000000005</v>
      </c>
      <c r="BG214" s="3">
        <v>48.128700000000002</v>
      </c>
      <c r="BH214" s="3">
        <v>57.207500000000003</v>
      </c>
      <c r="BI214" s="3">
        <v>28.715199999999999</v>
      </c>
      <c r="BJ214" s="3">
        <v>-45.480699999999999</v>
      </c>
      <c r="BK214" s="3">
        <v>-95.324399999999997</v>
      </c>
      <c r="BL214" s="3">
        <v>-58.4131</v>
      </c>
      <c r="BM214" s="3">
        <v>-47.751399999999997</v>
      </c>
      <c r="BN214" s="3">
        <v>-10.5207</v>
      </c>
      <c r="BO214" s="3">
        <v>8.3990799999999997</v>
      </c>
      <c r="BP214" s="3">
        <v>-5.6343699999999997</v>
      </c>
      <c r="BQ214" s="3">
        <v>-17.444700000000001</v>
      </c>
      <c r="BR214" s="3">
        <v>-67.002499999999998</v>
      </c>
      <c r="BS214" s="3">
        <v>-49.81</v>
      </c>
      <c r="BT214" s="3">
        <v>-1.5988500000000001</v>
      </c>
      <c r="BU214" s="3">
        <v>33.194200000000002</v>
      </c>
      <c r="BV214" s="3">
        <v>11.731299999999999</v>
      </c>
      <c r="BW214" s="3">
        <v>1.1487000000000001</v>
      </c>
      <c r="BX214" s="3">
        <v>0.27398899999999998</v>
      </c>
      <c r="BY214" s="3">
        <v>8.9337999999999997</v>
      </c>
      <c r="BZ214" s="3">
        <v>23.898399999999999</v>
      </c>
      <c r="CA214" s="3">
        <v>285.82100000000003</v>
      </c>
      <c r="CB214" s="3">
        <v>298.61099999999999</v>
      </c>
      <c r="CC214" s="3">
        <v>299.56700000000001</v>
      </c>
      <c r="CD214" s="3">
        <v>288.06400000000002</v>
      </c>
      <c r="CE214" s="3">
        <v>290.02699999999999</v>
      </c>
      <c r="CF214" s="3">
        <v>279.91399999999999</v>
      </c>
      <c r="CG214" s="3">
        <v>281.43099999999998</v>
      </c>
      <c r="CH214" s="3">
        <v>202.58600000000001</v>
      </c>
      <c r="CI214" s="3">
        <v>88.688999999999993</v>
      </c>
      <c r="CJ214" s="3">
        <v>-7.2763499999999999</v>
      </c>
      <c r="CK214" s="3">
        <v>-54.7333</v>
      </c>
      <c r="CL214" s="3">
        <v>-20.693100000000001</v>
      </c>
      <c r="CM214" s="3">
        <v>31.1295</v>
      </c>
      <c r="CN214" s="3">
        <v>80.960400000000007</v>
      </c>
      <c r="CO214" s="3">
        <v>107.24299999999999</v>
      </c>
      <c r="CP214" s="3">
        <v>149.447</v>
      </c>
      <c r="CQ214" s="3">
        <v>173.09</v>
      </c>
      <c r="CR214" s="3">
        <v>208.631</v>
      </c>
      <c r="CS214" s="3">
        <v>243.70699999999999</v>
      </c>
      <c r="CT214" s="3">
        <v>285.57799999999997</v>
      </c>
      <c r="CU214" s="3">
        <v>56.210599999999999</v>
      </c>
      <c r="CV214" s="3">
        <v>347.63299999999998</v>
      </c>
      <c r="CW214" s="3">
        <v>471.863</v>
      </c>
      <c r="CX214" s="3">
        <v>372.75700000000001</v>
      </c>
      <c r="CY214" s="3">
        <v>143.596</v>
      </c>
      <c r="CZ214" s="3">
        <v>152.55699999999999</v>
      </c>
      <c r="DA214" s="3">
        <v>167.685</v>
      </c>
      <c r="DB214" s="3">
        <v>146.38499999999999</v>
      </c>
      <c r="DC214" s="3">
        <v>106.913</v>
      </c>
      <c r="DD214" s="3">
        <v>80.798900000000003</v>
      </c>
      <c r="DE214" s="3">
        <v>70.689800000000005</v>
      </c>
      <c r="DF214" s="3">
        <v>-51.959200000000003</v>
      </c>
      <c r="DG214" s="3">
        <v>-21.3521</v>
      </c>
      <c r="DH214" s="3">
        <v>99.769199999999998</v>
      </c>
      <c r="DI214" s="3">
        <v>252.60400000000001</v>
      </c>
      <c r="DJ214" s="3">
        <v>219.27799999999999</v>
      </c>
      <c r="DK214" s="3">
        <v>185.46899999999999</v>
      </c>
      <c r="DL214" s="3">
        <v>165.602</v>
      </c>
      <c r="DM214" s="3">
        <v>135.755</v>
      </c>
      <c r="DN214" s="3">
        <v>103.896</v>
      </c>
      <c r="DO214" s="3">
        <v>142.863</v>
      </c>
      <c r="DP214" s="3">
        <v>335.488</v>
      </c>
      <c r="DQ214" s="3">
        <v>485.35</v>
      </c>
      <c r="DR214" s="3">
        <v>548.26700000000005</v>
      </c>
      <c r="DS214" s="3">
        <v>532.03099999999995</v>
      </c>
      <c r="DT214" s="3">
        <v>592.83699999999999</v>
      </c>
      <c r="DU214" s="3">
        <v>582.90099999999995</v>
      </c>
      <c r="DV214" s="3">
        <v>425.928</v>
      </c>
      <c r="DW214" s="3">
        <v>216.20500000000001</v>
      </c>
      <c r="DX214" s="3">
        <v>69.868499999999997</v>
      </c>
      <c r="DY214" s="3">
        <v>0.53958700000000004</v>
      </c>
      <c r="DZ214" s="3">
        <v>-24.357299999999999</v>
      </c>
      <c r="EA214" s="3">
        <v>3.8288600000000002</v>
      </c>
      <c r="EB214" s="3">
        <v>55.925899999999999</v>
      </c>
      <c r="EC214" s="3">
        <v>127.84099999999999</v>
      </c>
      <c r="ED214" s="3">
        <v>124.086</v>
      </c>
      <c r="EE214" s="3">
        <v>165.83199999999999</v>
      </c>
      <c r="EF214" s="3">
        <v>229.25</v>
      </c>
      <c r="EG214" s="3">
        <v>254.286</v>
      </c>
      <c r="EH214" s="3">
        <v>256.49599999999998</v>
      </c>
      <c r="EI214" s="3">
        <v>109.474</v>
      </c>
      <c r="EJ214" s="3">
        <v>76.3215</v>
      </c>
      <c r="EK214" s="3">
        <v>43.795099999999998</v>
      </c>
      <c r="EL214" s="3">
        <v>45.388500000000001</v>
      </c>
      <c r="EM214" s="3">
        <v>23.611599999999999</v>
      </c>
      <c r="EN214" s="3">
        <v>38.491500000000002</v>
      </c>
      <c r="EO214" s="3">
        <v>60.615099999999998</v>
      </c>
      <c r="EP214" s="3">
        <v>74.0334</v>
      </c>
      <c r="EQ214" s="3">
        <v>111.65</v>
      </c>
      <c r="ER214" s="3">
        <v>162.095</v>
      </c>
      <c r="ES214" s="3">
        <v>175.315</v>
      </c>
      <c r="ET214" s="3">
        <v>158.191</v>
      </c>
      <c r="EU214" s="3">
        <v>117.252</v>
      </c>
      <c r="EV214" s="3">
        <v>92.188400000000001</v>
      </c>
      <c r="EW214" s="3">
        <v>135.03399999999999</v>
      </c>
      <c r="EX214" s="3">
        <v>205.89099999999999</v>
      </c>
      <c r="EY214" s="3">
        <v>177.82</v>
      </c>
      <c r="EZ214" s="3">
        <v>126.92</v>
      </c>
      <c r="FA214" s="3">
        <v>88.334199999999996</v>
      </c>
      <c r="FB214" s="3">
        <v>78.927099999999996</v>
      </c>
      <c r="FC214" s="3">
        <v>365.899</v>
      </c>
      <c r="FD214" s="3">
        <v>682.02099999999996</v>
      </c>
      <c r="FE214" s="3">
        <v>-10.8612</v>
      </c>
      <c r="FF214" s="3">
        <v>-15.155099999999999</v>
      </c>
      <c r="FG214" s="3">
        <v>48.892299999999999</v>
      </c>
      <c r="FH214" s="3">
        <v>290.334</v>
      </c>
      <c r="FI214" s="3">
        <v>-132.60300000000001</v>
      </c>
      <c r="FJ214" s="3">
        <v>-243.72499999999999</v>
      </c>
      <c r="FK214" s="3">
        <v>-109.605</v>
      </c>
      <c r="FL214" s="3">
        <v>0</v>
      </c>
      <c r="FM214" s="3" t="s">
        <v>1093</v>
      </c>
    </row>
    <row r="215" spans="1:169" x14ac:dyDescent="0.3">
      <c r="A215" s="2">
        <v>207</v>
      </c>
      <c r="B215" s="5">
        <v>35</v>
      </c>
      <c r="C215" s="6">
        <v>2501279</v>
      </c>
      <c r="D215" s="6" t="s">
        <v>168</v>
      </c>
      <c r="E215" s="6">
        <v>2916020</v>
      </c>
      <c r="F215" s="6">
        <v>2916020</v>
      </c>
      <c r="G215" s="6">
        <v>0</v>
      </c>
      <c r="H215" s="6">
        <v>0</v>
      </c>
      <c r="I215" s="6">
        <v>51.48</v>
      </c>
      <c r="J215" s="6" t="s">
        <v>169</v>
      </c>
      <c r="K215" s="6" t="s">
        <v>170</v>
      </c>
      <c r="L215" s="7" t="s">
        <v>171</v>
      </c>
      <c r="M215" s="7" t="s">
        <v>172</v>
      </c>
      <c r="N215" s="8" t="s">
        <v>2360</v>
      </c>
      <c r="O215" s="5">
        <v>6006.59</v>
      </c>
      <c r="P215" s="6">
        <v>-11895.9</v>
      </c>
      <c r="Q215" s="6">
        <v>370.49700000000001</v>
      </c>
      <c r="R215" s="12">
        <v>12496.8</v>
      </c>
      <c r="S215" s="4" t="s">
        <v>2361</v>
      </c>
      <c r="T215" s="4" t="s">
        <v>2362</v>
      </c>
      <c r="U215" s="4" t="s">
        <v>2363</v>
      </c>
      <c r="V215" s="4" t="s">
        <v>2364</v>
      </c>
      <c r="W215" s="4" t="s">
        <v>2365</v>
      </c>
      <c r="X215" s="4" t="s">
        <v>2366</v>
      </c>
      <c r="Y215" s="4" t="s">
        <v>2367</v>
      </c>
      <c r="Z215" s="4" t="s">
        <v>2368</v>
      </c>
      <c r="AA215" s="4" t="s">
        <v>2369</v>
      </c>
      <c r="AB215" s="4" t="s">
        <v>2370</v>
      </c>
      <c r="AC215" s="4" t="s">
        <v>2371</v>
      </c>
      <c r="AD215" s="4" t="s">
        <v>2372</v>
      </c>
      <c r="AE215" s="4" t="s">
        <v>2373</v>
      </c>
      <c r="AF215" s="4" t="s">
        <v>2374</v>
      </c>
      <c r="AG215" s="4" t="s">
        <v>2375</v>
      </c>
      <c r="AH215" s="4" t="s">
        <v>2376</v>
      </c>
      <c r="AI215" s="4" t="s">
        <v>2377</v>
      </c>
      <c r="AJ215" s="4" t="s">
        <v>2378</v>
      </c>
      <c r="AK215" s="4" t="s">
        <v>2379</v>
      </c>
      <c r="AL215" s="4" t="s">
        <v>2380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/>
    </row>
    <row r="216" spans="1:169" x14ac:dyDescent="0.3">
      <c r="A216" s="2">
        <v>208</v>
      </c>
      <c r="B216" s="5">
        <v>35</v>
      </c>
      <c r="C216" s="6">
        <v>2501279</v>
      </c>
      <c r="D216" s="6" t="s">
        <v>168</v>
      </c>
      <c r="E216" s="6">
        <v>2916020</v>
      </c>
      <c r="F216" s="6">
        <v>2916020</v>
      </c>
      <c r="G216" s="6">
        <v>0</v>
      </c>
      <c r="H216" s="6">
        <v>0</v>
      </c>
      <c r="I216" s="6">
        <v>51.48</v>
      </c>
      <c r="J216" s="6" t="s">
        <v>194</v>
      </c>
      <c r="K216" s="6" t="s">
        <v>195</v>
      </c>
      <c r="L216" s="7" t="s">
        <v>196</v>
      </c>
      <c r="M216" s="7" t="s">
        <v>172</v>
      </c>
      <c r="N216" s="8" t="s">
        <v>2360</v>
      </c>
      <c r="O216" s="5">
        <v>-5268.2</v>
      </c>
      <c r="P216" s="6">
        <v>11913.2</v>
      </c>
      <c r="Q216" s="6">
        <v>-267.53500000000003</v>
      </c>
      <c r="R216" s="12">
        <v>36287.9</v>
      </c>
      <c r="S216" s="4" t="s">
        <v>2361</v>
      </c>
      <c r="T216" s="4" t="s">
        <v>2362</v>
      </c>
      <c r="U216" s="4" t="s">
        <v>2363</v>
      </c>
      <c r="V216" s="4" t="s">
        <v>2364</v>
      </c>
      <c r="W216" s="4" t="s">
        <v>2365</v>
      </c>
      <c r="X216" s="4" t="s">
        <v>2366</v>
      </c>
      <c r="Y216" s="4" t="s">
        <v>2367</v>
      </c>
      <c r="Z216" s="4" t="s">
        <v>2368</v>
      </c>
      <c r="AA216" s="4" t="s">
        <v>2369</v>
      </c>
      <c r="AB216" s="4" t="s">
        <v>2370</v>
      </c>
      <c r="AC216" s="4" t="s">
        <v>2371</v>
      </c>
      <c r="AD216" s="4" t="s">
        <v>2372</v>
      </c>
      <c r="AE216" s="4" t="s">
        <v>2373</v>
      </c>
      <c r="AF216" s="4" t="s">
        <v>2374</v>
      </c>
      <c r="AG216" s="4" t="s">
        <v>2375</v>
      </c>
      <c r="AH216" s="4" t="s">
        <v>2376</v>
      </c>
      <c r="AI216" s="4" t="s">
        <v>2377</v>
      </c>
      <c r="AJ216" s="4" t="s">
        <v>2378</v>
      </c>
      <c r="AK216" s="4" t="s">
        <v>2379</v>
      </c>
      <c r="AL216" s="4" t="s">
        <v>2380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/>
    </row>
    <row r="217" spans="1:169" x14ac:dyDescent="0.3">
      <c r="A217" s="2">
        <v>209</v>
      </c>
      <c r="B217" s="5">
        <v>35</v>
      </c>
      <c r="C217" s="6">
        <v>1502020</v>
      </c>
      <c r="D217" s="6" t="s">
        <v>197</v>
      </c>
      <c r="E217" s="6">
        <v>2916020</v>
      </c>
      <c r="F217" s="6">
        <v>1916022</v>
      </c>
      <c r="G217" s="6">
        <v>3916020</v>
      </c>
      <c r="H217" s="6">
        <v>1916021</v>
      </c>
      <c r="I217" s="6">
        <v>57.914999999999999</v>
      </c>
      <c r="J217" s="6" t="s">
        <v>169</v>
      </c>
      <c r="K217" s="6" t="s">
        <v>170</v>
      </c>
      <c r="L217" s="7" t="s">
        <v>171</v>
      </c>
      <c r="M217" s="7" t="s">
        <v>172</v>
      </c>
      <c r="N217" s="8" t="s">
        <v>2381</v>
      </c>
      <c r="O217" s="5">
        <v>-4132.88</v>
      </c>
      <c r="P217" s="6">
        <v>2615.06</v>
      </c>
      <c r="Q217" s="6">
        <v>-6752.13</v>
      </c>
      <c r="R217" s="12">
        <v>12496.8</v>
      </c>
      <c r="S217" s="4" t="s">
        <v>2382</v>
      </c>
      <c r="T217" s="4" t="s">
        <v>2383</v>
      </c>
      <c r="U217" s="4" t="s">
        <v>2384</v>
      </c>
      <c r="V217" s="4" t="s">
        <v>2385</v>
      </c>
      <c r="W217" s="4" t="s">
        <v>2386</v>
      </c>
      <c r="X217" s="4" t="s">
        <v>2387</v>
      </c>
      <c r="Y217" s="4" t="s">
        <v>2388</v>
      </c>
      <c r="Z217" s="4" t="s">
        <v>2389</v>
      </c>
      <c r="AA217" s="4" t="s">
        <v>2390</v>
      </c>
      <c r="AB217" s="4" t="s">
        <v>2391</v>
      </c>
      <c r="AC217" s="4" t="s">
        <v>2392</v>
      </c>
      <c r="AD217" s="4" t="s">
        <v>2393</v>
      </c>
      <c r="AE217" s="4" t="s">
        <v>2394</v>
      </c>
      <c r="AF217" s="4" t="s">
        <v>2395</v>
      </c>
      <c r="AG217" s="4" t="s">
        <v>2396</v>
      </c>
      <c r="AH217" s="4" t="s">
        <v>2397</v>
      </c>
      <c r="AI217" s="4" t="s">
        <v>2398</v>
      </c>
      <c r="AJ217" s="4" t="s">
        <v>2399</v>
      </c>
      <c r="AK217" s="4" t="s">
        <v>2400</v>
      </c>
      <c r="AL217" s="4" t="s">
        <v>2401</v>
      </c>
      <c r="AM217" s="3">
        <v>-2282.13</v>
      </c>
      <c r="AN217" s="3">
        <v>-2242.11</v>
      </c>
      <c r="AO217" s="3">
        <v>-2212.2199999999998</v>
      </c>
      <c r="AP217" s="3">
        <v>-2196.54</v>
      </c>
      <c r="AQ217" s="3">
        <v>-2191.2199999999998</v>
      </c>
      <c r="AR217" s="3">
        <v>-2190.5300000000002</v>
      </c>
      <c r="AS217" s="3">
        <v>-2301.9699999999998</v>
      </c>
      <c r="AT217" s="3">
        <v>-2385.4899999999998</v>
      </c>
      <c r="AU217" s="3">
        <v>-2452.86</v>
      </c>
      <c r="AV217" s="3">
        <v>-2517.5100000000002</v>
      </c>
      <c r="AW217" s="3">
        <v>-2573.29</v>
      </c>
      <c r="AX217" s="3">
        <v>-2587.9499999999998</v>
      </c>
      <c r="AY217" s="3">
        <v>-2603.64</v>
      </c>
      <c r="AZ217" s="3">
        <v>-2612.42</v>
      </c>
      <c r="BA217" s="3">
        <v>-2618.08</v>
      </c>
      <c r="BB217" s="3">
        <v>-2617.46</v>
      </c>
      <c r="BC217" s="3">
        <v>-2565.67</v>
      </c>
      <c r="BD217" s="3">
        <v>-2548.3200000000002</v>
      </c>
      <c r="BE217" s="3">
        <v>-2534.46</v>
      </c>
      <c r="BF217" s="3">
        <v>-2452.86</v>
      </c>
      <c r="BG217" s="3">
        <v>236.708</v>
      </c>
      <c r="BH217" s="3">
        <v>222.477</v>
      </c>
      <c r="BI217" s="3">
        <v>213.01</v>
      </c>
      <c r="BJ217" s="3">
        <v>214.24100000000001</v>
      </c>
      <c r="BK217" s="3">
        <v>222.56399999999999</v>
      </c>
      <c r="BL217" s="3">
        <v>229.381</v>
      </c>
      <c r="BM217" s="3">
        <v>223.37700000000001</v>
      </c>
      <c r="BN217" s="3">
        <v>212.60900000000001</v>
      </c>
      <c r="BO217" s="3">
        <v>200.05199999999999</v>
      </c>
      <c r="BP217" s="3">
        <v>186.29</v>
      </c>
      <c r="BQ217" s="3">
        <v>167.93299999999999</v>
      </c>
      <c r="BR217" s="3">
        <v>166.94399999999999</v>
      </c>
      <c r="BS217" s="3">
        <v>162.28100000000001</v>
      </c>
      <c r="BT217" s="3">
        <v>153.876</v>
      </c>
      <c r="BU217" s="3">
        <v>145.453</v>
      </c>
      <c r="BV217" s="3">
        <v>145.41300000000001</v>
      </c>
      <c r="BW217" s="3">
        <v>163.77500000000001</v>
      </c>
      <c r="BX217" s="3">
        <v>193.49</v>
      </c>
      <c r="BY217" s="3">
        <v>228.678</v>
      </c>
      <c r="BZ217" s="3">
        <v>244.83099999999999</v>
      </c>
      <c r="CA217" s="3">
        <v>-253.94</v>
      </c>
      <c r="CB217" s="3">
        <v>-244.28</v>
      </c>
      <c r="CC217" s="3">
        <v>-243.22900000000001</v>
      </c>
      <c r="CD217" s="3">
        <v>-247.22900000000001</v>
      </c>
      <c r="CE217" s="3">
        <v>-249.96100000000001</v>
      </c>
      <c r="CF217" s="3">
        <v>-251.815</v>
      </c>
      <c r="CG217" s="3">
        <v>-255.99</v>
      </c>
      <c r="CH217" s="3">
        <v>-269.08300000000003</v>
      </c>
      <c r="CI217" s="3">
        <v>-289.26900000000001</v>
      </c>
      <c r="CJ217" s="3">
        <v>-298.44200000000001</v>
      </c>
      <c r="CK217" s="3">
        <v>-290.78899999999999</v>
      </c>
      <c r="CL217" s="3">
        <v>-265.40800000000002</v>
      </c>
      <c r="CM217" s="3">
        <v>-230.61699999999999</v>
      </c>
      <c r="CN217" s="3">
        <v>-194.71600000000001</v>
      </c>
      <c r="CO217" s="3">
        <v>-168.304</v>
      </c>
      <c r="CP217" s="3">
        <v>-150.86000000000001</v>
      </c>
      <c r="CQ217" s="3">
        <v>-147.334</v>
      </c>
      <c r="CR217" s="3">
        <v>-139.72900000000001</v>
      </c>
      <c r="CS217" s="3">
        <v>-147.584</v>
      </c>
      <c r="CT217" s="3">
        <v>-195.94900000000001</v>
      </c>
      <c r="CU217" s="3">
        <v>-231.953</v>
      </c>
      <c r="CV217" s="3">
        <v>-321.26100000000002</v>
      </c>
      <c r="CW217" s="3">
        <v>-273.565</v>
      </c>
      <c r="CX217" s="3">
        <v>-307.71100000000001</v>
      </c>
      <c r="CY217" s="3">
        <v>-617.79499999999996</v>
      </c>
      <c r="CZ217" s="3">
        <v>-1282.0899999999999</v>
      </c>
      <c r="DA217" s="3">
        <v>-853.96600000000001</v>
      </c>
      <c r="DB217" s="3">
        <v>-562.00699999999995</v>
      </c>
      <c r="DC217" s="3">
        <v>-384.673</v>
      </c>
      <c r="DD217" s="3">
        <v>-245.45099999999999</v>
      </c>
      <c r="DE217" s="3">
        <v>-182.82599999999999</v>
      </c>
      <c r="DF217" s="3">
        <v>401.70699999999999</v>
      </c>
      <c r="DG217" s="3">
        <v>711.36400000000003</v>
      </c>
      <c r="DH217" s="3">
        <v>690.36400000000003</v>
      </c>
      <c r="DI217" s="3">
        <v>473.07100000000003</v>
      </c>
      <c r="DJ217" s="3">
        <v>469.37099999999998</v>
      </c>
      <c r="DK217" s="3">
        <v>358.67700000000002</v>
      </c>
      <c r="DL217" s="3">
        <v>210.14699999999999</v>
      </c>
      <c r="DM217" s="3">
        <v>87.172499999999999</v>
      </c>
      <c r="DN217" s="3">
        <v>-52.297199999999997</v>
      </c>
      <c r="DO217" s="3">
        <v>989.80399999999997</v>
      </c>
      <c r="DP217" s="3">
        <v>904.65700000000004</v>
      </c>
      <c r="DQ217" s="3">
        <v>753.60299999999995</v>
      </c>
      <c r="DR217" s="3">
        <v>633.28200000000004</v>
      </c>
      <c r="DS217" s="3">
        <v>575.16200000000003</v>
      </c>
      <c r="DT217" s="3">
        <v>559.13599999999997</v>
      </c>
      <c r="DU217" s="3">
        <v>1086.82</v>
      </c>
      <c r="DV217" s="3">
        <v>1764.01</v>
      </c>
      <c r="DW217" s="3">
        <v>2262.69</v>
      </c>
      <c r="DX217" s="3">
        <v>2305.83</v>
      </c>
      <c r="DY217" s="3">
        <v>2039.62</v>
      </c>
      <c r="DZ217" s="3">
        <v>2028.62</v>
      </c>
      <c r="EA217" s="3">
        <v>2023.37</v>
      </c>
      <c r="EB217" s="3">
        <v>2071.0500000000002</v>
      </c>
      <c r="EC217" s="3">
        <v>2055.1999999999998</v>
      </c>
      <c r="ED217" s="3">
        <v>1906.64</v>
      </c>
      <c r="EE217" s="3">
        <v>1992.5</v>
      </c>
      <c r="EF217" s="3">
        <v>1939.51</v>
      </c>
      <c r="EG217" s="3">
        <v>1695.52</v>
      </c>
      <c r="EH217" s="3">
        <v>1367.77</v>
      </c>
      <c r="EI217" s="3">
        <v>-246.857</v>
      </c>
      <c r="EJ217" s="3">
        <v>-231.41900000000001</v>
      </c>
      <c r="EK217" s="3">
        <v>-174.755</v>
      </c>
      <c r="EL217" s="3">
        <v>-117.672</v>
      </c>
      <c r="EM217" s="3">
        <v>-181.018</v>
      </c>
      <c r="EN217" s="3">
        <v>-349.47899999999998</v>
      </c>
      <c r="EO217" s="3">
        <v>-470.15699999999998</v>
      </c>
      <c r="EP217" s="3">
        <v>-462.65499999999997</v>
      </c>
      <c r="EQ217" s="3">
        <v>-325.32600000000002</v>
      </c>
      <c r="ER217" s="3">
        <v>-234.28399999999999</v>
      </c>
      <c r="ES217" s="3">
        <v>-309.18599999999998</v>
      </c>
      <c r="ET217" s="3">
        <v>-296.30900000000003</v>
      </c>
      <c r="EU217" s="3">
        <v>-396.55599999999998</v>
      </c>
      <c r="EV217" s="3">
        <v>-507.90499999999997</v>
      </c>
      <c r="EW217" s="3">
        <v>-485.23500000000001</v>
      </c>
      <c r="EX217" s="3">
        <v>-374.21300000000002</v>
      </c>
      <c r="EY217" s="3">
        <v>-166.70099999999999</v>
      </c>
      <c r="EZ217" s="3">
        <v>-5.4915500000000002</v>
      </c>
      <c r="FA217" s="3">
        <v>-28.406400000000001</v>
      </c>
      <c r="FB217" s="3">
        <v>-177.98500000000001</v>
      </c>
      <c r="FC217" s="3">
        <v>-2403.61</v>
      </c>
      <c r="FD217" s="3">
        <v>-2500.15</v>
      </c>
      <c r="FE217" s="3">
        <v>156.983</v>
      </c>
      <c r="FF217" s="3">
        <v>223.06399999999999</v>
      </c>
      <c r="FG217" s="3">
        <v>-172.566</v>
      </c>
      <c r="FH217" s="3">
        <v>-275.89800000000002</v>
      </c>
      <c r="FI217" s="3">
        <v>222.49100000000001</v>
      </c>
      <c r="FJ217" s="3">
        <v>-1378.35</v>
      </c>
      <c r="FK217" s="3">
        <v>284.22300000000001</v>
      </c>
      <c r="FL217" s="3">
        <v>0</v>
      </c>
      <c r="FM217" s="3"/>
    </row>
    <row r="218" spans="1:169" x14ac:dyDescent="0.3">
      <c r="A218" s="2">
        <v>210</v>
      </c>
      <c r="B218" s="5">
        <v>35</v>
      </c>
      <c r="C218" s="6">
        <v>1502020</v>
      </c>
      <c r="D218" s="6" t="s">
        <v>197</v>
      </c>
      <c r="E218" s="6">
        <v>2916020</v>
      </c>
      <c r="F218" s="6">
        <v>1916022</v>
      </c>
      <c r="G218" s="6">
        <v>3916020</v>
      </c>
      <c r="H218" s="6">
        <v>1916021</v>
      </c>
      <c r="I218" s="6">
        <v>57.914999999999999</v>
      </c>
      <c r="J218" s="6" t="s">
        <v>194</v>
      </c>
      <c r="K218" s="6" t="s">
        <v>195</v>
      </c>
      <c r="L218" s="7" t="s">
        <v>196</v>
      </c>
      <c r="M218" s="7" t="s">
        <v>172</v>
      </c>
      <c r="N218" s="8" t="s">
        <v>2381</v>
      </c>
      <c r="O218" s="5">
        <v>5658.68</v>
      </c>
      <c r="P218" s="6">
        <v>-2830.1</v>
      </c>
      <c r="Q218" s="6">
        <v>6925.04</v>
      </c>
      <c r="R218" s="12">
        <v>36287.9</v>
      </c>
      <c r="S218" s="4" t="s">
        <v>2382</v>
      </c>
      <c r="T218" s="4" t="s">
        <v>2383</v>
      </c>
      <c r="U218" s="4" t="s">
        <v>2384</v>
      </c>
      <c r="V218" s="4" t="s">
        <v>2385</v>
      </c>
      <c r="W218" s="4" t="s">
        <v>2386</v>
      </c>
      <c r="X218" s="4" t="s">
        <v>2387</v>
      </c>
      <c r="Y218" s="4" t="s">
        <v>2388</v>
      </c>
      <c r="Z218" s="4" t="s">
        <v>2389</v>
      </c>
      <c r="AA218" s="4" t="s">
        <v>2390</v>
      </c>
      <c r="AB218" s="4" t="s">
        <v>2391</v>
      </c>
      <c r="AC218" s="4" t="s">
        <v>2392</v>
      </c>
      <c r="AD218" s="4" t="s">
        <v>2393</v>
      </c>
      <c r="AE218" s="4" t="s">
        <v>2394</v>
      </c>
      <c r="AF218" s="4" t="s">
        <v>2395</v>
      </c>
      <c r="AG218" s="4" t="s">
        <v>2396</v>
      </c>
      <c r="AH218" s="4" t="s">
        <v>2397</v>
      </c>
      <c r="AI218" s="4" t="s">
        <v>2398</v>
      </c>
      <c r="AJ218" s="4" t="s">
        <v>2399</v>
      </c>
      <c r="AK218" s="4" t="s">
        <v>2400</v>
      </c>
      <c r="AL218" s="4" t="s">
        <v>2401</v>
      </c>
      <c r="AM218" s="3">
        <v>2178.9699999999998</v>
      </c>
      <c r="AN218" s="3">
        <v>2122.1</v>
      </c>
      <c r="AO218" s="3">
        <v>2072.52</v>
      </c>
      <c r="AP218" s="3">
        <v>2033.53</v>
      </c>
      <c r="AQ218" s="3">
        <v>2000.28</v>
      </c>
      <c r="AR218" s="3">
        <v>1966.46</v>
      </c>
      <c r="AS218" s="3">
        <v>2067.9699999999998</v>
      </c>
      <c r="AT218" s="3">
        <v>2153.61</v>
      </c>
      <c r="AU218" s="3">
        <v>2237.16</v>
      </c>
      <c r="AV218" s="3">
        <v>2332.19</v>
      </c>
      <c r="AW218" s="3">
        <v>2427.87</v>
      </c>
      <c r="AX218" s="3">
        <v>2463.25</v>
      </c>
      <c r="AY218" s="3">
        <v>2496.62</v>
      </c>
      <c r="AZ218" s="3">
        <v>2519.54</v>
      </c>
      <c r="BA218" s="3">
        <v>2538.13</v>
      </c>
      <c r="BB218" s="3">
        <v>2548.42</v>
      </c>
      <c r="BC218" s="3">
        <v>2484.1999999999998</v>
      </c>
      <c r="BD218" s="3">
        <v>2458.87</v>
      </c>
      <c r="BE218" s="3">
        <v>2437.21</v>
      </c>
      <c r="BF218" s="3">
        <v>2348.17</v>
      </c>
      <c r="BG218" s="3">
        <v>-171.98400000000001</v>
      </c>
      <c r="BH218" s="3">
        <v>-148.69399999999999</v>
      </c>
      <c r="BI218" s="3">
        <v>-129.792</v>
      </c>
      <c r="BJ218" s="3">
        <v>-120.667</v>
      </c>
      <c r="BK218" s="3">
        <v>-116.325</v>
      </c>
      <c r="BL218" s="3">
        <v>-107.464</v>
      </c>
      <c r="BM218" s="3">
        <v>-96.183800000000005</v>
      </c>
      <c r="BN218" s="3">
        <v>-85.408299999999997</v>
      </c>
      <c r="BO218" s="3">
        <v>-78.293999999999997</v>
      </c>
      <c r="BP218" s="3">
        <v>-74.986000000000004</v>
      </c>
      <c r="BQ218" s="3">
        <v>-70.403400000000005</v>
      </c>
      <c r="BR218" s="3">
        <v>-82.986900000000006</v>
      </c>
      <c r="BS218" s="3">
        <v>-89.219200000000001</v>
      </c>
      <c r="BT218" s="3">
        <v>-89.346400000000003</v>
      </c>
      <c r="BU218" s="3">
        <v>-88.924400000000006</v>
      </c>
      <c r="BV218" s="3">
        <v>-97.418099999999995</v>
      </c>
      <c r="BW218" s="3">
        <v>-109.729</v>
      </c>
      <c r="BX218" s="3">
        <v>-135.09899999999999</v>
      </c>
      <c r="BY218" s="3">
        <v>-166.245</v>
      </c>
      <c r="BZ218" s="3">
        <v>-179.05600000000001</v>
      </c>
      <c r="CA218" s="3">
        <v>271.49599999999998</v>
      </c>
      <c r="CB218" s="3">
        <v>265.904</v>
      </c>
      <c r="CC218" s="3">
        <v>270.322</v>
      </c>
      <c r="CD218" s="3">
        <v>280.596</v>
      </c>
      <c r="CE218" s="3">
        <v>289.714</v>
      </c>
      <c r="CF218" s="3">
        <v>298.74400000000003</v>
      </c>
      <c r="CG218" s="3">
        <v>267.48099999999999</v>
      </c>
      <c r="CH218" s="3">
        <v>249.952</v>
      </c>
      <c r="CI218" s="3">
        <v>245.495</v>
      </c>
      <c r="CJ218" s="3">
        <v>231.072</v>
      </c>
      <c r="CK218" s="3">
        <v>200.02099999999999</v>
      </c>
      <c r="CL218" s="3">
        <v>188.60499999999999</v>
      </c>
      <c r="CM218" s="3">
        <v>164.96100000000001</v>
      </c>
      <c r="CN218" s="3">
        <v>139.066</v>
      </c>
      <c r="CO218" s="3">
        <v>122.06399999999999</v>
      </c>
      <c r="CP218" s="3">
        <v>112.654</v>
      </c>
      <c r="CQ218" s="3">
        <v>119.849</v>
      </c>
      <c r="CR218" s="3">
        <v>122.63200000000001</v>
      </c>
      <c r="CS218" s="3">
        <v>139.166</v>
      </c>
      <c r="CT218" s="3">
        <v>198.69900000000001</v>
      </c>
      <c r="CU218" s="3">
        <v>47.644399999999997</v>
      </c>
      <c r="CV218" s="3">
        <v>128.935</v>
      </c>
      <c r="CW218" s="3">
        <v>85.061700000000002</v>
      </c>
      <c r="CX218" s="3">
        <v>131.72800000000001</v>
      </c>
      <c r="CY218" s="3">
        <v>459.69200000000001</v>
      </c>
      <c r="CZ218" s="3">
        <v>1137.1600000000001</v>
      </c>
      <c r="DA218" s="3">
        <v>732.12400000000002</v>
      </c>
      <c r="DB218" s="3">
        <v>456.22300000000001</v>
      </c>
      <c r="DC218" s="3">
        <v>287.423</v>
      </c>
      <c r="DD218" s="3">
        <v>156.46100000000001</v>
      </c>
      <c r="DE218" s="3">
        <v>102.846</v>
      </c>
      <c r="DF218" s="3">
        <v>-495.74900000000002</v>
      </c>
      <c r="DG218" s="3">
        <v>-815.87099999999998</v>
      </c>
      <c r="DH218" s="3">
        <v>-807.45799999999997</v>
      </c>
      <c r="DI218" s="3">
        <v>-602.80200000000002</v>
      </c>
      <c r="DJ218" s="3">
        <v>-594.69500000000005</v>
      </c>
      <c r="DK218" s="3">
        <v>-497.94299999999998</v>
      </c>
      <c r="DL218" s="3">
        <v>-363.38499999999999</v>
      </c>
      <c r="DM218" s="3">
        <v>-250.209</v>
      </c>
      <c r="DN218" s="3">
        <v>-122.015</v>
      </c>
      <c r="DO218" s="3">
        <v>-1269.5899999999999</v>
      </c>
      <c r="DP218" s="3">
        <v>-1207.26</v>
      </c>
      <c r="DQ218" s="3">
        <v>-1083.8</v>
      </c>
      <c r="DR218" s="3">
        <v>-988.42600000000004</v>
      </c>
      <c r="DS218" s="3">
        <v>-952.64700000000005</v>
      </c>
      <c r="DT218" s="3">
        <v>-956.40800000000002</v>
      </c>
      <c r="DU218" s="3">
        <v>-1505.85</v>
      </c>
      <c r="DV218" s="3">
        <v>-2159.87</v>
      </c>
      <c r="DW218" s="3">
        <v>-2597.0100000000002</v>
      </c>
      <c r="DX218" s="3">
        <v>-2577.7199999999998</v>
      </c>
      <c r="DY218" s="3">
        <v>-2270.83</v>
      </c>
      <c r="DZ218" s="3">
        <v>-2246.88</v>
      </c>
      <c r="EA218" s="3">
        <v>-2226.42</v>
      </c>
      <c r="EB218" s="3">
        <v>-2255.29</v>
      </c>
      <c r="EC218" s="3">
        <v>-2222.37</v>
      </c>
      <c r="ED218" s="3">
        <v>-2063.7800000000002</v>
      </c>
      <c r="EE218" s="3">
        <v>-2176.7199999999998</v>
      </c>
      <c r="EF218" s="3">
        <v>-2161.27</v>
      </c>
      <c r="EG218" s="3">
        <v>-1958.49</v>
      </c>
      <c r="EH218" s="3">
        <v>-1652.54</v>
      </c>
      <c r="EI218" s="3">
        <v>196.465</v>
      </c>
      <c r="EJ218" s="3">
        <v>179.858</v>
      </c>
      <c r="EK218" s="3">
        <v>130.16800000000001</v>
      </c>
      <c r="EL218" s="3">
        <v>82.985500000000002</v>
      </c>
      <c r="EM218" s="3">
        <v>144.94300000000001</v>
      </c>
      <c r="EN218" s="3">
        <v>296.971</v>
      </c>
      <c r="EO218" s="3">
        <v>440.221</v>
      </c>
      <c r="EP218" s="3">
        <v>463.43599999999998</v>
      </c>
      <c r="EQ218" s="3">
        <v>363.12299999999999</v>
      </c>
      <c r="ER218" s="3">
        <v>306.11599999999999</v>
      </c>
      <c r="ES218" s="3">
        <v>402.90100000000001</v>
      </c>
      <c r="ET218" s="3">
        <v>384.24</v>
      </c>
      <c r="EU218" s="3">
        <v>473.67</v>
      </c>
      <c r="EV218" s="3">
        <v>574.80799999999999</v>
      </c>
      <c r="EW218" s="3">
        <v>551.06899999999996</v>
      </c>
      <c r="EX218" s="3">
        <v>444.54599999999999</v>
      </c>
      <c r="EY218" s="3">
        <v>231.001</v>
      </c>
      <c r="EZ218" s="3">
        <v>55.604599999999998</v>
      </c>
      <c r="FA218" s="3">
        <v>46.858499999999999</v>
      </c>
      <c r="FB218" s="3">
        <v>155.066</v>
      </c>
      <c r="FC218" s="3">
        <v>2197.54</v>
      </c>
      <c r="FD218" s="3">
        <v>2409.3000000000002</v>
      </c>
      <c r="FE218" s="3">
        <v>-86.382999999999996</v>
      </c>
      <c r="FF218" s="3">
        <v>-132.488</v>
      </c>
      <c r="FG218" s="3">
        <v>154.56200000000001</v>
      </c>
      <c r="FH218" s="3">
        <v>279.46300000000002</v>
      </c>
      <c r="FI218" s="3">
        <v>-90.9696</v>
      </c>
      <c r="FJ218" s="3">
        <v>1645.31</v>
      </c>
      <c r="FK218" s="3">
        <v>-302.70600000000002</v>
      </c>
      <c r="FL218" s="3">
        <v>0</v>
      </c>
      <c r="FM218" s="3"/>
    </row>
    <row r="219" spans="1:169" x14ac:dyDescent="0.3">
      <c r="A219" s="2">
        <v>211</v>
      </c>
      <c r="B219" s="5">
        <v>35</v>
      </c>
      <c r="C219" s="6">
        <v>3502204</v>
      </c>
      <c r="D219" s="6" t="s">
        <v>219</v>
      </c>
      <c r="E219" s="6">
        <v>3916020</v>
      </c>
      <c r="F219" s="6">
        <v>3916022</v>
      </c>
      <c r="G219" s="6">
        <v>4916020</v>
      </c>
      <c r="H219" s="6">
        <v>3916023</v>
      </c>
      <c r="I219" s="6">
        <v>51.48</v>
      </c>
      <c r="J219" s="6" t="s">
        <v>169</v>
      </c>
      <c r="K219" s="6" t="s">
        <v>170</v>
      </c>
      <c r="L219" s="7" t="s">
        <v>171</v>
      </c>
      <c r="M219" s="7" t="s">
        <v>172</v>
      </c>
      <c r="N219" s="8" t="s">
        <v>2402</v>
      </c>
      <c r="O219" s="5">
        <v>-7127.39</v>
      </c>
      <c r="P219" s="6">
        <v>28955.599999999999</v>
      </c>
      <c r="Q219" s="6">
        <v>-416.565</v>
      </c>
      <c r="R219" s="12">
        <v>12496.8</v>
      </c>
      <c r="S219" s="4" t="s">
        <v>2403</v>
      </c>
      <c r="T219" s="4" t="s">
        <v>2404</v>
      </c>
      <c r="U219" s="4" t="s">
        <v>2405</v>
      </c>
      <c r="V219" s="4" t="s">
        <v>2406</v>
      </c>
      <c r="W219" s="4" t="s">
        <v>2407</v>
      </c>
      <c r="X219" s="4" t="s">
        <v>2408</v>
      </c>
      <c r="Y219" s="4" t="s">
        <v>2409</v>
      </c>
      <c r="Z219" s="4" t="s">
        <v>2410</v>
      </c>
      <c r="AA219" s="4" t="s">
        <v>2411</v>
      </c>
      <c r="AB219" s="4" t="s">
        <v>2412</v>
      </c>
      <c r="AC219" s="4" t="s">
        <v>2413</v>
      </c>
      <c r="AD219" s="4" t="s">
        <v>2414</v>
      </c>
      <c r="AE219" s="4" t="s">
        <v>2415</v>
      </c>
      <c r="AF219" s="4" t="s">
        <v>2416</v>
      </c>
      <c r="AG219" s="4" t="s">
        <v>2417</v>
      </c>
      <c r="AH219" s="4" t="s">
        <v>2418</v>
      </c>
      <c r="AI219" s="4" t="s">
        <v>2419</v>
      </c>
      <c r="AJ219" s="4" t="s">
        <v>2420</v>
      </c>
      <c r="AK219" s="4" t="s">
        <v>2421</v>
      </c>
      <c r="AL219" s="4" t="s">
        <v>2422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/>
    </row>
    <row r="220" spans="1:169" x14ac:dyDescent="0.3">
      <c r="A220" s="2">
        <v>212</v>
      </c>
      <c r="B220" s="5">
        <v>35</v>
      </c>
      <c r="C220" s="6">
        <v>3502204</v>
      </c>
      <c r="D220" s="6" t="s">
        <v>219</v>
      </c>
      <c r="E220" s="6">
        <v>3916020</v>
      </c>
      <c r="F220" s="6">
        <v>3916022</v>
      </c>
      <c r="G220" s="6">
        <v>4916020</v>
      </c>
      <c r="H220" s="6">
        <v>3916023</v>
      </c>
      <c r="I220" s="6">
        <v>51.48</v>
      </c>
      <c r="J220" s="6" t="s">
        <v>194</v>
      </c>
      <c r="K220" s="6" t="s">
        <v>195</v>
      </c>
      <c r="L220" s="7" t="s">
        <v>196</v>
      </c>
      <c r="M220" s="7" t="s">
        <v>172</v>
      </c>
      <c r="N220" s="8" t="s">
        <v>2402</v>
      </c>
      <c r="O220" s="5">
        <v>5485.38</v>
      </c>
      <c r="P220" s="6">
        <v>-30773.9</v>
      </c>
      <c r="Q220" s="6">
        <v>360.28800000000001</v>
      </c>
      <c r="R220" s="12">
        <v>36287.9</v>
      </c>
      <c r="S220" s="4" t="s">
        <v>2403</v>
      </c>
      <c r="T220" s="4" t="s">
        <v>2404</v>
      </c>
      <c r="U220" s="4" t="s">
        <v>2405</v>
      </c>
      <c r="V220" s="4" t="s">
        <v>2406</v>
      </c>
      <c r="W220" s="4" t="s">
        <v>2407</v>
      </c>
      <c r="X220" s="4" t="s">
        <v>2408</v>
      </c>
      <c r="Y220" s="4" t="s">
        <v>2409</v>
      </c>
      <c r="Z220" s="4" t="s">
        <v>2410</v>
      </c>
      <c r="AA220" s="4" t="s">
        <v>2411</v>
      </c>
      <c r="AB220" s="4" t="s">
        <v>2412</v>
      </c>
      <c r="AC220" s="4" t="s">
        <v>2413</v>
      </c>
      <c r="AD220" s="4" t="s">
        <v>2414</v>
      </c>
      <c r="AE220" s="4" t="s">
        <v>2415</v>
      </c>
      <c r="AF220" s="4" t="s">
        <v>2416</v>
      </c>
      <c r="AG220" s="4" t="s">
        <v>2417</v>
      </c>
      <c r="AH220" s="4" t="s">
        <v>2418</v>
      </c>
      <c r="AI220" s="4" t="s">
        <v>2419</v>
      </c>
      <c r="AJ220" s="4" t="s">
        <v>2420</v>
      </c>
      <c r="AK220" s="4" t="s">
        <v>2421</v>
      </c>
      <c r="AL220" s="4" t="s">
        <v>2422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/>
    </row>
    <row r="221" spans="1:169" x14ac:dyDescent="0.3">
      <c r="A221" s="2">
        <v>213</v>
      </c>
      <c r="B221" s="5">
        <v>35</v>
      </c>
      <c r="C221" s="6">
        <v>4100635</v>
      </c>
      <c r="D221" s="6" t="s">
        <v>307</v>
      </c>
      <c r="E221" s="6">
        <v>4916020</v>
      </c>
      <c r="F221" s="6">
        <v>4916020</v>
      </c>
      <c r="G221" s="6">
        <v>0</v>
      </c>
      <c r="H221" s="6">
        <v>0</v>
      </c>
      <c r="I221" s="6">
        <v>57.914999999999999</v>
      </c>
      <c r="J221" s="6" t="s">
        <v>169</v>
      </c>
      <c r="K221" s="6" t="s">
        <v>170</v>
      </c>
      <c r="L221" s="7" t="s">
        <v>171</v>
      </c>
      <c r="M221" s="7" t="s">
        <v>172</v>
      </c>
      <c r="N221" s="8" t="s">
        <v>2423</v>
      </c>
      <c r="O221" s="5">
        <v>-35508.6</v>
      </c>
      <c r="P221" s="6">
        <v>-9975.6299999999992</v>
      </c>
      <c r="Q221" s="6">
        <v>8122.31</v>
      </c>
      <c r="R221" s="12">
        <v>12496.8</v>
      </c>
      <c r="S221" s="4" t="s">
        <v>2424</v>
      </c>
      <c r="T221" s="4" t="s">
        <v>2425</v>
      </c>
      <c r="U221" s="4" t="s">
        <v>2426</v>
      </c>
      <c r="V221" s="4" t="s">
        <v>2427</v>
      </c>
      <c r="W221" s="4" t="s">
        <v>2428</v>
      </c>
      <c r="X221" s="4" t="s">
        <v>2429</v>
      </c>
      <c r="Y221" s="4" t="s">
        <v>2430</v>
      </c>
      <c r="Z221" s="4" t="s">
        <v>2431</v>
      </c>
      <c r="AA221" s="4" t="s">
        <v>2432</v>
      </c>
      <c r="AB221" s="4" t="s">
        <v>2433</v>
      </c>
      <c r="AC221" s="4" t="s">
        <v>2434</v>
      </c>
      <c r="AD221" s="4" t="s">
        <v>2435</v>
      </c>
      <c r="AE221" s="4" t="s">
        <v>2436</v>
      </c>
      <c r="AF221" s="4" t="s">
        <v>2437</v>
      </c>
      <c r="AG221" s="4" t="s">
        <v>2438</v>
      </c>
      <c r="AH221" s="4" t="s">
        <v>2439</v>
      </c>
      <c r="AI221" s="4" t="s">
        <v>2440</v>
      </c>
      <c r="AJ221" s="4" t="s">
        <v>2441</v>
      </c>
      <c r="AK221" s="4" t="s">
        <v>2442</v>
      </c>
      <c r="AL221" s="4" t="s">
        <v>2443</v>
      </c>
      <c r="AM221" s="3">
        <v>-663.279</v>
      </c>
      <c r="AN221" s="3">
        <v>-586.01800000000003</v>
      </c>
      <c r="AO221" s="3">
        <v>-521.14099999999996</v>
      </c>
      <c r="AP221" s="3">
        <v>-465.93200000000002</v>
      </c>
      <c r="AQ221" s="3">
        <v>-406.447</v>
      </c>
      <c r="AR221" s="3">
        <v>-353.34500000000003</v>
      </c>
      <c r="AS221" s="3">
        <v>-343.93200000000002</v>
      </c>
      <c r="AT221" s="3">
        <v>-339.59699999999998</v>
      </c>
      <c r="AU221" s="3">
        <v>-346.58300000000003</v>
      </c>
      <c r="AV221" s="3">
        <v>-366.95699999999999</v>
      </c>
      <c r="AW221" s="3">
        <v>-402.495</v>
      </c>
      <c r="AX221" s="3">
        <v>-496.84899999999999</v>
      </c>
      <c r="AY221" s="3">
        <v>-566.60199999999998</v>
      </c>
      <c r="AZ221" s="3">
        <v>-606.39700000000005</v>
      </c>
      <c r="BA221" s="3">
        <v>-636.52599999999995</v>
      </c>
      <c r="BB221" s="3">
        <v>-681.49699999999996</v>
      </c>
      <c r="BC221" s="3">
        <v>-657.23400000000004</v>
      </c>
      <c r="BD221" s="3">
        <v>-631.73500000000001</v>
      </c>
      <c r="BE221" s="3">
        <v>-615.87300000000005</v>
      </c>
      <c r="BF221" s="3">
        <v>-627.83600000000001</v>
      </c>
      <c r="BG221" s="3">
        <v>17.935500000000001</v>
      </c>
      <c r="BH221" s="3">
        <v>-59.709400000000002</v>
      </c>
      <c r="BI221" s="3">
        <v>-72.444999999999993</v>
      </c>
      <c r="BJ221" s="3">
        <v>29.052</v>
      </c>
      <c r="BK221" s="3">
        <v>120.46899999999999</v>
      </c>
      <c r="BL221" s="3">
        <v>159.185</v>
      </c>
      <c r="BM221" s="3">
        <v>123.006</v>
      </c>
      <c r="BN221" s="3">
        <v>64.583500000000001</v>
      </c>
      <c r="BO221" s="3">
        <v>39.267800000000001</v>
      </c>
      <c r="BP221" s="3">
        <v>40.3491</v>
      </c>
      <c r="BQ221" s="3">
        <v>48.1327</v>
      </c>
      <c r="BR221" s="3">
        <v>113.554</v>
      </c>
      <c r="BS221" s="3">
        <v>92.757300000000001</v>
      </c>
      <c r="BT221" s="3">
        <v>25.435500000000001</v>
      </c>
      <c r="BU221" s="3">
        <v>-54.116799999999998</v>
      </c>
      <c r="BV221" s="3">
        <v>-77.103200000000001</v>
      </c>
      <c r="BW221" s="3">
        <v>-46.111499999999999</v>
      </c>
      <c r="BX221" s="3">
        <v>14.4857</v>
      </c>
      <c r="BY221" s="3">
        <v>57.4726</v>
      </c>
      <c r="BZ221" s="3">
        <v>48.564300000000003</v>
      </c>
      <c r="CA221" s="3">
        <v>-526.66899999999998</v>
      </c>
      <c r="CB221" s="3">
        <v>-481.57900000000001</v>
      </c>
      <c r="CC221" s="3">
        <v>-330.67599999999999</v>
      </c>
      <c r="CD221" s="3">
        <v>-314.55099999999999</v>
      </c>
      <c r="CE221" s="3">
        <v>-359.89</v>
      </c>
      <c r="CF221" s="3">
        <v>-445.56</v>
      </c>
      <c r="CG221" s="3">
        <v>-417.71499999999997</v>
      </c>
      <c r="CH221" s="3">
        <v>-331.06900000000002</v>
      </c>
      <c r="CI221" s="3">
        <v>-235.68899999999999</v>
      </c>
      <c r="CJ221" s="3">
        <v>-166.834</v>
      </c>
      <c r="CK221" s="3">
        <v>-176.37799999999999</v>
      </c>
      <c r="CL221" s="3">
        <v>-202.07400000000001</v>
      </c>
      <c r="CM221" s="3">
        <v>-230.923</v>
      </c>
      <c r="CN221" s="3">
        <v>-250.32900000000001</v>
      </c>
      <c r="CO221" s="3">
        <v>-254.43899999999999</v>
      </c>
      <c r="CP221" s="3">
        <v>-263.83499999999998</v>
      </c>
      <c r="CQ221" s="3">
        <v>-276.62099999999998</v>
      </c>
      <c r="CR221" s="3">
        <v>-326.96300000000002</v>
      </c>
      <c r="CS221" s="3">
        <v>-392.35500000000002</v>
      </c>
      <c r="CT221" s="3">
        <v>-469.84399999999999</v>
      </c>
      <c r="CU221" s="3">
        <v>349.38</v>
      </c>
      <c r="CV221" s="3">
        <v>363.92099999999999</v>
      </c>
      <c r="CW221" s="3">
        <v>266.26</v>
      </c>
      <c r="CX221" s="3">
        <v>307.38499999999999</v>
      </c>
      <c r="CY221" s="3">
        <v>450.69299999999998</v>
      </c>
      <c r="CZ221" s="3">
        <v>646.779</v>
      </c>
      <c r="DA221" s="3">
        <v>509.27499999999998</v>
      </c>
      <c r="DB221" s="3">
        <v>291.85199999999998</v>
      </c>
      <c r="DC221" s="3">
        <v>162.56700000000001</v>
      </c>
      <c r="DD221" s="3">
        <v>79.420699999999997</v>
      </c>
      <c r="DE221" s="3">
        <v>-32.092700000000001</v>
      </c>
      <c r="DF221" s="3">
        <v>21.575199999999999</v>
      </c>
      <c r="DG221" s="3">
        <v>-166.58600000000001</v>
      </c>
      <c r="DH221" s="3">
        <v>-392.97699999999998</v>
      </c>
      <c r="DI221" s="3">
        <v>-484.548</v>
      </c>
      <c r="DJ221" s="3">
        <v>-183.16</v>
      </c>
      <c r="DK221" s="3">
        <v>-104.762</v>
      </c>
      <c r="DL221" s="3">
        <v>53.601900000000001</v>
      </c>
      <c r="DM221" s="3">
        <v>208.506</v>
      </c>
      <c r="DN221" s="3">
        <v>311.17899999999997</v>
      </c>
      <c r="DO221" s="3">
        <v>695.34100000000001</v>
      </c>
      <c r="DP221" s="3">
        <v>956.58199999999999</v>
      </c>
      <c r="DQ221" s="3">
        <v>905.41099999999994</v>
      </c>
      <c r="DR221" s="3">
        <v>686.02</v>
      </c>
      <c r="DS221" s="3">
        <v>649.303</v>
      </c>
      <c r="DT221" s="3">
        <v>848.00699999999995</v>
      </c>
      <c r="DU221" s="3">
        <v>618.60799999999995</v>
      </c>
      <c r="DV221" s="3">
        <v>210.59399999999999</v>
      </c>
      <c r="DW221" s="3">
        <v>-103.837</v>
      </c>
      <c r="DX221" s="3">
        <v>-340.113</v>
      </c>
      <c r="DY221" s="3">
        <v>-506.363</v>
      </c>
      <c r="DZ221" s="3">
        <v>-458.57</v>
      </c>
      <c r="EA221" s="3">
        <v>-432.26400000000001</v>
      </c>
      <c r="EB221" s="3">
        <v>-383.791</v>
      </c>
      <c r="EC221" s="3">
        <v>-286.601</v>
      </c>
      <c r="ED221" s="3">
        <v>-62.639600000000002</v>
      </c>
      <c r="EE221" s="3">
        <v>-72.994799999999998</v>
      </c>
      <c r="EF221" s="3">
        <v>-62.795999999999999</v>
      </c>
      <c r="EG221" s="3">
        <v>73.4221</v>
      </c>
      <c r="EH221" s="3">
        <v>427.32100000000003</v>
      </c>
      <c r="EI221" s="3">
        <v>454.74400000000003</v>
      </c>
      <c r="EJ221" s="3">
        <v>372.24700000000001</v>
      </c>
      <c r="EK221" s="3">
        <v>-50.740099999999998</v>
      </c>
      <c r="EL221" s="3">
        <v>-139.34399999999999</v>
      </c>
      <c r="EM221" s="3">
        <v>3.54711</v>
      </c>
      <c r="EN221" s="3">
        <v>330.77600000000001</v>
      </c>
      <c r="EO221" s="3">
        <v>393.00599999999997</v>
      </c>
      <c r="EP221" s="3">
        <v>311.38200000000001</v>
      </c>
      <c r="EQ221" s="3">
        <v>116.173</v>
      </c>
      <c r="ER221" s="3">
        <v>-93.184100000000001</v>
      </c>
      <c r="ES221" s="3">
        <v>-169.17</v>
      </c>
      <c r="ET221" s="3">
        <v>55.7224</v>
      </c>
      <c r="EU221" s="3">
        <v>184.82400000000001</v>
      </c>
      <c r="EV221" s="3">
        <v>189.69</v>
      </c>
      <c r="EW221" s="3">
        <v>45.421900000000001</v>
      </c>
      <c r="EX221" s="3">
        <v>-118.815</v>
      </c>
      <c r="EY221" s="3">
        <v>-34.9968</v>
      </c>
      <c r="EZ221" s="3">
        <v>171.11</v>
      </c>
      <c r="FA221" s="3">
        <v>364.38</v>
      </c>
      <c r="FB221" s="3">
        <v>482.12700000000001</v>
      </c>
      <c r="FC221" s="3">
        <v>-358.81799999999998</v>
      </c>
      <c r="FD221" s="3">
        <v>-646.24199999999996</v>
      </c>
      <c r="FE221" s="3">
        <v>24.776499999999999</v>
      </c>
      <c r="FF221" s="3">
        <v>32.4146</v>
      </c>
      <c r="FG221" s="3">
        <v>-229.66300000000001</v>
      </c>
      <c r="FH221" s="3">
        <v>-409.82100000000003</v>
      </c>
      <c r="FI221" s="3">
        <v>-191.04499999999999</v>
      </c>
      <c r="FJ221" s="3">
        <v>-217.536</v>
      </c>
      <c r="FK221" s="3">
        <v>-140.268</v>
      </c>
      <c r="FL221" s="3">
        <v>0</v>
      </c>
      <c r="FM221" s="3"/>
    </row>
    <row r="222" spans="1:169" x14ac:dyDescent="0.3">
      <c r="A222" s="2">
        <v>214</v>
      </c>
      <c r="B222" s="5">
        <v>35</v>
      </c>
      <c r="C222" s="6">
        <v>4100635</v>
      </c>
      <c r="D222" s="6" t="s">
        <v>307</v>
      </c>
      <c r="E222" s="6">
        <v>4916020</v>
      </c>
      <c r="F222" s="6">
        <v>4916020</v>
      </c>
      <c r="G222" s="6">
        <v>0</v>
      </c>
      <c r="H222" s="6">
        <v>0</v>
      </c>
      <c r="I222" s="6">
        <v>57.914999999999999</v>
      </c>
      <c r="J222" s="6" t="s">
        <v>194</v>
      </c>
      <c r="K222" s="6" t="s">
        <v>195</v>
      </c>
      <c r="L222" s="7" t="s">
        <v>196</v>
      </c>
      <c r="M222" s="7" t="s">
        <v>172</v>
      </c>
      <c r="N222" s="8" t="s">
        <v>2423</v>
      </c>
      <c r="O222" s="5">
        <v>36002.400000000001</v>
      </c>
      <c r="P222" s="6">
        <v>9636.67</v>
      </c>
      <c r="Q222" s="6">
        <v>-8110.34</v>
      </c>
      <c r="R222" s="12">
        <v>36287.9</v>
      </c>
      <c r="S222" s="4" t="s">
        <v>2424</v>
      </c>
      <c r="T222" s="4" t="s">
        <v>2425</v>
      </c>
      <c r="U222" s="4" t="s">
        <v>2426</v>
      </c>
      <c r="V222" s="4" t="s">
        <v>2427</v>
      </c>
      <c r="W222" s="4" t="s">
        <v>2428</v>
      </c>
      <c r="X222" s="4" t="s">
        <v>2429</v>
      </c>
      <c r="Y222" s="4" t="s">
        <v>2430</v>
      </c>
      <c r="Z222" s="4" t="s">
        <v>2431</v>
      </c>
      <c r="AA222" s="4" t="s">
        <v>2432</v>
      </c>
      <c r="AB222" s="4" t="s">
        <v>2433</v>
      </c>
      <c r="AC222" s="4" t="s">
        <v>2434</v>
      </c>
      <c r="AD222" s="4" t="s">
        <v>2435</v>
      </c>
      <c r="AE222" s="4" t="s">
        <v>2436</v>
      </c>
      <c r="AF222" s="4" t="s">
        <v>2437</v>
      </c>
      <c r="AG222" s="4" t="s">
        <v>2438</v>
      </c>
      <c r="AH222" s="4" t="s">
        <v>2439</v>
      </c>
      <c r="AI222" s="4" t="s">
        <v>2440</v>
      </c>
      <c r="AJ222" s="4" t="s">
        <v>2441</v>
      </c>
      <c r="AK222" s="4" t="s">
        <v>2442</v>
      </c>
      <c r="AL222" s="4" t="s">
        <v>2443</v>
      </c>
      <c r="AM222" s="3">
        <v>673.75</v>
      </c>
      <c r="AN222" s="3">
        <v>596.62199999999996</v>
      </c>
      <c r="AO222" s="3">
        <v>532.654</v>
      </c>
      <c r="AP222" s="3">
        <v>477.90899999999999</v>
      </c>
      <c r="AQ222" s="3">
        <v>417.49200000000002</v>
      </c>
      <c r="AR222" s="3">
        <v>361.99</v>
      </c>
      <c r="AS222" s="3">
        <v>351.59</v>
      </c>
      <c r="AT222" s="3">
        <v>345.34199999999998</v>
      </c>
      <c r="AU222" s="3">
        <v>350.81799999999998</v>
      </c>
      <c r="AV222" s="3">
        <v>370.28100000000001</v>
      </c>
      <c r="AW222" s="3">
        <v>405.66800000000001</v>
      </c>
      <c r="AX222" s="3">
        <v>500.65699999999998</v>
      </c>
      <c r="AY222" s="3">
        <v>571.274</v>
      </c>
      <c r="AZ222" s="3">
        <v>612.20799999999997</v>
      </c>
      <c r="BA222" s="3">
        <v>644.11099999999999</v>
      </c>
      <c r="BB222" s="3">
        <v>690.94600000000003</v>
      </c>
      <c r="BC222" s="3">
        <v>668.73400000000004</v>
      </c>
      <c r="BD222" s="3">
        <v>643.53499999999997</v>
      </c>
      <c r="BE222" s="3">
        <v>627.03200000000004</v>
      </c>
      <c r="BF222" s="3">
        <v>638.22199999999998</v>
      </c>
      <c r="BG222" s="3">
        <v>-16.570399999999999</v>
      </c>
      <c r="BH222" s="3">
        <v>61.791200000000003</v>
      </c>
      <c r="BI222" s="3">
        <v>76.760599999999997</v>
      </c>
      <c r="BJ222" s="3">
        <v>-23.046600000000002</v>
      </c>
      <c r="BK222" s="3">
        <v>-114.157</v>
      </c>
      <c r="BL222" s="3">
        <v>-153.983</v>
      </c>
      <c r="BM222" s="3">
        <v>-116.867</v>
      </c>
      <c r="BN222" s="3">
        <v>-57.978000000000002</v>
      </c>
      <c r="BO222" s="3">
        <v>-33.2057</v>
      </c>
      <c r="BP222" s="3">
        <v>-35.368600000000001</v>
      </c>
      <c r="BQ222" s="3">
        <v>-43.988</v>
      </c>
      <c r="BR222" s="3">
        <v>-110.10899999999999</v>
      </c>
      <c r="BS222" s="3">
        <v>-90.041700000000006</v>
      </c>
      <c r="BT222" s="3">
        <v>-23.735700000000001</v>
      </c>
      <c r="BU222" s="3">
        <v>54.387500000000003</v>
      </c>
      <c r="BV222" s="3">
        <v>75.520099999999999</v>
      </c>
      <c r="BW222" s="3">
        <v>44.306199999999997</v>
      </c>
      <c r="BX222" s="3">
        <v>-15.9915</v>
      </c>
      <c r="BY222" s="3">
        <v>-58.142600000000002</v>
      </c>
      <c r="BZ222" s="3">
        <v>-47.828099999999999</v>
      </c>
      <c r="CA222" s="3">
        <v>517.75</v>
      </c>
      <c r="CB222" s="3">
        <v>474.75299999999999</v>
      </c>
      <c r="CC222" s="3">
        <v>327.47399999999999</v>
      </c>
      <c r="CD222" s="3">
        <v>313.60599999999999</v>
      </c>
      <c r="CE222" s="3">
        <v>359.596</v>
      </c>
      <c r="CF222" s="3">
        <v>444.31099999999998</v>
      </c>
      <c r="CG222" s="3">
        <v>417.00200000000001</v>
      </c>
      <c r="CH222" s="3">
        <v>330.44099999999997</v>
      </c>
      <c r="CI222" s="3">
        <v>234.53899999999999</v>
      </c>
      <c r="CJ222" s="3">
        <v>165.054</v>
      </c>
      <c r="CK222" s="3">
        <v>174.494</v>
      </c>
      <c r="CL222" s="3">
        <v>199.29499999999999</v>
      </c>
      <c r="CM222" s="3">
        <v>226.64</v>
      </c>
      <c r="CN222" s="3">
        <v>244.22800000000001</v>
      </c>
      <c r="CO222" s="3">
        <v>246.21100000000001</v>
      </c>
      <c r="CP222" s="3">
        <v>254.535</v>
      </c>
      <c r="CQ222" s="3">
        <v>266.95400000000001</v>
      </c>
      <c r="CR222" s="3">
        <v>317.51600000000002</v>
      </c>
      <c r="CS222" s="3">
        <v>383.35599999999999</v>
      </c>
      <c r="CT222" s="3">
        <v>461.09899999999999</v>
      </c>
      <c r="CU222" s="3">
        <v>-360.69400000000002</v>
      </c>
      <c r="CV222" s="3">
        <v>-378.72699999999998</v>
      </c>
      <c r="CW222" s="3">
        <v>-282.85300000000001</v>
      </c>
      <c r="CX222" s="3">
        <v>-319.55399999999997</v>
      </c>
      <c r="CY222" s="3">
        <v>-460.01299999999998</v>
      </c>
      <c r="CZ222" s="3">
        <v>-657.93100000000004</v>
      </c>
      <c r="DA222" s="3">
        <v>-523.78800000000001</v>
      </c>
      <c r="DB222" s="3">
        <v>-308.25</v>
      </c>
      <c r="DC222" s="3">
        <v>-177.17699999999999</v>
      </c>
      <c r="DD222" s="3">
        <v>-90.423100000000005</v>
      </c>
      <c r="DE222" s="3">
        <v>23.328099999999999</v>
      </c>
      <c r="DF222" s="3">
        <v>-29.6386</v>
      </c>
      <c r="DG222" s="3">
        <v>153.75299999999999</v>
      </c>
      <c r="DH222" s="3">
        <v>374.43400000000003</v>
      </c>
      <c r="DI222" s="3">
        <v>462.72899999999998</v>
      </c>
      <c r="DJ222" s="3">
        <v>166.12</v>
      </c>
      <c r="DK222" s="3">
        <v>88.446399999999997</v>
      </c>
      <c r="DL222" s="3">
        <v>-66.602199999999996</v>
      </c>
      <c r="DM222" s="3">
        <v>-218.74199999999999</v>
      </c>
      <c r="DN222" s="3">
        <v>-321.88299999999998</v>
      </c>
      <c r="DO222" s="3">
        <v>-712.69799999999998</v>
      </c>
      <c r="DP222" s="3">
        <v>-977.46100000000001</v>
      </c>
      <c r="DQ222" s="3">
        <v>-936.673</v>
      </c>
      <c r="DR222" s="3">
        <v>-721.11199999999997</v>
      </c>
      <c r="DS222" s="3">
        <v>-685.00599999999997</v>
      </c>
      <c r="DT222" s="3">
        <v>-883.01099999999997</v>
      </c>
      <c r="DU222" s="3">
        <v>-661.61900000000003</v>
      </c>
      <c r="DV222" s="3">
        <v>-259.58499999999998</v>
      </c>
      <c r="DW222" s="3">
        <v>54.331200000000003</v>
      </c>
      <c r="DX222" s="3">
        <v>294.971</v>
      </c>
      <c r="DY222" s="3">
        <v>470.19799999999998</v>
      </c>
      <c r="DZ222" s="3">
        <v>422.54399999999998</v>
      </c>
      <c r="EA222" s="3">
        <v>396.73200000000003</v>
      </c>
      <c r="EB222" s="3">
        <v>349.61399999999998</v>
      </c>
      <c r="EC222" s="3">
        <v>252.761</v>
      </c>
      <c r="ED222" s="3">
        <v>30.928699999999999</v>
      </c>
      <c r="EE222" s="3">
        <v>37.088500000000003</v>
      </c>
      <c r="EF222" s="3">
        <v>27.669699999999999</v>
      </c>
      <c r="EG222" s="3">
        <v>-103.767</v>
      </c>
      <c r="EH222" s="3">
        <v>-450.43200000000002</v>
      </c>
      <c r="EI222" s="3">
        <v>-450.70600000000002</v>
      </c>
      <c r="EJ222" s="3">
        <v>-373.87400000000002</v>
      </c>
      <c r="EK222" s="3">
        <v>41.550199999999997</v>
      </c>
      <c r="EL222" s="3">
        <v>133.88800000000001</v>
      </c>
      <c r="EM222" s="3">
        <v>-2.1883400000000002</v>
      </c>
      <c r="EN222" s="3">
        <v>-321.93900000000002</v>
      </c>
      <c r="EO222" s="3">
        <v>-387.39400000000001</v>
      </c>
      <c r="EP222" s="3">
        <v>-316.22199999999998</v>
      </c>
      <c r="EQ222" s="3">
        <v>-131.30099999999999</v>
      </c>
      <c r="ER222" s="3">
        <v>70.8566</v>
      </c>
      <c r="ES222" s="3">
        <v>146.29599999999999</v>
      </c>
      <c r="ET222" s="3">
        <v>-66.9529</v>
      </c>
      <c r="EU222" s="3">
        <v>-191.149</v>
      </c>
      <c r="EV222" s="3">
        <v>-197.13900000000001</v>
      </c>
      <c r="EW222" s="3">
        <v>-60.204500000000003</v>
      </c>
      <c r="EX222" s="3">
        <v>100.039</v>
      </c>
      <c r="EY222" s="3">
        <v>20.0488</v>
      </c>
      <c r="EZ222" s="3">
        <v>-178.10300000000001</v>
      </c>
      <c r="FA222" s="3">
        <v>-363.81700000000001</v>
      </c>
      <c r="FB222" s="3">
        <v>-477.50400000000002</v>
      </c>
      <c r="FC222" s="3">
        <v>364.28100000000001</v>
      </c>
      <c r="FD222" s="3">
        <v>657.03599999999994</v>
      </c>
      <c r="FE222" s="3">
        <v>-22.994599999999998</v>
      </c>
      <c r="FF222" s="3">
        <v>-28.200900000000001</v>
      </c>
      <c r="FG222" s="3">
        <v>224.23400000000001</v>
      </c>
      <c r="FH222" s="3">
        <v>406.24799999999999</v>
      </c>
      <c r="FI222" s="3">
        <v>203.96600000000001</v>
      </c>
      <c r="FJ222" s="3">
        <v>249.43199999999999</v>
      </c>
      <c r="FK222" s="3">
        <v>147.172</v>
      </c>
      <c r="FL222" s="3">
        <v>0</v>
      </c>
      <c r="FM222" s="3"/>
    </row>
    <row r="223" spans="1:169" x14ac:dyDescent="0.3">
      <c r="A223" s="2">
        <v>215</v>
      </c>
      <c r="B223" s="5">
        <v>36</v>
      </c>
      <c r="C223" s="6">
        <v>2501470</v>
      </c>
      <c r="D223" s="6" t="s">
        <v>168</v>
      </c>
      <c r="E223" s="6">
        <v>2917020</v>
      </c>
      <c r="F223" s="6">
        <v>2917020</v>
      </c>
      <c r="G223" s="6">
        <v>0</v>
      </c>
      <c r="H223" s="6">
        <v>0</v>
      </c>
      <c r="I223" s="6">
        <v>51.48</v>
      </c>
      <c r="J223" s="6" t="s">
        <v>169</v>
      </c>
      <c r="K223" s="6" t="s">
        <v>170</v>
      </c>
      <c r="L223" s="7" t="s">
        <v>171</v>
      </c>
      <c r="M223" s="7" t="s">
        <v>172</v>
      </c>
      <c r="N223" s="8" t="s">
        <v>2444</v>
      </c>
      <c r="O223" s="5">
        <v>-3599.96</v>
      </c>
      <c r="P223" s="6">
        <v>8694.4500000000007</v>
      </c>
      <c r="Q223" s="6">
        <v>303.33999999999997</v>
      </c>
      <c r="R223" s="12">
        <v>8836.06</v>
      </c>
      <c r="S223" s="4" t="s">
        <v>2445</v>
      </c>
      <c r="T223" s="4" t="s">
        <v>2446</v>
      </c>
      <c r="U223" s="4" t="s">
        <v>2447</v>
      </c>
      <c r="V223" s="4" t="s">
        <v>2448</v>
      </c>
      <c r="W223" s="4" t="s">
        <v>2449</v>
      </c>
      <c r="X223" s="4" t="s">
        <v>2450</v>
      </c>
      <c r="Y223" s="4" t="s">
        <v>2451</v>
      </c>
      <c r="Z223" s="4" t="s">
        <v>2452</v>
      </c>
      <c r="AA223" s="4" t="s">
        <v>2453</v>
      </c>
      <c r="AB223" s="4" t="s">
        <v>2454</v>
      </c>
      <c r="AC223" s="4" t="s">
        <v>2455</v>
      </c>
      <c r="AD223" s="4" t="s">
        <v>2456</v>
      </c>
      <c r="AE223" s="4" t="s">
        <v>2457</v>
      </c>
      <c r="AF223" s="4" t="s">
        <v>2458</v>
      </c>
      <c r="AG223" s="4" t="s">
        <v>2459</v>
      </c>
      <c r="AH223" s="4" t="s">
        <v>2460</v>
      </c>
      <c r="AI223" s="4" t="s">
        <v>2461</v>
      </c>
      <c r="AJ223" s="4" t="s">
        <v>2462</v>
      </c>
      <c r="AK223" s="4" t="s">
        <v>2463</v>
      </c>
      <c r="AL223" s="4" t="s">
        <v>2464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/>
    </row>
    <row r="224" spans="1:169" x14ac:dyDescent="0.3">
      <c r="A224" s="2">
        <v>216</v>
      </c>
      <c r="B224" s="5">
        <v>36</v>
      </c>
      <c r="C224" s="6">
        <v>2501470</v>
      </c>
      <c r="D224" s="6" t="s">
        <v>168</v>
      </c>
      <c r="E224" s="6">
        <v>2917020</v>
      </c>
      <c r="F224" s="6">
        <v>2917020</v>
      </c>
      <c r="G224" s="6">
        <v>0</v>
      </c>
      <c r="H224" s="6">
        <v>0</v>
      </c>
      <c r="I224" s="6">
        <v>51.48</v>
      </c>
      <c r="J224" s="6" t="s">
        <v>194</v>
      </c>
      <c r="K224" s="6" t="s">
        <v>195</v>
      </c>
      <c r="L224" s="7" t="s">
        <v>196</v>
      </c>
      <c r="M224" s="7" t="s">
        <v>172</v>
      </c>
      <c r="N224" s="8" t="s">
        <v>2444</v>
      </c>
      <c r="O224" s="5">
        <v>3378.92</v>
      </c>
      <c r="P224" s="6">
        <v>-9009.85</v>
      </c>
      <c r="Q224" s="6">
        <v>-277.52600000000001</v>
      </c>
      <c r="R224" s="12">
        <v>0</v>
      </c>
      <c r="S224" s="4" t="s">
        <v>2445</v>
      </c>
      <c r="T224" s="4" t="s">
        <v>2446</v>
      </c>
      <c r="U224" s="4" t="s">
        <v>2447</v>
      </c>
      <c r="V224" s="4" t="s">
        <v>2448</v>
      </c>
      <c r="W224" s="4" t="s">
        <v>2449</v>
      </c>
      <c r="X224" s="4" t="s">
        <v>2450</v>
      </c>
      <c r="Y224" s="4" t="s">
        <v>2451</v>
      </c>
      <c r="Z224" s="4" t="s">
        <v>2452</v>
      </c>
      <c r="AA224" s="4" t="s">
        <v>2453</v>
      </c>
      <c r="AB224" s="4" t="s">
        <v>2454</v>
      </c>
      <c r="AC224" s="4" t="s">
        <v>2455</v>
      </c>
      <c r="AD224" s="4" t="s">
        <v>2456</v>
      </c>
      <c r="AE224" s="4" t="s">
        <v>2457</v>
      </c>
      <c r="AF224" s="4" t="s">
        <v>2458</v>
      </c>
      <c r="AG224" s="4" t="s">
        <v>2459</v>
      </c>
      <c r="AH224" s="4" t="s">
        <v>2460</v>
      </c>
      <c r="AI224" s="4" t="s">
        <v>2461</v>
      </c>
      <c r="AJ224" s="4" t="s">
        <v>2462</v>
      </c>
      <c r="AK224" s="4" t="s">
        <v>2463</v>
      </c>
      <c r="AL224" s="4" t="s">
        <v>2464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/>
    </row>
    <row r="225" spans="1:169" x14ac:dyDescent="0.3">
      <c r="A225" s="2">
        <v>217</v>
      </c>
      <c r="B225" s="5">
        <v>36</v>
      </c>
      <c r="C225" s="6">
        <v>51810097</v>
      </c>
      <c r="D225" s="6" t="s">
        <v>860</v>
      </c>
      <c r="E225" s="6">
        <v>2917020</v>
      </c>
      <c r="F225" s="6">
        <v>1917022</v>
      </c>
      <c r="G225" s="6">
        <v>0</v>
      </c>
      <c r="H225" s="6">
        <v>0</v>
      </c>
      <c r="I225" s="6">
        <v>51.48</v>
      </c>
      <c r="J225" s="6" t="s">
        <v>169</v>
      </c>
      <c r="K225" s="6" t="s">
        <v>170</v>
      </c>
      <c r="L225" s="7" t="s">
        <v>171</v>
      </c>
      <c r="M225" s="7" t="s">
        <v>172</v>
      </c>
      <c r="N225" s="8" t="s">
        <v>2465</v>
      </c>
      <c r="O225" s="5">
        <v>-8372.0499999999993</v>
      </c>
      <c r="P225" s="6">
        <v>-4275.76</v>
      </c>
      <c r="Q225" s="6">
        <v>521.38800000000003</v>
      </c>
      <c r="R225" s="12">
        <v>8836.06</v>
      </c>
      <c r="S225" s="4" t="s">
        <v>2466</v>
      </c>
      <c r="T225" s="4" t="s">
        <v>2467</v>
      </c>
      <c r="U225" s="4" t="s">
        <v>2468</v>
      </c>
      <c r="V225" s="4" t="s">
        <v>2469</v>
      </c>
      <c r="W225" s="4" t="s">
        <v>2470</v>
      </c>
      <c r="X225" s="4" t="s">
        <v>2471</v>
      </c>
      <c r="Y225" s="4" t="s">
        <v>2472</v>
      </c>
      <c r="Z225" s="4" t="s">
        <v>2473</v>
      </c>
      <c r="AA225" s="4" t="s">
        <v>2474</v>
      </c>
      <c r="AB225" s="4" t="s">
        <v>2475</v>
      </c>
      <c r="AC225" s="4" t="s">
        <v>2476</v>
      </c>
      <c r="AD225" s="4" t="s">
        <v>2477</v>
      </c>
      <c r="AE225" s="4" t="s">
        <v>2478</v>
      </c>
      <c r="AF225" s="4" t="s">
        <v>2479</v>
      </c>
      <c r="AG225" s="4" t="s">
        <v>2480</v>
      </c>
      <c r="AH225" s="4" t="s">
        <v>2481</v>
      </c>
      <c r="AI225" s="4" t="s">
        <v>2482</v>
      </c>
      <c r="AJ225" s="4" t="s">
        <v>2483</v>
      </c>
      <c r="AK225" s="4" t="s">
        <v>2484</v>
      </c>
      <c r="AL225" s="4" t="s">
        <v>2485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0</v>
      </c>
      <c r="DZ225" s="3">
        <v>0</v>
      </c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 t="s">
        <v>882</v>
      </c>
    </row>
    <row r="226" spans="1:169" x14ac:dyDescent="0.3">
      <c r="A226" s="2">
        <v>218</v>
      </c>
      <c r="B226" s="5">
        <v>36</v>
      </c>
      <c r="C226" s="6">
        <v>51810097</v>
      </c>
      <c r="D226" s="6" t="s">
        <v>860</v>
      </c>
      <c r="E226" s="6">
        <v>2917020</v>
      </c>
      <c r="F226" s="6">
        <v>1917022</v>
      </c>
      <c r="G226" s="6">
        <v>0</v>
      </c>
      <c r="H226" s="6">
        <v>0</v>
      </c>
      <c r="I226" s="6">
        <v>51.48</v>
      </c>
      <c r="J226" s="6" t="s">
        <v>194</v>
      </c>
      <c r="K226" s="6" t="s">
        <v>195</v>
      </c>
      <c r="L226" s="7" t="s">
        <v>196</v>
      </c>
      <c r="M226" s="7" t="s">
        <v>172</v>
      </c>
      <c r="N226" s="8" t="s">
        <v>2465</v>
      </c>
      <c r="O226" s="5">
        <v>8408.99</v>
      </c>
      <c r="P226" s="6">
        <v>4659.42</v>
      </c>
      <c r="Q226" s="6">
        <v>-500.25099999999998</v>
      </c>
      <c r="R226" s="12">
        <v>0</v>
      </c>
      <c r="S226" s="4" t="s">
        <v>2466</v>
      </c>
      <c r="T226" s="4" t="s">
        <v>2467</v>
      </c>
      <c r="U226" s="4" t="s">
        <v>2468</v>
      </c>
      <c r="V226" s="4" t="s">
        <v>2469</v>
      </c>
      <c r="W226" s="4" t="s">
        <v>2470</v>
      </c>
      <c r="X226" s="4" t="s">
        <v>2471</v>
      </c>
      <c r="Y226" s="4" t="s">
        <v>2472</v>
      </c>
      <c r="Z226" s="4" t="s">
        <v>2473</v>
      </c>
      <c r="AA226" s="4" t="s">
        <v>2474</v>
      </c>
      <c r="AB226" s="4" t="s">
        <v>2475</v>
      </c>
      <c r="AC226" s="4" t="s">
        <v>2476</v>
      </c>
      <c r="AD226" s="4" t="s">
        <v>2477</v>
      </c>
      <c r="AE226" s="4" t="s">
        <v>2478</v>
      </c>
      <c r="AF226" s="4" t="s">
        <v>2479</v>
      </c>
      <c r="AG226" s="4" t="s">
        <v>2480</v>
      </c>
      <c r="AH226" s="4" t="s">
        <v>2481</v>
      </c>
      <c r="AI226" s="4" t="s">
        <v>2482</v>
      </c>
      <c r="AJ226" s="4" t="s">
        <v>2483</v>
      </c>
      <c r="AK226" s="4" t="s">
        <v>2484</v>
      </c>
      <c r="AL226" s="4" t="s">
        <v>2485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 t="s">
        <v>882</v>
      </c>
    </row>
    <row r="227" spans="1:169" x14ac:dyDescent="0.3">
      <c r="A227" s="2">
        <v>219</v>
      </c>
      <c r="B227" s="5">
        <v>37</v>
      </c>
      <c r="C227" s="6">
        <v>1101744</v>
      </c>
      <c r="D227" s="6" t="s">
        <v>263</v>
      </c>
      <c r="E227" s="6">
        <v>3905010</v>
      </c>
      <c r="F227" s="6">
        <v>1905011</v>
      </c>
      <c r="G227" s="6">
        <v>0</v>
      </c>
      <c r="H227" s="6">
        <v>0</v>
      </c>
      <c r="I227" s="6">
        <v>57.914999999999999</v>
      </c>
      <c r="J227" s="6" t="s">
        <v>169</v>
      </c>
      <c r="K227" s="6" t="s">
        <v>170</v>
      </c>
      <c r="L227" s="7" t="s">
        <v>171</v>
      </c>
      <c r="M227" s="7" t="s">
        <v>172</v>
      </c>
      <c r="N227" s="8" t="s">
        <v>2486</v>
      </c>
      <c r="O227" s="5">
        <v>-4585.22</v>
      </c>
      <c r="P227" s="6">
        <v>7545.71</v>
      </c>
      <c r="Q227" s="6">
        <v>-23799.7</v>
      </c>
      <c r="R227" s="12">
        <v>11471.3</v>
      </c>
      <c r="S227" s="4" t="s">
        <v>2487</v>
      </c>
      <c r="T227" s="4" t="s">
        <v>2488</v>
      </c>
      <c r="U227" s="4" t="s">
        <v>2489</v>
      </c>
      <c r="V227" s="4" t="s">
        <v>2490</v>
      </c>
      <c r="W227" s="4" t="s">
        <v>2491</v>
      </c>
      <c r="X227" s="4" t="s">
        <v>2492</v>
      </c>
      <c r="Y227" s="4" t="s">
        <v>2493</v>
      </c>
      <c r="Z227" s="4" t="s">
        <v>2494</v>
      </c>
      <c r="AA227" s="4" t="s">
        <v>2495</v>
      </c>
      <c r="AB227" s="4" t="s">
        <v>2496</v>
      </c>
      <c r="AC227" s="4" t="s">
        <v>2497</v>
      </c>
      <c r="AD227" s="4" t="s">
        <v>2498</v>
      </c>
      <c r="AE227" s="4" t="s">
        <v>2499</v>
      </c>
      <c r="AF227" s="4" t="s">
        <v>2500</v>
      </c>
      <c r="AG227" s="4" t="s">
        <v>2501</v>
      </c>
      <c r="AH227" s="4" t="s">
        <v>2502</v>
      </c>
      <c r="AI227" s="4" t="s">
        <v>2503</v>
      </c>
      <c r="AJ227" s="4" t="s">
        <v>2504</v>
      </c>
      <c r="AK227" s="4" t="s">
        <v>2505</v>
      </c>
      <c r="AL227" s="4" t="s">
        <v>2506</v>
      </c>
      <c r="AM227" s="3">
        <v>1591.65</v>
      </c>
      <c r="AN227" s="3">
        <v>1486.72</v>
      </c>
      <c r="AO227" s="3">
        <v>1367.23</v>
      </c>
      <c r="AP227" s="3">
        <v>1246.81</v>
      </c>
      <c r="AQ227" s="3">
        <v>1108.05</v>
      </c>
      <c r="AR227" s="3">
        <v>935.322</v>
      </c>
      <c r="AS227" s="3">
        <v>958.09799999999996</v>
      </c>
      <c r="AT227" s="3">
        <v>1042.9000000000001</v>
      </c>
      <c r="AU227" s="3">
        <v>1214.68</v>
      </c>
      <c r="AV227" s="3">
        <v>1465.71</v>
      </c>
      <c r="AW227" s="3">
        <v>1700.69</v>
      </c>
      <c r="AX227" s="3">
        <v>1774.02</v>
      </c>
      <c r="AY227" s="3">
        <v>1853.29</v>
      </c>
      <c r="AZ227" s="3">
        <v>1927.31</v>
      </c>
      <c r="BA227" s="3">
        <v>1995.43</v>
      </c>
      <c r="BB227" s="3">
        <v>2066.1</v>
      </c>
      <c r="BC227" s="3">
        <v>1951.64</v>
      </c>
      <c r="BD227" s="3">
        <v>1865.03</v>
      </c>
      <c r="BE227" s="3">
        <v>1781.36</v>
      </c>
      <c r="BF227" s="3">
        <v>1678.49</v>
      </c>
      <c r="BG227" s="3">
        <v>47.521799999999999</v>
      </c>
      <c r="BH227" s="3">
        <v>80.321700000000007</v>
      </c>
      <c r="BI227" s="3">
        <v>93.422300000000007</v>
      </c>
      <c r="BJ227" s="3">
        <v>76.741299999999995</v>
      </c>
      <c r="BK227" s="3">
        <v>40.346699999999998</v>
      </c>
      <c r="BL227" s="3">
        <v>3.6181100000000002</v>
      </c>
      <c r="BM227" s="3">
        <v>29.311299999999999</v>
      </c>
      <c r="BN227" s="3">
        <v>34.731099999999998</v>
      </c>
      <c r="BO227" s="3">
        <v>14.767200000000001</v>
      </c>
      <c r="BP227" s="3">
        <v>-21.481200000000001</v>
      </c>
      <c r="BQ227" s="3">
        <v>-41.0974</v>
      </c>
      <c r="BR227" s="3">
        <v>10.740500000000001</v>
      </c>
      <c r="BS227" s="3">
        <v>48.917900000000003</v>
      </c>
      <c r="BT227" s="3">
        <v>80.636899999999997</v>
      </c>
      <c r="BU227" s="3">
        <v>98.062299999999993</v>
      </c>
      <c r="BV227" s="3">
        <v>92.0792</v>
      </c>
      <c r="BW227" s="3">
        <v>99.0715</v>
      </c>
      <c r="BX227" s="3">
        <v>93.204899999999995</v>
      </c>
      <c r="BY227" s="3">
        <v>83.490799999999993</v>
      </c>
      <c r="BZ227" s="3">
        <v>73.736400000000003</v>
      </c>
      <c r="CA227" s="3">
        <v>-548.35400000000004</v>
      </c>
      <c r="CB227" s="3">
        <v>-595.76900000000001</v>
      </c>
      <c r="CC227" s="3">
        <v>-665.31500000000005</v>
      </c>
      <c r="CD227" s="3">
        <v>-740.07799999999997</v>
      </c>
      <c r="CE227" s="3">
        <v>-800.59699999999998</v>
      </c>
      <c r="CF227" s="3">
        <v>-848.423</v>
      </c>
      <c r="CG227" s="3">
        <v>-668.06100000000004</v>
      </c>
      <c r="CH227" s="3">
        <v>-522.04200000000003</v>
      </c>
      <c r="CI227" s="3">
        <v>-435.31099999999998</v>
      </c>
      <c r="CJ227" s="3">
        <v>-370.47399999999999</v>
      </c>
      <c r="CK227" s="3">
        <v>-305.53699999999998</v>
      </c>
      <c r="CL227" s="3">
        <v>-299.77199999999999</v>
      </c>
      <c r="CM227" s="3">
        <v>-277.959</v>
      </c>
      <c r="CN227" s="3">
        <v>-253.994</v>
      </c>
      <c r="CO227" s="3">
        <v>-252.46199999999999</v>
      </c>
      <c r="CP227" s="3">
        <v>-263.745</v>
      </c>
      <c r="CQ227" s="3">
        <v>-330.858</v>
      </c>
      <c r="CR227" s="3">
        <v>-381.46199999999999</v>
      </c>
      <c r="CS227" s="3">
        <v>-408.76299999999998</v>
      </c>
      <c r="CT227" s="3">
        <v>-462.738</v>
      </c>
      <c r="CU227" s="3">
        <v>9167.17</v>
      </c>
      <c r="CV227" s="3">
        <v>11010.1</v>
      </c>
      <c r="CW227" s="3">
        <v>12201</v>
      </c>
      <c r="CX227" s="3">
        <v>12718.1</v>
      </c>
      <c r="CY227" s="3">
        <v>12555.7</v>
      </c>
      <c r="CZ227" s="3">
        <v>11880</v>
      </c>
      <c r="DA227" s="3">
        <v>11934.9</v>
      </c>
      <c r="DB227" s="3">
        <v>11896</v>
      </c>
      <c r="DC227" s="3">
        <v>11794.5</v>
      </c>
      <c r="DD227" s="3">
        <v>11845.2</v>
      </c>
      <c r="DE227" s="3">
        <v>11876.9</v>
      </c>
      <c r="DF227" s="3">
        <v>12877.3</v>
      </c>
      <c r="DG227" s="3">
        <v>13393.1</v>
      </c>
      <c r="DH227" s="3">
        <v>12981.9</v>
      </c>
      <c r="DI227" s="3">
        <v>11121.7</v>
      </c>
      <c r="DJ227" s="3">
        <v>8579.18</v>
      </c>
      <c r="DK227" s="3">
        <v>8724.0400000000009</v>
      </c>
      <c r="DL227" s="3">
        <v>8858.56</v>
      </c>
      <c r="DM227" s="3">
        <v>9039.98</v>
      </c>
      <c r="DN227" s="3">
        <v>9133.1299999999992</v>
      </c>
      <c r="DO227" s="3">
        <v>273.43</v>
      </c>
      <c r="DP227" s="3">
        <v>238.184</v>
      </c>
      <c r="DQ227" s="3">
        <v>268.91399999999999</v>
      </c>
      <c r="DR227" s="3">
        <v>425.74299999999999</v>
      </c>
      <c r="DS227" s="3">
        <v>575.26700000000005</v>
      </c>
      <c r="DT227" s="3">
        <v>708.80700000000002</v>
      </c>
      <c r="DU227" s="3">
        <v>656.10900000000004</v>
      </c>
      <c r="DV227" s="3">
        <v>1204.43</v>
      </c>
      <c r="DW227" s="3">
        <v>1807.93</v>
      </c>
      <c r="DX227" s="3">
        <v>1640.08</v>
      </c>
      <c r="DY227" s="3">
        <v>902.17700000000002</v>
      </c>
      <c r="DZ227" s="3">
        <v>841.41</v>
      </c>
      <c r="EA227" s="3">
        <v>691.90499999999997</v>
      </c>
      <c r="EB227" s="3">
        <v>413.72899999999998</v>
      </c>
      <c r="EC227" s="3">
        <v>155.52099999999999</v>
      </c>
      <c r="ED227" s="3">
        <v>-247.518</v>
      </c>
      <c r="EE227" s="3">
        <v>303.24299999999999</v>
      </c>
      <c r="EF227" s="3">
        <v>553.58900000000006</v>
      </c>
      <c r="EG227" s="3">
        <v>280.00799999999998</v>
      </c>
      <c r="EH227" s="3">
        <v>70.743499999999997</v>
      </c>
      <c r="EI227" s="3">
        <v>-898.83100000000002</v>
      </c>
      <c r="EJ227" s="3">
        <v>-809.84299999999996</v>
      </c>
      <c r="EK227" s="3">
        <v>-814.678</v>
      </c>
      <c r="EL227" s="3">
        <v>-893.91200000000003</v>
      </c>
      <c r="EM227" s="3">
        <v>-989.45399999999995</v>
      </c>
      <c r="EN227" s="3">
        <v>-972.55600000000004</v>
      </c>
      <c r="EO227" s="3">
        <v>-623.38499999999999</v>
      </c>
      <c r="EP227" s="3">
        <v>-356.13499999999999</v>
      </c>
      <c r="EQ227" s="3">
        <v>-565.88300000000004</v>
      </c>
      <c r="ER227" s="3">
        <v>-977.44899999999996</v>
      </c>
      <c r="ES227" s="3">
        <v>-1135.02</v>
      </c>
      <c r="ET227" s="3">
        <v>-1145.79</v>
      </c>
      <c r="EU227" s="3">
        <v>-822.78399999999999</v>
      </c>
      <c r="EV227" s="3">
        <v>-343.738</v>
      </c>
      <c r="EW227" s="3">
        <v>48.679099999999998</v>
      </c>
      <c r="EX227" s="3">
        <v>131.35499999999999</v>
      </c>
      <c r="EY227" s="3">
        <v>-122.08</v>
      </c>
      <c r="EZ227" s="3">
        <v>-912.21500000000003</v>
      </c>
      <c r="FA227" s="3">
        <v>-1499.56</v>
      </c>
      <c r="FB227" s="3">
        <v>-1401.67</v>
      </c>
      <c r="FC227" s="3">
        <v>1219.57</v>
      </c>
      <c r="FD227" s="3">
        <v>1822.38</v>
      </c>
      <c r="FE227" s="3">
        <v>48.223199999999999</v>
      </c>
      <c r="FF227" s="3">
        <v>56.9953</v>
      </c>
      <c r="FG227" s="3">
        <v>-275.57799999999997</v>
      </c>
      <c r="FH227" s="3">
        <v>-699.75599999999997</v>
      </c>
      <c r="FI227" s="3">
        <v>-10394.1</v>
      </c>
      <c r="FJ227" s="3">
        <v>-437.29700000000003</v>
      </c>
      <c r="FK227" s="3">
        <v>749.16700000000003</v>
      </c>
      <c r="FL227" s="3">
        <v>0</v>
      </c>
      <c r="FM227" s="3"/>
    </row>
    <row r="228" spans="1:169" x14ac:dyDescent="0.3">
      <c r="A228" s="2">
        <v>220</v>
      </c>
      <c r="B228" s="5">
        <v>37</v>
      </c>
      <c r="C228" s="6">
        <v>1101744</v>
      </c>
      <c r="D228" s="6" t="s">
        <v>263</v>
      </c>
      <c r="E228" s="6">
        <v>3905010</v>
      </c>
      <c r="F228" s="6">
        <v>1905011</v>
      </c>
      <c r="G228" s="6">
        <v>0</v>
      </c>
      <c r="H228" s="6">
        <v>0</v>
      </c>
      <c r="I228" s="6">
        <v>57.914999999999999</v>
      </c>
      <c r="J228" s="6" t="s">
        <v>194</v>
      </c>
      <c r="K228" s="6" t="s">
        <v>195</v>
      </c>
      <c r="L228" s="7" t="s">
        <v>196</v>
      </c>
      <c r="M228" s="7" t="s">
        <v>172</v>
      </c>
      <c r="N228" s="8" t="s">
        <v>2486</v>
      </c>
      <c r="O228" s="5">
        <v>10544.4</v>
      </c>
      <c r="P228" s="6">
        <v>-6962.31</v>
      </c>
      <c r="Q228" s="6">
        <v>22086.1</v>
      </c>
      <c r="R228" s="12">
        <v>0</v>
      </c>
      <c r="S228" s="4" t="s">
        <v>2487</v>
      </c>
      <c r="T228" s="4" t="s">
        <v>2488</v>
      </c>
      <c r="U228" s="4" t="s">
        <v>2489</v>
      </c>
      <c r="V228" s="4" t="s">
        <v>2490</v>
      </c>
      <c r="W228" s="4" t="s">
        <v>2491</v>
      </c>
      <c r="X228" s="4" t="s">
        <v>2492</v>
      </c>
      <c r="Y228" s="4" t="s">
        <v>2493</v>
      </c>
      <c r="Z228" s="4" t="s">
        <v>2494</v>
      </c>
      <c r="AA228" s="4" t="s">
        <v>2495</v>
      </c>
      <c r="AB228" s="4" t="s">
        <v>2496</v>
      </c>
      <c r="AC228" s="4" t="s">
        <v>2497</v>
      </c>
      <c r="AD228" s="4" t="s">
        <v>2498</v>
      </c>
      <c r="AE228" s="4" t="s">
        <v>2499</v>
      </c>
      <c r="AF228" s="4" t="s">
        <v>2500</v>
      </c>
      <c r="AG228" s="4" t="s">
        <v>2501</v>
      </c>
      <c r="AH228" s="4" t="s">
        <v>2502</v>
      </c>
      <c r="AI228" s="4" t="s">
        <v>2503</v>
      </c>
      <c r="AJ228" s="4" t="s">
        <v>2504</v>
      </c>
      <c r="AK228" s="4" t="s">
        <v>2505</v>
      </c>
      <c r="AL228" s="4" t="s">
        <v>2506</v>
      </c>
      <c r="AM228" s="3">
        <v>-2323.94</v>
      </c>
      <c r="AN228" s="3">
        <v>-2353.21</v>
      </c>
      <c r="AO228" s="3">
        <v>-2390.7399999999998</v>
      </c>
      <c r="AP228" s="3">
        <v>-2448.58</v>
      </c>
      <c r="AQ228" s="3">
        <v>-2534.61</v>
      </c>
      <c r="AR228" s="3">
        <v>-2637.99</v>
      </c>
      <c r="AS228" s="3">
        <v>-2740.74</v>
      </c>
      <c r="AT228" s="3">
        <v>-2746.23</v>
      </c>
      <c r="AU228" s="3">
        <v>-2680.38</v>
      </c>
      <c r="AV228" s="3">
        <v>-2581.7600000000002</v>
      </c>
      <c r="AW228" s="3">
        <v>-2448.02</v>
      </c>
      <c r="AX228" s="3">
        <v>-2481.36</v>
      </c>
      <c r="AY228" s="3">
        <v>-2509.2600000000002</v>
      </c>
      <c r="AZ228" s="3">
        <v>-2525.71</v>
      </c>
      <c r="BA228" s="3">
        <v>-2527.4699999999998</v>
      </c>
      <c r="BB228" s="3">
        <v>-2532.02</v>
      </c>
      <c r="BC228" s="3">
        <v>-2546.54</v>
      </c>
      <c r="BD228" s="3">
        <v>-2554.12</v>
      </c>
      <c r="BE228" s="3">
        <v>-2532.85</v>
      </c>
      <c r="BF228" s="3">
        <v>-2452.4499999999998</v>
      </c>
      <c r="BG228" s="3">
        <v>229.71199999999999</v>
      </c>
      <c r="BH228" s="3">
        <v>220.851</v>
      </c>
      <c r="BI228" s="3">
        <v>224.749</v>
      </c>
      <c r="BJ228" s="3">
        <v>253.93600000000001</v>
      </c>
      <c r="BK228" s="3">
        <v>303.392</v>
      </c>
      <c r="BL228" s="3">
        <v>349.83300000000003</v>
      </c>
      <c r="BM228" s="3">
        <v>308.76900000000001</v>
      </c>
      <c r="BN228" s="3">
        <v>252.43299999999999</v>
      </c>
      <c r="BO228" s="3">
        <v>188.18199999999999</v>
      </c>
      <c r="BP228" s="3">
        <v>126.38500000000001</v>
      </c>
      <c r="BQ228" s="3">
        <v>60.242199999999997</v>
      </c>
      <c r="BR228" s="3">
        <v>91.237099999999998</v>
      </c>
      <c r="BS228" s="3">
        <v>113.871</v>
      </c>
      <c r="BT228" s="3">
        <v>122.06699999999999</v>
      </c>
      <c r="BU228" s="3">
        <v>117.617</v>
      </c>
      <c r="BV228" s="3">
        <v>119.294</v>
      </c>
      <c r="BW228" s="3">
        <v>148.70400000000001</v>
      </c>
      <c r="BX228" s="3">
        <v>180.101</v>
      </c>
      <c r="BY228" s="3">
        <v>206.46</v>
      </c>
      <c r="BZ228" s="3">
        <v>220.19499999999999</v>
      </c>
      <c r="CA228" s="3">
        <v>365.93700000000001</v>
      </c>
      <c r="CB228" s="3">
        <v>382.78699999999998</v>
      </c>
      <c r="CC228" s="3">
        <v>423.654</v>
      </c>
      <c r="CD228" s="3">
        <v>475.53300000000002</v>
      </c>
      <c r="CE228" s="3">
        <v>518.37</v>
      </c>
      <c r="CF228" s="3">
        <v>551.87300000000005</v>
      </c>
      <c r="CG228" s="3">
        <v>659.02700000000004</v>
      </c>
      <c r="CH228" s="3">
        <v>760.96900000000005</v>
      </c>
      <c r="CI228" s="3">
        <v>853.18299999999999</v>
      </c>
      <c r="CJ228" s="3">
        <v>901.60400000000004</v>
      </c>
      <c r="CK228" s="3">
        <v>898.00400000000002</v>
      </c>
      <c r="CL228" s="3">
        <v>821.65499999999997</v>
      </c>
      <c r="CM228" s="3">
        <v>730.09699999999998</v>
      </c>
      <c r="CN228" s="3">
        <v>640.80100000000004</v>
      </c>
      <c r="CO228" s="3">
        <v>581.45399999999995</v>
      </c>
      <c r="CP228" s="3">
        <v>545.99800000000005</v>
      </c>
      <c r="CQ228" s="3">
        <v>542.87300000000005</v>
      </c>
      <c r="CR228" s="3">
        <v>515.88900000000001</v>
      </c>
      <c r="CS228" s="3">
        <v>457.76100000000002</v>
      </c>
      <c r="CT228" s="3">
        <v>402.61599999999999</v>
      </c>
      <c r="CU228" s="3">
        <v>-8743.2900000000009</v>
      </c>
      <c r="CV228" s="3">
        <v>-10443.299999999999</v>
      </c>
      <c r="CW228" s="3">
        <v>-11382</v>
      </c>
      <c r="CX228" s="3">
        <v>-11573.1</v>
      </c>
      <c r="CY228" s="3">
        <v>-11072</v>
      </c>
      <c r="CZ228" s="3">
        <v>-10125</v>
      </c>
      <c r="DA228" s="3">
        <v>-9990.35</v>
      </c>
      <c r="DB228" s="3">
        <v>-9863.2999999999993</v>
      </c>
      <c r="DC228" s="3">
        <v>-9754.64</v>
      </c>
      <c r="DD228" s="3">
        <v>-9817.7099999999991</v>
      </c>
      <c r="DE228" s="3">
        <v>-9848.6</v>
      </c>
      <c r="DF228" s="3">
        <v>-10815.1</v>
      </c>
      <c r="DG228" s="3">
        <v>-11468.7</v>
      </c>
      <c r="DH228" s="3">
        <v>-11344.5</v>
      </c>
      <c r="DI228" s="3">
        <v>-9862.9500000000007</v>
      </c>
      <c r="DJ228" s="3">
        <v>-7637.77</v>
      </c>
      <c r="DK228" s="3">
        <v>-7879.21</v>
      </c>
      <c r="DL228" s="3">
        <v>-8109.77</v>
      </c>
      <c r="DM228" s="3">
        <v>-8378.93</v>
      </c>
      <c r="DN228" s="3">
        <v>-8579.66</v>
      </c>
      <c r="DO228" s="3">
        <v>-816.38099999999997</v>
      </c>
      <c r="DP228" s="3">
        <v>-803.92</v>
      </c>
      <c r="DQ228" s="3">
        <v>-888.68600000000004</v>
      </c>
      <c r="DR228" s="3">
        <v>-1117</v>
      </c>
      <c r="DS228" s="3">
        <v>-1379.08</v>
      </c>
      <c r="DT228" s="3">
        <v>-1674.09</v>
      </c>
      <c r="DU228" s="3">
        <v>-1839.21</v>
      </c>
      <c r="DV228" s="3">
        <v>-2294.9899999999998</v>
      </c>
      <c r="DW228" s="3">
        <v>-2649.61</v>
      </c>
      <c r="DX228" s="3">
        <v>-2229.88</v>
      </c>
      <c r="DY228" s="3">
        <v>-1251.6199999999999</v>
      </c>
      <c r="DZ228" s="3">
        <v>-1142.26</v>
      </c>
      <c r="EA228" s="3">
        <v>-931.24300000000005</v>
      </c>
      <c r="EB228" s="3">
        <v>-606.53499999999997</v>
      </c>
      <c r="EC228" s="3">
        <v>-311.04599999999999</v>
      </c>
      <c r="ED228" s="3">
        <v>93.548100000000005</v>
      </c>
      <c r="EE228" s="3">
        <v>-573.52</v>
      </c>
      <c r="EF228" s="3">
        <v>-1000.44</v>
      </c>
      <c r="EG228" s="3">
        <v>-873.05</v>
      </c>
      <c r="EH228" s="3">
        <v>-692.99400000000003</v>
      </c>
      <c r="EI228" s="3">
        <v>1178.8699999999999</v>
      </c>
      <c r="EJ228" s="3">
        <v>1182.7</v>
      </c>
      <c r="EK228" s="3">
        <v>1299.77</v>
      </c>
      <c r="EL228" s="3">
        <v>1520.38</v>
      </c>
      <c r="EM228" s="3">
        <v>1797.8</v>
      </c>
      <c r="EN228" s="3">
        <v>1976.03</v>
      </c>
      <c r="EO228" s="3">
        <v>1371.65</v>
      </c>
      <c r="EP228" s="3">
        <v>801.42499999999995</v>
      </c>
      <c r="EQ228" s="3">
        <v>685.13</v>
      </c>
      <c r="ER228" s="3">
        <v>863.24099999999999</v>
      </c>
      <c r="ES228" s="3">
        <v>917.22799999999995</v>
      </c>
      <c r="ET228" s="3">
        <v>989.28800000000001</v>
      </c>
      <c r="EU228" s="3">
        <v>731.58799999999997</v>
      </c>
      <c r="EV228" s="3">
        <v>303.03500000000003</v>
      </c>
      <c r="EW228" s="3">
        <v>-89.874099999999999</v>
      </c>
      <c r="EX228" s="3">
        <v>-201.215</v>
      </c>
      <c r="EY228" s="3">
        <v>90.963399999999993</v>
      </c>
      <c r="EZ228" s="3">
        <v>929.11400000000003</v>
      </c>
      <c r="FA228" s="3">
        <v>1611.75</v>
      </c>
      <c r="FB228" s="3">
        <v>1615.09</v>
      </c>
      <c r="FC228" s="3">
        <v>-2490.3200000000002</v>
      </c>
      <c r="FD228" s="3">
        <v>-2639.19</v>
      </c>
      <c r="FE228" s="3">
        <v>104.05500000000001</v>
      </c>
      <c r="FF228" s="3">
        <v>263.74599999999998</v>
      </c>
      <c r="FG228" s="3">
        <v>453.02600000000001</v>
      </c>
      <c r="FH228" s="3">
        <v>770.77700000000004</v>
      </c>
      <c r="FI228" s="3">
        <v>9060.68</v>
      </c>
      <c r="FJ228" s="3">
        <v>902.35900000000004</v>
      </c>
      <c r="FK228" s="3">
        <v>-976.87</v>
      </c>
      <c r="FL228" s="3">
        <v>0</v>
      </c>
      <c r="FM228" s="3"/>
    </row>
    <row r="229" spans="1:169" x14ac:dyDescent="0.3">
      <c r="A229" s="2">
        <v>221</v>
      </c>
      <c r="B229" s="5">
        <v>37</v>
      </c>
      <c r="C229" s="6">
        <v>3102673</v>
      </c>
      <c r="D229" s="6" t="s">
        <v>285</v>
      </c>
      <c r="E229" s="6">
        <v>3905010</v>
      </c>
      <c r="F229" s="6">
        <v>3905012</v>
      </c>
      <c r="G229" s="6">
        <v>5905010</v>
      </c>
      <c r="H229" s="6">
        <v>3905013</v>
      </c>
      <c r="I229" s="6">
        <v>51.48</v>
      </c>
      <c r="J229" s="6" t="s">
        <v>169</v>
      </c>
      <c r="K229" s="6" t="s">
        <v>170</v>
      </c>
      <c r="L229" s="7" t="s">
        <v>171</v>
      </c>
      <c r="M229" s="7" t="s">
        <v>172</v>
      </c>
      <c r="N229" s="8" t="s">
        <v>2507</v>
      </c>
      <c r="O229" s="5">
        <v>35719.699999999997</v>
      </c>
      <c r="P229" s="6">
        <v>6225.97</v>
      </c>
      <c r="Q229" s="6">
        <v>-2286.42</v>
      </c>
      <c r="R229" s="12">
        <v>11471.3</v>
      </c>
      <c r="S229" s="4" t="s">
        <v>2508</v>
      </c>
      <c r="T229" s="4" t="s">
        <v>2509</v>
      </c>
      <c r="U229" s="4" t="s">
        <v>2510</v>
      </c>
      <c r="V229" s="4" t="s">
        <v>2511</v>
      </c>
      <c r="W229" s="4" t="s">
        <v>2512</v>
      </c>
      <c r="X229" s="4" t="s">
        <v>2513</v>
      </c>
      <c r="Y229" s="4" t="s">
        <v>2514</v>
      </c>
      <c r="Z229" s="4" t="s">
        <v>2515</v>
      </c>
      <c r="AA229" s="4" t="s">
        <v>2516</v>
      </c>
      <c r="AB229" s="4" t="s">
        <v>2517</v>
      </c>
      <c r="AC229" s="4" t="s">
        <v>2518</v>
      </c>
      <c r="AD229" s="4" t="s">
        <v>2519</v>
      </c>
      <c r="AE229" s="4" t="s">
        <v>2520</v>
      </c>
      <c r="AF229" s="4" t="s">
        <v>2521</v>
      </c>
      <c r="AG229" s="4" t="s">
        <v>2522</v>
      </c>
      <c r="AH229" s="4" t="s">
        <v>2523</v>
      </c>
      <c r="AI229" s="4" t="s">
        <v>2524</v>
      </c>
      <c r="AJ229" s="4" t="s">
        <v>2525</v>
      </c>
      <c r="AK229" s="4" t="s">
        <v>2526</v>
      </c>
      <c r="AL229" s="4" t="s">
        <v>2527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0</v>
      </c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/>
    </row>
    <row r="230" spans="1:169" x14ac:dyDescent="0.3">
      <c r="A230" s="2">
        <v>222</v>
      </c>
      <c r="B230" s="5">
        <v>37</v>
      </c>
      <c r="C230" s="6">
        <v>3102673</v>
      </c>
      <c r="D230" s="6" t="s">
        <v>285</v>
      </c>
      <c r="E230" s="6">
        <v>3905010</v>
      </c>
      <c r="F230" s="6">
        <v>3905012</v>
      </c>
      <c r="G230" s="6">
        <v>5905010</v>
      </c>
      <c r="H230" s="6">
        <v>3905013</v>
      </c>
      <c r="I230" s="6">
        <v>51.48</v>
      </c>
      <c r="J230" s="6" t="s">
        <v>194</v>
      </c>
      <c r="K230" s="6" t="s">
        <v>195</v>
      </c>
      <c r="L230" s="7" t="s">
        <v>196</v>
      </c>
      <c r="M230" s="7" t="s">
        <v>172</v>
      </c>
      <c r="N230" s="8" t="s">
        <v>2507</v>
      </c>
      <c r="O230" s="5">
        <v>-36123.1</v>
      </c>
      <c r="P230" s="6">
        <v>-1322.37</v>
      </c>
      <c r="Q230" s="6">
        <v>1363.35</v>
      </c>
      <c r="R230" s="12">
        <v>0</v>
      </c>
      <c r="S230" s="4" t="s">
        <v>2508</v>
      </c>
      <c r="T230" s="4" t="s">
        <v>2509</v>
      </c>
      <c r="U230" s="4" t="s">
        <v>2510</v>
      </c>
      <c r="V230" s="4" t="s">
        <v>2511</v>
      </c>
      <c r="W230" s="4" t="s">
        <v>2512</v>
      </c>
      <c r="X230" s="4" t="s">
        <v>2513</v>
      </c>
      <c r="Y230" s="4" t="s">
        <v>2514</v>
      </c>
      <c r="Z230" s="4" t="s">
        <v>2515</v>
      </c>
      <c r="AA230" s="4" t="s">
        <v>2516</v>
      </c>
      <c r="AB230" s="4" t="s">
        <v>2517</v>
      </c>
      <c r="AC230" s="4" t="s">
        <v>2518</v>
      </c>
      <c r="AD230" s="4" t="s">
        <v>2519</v>
      </c>
      <c r="AE230" s="4" t="s">
        <v>2520</v>
      </c>
      <c r="AF230" s="4" t="s">
        <v>2521</v>
      </c>
      <c r="AG230" s="4" t="s">
        <v>2522</v>
      </c>
      <c r="AH230" s="4" t="s">
        <v>2523</v>
      </c>
      <c r="AI230" s="4" t="s">
        <v>2524</v>
      </c>
      <c r="AJ230" s="4" t="s">
        <v>2525</v>
      </c>
      <c r="AK230" s="4" t="s">
        <v>2526</v>
      </c>
      <c r="AL230" s="4" t="s">
        <v>2527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/>
    </row>
    <row r="231" spans="1:169" x14ac:dyDescent="0.3">
      <c r="A231" s="2">
        <v>223</v>
      </c>
      <c r="B231" s="5">
        <v>37</v>
      </c>
      <c r="C231" s="6">
        <v>6301789</v>
      </c>
      <c r="D231" s="6" t="s">
        <v>774</v>
      </c>
      <c r="E231" s="6">
        <v>5905010</v>
      </c>
      <c r="F231" s="6">
        <v>5905010</v>
      </c>
      <c r="G231" s="6">
        <v>0</v>
      </c>
      <c r="H231" s="6">
        <v>0</v>
      </c>
      <c r="I231" s="6">
        <v>51.48</v>
      </c>
      <c r="J231" s="6" t="s">
        <v>169</v>
      </c>
      <c r="K231" s="6" t="s">
        <v>170</v>
      </c>
      <c r="L231" s="7" t="s">
        <v>171</v>
      </c>
      <c r="M231" s="7" t="s">
        <v>172</v>
      </c>
      <c r="N231" s="8" t="s">
        <v>2528</v>
      </c>
      <c r="O231" s="5">
        <v>45431.3</v>
      </c>
      <c r="P231" s="6">
        <v>2059.71</v>
      </c>
      <c r="Q231" s="6">
        <v>-23927.3</v>
      </c>
      <c r="R231" s="12">
        <v>11471.3</v>
      </c>
      <c r="S231" s="4" t="s">
        <v>2529</v>
      </c>
      <c r="T231" s="4" t="s">
        <v>2530</v>
      </c>
      <c r="U231" s="4" t="s">
        <v>2531</v>
      </c>
      <c r="V231" s="4" t="s">
        <v>2532</v>
      </c>
      <c r="W231" s="4" t="s">
        <v>2533</v>
      </c>
      <c r="X231" s="4" t="s">
        <v>2534</v>
      </c>
      <c r="Y231" s="4" t="s">
        <v>2535</v>
      </c>
      <c r="Z231" s="4" t="s">
        <v>2536</v>
      </c>
      <c r="AA231" s="4" t="s">
        <v>2537</v>
      </c>
      <c r="AB231" s="4" t="s">
        <v>2538</v>
      </c>
      <c r="AC231" s="4" t="s">
        <v>2539</v>
      </c>
      <c r="AD231" s="4" t="s">
        <v>2540</v>
      </c>
      <c r="AE231" s="4" t="s">
        <v>2541</v>
      </c>
      <c r="AF231" s="4" t="s">
        <v>2542</v>
      </c>
      <c r="AG231" s="4" t="s">
        <v>2543</v>
      </c>
      <c r="AH231" s="4" t="s">
        <v>2544</v>
      </c>
      <c r="AI231" s="4" t="s">
        <v>2545</v>
      </c>
      <c r="AJ231" s="4" t="s">
        <v>2546</v>
      </c>
      <c r="AK231" s="4" t="s">
        <v>2547</v>
      </c>
      <c r="AL231" s="4" t="s">
        <v>2548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0</v>
      </c>
      <c r="EA231" s="3">
        <v>0</v>
      </c>
      <c r="EB231" s="3">
        <v>0</v>
      </c>
      <c r="EC231" s="3">
        <v>0</v>
      </c>
      <c r="ED231" s="3">
        <v>0</v>
      </c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0</v>
      </c>
      <c r="FA231" s="3">
        <v>0</v>
      </c>
      <c r="FB231" s="3">
        <v>0</v>
      </c>
      <c r="FC231" s="3">
        <v>0</v>
      </c>
      <c r="FD231" s="3">
        <v>0</v>
      </c>
      <c r="FE231" s="3">
        <v>0</v>
      </c>
      <c r="FF231" s="3">
        <v>0</v>
      </c>
      <c r="FG231" s="3">
        <v>0</v>
      </c>
      <c r="FH231" s="3">
        <v>0</v>
      </c>
      <c r="FI231" s="3">
        <v>0</v>
      </c>
      <c r="FJ231" s="3">
        <v>0</v>
      </c>
      <c r="FK231" s="3">
        <v>0</v>
      </c>
      <c r="FL231" s="3">
        <v>0</v>
      </c>
      <c r="FM231" s="3" t="s">
        <v>2549</v>
      </c>
    </row>
    <row r="232" spans="1:169" x14ac:dyDescent="0.3">
      <c r="A232" s="2">
        <v>224</v>
      </c>
      <c r="B232" s="5">
        <v>37</v>
      </c>
      <c r="C232" s="6">
        <v>6301789</v>
      </c>
      <c r="D232" s="6" t="s">
        <v>774</v>
      </c>
      <c r="E232" s="6">
        <v>5905010</v>
      </c>
      <c r="F232" s="6">
        <v>5905010</v>
      </c>
      <c r="G232" s="6">
        <v>0</v>
      </c>
      <c r="H232" s="6">
        <v>0</v>
      </c>
      <c r="I232" s="6">
        <v>51.48</v>
      </c>
      <c r="J232" s="6" t="s">
        <v>194</v>
      </c>
      <c r="K232" s="6" t="s">
        <v>195</v>
      </c>
      <c r="L232" s="7" t="s">
        <v>196</v>
      </c>
      <c r="M232" s="7" t="s">
        <v>172</v>
      </c>
      <c r="N232" s="8" t="s">
        <v>2528</v>
      </c>
      <c r="O232" s="5">
        <v>-45642.8</v>
      </c>
      <c r="P232" s="6">
        <v>-1002.14</v>
      </c>
      <c r="Q232" s="6">
        <v>21255.3</v>
      </c>
      <c r="R232" s="12">
        <v>0</v>
      </c>
      <c r="S232" s="4" t="s">
        <v>2529</v>
      </c>
      <c r="T232" s="4" t="s">
        <v>2530</v>
      </c>
      <c r="U232" s="4" t="s">
        <v>2531</v>
      </c>
      <c r="V232" s="4" t="s">
        <v>2532</v>
      </c>
      <c r="W232" s="4" t="s">
        <v>2533</v>
      </c>
      <c r="X232" s="4" t="s">
        <v>2534</v>
      </c>
      <c r="Y232" s="4" t="s">
        <v>2535</v>
      </c>
      <c r="Z232" s="4" t="s">
        <v>2536</v>
      </c>
      <c r="AA232" s="4" t="s">
        <v>2537</v>
      </c>
      <c r="AB232" s="4" t="s">
        <v>2538</v>
      </c>
      <c r="AC232" s="4" t="s">
        <v>2539</v>
      </c>
      <c r="AD232" s="4" t="s">
        <v>2540</v>
      </c>
      <c r="AE232" s="4" t="s">
        <v>2541</v>
      </c>
      <c r="AF232" s="4" t="s">
        <v>2542</v>
      </c>
      <c r="AG232" s="4" t="s">
        <v>2543</v>
      </c>
      <c r="AH232" s="4" t="s">
        <v>2544</v>
      </c>
      <c r="AI232" s="4" t="s">
        <v>2545</v>
      </c>
      <c r="AJ232" s="4" t="s">
        <v>2546</v>
      </c>
      <c r="AK232" s="4" t="s">
        <v>2547</v>
      </c>
      <c r="AL232" s="4" t="s">
        <v>2548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  <c r="ED232" s="3">
        <v>0</v>
      </c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 t="s">
        <v>2549</v>
      </c>
    </row>
    <row r="233" spans="1:169" x14ac:dyDescent="0.3">
      <c r="A233" s="2">
        <v>225</v>
      </c>
      <c r="B233" s="5">
        <v>38</v>
      </c>
      <c r="C233" s="6">
        <v>1101655</v>
      </c>
      <c r="D233" s="6" t="s">
        <v>263</v>
      </c>
      <c r="E233" s="6">
        <v>3906010</v>
      </c>
      <c r="F233" s="6">
        <v>1906011</v>
      </c>
      <c r="G233" s="6">
        <v>0</v>
      </c>
      <c r="H233" s="6">
        <v>0</v>
      </c>
      <c r="I233" s="6">
        <v>57.914999999999999</v>
      </c>
      <c r="J233" s="6" t="s">
        <v>169</v>
      </c>
      <c r="K233" s="6" t="s">
        <v>170</v>
      </c>
      <c r="L233" s="7" t="s">
        <v>171</v>
      </c>
      <c r="M233" s="7" t="s">
        <v>172</v>
      </c>
      <c r="N233" s="8" t="s">
        <v>2550</v>
      </c>
      <c r="O233" s="5">
        <v>12009.5</v>
      </c>
      <c r="P233" s="6">
        <v>13374.7</v>
      </c>
      <c r="Q233" s="6">
        <v>-12256.3</v>
      </c>
      <c r="R233" s="12">
        <v>31670.400000000001</v>
      </c>
      <c r="S233" s="4" t="s">
        <v>2551</v>
      </c>
      <c r="T233" s="4" t="s">
        <v>2552</v>
      </c>
      <c r="U233" s="4" t="s">
        <v>2553</v>
      </c>
      <c r="V233" s="4" t="s">
        <v>2554</v>
      </c>
      <c r="W233" s="4" t="s">
        <v>2555</v>
      </c>
      <c r="X233" s="4" t="s">
        <v>2556</v>
      </c>
      <c r="Y233" s="4" t="s">
        <v>2557</v>
      </c>
      <c r="Z233" s="4" t="s">
        <v>2558</v>
      </c>
      <c r="AA233" s="4" t="s">
        <v>2559</v>
      </c>
      <c r="AB233" s="4" t="s">
        <v>2560</v>
      </c>
      <c r="AC233" s="4" t="s">
        <v>2561</v>
      </c>
      <c r="AD233" s="4" t="s">
        <v>2562</v>
      </c>
      <c r="AE233" s="4" t="s">
        <v>2563</v>
      </c>
      <c r="AF233" s="4" t="s">
        <v>2564</v>
      </c>
      <c r="AG233" s="4" t="s">
        <v>2565</v>
      </c>
      <c r="AH233" s="4" t="s">
        <v>2566</v>
      </c>
      <c r="AI233" s="4" t="s">
        <v>2567</v>
      </c>
      <c r="AJ233" s="4" t="s">
        <v>2568</v>
      </c>
      <c r="AK233" s="4" t="s">
        <v>2569</v>
      </c>
      <c r="AL233" s="4" t="s">
        <v>2570</v>
      </c>
      <c r="AM233" s="3">
        <v>2116.73</v>
      </c>
      <c r="AN233" s="3">
        <v>2047.93</v>
      </c>
      <c r="AO233" s="3">
        <v>1976.88</v>
      </c>
      <c r="AP233" s="3">
        <v>1921.84</v>
      </c>
      <c r="AQ233" s="3">
        <v>1878.8</v>
      </c>
      <c r="AR233" s="3">
        <v>1851.1</v>
      </c>
      <c r="AS233" s="3">
        <v>1926.14</v>
      </c>
      <c r="AT233" s="3">
        <v>1916.06</v>
      </c>
      <c r="AU233" s="3">
        <v>1862.63</v>
      </c>
      <c r="AV233" s="3">
        <v>1841.88</v>
      </c>
      <c r="AW233" s="3">
        <v>1780.22</v>
      </c>
      <c r="AX233" s="3">
        <v>1870.99</v>
      </c>
      <c r="AY233" s="3">
        <v>1960.99</v>
      </c>
      <c r="AZ233" s="3">
        <v>2034.65</v>
      </c>
      <c r="BA233" s="3">
        <v>2100.85</v>
      </c>
      <c r="BB233" s="3">
        <v>2177.92</v>
      </c>
      <c r="BC233" s="3">
        <v>2260.5700000000002</v>
      </c>
      <c r="BD233" s="3">
        <v>2329.41</v>
      </c>
      <c r="BE233" s="3">
        <v>2333.0100000000002</v>
      </c>
      <c r="BF233" s="3">
        <v>2240.4699999999998</v>
      </c>
      <c r="BG233" s="3">
        <v>100.39400000000001</v>
      </c>
      <c r="BH233" s="3">
        <v>96.3827</v>
      </c>
      <c r="BI233" s="3">
        <v>69.404799999999994</v>
      </c>
      <c r="BJ233" s="3">
        <v>9.0230099999999993</v>
      </c>
      <c r="BK233" s="3">
        <v>-70.375</v>
      </c>
      <c r="BL233" s="3">
        <v>-155.75</v>
      </c>
      <c r="BM233" s="3">
        <v>-119.34699999999999</v>
      </c>
      <c r="BN233" s="3">
        <v>-71.935299999999998</v>
      </c>
      <c r="BO233" s="3">
        <v>-45.532600000000002</v>
      </c>
      <c r="BP233" s="3">
        <v>-44.155700000000003</v>
      </c>
      <c r="BQ233" s="3">
        <v>-37.684199999999997</v>
      </c>
      <c r="BR233" s="3">
        <v>-35.418900000000001</v>
      </c>
      <c r="BS233" s="3">
        <v>-24.5352</v>
      </c>
      <c r="BT233" s="3">
        <v>-0.46750599999999998</v>
      </c>
      <c r="BU233" s="3">
        <v>19.5825</v>
      </c>
      <c r="BV233" s="3">
        <v>19.7104</v>
      </c>
      <c r="BW233" s="3">
        <v>37.411700000000003</v>
      </c>
      <c r="BX233" s="3">
        <v>45.896999999999998</v>
      </c>
      <c r="BY233" s="3">
        <v>58.8446</v>
      </c>
      <c r="BZ233" s="3">
        <v>84.513300000000001</v>
      </c>
      <c r="CA233" s="3">
        <v>-181.988</v>
      </c>
      <c r="CB233" s="3">
        <v>-186.934</v>
      </c>
      <c r="CC233" s="3">
        <v>-207.393</v>
      </c>
      <c r="CD233" s="3">
        <v>-235.73699999999999</v>
      </c>
      <c r="CE233" s="3">
        <v>-250.60499999999999</v>
      </c>
      <c r="CF233" s="3">
        <v>-268.32299999999998</v>
      </c>
      <c r="CG233" s="3">
        <v>-248.76400000000001</v>
      </c>
      <c r="CH233" s="3">
        <v>-248.125</v>
      </c>
      <c r="CI233" s="3">
        <v>-267.72699999999998</v>
      </c>
      <c r="CJ233" s="3">
        <v>-249.036</v>
      </c>
      <c r="CK233" s="3">
        <v>-185.863</v>
      </c>
      <c r="CL233" s="3">
        <v>-163.69900000000001</v>
      </c>
      <c r="CM233" s="3">
        <v>-133.35499999999999</v>
      </c>
      <c r="CN233" s="3">
        <v>-119.877</v>
      </c>
      <c r="CO233" s="3">
        <v>-128.08099999999999</v>
      </c>
      <c r="CP233" s="3">
        <v>-150.191</v>
      </c>
      <c r="CQ233" s="3">
        <v>-211.62</v>
      </c>
      <c r="CR233" s="3">
        <v>-209.12299999999999</v>
      </c>
      <c r="CS233" s="3">
        <v>-153.18100000000001</v>
      </c>
      <c r="CT233" s="3">
        <v>-132.995</v>
      </c>
      <c r="CU233" s="3">
        <v>11198</v>
      </c>
      <c r="CV233" s="3">
        <v>12023.1</v>
      </c>
      <c r="CW233" s="3">
        <v>12159.8</v>
      </c>
      <c r="CX233" s="3">
        <v>11804.2</v>
      </c>
      <c r="CY233" s="3">
        <v>11381</v>
      </c>
      <c r="CZ233" s="3">
        <v>10871.3</v>
      </c>
      <c r="DA233" s="3">
        <v>11060.2</v>
      </c>
      <c r="DB233" s="3">
        <v>11091.2</v>
      </c>
      <c r="DC233" s="3">
        <v>11034.9</v>
      </c>
      <c r="DD233" s="3">
        <v>11123.8</v>
      </c>
      <c r="DE233" s="3">
        <v>11281.9</v>
      </c>
      <c r="DF233" s="3">
        <v>12492.6</v>
      </c>
      <c r="DG233" s="3">
        <v>13315.6</v>
      </c>
      <c r="DH233" s="3">
        <v>13219</v>
      </c>
      <c r="DI233" s="3">
        <v>12231.4</v>
      </c>
      <c r="DJ233" s="3">
        <v>10683.7</v>
      </c>
      <c r="DK233" s="3">
        <v>10530.8</v>
      </c>
      <c r="DL233" s="3">
        <v>10543.5</v>
      </c>
      <c r="DM233" s="3">
        <v>10717.1</v>
      </c>
      <c r="DN233" s="3">
        <v>10968.4</v>
      </c>
      <c r="DO233" s="3">
        <v>-628.54</v>
      </c>
      <c r="DP233" s="3">
        <v>-483.77499999999998</v>
      </c>
      <c r="DQ233" s="3">
        <v>-329.09500000000003</v>
      </c>
      <c r="DR233" s="3">
        <v>-100.76900000000001</v>
      </c>
      <c r="DS233" s="3">
        <v>38.637700000000002</v>
      </c>
      <c r="DT233" s="3">
        <v>123.764</v>
      </c>
      <c r="DU233" s="3">
        <v>-65.032899999999998</v>
      </c>
      <c r="DV233" s="3">
        <v>292.40499999999997</v>
      </c>
      <c r="DW233" s="3">
        <v>886.35900000000004</v>
      </c>
      <c r="DX233" s="3">
        <v>1029.83</v>
      </c>
      <c r="DY233" s="3">
        <v>711.88900000000001</v>
      </c>
      <c r="DZ233" s="3">
        <v>799.91800000000001</v>
      </c>
      <c r="EA233" s="3">
        <v>762.78</v>
      </c>
      <c r="EB233" s="3">
        <v>762.11599999999999</v>
      </c>
      <c r="EC233" s="3">
        <v>655.03899999999999</v>
      </c>
      <c r="ED233" s="3">
        <v>602.42600000000004</v>
      </c>
      <c r="EE233" s="3">
        <v>916.67600000000004</v>
      </c>
      <c r="EF233" s="3">
        <v>659.37099999999998</v>
      </c>
      <c r="EG233" s="3">
        <v>-92.299400000000006</v>
      </c>
      <c r="EH233" s="3">
        <v>-726.53300000000002</v>
      </c>
      <c r="EI233" s="3">
        <v>-284.51</v>
      </c>
      <c r="EJ233" s="3">
        <v>-475.459</v>
      </c>
      <c r="EK233" s="3">
        <v>-694.03700000000003</v>
      </c>
      <c r="EL233" s="3">
        <v>-868.31399999999996</v>
      </c>
      <c r="EM233" s="3">
        <v>-906.74099999999999</v>
      </c>
      <c r="EN233" s="3">
        <v>-775.64</v>
      </c>
      <c r="EO233" s="3">
        <v>-427.81099999999998</v>
      </c>
      <c r="EP233" s="3">
        <v>-64.683999999999997</v>
      </c>
      <c r="EQ233" s="3">
        <v>-84.683499999999995</v>
      </c>
      <c r="ER233" s="3">
        <v>-379.67500000000001</v>
      </c>
      <c r="ES233" s="3">
        <v>-517.14200000000005</v>
      </c>
      <c r="ET233" s="3">
        <v>-667.96699999999998</v>
      </c>
      <c r="EU233" s="3">
        <v>-533.71500000000003</v>
      </c>
      <c r="EV233" s="3">
        <v>-356.81700000000001</v>
      </c>
      <c r="EW233" s="3">
        <v>-150</v>
      </c>
      <c r="EX233" s="3">
        <v>-225.53</v>
      </c>
      <c r="EY233" s="3">
        <v>-279.00700000000001</v>
      </c>
      <c r="EZ233" s="3">
        <v>-608.01599999999996</v>
      </c>
      <c r="FA233" s="3">
        <v>-802.32399999999996</v>
      </c>
      <c r="FB233" s="3">
        <v>-632.59699999999998</v>
      </c>
      <c r="FC233" s="3">
        <v>1863</v>
      </c>
      <c r="FD233" s="3">
        <v>2243.02</v>
      </c>
      <c r="FE233" s="3">
        <v>8.18</v>
      </c>
      <c r="FF233" s="3">
        <v>-9.8021499999999993</v>
      </c>
      <c r="FG233" s="3">
        <v>-146.84399999999999</v>
      </c>
      <c r="FH233" s="3">
        <v>-244.64</v>
      </c>
      <c r="FI233" s="3">
        <v>-10925.4</v>
      </c>
      <c r="FJ233" s="3">
        <v>-242.86600000000001</v>
      </c>
      <c r="FK233" s="3">
        <v>480.72899999999998</v>
      </c>
      <c r="FL233" s="3">
        <v>0</v>
      </c>
      <c r="FM233" s="3"/>
    </row>
    <row r="234" spans="1:169" x14ac:dyDescent="0.3">
      <c r="A234" s="2">
        <v>226</v>
      </c>
      <c r="B234" s="5">
        <v>38</v>
      </c>
      <c r="C234" s="6">
        <v>1101655</v>
      </c>
      <c r="D234" s="6" t="s">
        <v>263</v>
      </c>
      <c r="E234" s="6">
        <v>3906010</v>
      </c>
      <c r="F234" s="6">
        <v>1906011</v>
      </c>
      <c r="G234" s="6">
        <v>0</v>
      </c>
      <c r="H234" s="6">
        <v>0</v>
      </c>
      <c r="I234" s="6">
        <v>57.914999999999999</v>
      </c>
      <c r="J234" s="6" t="s">
        <v>194</v>
      </c>
      <c r="K234" s="6" t="s">
        <v>195</v>
      </c>
      <c r="L234" s="7" t="s">
        <v>196</v>
      </c>
      <c r="M234" s="7" t="s">
        <v>172</v>
      </c>
      <c r="N234" s="8" t="s">
        <v>2550</v>
      </c>
      <c r="O234" s="5">
        <v>-9138.2000000000007</v>
      </c>
      <c r="P234" s="6">
        <v>-15533.9</v>
      </c>
      <c r="Q234" s="6">
        <v>10485.4</v>
      </c>
      <c r="R234" s="12">
        <v>9116.59</v>
      </c>
      <c r="S234" s="4" t="s">
        <v>2551</v>
      </c>
      <c r="T234" s="4" t="s">
        <v>2552</v>
      </c>
      <c r="U234" s="4" t="s">
        <v>2553</v>
      </c>
      <c r="V234" s="4" t="s">
        <v>2554</v>
      </c>
      <c r="W234" s="4" t="s">
        <v>2555</v>
      </c>
      <c r="X234" s="4" t="s">
        <v>2556</v>
      </c>
      <c r="Y234" s="4" t="s">
        <v>2557</v>
      </c>
      <c r="Z234" s="4" t="s">
        <v>2558</v>
      </c>
      <c r="AA234" s="4" t="s">
        <v>2559</v>
      </c>
      <c r="AB234" s="4" t="s">
        <v>2560</v>
      </c>
      <c r="AC234" s="4" t="s">
        <v>2561</v>
      </c>
      <c r="AD234" s="4" t="s">
        <v>2562</v>
      </c>
      <c r="AE234" s="4" t="s">
        <v>2563</v>
      </c>
      <c r="AF234" s="4" t="s">
        <v>2564</v>
      </c>
      <c r="AG234" s="4" t="s">
        <v>2565</v>
      </c>
      <c r="AH234" s="4" t="s">
        <v>2566</v>
      </c>
      <c r="AI234" s="4" t="s">
        <v>2567</v>
      </c>
      <c r="AJ234" s="4" t="s">
        <v>2568</v>
      </c>
      <c r="AK234" s="4" t="s">
        <v>2569</v>
      </c>
      <c r="AL234" s="4" t="s">
        <v>2570</v>
      </c>
      <c r="AM234" s="3">
        <v>-2438.0100000000002</v>
      </c>
      <c r="AN234" s="3">
        <v>-2385.17</v>
      </c>
      <c r="AO234" s="3">
        <v>-2320.4699999999998</v>
      </c>
      <c r="AP234" s="3">
        <v>-2258.9699999999998</v>
      </c>
      <c r="AQ234" s="3">
        <v>-2195.62</v>
      </c>
      <c r="AR234" s="3">
        <v>-2114.08</v>
      </c>
      <c r="AS234" s="3">
        <v>-1843.29</v>
      </c>
      <c r="AT234" s="3">
        <v>-1531.65</v>
      </c>
      <c r="AU234" s="3">
        <v>-1204.58</v>
      </c>
      <c r="AV234" s="3">
        <v>-926.30700000000002</v>
      </c>
      <c r="AW234" s="3">
        <v>-631.21900000000005</v>
      </c>
      <c r="AX234" s="3">
        <v>-832.53899999999999</v>
      </c>
      <c r="AY234" s="3">
        <v>-1033.83</v>
      </c>
      <c r="AZ234" s="3">
        <v>-1213.8399999999999</v>
      </c>
      <c r="BA234" s="3">
        <v>-1379.45</v>
      </c>
      <c r="BB234" s="3">
        <v>-1548.18</v>
      </c>
      <c r="BC234" s="3">
        <v>-1778.39</v>
      </c>
      <c r="BD234" s="3">
        <v>-2017.03</v>
      </c>
      <c r="BE234" s="3">
        <v>-2218.36</v>
      </c>
      <c r="BF234" s="3">
        <v>-2344.0300000000002</v>
      </c>
      <c r="BG234" s="3">
        <v>46.023200000000003</v>
      </c>
      <c r="BH234" s="3">
        <v>15.318899999999999</v>
      </c>
      <c r="BI234" s="3">
        <v>-12.594900000000001</v>
      </c>
      <c r="BJ234" s="3">
        <v>-26.0702</v>
      </c>
      <c r="BK234" s="3">
        <v>-38.332099999999997</v>
      </c>
      <c r="BL234" s="3">
        <v>-74.780199999999994</v>
      </c>
      <c r="BM234" s="3">
        <v>-108.096</v>
      </c>
      <c r="BN234" s="3">
        <v>-127.744</v>
      </c>
      <c r="BO234" s="3">
        <v>-114.033</v>
      </c>
      <c r="BP234" s="3">
        <v>-73.757499999999993</v>
      </c>
      <c r="BQ234" s="3">
        <v>-36.037300000000002</v>
      </c>
      <c r="BR234" s="3">
        <v>-4.9378399999999996</v>
      </c>
      <c r="BS234" s="3">
        <v>12.306699999999999</v>
      </c>
      <c r="BT234" s="3">
        <v>4.8864700000000001</v>
      </c>
      <c r="BU234" s="3">
        <v>-8.7568099999999998</v>
      </c>
      <c r="BV234" s="3">
        <v>-9.0237599999999993</v>
      </c>
      <c r="BW234" s="3">
        <v>-15.0101</v>
      </c>
      <c r="BX234" s="3">
        <v>-6.5772199999999996</v>
      </c>
      <c r="BY234" s="3">
        <v>6.7948500000000003</v>
      </c>
      <c r="BZ234" s="3">
        <v>18.127199999999998</v>
      </c>
      <c r="CA234" s="3">
        <v>591.30499999999995</v>
      </c>
      <c r="CB234" s="3">
        <v>646.60900000000004</v>
      </c>
      <c r="CC234" s="3">
        <v>722.58699999999999</v>
      </c>
      <c r="CD234" s="3">
        <v>807.52300000000002</v>
      </c>
      <c r="CE234" s="3">
        <v>871.59500000000003</v>
      </c>
      <c r="CF234" s="3">
        <v>919.96600000000001</v>
      </c>
      <c r="CG234" s="3">
        <v>816.78399999999999</v>
      </c>
      <c r="CH234" s="3">
        <v>714.78300000000002</v>
      </c>
      <c r="CI234" s="3">
        <v>625.89400000000001</v>
      </c>
      <c r="CJ234" s="3">
        <v>501.62299999999999</v>
      </c>
      <c r="CK234" s="3">
        <v>328.66</v>
      </c>
      <c r="CL234" s="3">
        <v>345.42399999999998</v>
      </c>
      <c r="CM234" s="3">
        <v>335.04399999999998</v>
      </c>
      <c r="CN234" s="3">
        <v>320.976</v>
      </c>
      <c r="CO234" s="3">
        <v>320.02100000000002</v>
      </c>
      <c r="CP234" s="3">
        <v>331.58100000000002</v>
      </c>
      <c r="CQ234" s="3">
        <v>473.88</v>
      </c>
      <c r="CR234" s="3">
        <v>541.625</v>
      </c>
      <c r="CS234" s="3">
        <v>541.89599999999996</v>
      </c>
      <c r="CT234" s="3">
        <v>549.71199999999999</v>
      </c>
      <c r="CU234" s="3">
        <v>-9707.42</v>
      </c>
      <c r="CV234" s="3">
        <v>-10223.200000000001</v>
      </c>
      <c r="CW234" s="3">
        <v>-10131.1</v>
      </c>
      <c r="CX234" s="3">
        <v>-9707.39</v>
      </c>
      <c r="CY234" s="3">
        <v>-9375.41</v>
      </c>
      <c r="CZ234" s="3">
        <v>-9058.58</v>
      </c>
      <c r="DA234" s="3">
        <v>-9187.64</v>
      </c>
      <c r="DB234" s="3">
        <v>-9156.1200000000008</v>
      </c>
      <c r="DC234" s="3">
        <v>-9051.58</v>
      </c>
      <c r="DD234" s="3">
        <v>-9122.25</v>
      </c>
      <c r="DE234" s="3">
        <v>-9286.1</v>
      </c>
      <c r="DF234" s="3">
        <v>-10467.5</v>
      </c>
      <c r="DG234" s="3">
        <v>-11324.4</v>
      </c>
      <c r="DH234" s="3">
        <v>-11346.6</v>
      </c>
      <c r="DI234" s="3">
        <v>-10549.9</v>
      </c>
      <c r="DJ234" s="3">
        <v>-9226.93</v>
      </c>
      <c r="DK234" s="3">
        <v>-9058.25</v>
      </c>
      <c r="DL234" s="3">
        <v>-9062.59</v>
      </c>
      <c r="DM234" s="3">
        <v>-9230.5</v>
      </c>
      <c r="DN234" s="3">
        <v>-9477.23</v>
      </c>
      <c r="DO234" s="3">
        <v>595.21199999999999</v>
      </c>
      <c r="DP234" s="3">
        <v>452.01900000000001</v>
      </c>
      <c r="DQ234" s="3">
        <v>296.017</v>
      </c>
      <c r="DR234" s="3">
        <v>67.6999</v>
      </c>
      <c r="DS234" s="3">
        <v>-61.688899999999997</v>
      </c>
      <c r="DT234" s="3">
        <v>-124.236</v>
      </c>
      <c r="DU234" s="3">
        <v>331.90100000000001</v>
      </c>
      <c r="DV234" s="3">
        <v>112.444</v>
      </c>
      <c r="DW234" s="3">
        <v>-514.86699999999996</v>
      </c>
      <c r="DX234" s="3">
        <v>-773.3</v>
      </c>
      <c r="DY234" s="3">
        <v>-569.80999999999995</v>
      </c>
      <c r="DZ234" s="3">
        <v>-679.94799999999998</v>
      </c>
      <c r="EA234" s="3">
        <v>-663.51499999999999</v>
      </c>
      <c r="EB234" s="3">
        <v>-684.71500000000003</v>
      </c>
      <c r="EC234" s="3">
        <v>-598.50199999999995</v>
      </c>
      <c r="ED234" s="3">
        <v>-571.101</v>
      </c>
      <c r="EE234" s="3">
        <v>-851.62699999999995</v>
      </c>
      <c r="EF234" s="3">
        <v>-546.60400000000004</v>
      </c>
      <c r="EG234" s="3">
        <v>231.595</v>
      </c>
      <c r="EH234" s="3">
        <v>815.73500000000001</v>
      </c>
      <c r="EI234" s="3">
        <v>143.37899999999999</v>
      </c>
      <c r="EJ234" s="3">
        <v>308.923</v>
      </c>
      <c r="EK234" s="3">
        <v>503.29500000000002</v>
      </c>
      <c r="EL234" s="3">
        <v>662.71600000000001</v>
      </c>
      <c r="EM234" s="3">
        <v>677.79200000000003</v>
      </c>
      <c r="EN234" s="3">
        <v>508.82600000000002</v>
      </c>
      <c r="EO234" s="3">
        <v>219.88300000000001</v>
      </c>
      <c r="EP234" s="3">
        <v>-118.06399999999999</v>
      </c>
      <c r="EQ234" s="3">
        <v>-85.933999999999997</v>
      </c>
      <c r="ER234" s="3">
        <v>235.23699999999999</v>
      </c>
      <c r="ES234" s="3">
        <v>407.31700000000001</v>
      </c>
      <c r="ET234" s="3">
        <v>556.98699999999997</v>
      </c>
      <c r="EU234" s="3">
        <v>425.827</v>
      </c>
      <c r="EV234" s="3">
        <v>260.32499999999999</v>
      </c>
      <c r="EW234" s="3">
        <v>58.860599999999998</v>
      </c>
      <c r="EX234" s="3">
        <v>139.39599999999999</v>
      </c>
      <c r="EY234" s="3">
        <v>210.31800000000001</v>
      </c>
      <c r="EZ234" s="3">
        <v>526.21299999999997</v>
      </c>
      <c r="FA234" s="3">
        <v>677.11900000000003</v>
      </c>
      <c r="FB234" s="3">
        <v>471.50799999999998</v>
      </c>
      <c r="FC234" s="3">
        <v>-1375.19</v>
      </c>
      <c r="FD234" s="3">
        <v>-2057.33</v>
      </c>
      <c r="FE234" s="3">
        <v>-6.9270899999999997</v>
      </c>
      <c r="FF234" s="3">
        <v>-15.0726</v>
      </c>
      <c r="FG234" s="3">
        <v>330.28399999999999</v>
      </c>
      <c r="FH234" s="3">
        <v>759.93100000000004</v>
      </c>
      <c r="FI234" s="3">
        <v>9218.77</v>
      </c>
      <c r="FJ234" s="3">
        <v>211.881</v>
      </c>
      <c r="FK234" s="3">
        <v>-332.86900000000003</v>
      </c>
      <c r="FL234" s="3">
        <v>0</v>
      </c>
      <c r="FM234" s="3"/>
    </row>
    <row r="235" spans="1:169" x14ac:dyDescent="0.3">
      <c r="A235" s="2">
        <v>227</v>
      </c>
      <c r="B235" s="5">
        <v>38</v>
      </c>
      <c r="C235" s="6">
        <v>3103721</v>
      </c>
      <c r="D235" s="6" t="s">
        <v>285</v>
      </c>
      <c r="E235" s="6">
        <v>3906010</v>
      </c>
      <c r="F235" s="6">
        <v>3906012</v>
      </c>
      <c r="G235" s="6">
        <v>4906010</v>
      </c>
      <c r="H235" s="6">
        <v>3906013</v>
      </c>
      <c r="I235" s="6">
        <v>51.48</v>
      </c>
      <c r="J235" s="6" t="s">
        <v>169</v>
      </c>
      <c r="K235" s="6" t="s">
        <v>170</v>
      </c>
      <c r="L235" s="7" t="s">
        <v>171</v>
      </c>
      <c r="M235" s="7" t="s">
        <v>172</v>
      </c>
      <c r="N235" s="8" t="s">
        <v>2571</v>
      </c>
      <c r="O235" s="5">
        <v>-43690.400000000001</v>
      </c>
      <c r="P235" s="6">
        <v>345.24299999999999</v>
      </c>
      <c r="Q235" s="6">
        <v>201.52500000000001</v>
      </c>
      <c r="R235" s="12">
        <v>31670.400000000001</v>
      </c>
      <c r="S235" s="4" t="s">
        <v>2572</v>
      </c>
      <c r="T235" s="4" t="s">
        <v>2573</v>
      </c>
      <c r="U235" s="4" t="s">
        <v>2574</v>
      </c>
      <c r="V235" s="4" t="s">
        <v>2575</v>
      </c>
      <c r="W235" s="4" t="s">
        <v>2576</v>
      </c>
      <c r="X235" s="4" t="s">
        <v>2577</v>
      </c>
      <c r="Y235" s="4" t="s">
        <v>2578</v>
      </c>
      <c r="Z235" s="4" t="s">
        <v>2579</v>
      </c>
      <c r="AA235" s="4" t="s">
        <v>2580</v>
      </c>
      <c r="AB235" s="4" t="s">
        <v>2581</v>
      </c>
      <c r="AC235" s="4" t="s">
        <v>2582</v>
      </c>
      <c r="AD235" s="4" t="s">
        <v>2583</v>
      </c>
      <c r="AE235" s="4" t="s">
        <v>2584</v>
      </c>
      <c r="AF235" s="4" t="s">
        <v>2585</v>
      </c>
      <c r="AG235" s="4" t="s">
        <v>2586</v>
      </c>
      <c r="AH235" s="4" t="s">
        <v>2587</v>
      </c>
      <c r="AI235" s="4" t="s">
        <v>2588</v>
      </c>
      <c r="AJ235" s="4" t="s">
        <v>2589</v>
      </c>
      <c r="AK235" s="4" t="s">
        <v>2590</v>
      </c>
      <c r="AL235" s="4" t="s">
        <v>2591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0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0</v>
      </c>
      <c r="DY235" s="3">
        <v>0</v>
      </c>
      <c r="DZ235" s="3">
        <v>0</v>
      </c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0.26206099999999999</v>
      </c>
      <c r="FM235" s="3"/>
    </row>
    <row r="236" spans="1:169" x14ac:dyDescent="0.3">
      <c r="A236" s="2">
        <v>228</v>
      </c>
      <c r="B236" s="5">
        <v>38</v>
      </c>
      <c r="C236" s="6">
        <v>3103721</v>
      </c>
      <c r="D236" s="6" t="s">
        <v>285</v>
      </c>
      <c r="E236" s="6">
        <v>3906010</v>
      </c>
      <c r="F236" s="6">
        <v>3906012</v>
      </c>
      <c r="G236" s="6">
        <v>4906010</v>
      </c>
      <c r="H236" s="6">
        <v>3906013</v>
      </c>
      <c r="I236" s="6">
        <v>51.48</v>
      </c>
      <c r="J236" s="6" t="s">
        <v>194</v>
      </c>
      <c r="K236" s="6" t="s">
        <v>195</v>
      </c>
      <c r="L236" s="7" t="s">
        <v>196</v>
      </c>
      <c r="M236" s="7" t="s">
        <v>172</v>
      </c>
      <c r="N236" s="8" t="s">
        <v>2571</v>
      </c>
      <c r="O236" s="5">
        <v>38020</v>
      </c>
      <c r="P236" s="6">
        <v>1185.26</v>
      </c>
      <c r="Q236" s="6">
        <v>1091.1400000000001</v>
      </c>
      <c r="R236" s="12">
        <v>9116.59</v>
      </c>
      <c r="S236" s="4" t="s">
        <v>2572</v>
      </c>
      <c r="T236" s="4" t="s">
        <v>2573</v>
      </c>
      <c r="U236" s="4" t="s">
        <v>2574</v>
      </c>
      <c r="V236" s="4" t="s">
        <v>2575</v>
      </c>
      <c r="W236" s="4" t="s">
        <v>2576</v>
      </c>
      <c r="X236" s="4" t="s">
        <v>2577</v>
      </c>
      <c r="Y236" s="4" t="s">
        <v>2578</v>
      </c>
      <c r="Z236" s="4" t="s">
        <v>2579</v>
      </c>
      <c r="AA236" s="4" t="s">
        <v>2580</v>
      </c>
      <c r="AB236" s="4" t="s">
        <v>2581</v>
      </c>
      <c r="AC236" s="4" t="s">
        <v>2582</v>
      </c>
      <c r="AD236" s="4" t="s">
        <v>2583</v>
      </c>
      <c r="AE236" s="4" t="s">
        <v>2584</v>
      </c>
      <c r="AF236" s="4" t="s">
        <v>2585</v>
      </c>
      <c r="AG236" s="4" t="s">
        <v>2586</v>
      </c>
      <c r="AH236" s="4" t="s">
        <v>2587</v>
      </c>
      <c r="AI236" s="4" t="s">
        <v>2588</v>
      </c>
      <c r="AJ236" s="4" t="s">
        <v>2589</v>
      </c>
      <c r="AK236" s="4" t="s">
        <v>2590</v>
      </c>
      <c r="AL236" s="4" t="s">
        <v>2591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0.23940600000000001</v>
      </c>
      <c r="FM236" s="3"/>
    </row>
    <row r="237" spans="1:169" x14ac:dyDescent="0.3">
      <c r="A237" s="2">
        <v>229</v>
      </c>
      <c r="B237" s="5">
        <v>38</v>
      </c>
      <c r="C237" s="6">
        <v>4601465</v>
      </c>
      <c r="D237" s="6" t="s">
        <v>1327</v>
      </c>
      <c r="E237" s="6">
        <v>4906010</v>
      </c>
      <c r="F237" s="6">
        <v>4600117</v>
      </c>
      <c r="G237" s="6">
        <v>0</v>
      </c>
      <c r="H237" s="6">
        <v>0</v>
      </c>
      <c r="I237" s="6">
        <v>51.48</v>
      </c>
      <c r="J237" s="6" t="s">
        <v>169</v>
      </c>
      <c r="K237" s="6" t="s">
        <v>170</v>
      </c>
      <c r="L237" s="7" t="s">
        <v>171</v>
      </c>
      <c r="M237" s="7" t="s">
        <v>172</v>
      </c>
      <c r="N237" s="8" t="s">
        <v>2592</v>
      </c>
      <c r="O237" s="5">
        <v>18216.900000000001</v>
      </c>
      <c r="P237" s="6">
        <v>-30199.4</v>
      </c>
      <c r="Q237" s="6">
        <v>-11603.3</v>
      </c>
      <c r="R237" s="12">
        <v>31670.400000000001</v>
      </c>
      <c r="S237" s="4" t="s">
        <v>2593</v>
      </c>
      <c r="T237" s="4" t="s">
        <v>2594</v>
      </c>
      <c r="U237" s="4" t="s">
        <v>2595</v>
      </c>
      <c r="V237" s="4" t="s">
        <v>2596</v>
      </c>
      <c r="W237" s="4" t="s">
        <v>2597</v>
      </c>
      <c r="X237" s="4" t="s">
        <v>2598</v>
      </c>
      <c r="Y237" s="4" t="s">
        <v>2599</v>
      </c>
      <c r="Z237" s="4" t="s">
        <v>2600</v>
      </c>
      <c r="AA237" s="4" t="s">
        <v>2601</v>
      </c>
      <c r="AB237" s="4" t="s">
        <v>2602</v>
      </c>
      <c r="AC237" s="4" t="s">
        <v>2603</v>
      </c>
      <c r="AD237" s="4" t="s">
        <v>2604</v>
      </c>
      <c r="AE237" s="4" t="s">
        <v>2605</v>
      </c>
      <c r="AF237" s="4" t="s">
        <v>2606</v>
      </c>
      <c r="AG237" s="4" t="s">
        <v>2607</v>
      </c>
      <c r="AH237" s="4" t="s">
        <v>2608</v>
      </c>
      <c r="AI237" s="4" t="s">
        <v>2609</v>
      </c>
      <c r="AJ237" s="4" t="s">
        <v>2610</v>
      </c>
      <c r="AK237" s="4" t="s">
        <v>2611</v>
      </c>
      <c r="AL237" s="4" t="s">
        <v>2612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 t="s">
        <v>2613</v>
      </c>
    </row>
    <row r="238" spans="1:169" x14ac:dyDescent="0.3">
      <c r="A238" s="2">
        <v>230</v>
      </c>
      <c r="B238" s="5">
        <v>38</v>
      </c>
      <c r="C238" s="6">
        <v>4601465</v>
      </c>
      <c r="D238" s="6" t="s">
        <v>1327</v>
      </c>
      <c r="E238" s="6">
        <v>4906010</v>
      </c>
      <c r="F238" s="6">
        <v>4600117</v>
      </c>
      <c r="G238" s="6">
        <v>0</v>
      </c>
      <c r="H238" s="6">
        <v>0</v>
      </c>
      <c r="I238" s="6">
        <v>51.48</v>
      </c>
      <c r="J238" s="6" t="s">
        <v>194</v>
      </c>
      <c r="K238" s="6" t="s">
        <v>195</v>
      </c>
      <c r="L238" s="7" t="s">
        <v>196</v>
      </c>
      <c r="M238" s="7" t="s">
        <v>172</v>
      </c>
      <c r="N238" s="8" t="s">
        <v>2592</v>
      </c>
      <c r="O238" s="5">
        <v>-18365.400000000001</v>
      </c>
      <c r="P238" s="6">
        <v>27417.200000000001</v>
      </c>
      <c r="Q238" s="6">
        <v>11137.9</v>
      </c>
      <c r="R238" s="12">
        <v>9116.59</v>
      </c>
      <c r="S238" s="4" t="s">
        <v>2593</v>
      </c>
      <c r="T238" s="4" t="s">
        <v>2594</v>
      </c>
      <c r="U238" s="4" t="s">
        <v>2595</v>
      </c>
      <c r="V238" s="4" t="s">
        <v>2596</v>
      </c>
      <c r="W238" s="4" t="s">
        <v>2597</v>
      </c>
      <c r="X238" s="4" t="s">
        <v>2598</v>
      </c>
      <c r="Y238" s="4" t="s">
        <v>2599</v>
      </c>
      <c r="Z238" s="4" t="s">
        <v>2600</v>
      </c>
      <c r="AA238" s="4" t="s">
        <v>2601</v>
      </c>
      <c r="AB238" s="4" t="s">
        <v>2602</v>
      </c>
      <c r="AC238" s="4" t="s">
        <v>2603</v>
      </c>
      <c r="AD238" s="4" t="s">
        <v>2604</v>
      </c>
      <c r="AE238" s="4" t="s">
        <v>2605</v>
      </c>
      <c r="AF238" s="4" t="s">
        <v>2606</v>
      </c>
      <c r="AG238" s="4" t="s">
        <v>2607</v>
      </c>
      <c r="AH238" s="4" t="s">
        <v>2608</v>
      </c>
      <c r="AI238" s="4" t="s">
        <v>2609</v>
      </c>
      <c r="AJ238" s="4" t="s">
        <v>2610</v>
      </c>
      <c r="AK238" s="4" t="s">
        <v>2611</v>
      </c>
      <c r="AL238" s="4" t="s">
        <v>2612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 t="s">
        <v>2613</v>
      </c>
    </row>
    <row r="239" spans="1:169" x14ac:dyDescent="0.3">
      <c r="A239" s="2">
        <v>231</v>
      </c>
      <c r="B239" s="5">
        <v>39</v>
      </c>
      <c r="C239" s="6">
        <v>1101517</v>
      </c>
      <c r="D239" s="6" t="s">
        <v>263</v>
      </c>
      <c r="E239" s="6">
        <v>3912010</v>
      </c>
      <c r="F239" s="6">
        <v>1912011</v>
      </c>
      <c r="G239" s="6">
        <v>0</v>
      </c>
      <c r="H239" s="6">
        <v>0</v>
      </c>
      <c r="I239" s="6">
        <v>57.914999999999999</v>
      </c>
      <c r="J239" s="6" t="s">
        <v>169</v>
      </c>
      <c r="K239" s="6" t="s">
        <v>170</v>
      </c>
      <c r="L239" s="7" t="s">
        <v>171</v>
      </c>
      <c r="M239" s="7" t="s">
        <v>172</v>
      </c>
      <c r="N239" s="8" t="s">
        <v>2614</v>
      </c>
      <c r="O239" s="5">
        <v>-7346.22</v>
      </c>
      <c r="P239" s="6">
        <v>2089.69</v>
      </c>
      <c r="Q239" s="6">
        <v>16864</v>
      </c>
      <c r="R239" s="12">
        <v>34896.699999999997</v>
      </c>
      <c r="S239" s="4" t="s">
        <v>2615</v>
      </c>
      <c r="T239" s="4" t="s">
        <v>2616</v>
      </c>
      <c r="U239" s="4" t="s">
        <v>2617</v>
      </c>
      <c r="V239" s="4" t="s">
        <v>2618</v>
      </c>
      <c r="W239" s="4" t="s">
        <v>2619</v>
      </c>
      <c r="X239" s="4" t="s">
        <v>2620</v>
      </c>
      <c r="Y239" s="4" t="s">
        <v>2621</v>
      </c>
      <c r="Z239" s="4" t="s">
        <v>2622</v>
      </c>
      <c r="AA239" s="4" t="s">
        <v>2623</v>
      </c>
      <c r="AB239" s="4" t="s">
        <v>2624</v>
      </c>
      <c r="AC239" s="4" t="s">
        <v>2625</v>
      </c>
      <c r="AD239" s="4" t="s">
        <v>2626</v>
      </c>
      <c r="AE239" s="4" t="s">
        <v>2627</v>
      </c>
      <c r="AF239" s="4" t="s">
        <v>2628</v>
      </c>
      <c r="AG239" s="4" t="s">
        <v>2629</v>
      </c>
      <c r="AH239" s="4" t="s">
        <v>2630</v>
      </c>
      <c r="AI239" s="4" t="s">
        <v>2631</v>
      </c>
      <c r="AJ239" s="4" t="s">
        <v>2632</v>
      </c>
      <c r="AK239" s="4" t="s">
        <v>2633</v>
      </c>
      <c r="AL239" s="4" t="s">
        <v>2634</v>
      </c>
      <c r="AM239" s="3">
        <v>1967.33</v>
      </c>
      <c r="AN239" s="3">
        <v>1909.96</v>
      </c>
      <c r="AO239" s="3">
        <v>1851.69</v>
      </c>
      <c r="AP239" s="3">
        <v>1798.7</v>
      </c>
      <c r="AQ239" s="3">
        <v>1742.38</v>
      </c>
      <c r="AR239" s="3">
        <v>1673.88</v>
      </c>
      <c r="AS239" s="3">
        <v>1748.29</v>
      </c>
      <c r="AT239" s="3">
        <v>1818.49</v>
      </c>
      <c r="AU239" s="3">
        <v>1902.93</v>
      </c>
      <c r="AV239" s="3">
        <v>2017.97</v>
      </c>
      <c r="AW239" s="3">
        <v>2139.84</v>
      </c>
      <c r="AX239" s="3">
        <v>2202.98</v>
      </c>
      <c r="AY239" s="3">
        <v>2262.46</v>
      </c>
      <c r="AZ239" s="3">
        <v>2313.67</v>
      </c>
      <c r="BA239" s="3">
        <v>2360.71</v>
      </c>
      <c r="BB239" s="3">
        <v>2419.9499999999998</v>
      </c>
      <c r="BC239" s="3">
        <v>2339.04</v>
      </c>
      <c r="BD239" s="3">
        <v>2269.2800000000002</v>
      </c>
      <c r="BE239" s="3">
        <v>2190.08</v>
      </c>
      <c r="BF239" s="3">
        <v>2082.2399999999998</v>
      </c>
      <c r="BG239" s="3">
        <v>-78.074600000000004</v>
      </c>
      <c r="BH239" s="3">
        <v>-47.745100000000001</v>
      </c>
      <c r="BI239" s="3">
        <v>-23.147500000000001</v>
      </c>
      <c r="BJ239" s="3">
        <v>-9.2525899999999996</v>
      </c>
      <c r="BK239" s="3">
        <v>4.8513799999999998</v>
      </c>
      <c r="BL239" s="3">
        <v>27.479900000000001</v>
      </c>
      <c r="BM239" s="3">
        <v>51.782299999999999</v>
      </c>
      <c r="BN239" s="3">
        <v>71.6631</v>
      </c>
      <c r="BO239" s="3">
        <v>79.904899999999998</v>
      </c>
      <c r="BP239" s="3">
        <v>77.008899999999997</v>
      </c>
      <c r="BQ239" s="3">
        <v>71.698700000000002</v>
      </c>
      <c r="BR239" s="3">
        <v>42.445500000000003</v>
      </c>
      <c r="BS239" s="3">
        <v>16.776299999999999</v>
      </c>
      <c r="BT239" s="3">
        <v>-1.15398</v>
      </c>
      <c r="BU239" s="3">
        <v>-17.0991</v>
      </c>
      <c r="BV239" s="3">
        <v>-41.996899999999997</v>
      </c>
      <c r="BW239" s="3">
        <v>-43.384099999999997</v>
      </c>
      <c r="BX239" s="3">
        <v>-51.872</v>
      </c>
      <c r="BY239" s="3">
        <v>-61.200699999999998</v>
      </c>
      <c r="BZ239" s="3">
        <v>-66.744900000000001</v>
      </c>
      <c r="CA239" s="3">
        <v>-334.851</v>
      </c>
      <c r="CB239" s="3">
        <v>-358.91899999999998</v>
      </c>
      <c r="CC239" s="3">
        <v>-400.20400000000001</v>
      </c>
      <c r="CD239" s="3">
        <v>-444.65100000000001</v>
      </c>
      <c r="CE239" s="3">
        <v>-479.08199999999999</v>
      </c>
      <c r="CF239" s="3">
        <v>-507.40699999999998</v>
      </c>
      <c r="CG239" s="3">
        <v>-437.27699999999999</v>
      </c>
      <c r="CH239" s="3">
        <v>-395.142</v>
      </c>
      <c r="CI239" s="3">
        <v>-370.93799999999999</v>
      </c>
      <c r="CJ239" s="3">
        <v>-327.62400000000002</v>
      </c>
      <c r="CK239" s="3">
        <v>-264.863</v>
      </c>
      <c r="CL239" s="3">
        <v>-260.27300000000002</v>
      </c>
      <c r="CM239" s="3">
        <v>-239.14599999999999</v>
      </c>
      <c r="CN239" s="3">
        <v>-213.39699999999999</v>
      </c>
      <c r="CO239" s="3">
        <v>-201.56</v>
      </c>
      <c r="CP239" s="3">
        <v>-199.50399999999999</v>
      </c>
      <c r="CQ239" s="3">
        <v>-242.82300000000001</v>
      </c>
      <c r="CR239" s="3">
        <v>-266.45600000000002</v>
      </c>
      <c r="CS239" s="3">
        <v>-275.471</v>
      </c>
      <c r="CT239" s="3">
        <v>-293.45600000000002</v>
      </c>
      <c r="CU239" s="3">
        <v>1919.82</v>
      </c>
      <c r="CV239" s="3">
        <v>2680.87</v>
      </c>
      <c r="CW239" s="3">
        <v>3078.15</v>
      </c>
      <c r="CX239" s="3">
        <v>3766.06</v>
      </c>
      <c r="CY239" s="3">
        <v>5159.7</v>
      </c>
      <c r="CZ239" s="3">
        <v>7146.8</v>
      </c>
      <c r="DA239" s="3">
        <v>6823.38</v>
      </c>
      <c r="DB239" s="3">
        <v>6500.46</v>
      </c>
      <c r="DC239" s="3">
        <v>6279.43</v>
      </c>
      <c r="DD239" s="3">
        <v>6221.95</v>
      </c>
      <c r="DE239" s="3">
        <v>6312.05</v>
      </c>
      <c r="DF239" s="3">
        <v>4097.46</v>
      </c>
      <c r="DG239" s="3">
        <v>2531.83</v>
      </c>
      <c r="DH239" s="3">
        <v>1700.85</v>
      </c>
      <c r="DI239" s="3">
        <v>1385.44</v>
      </c>
      <c r="DJ239" s="3">
        <v>740.29499999999996</v>
      </c>
      <c r="DK239" s="3">
        <v>979.44100000000003</v>
      </c>
      <c r="DL239" s="3">
        <v>1201.8900000000001</v>
      </c>
      <c r="DM239" s="3">
        <v>1390.63</v>
      </c>
      <c r="DN239" s="3">
        <v>1619.6</v>
      </c>
      <c r="DO239" s="3">
        <v>-832.35599999999999</v>
      </c>
      <c r="DP239" s="3">
        <v>-650.48599999999999</v>
      </c>
      <c r="DQ239" s="3">
        <v>-344.012</v>
      </c>
      <c r="DR239" s="3">
        <v>-8.6357499999999998</v>
      </c>
      <c r="DS239" s="3">
        <v>206.916</v>
      </c>
      <c r="DT239" s="3">
        <v>246.14400000000001</v>
      </c>
      <c r="DU239" s="3">
        <v>-183.13</v>
      </c>
      <c r="DV239" s="3">
        <v>-601.43899999999996</v>
      </c>
      <c r="DW239" s="3">
        <v>-793.13400000000001</v>
      </c>
      <c r="DX239" s="3">
        <v>-749.64400000000001</v>
      </c>
      <c r="DY239" s="3">
        <v>-701.24</v>
      </c>
      <c r="DZ239" s="3">
        <v>-1063.17</v>
      </c>
      <c r="EA239" s="3">
        <v>-1456.66</v>
      </c>
      <c r="EB239" s="3">
        <v>-1824.28</v>
      </c>
      <c r="EC239" s="3">
        <v>-2148.1999999999998</v>
      </c>
      <c r="ED239" s="3">
        <v>-2207.09</v>
      </c>
      <c r="EE239" s="3">
        <v>-2465.87</v>
      </c>
      <c r="EF239" s="3">
        <v>-2352.59</v>
      </c>
      <c r="EG239" s="3">
        <v>-1884.35</v>
      </c>
      <c r="EH239" s="3">
        <v>-1305.74</v>
      </c>
      <c r="EI239" s="3">
        <v>-457.38900000000001</v>
      </c>
      <c r="EJ239" s="3">
        <v>-549.20299999999997</v>
      </c>
      <c r="EK239" s="3">
        <v>-586.01499999999999</v>
      </c>
      <c r="EL239" s="3">
        <v>-697.93</v>
      </c>
      <c r="EM239" s="3">
        <v>-856.62099999999998</v>
      </c>
      <c r="EN239" s="3">
        <v>-1002.11</v>
      </c>
      <c r="EO239" s="3">
        <v>-1425.27</v>
      </c>
      <c r="EP239" s="3">
        <v>-1331.75</v>
      </c>
      <c r="EQ239" s="3">
        <v>-671.04899999999998</v>
      </c>
      <c r="ER239" s="3">
        <v>-49.506599999999999</v>
      </c>
      <c r="ES239" s="3">
        <v>102.145</v>
      </c>
      <c r="ET239" s="3">
        <v>-111.092</v>
      </c>
      <c r="EU239" s="3">
        <v>-400.363</v>
      </c>
      <c r="EV239" s="3">
        <v>-696.79499999999996</v>
      </c>
      <c r="EW239" s="3">
        <v>-726.13099999999997</v>
      </c>
      <c r="EX239" s="3">
        <v>-556.149</v>
      </c>
      <c r="EY239" s="3">
        <v>-440.536</v>
      </c>
      <c r="EZ239" s="3">
        <v>-394.22399999999999</v>
      </c>
      <c r="FA239" s="3">
        <v>-413.31299999999999</v>
      </c>
      <c r="FB239" s="3">
        <v>-465.07400000000001</v>
      </c>
      <c r="FC239" s="3">
        <v>1883.57</v>
      </c>
      <c r="FD239" s="3">
        <v>2211.3200000000002</v>
      </c>
      <c r="FE239" s="3">
        <v>11.7784</v>
      </c>
      <c r="FF239" s="3">
        <v>-20.981400000000001</v>
      </c>
      <c r="FG239" s="3">
        <v>-229.791</v>
      </c>
      <c r="FH239" s="3">
        <v>-420.85199999999998</v>
      </c>
      <c r="FI239" s="3">
        <v>-3927.98</v>
      </c>
      <c r="FJ239" s="3">
        <v>898.58900000000006</v>
      </c>
      <c r="FK239" s="3">
        <v>568.41200000000003</v>
      </c>
      <c r="FL239" s="3">
        <v>0</v>
      </c>
      <c r="FM239" s="3"/>
    </row>
    <row r="240" spans="1:169" x14ac:dyDescent="0.3">
      <c r="A240" s="2">
        <v>232</v>
      </c>
      <c r="B240" s="5">
        <v>39</v>
      </c>
      <c r="C240" s="6">
        <v>1101517</v>
      </c>
      <c r="D240" s="6" t="s">
        <v>263</v>
      </c>
      <c r="E240" s="6">
        <v>3912010</v>
      </c>
      <c r="F240" s="6">
        <v>1912011</v>
      </c>
      <c r="G240" s="6">
        <v>0</v>
      </c>
      <c r="H240" s="6">
        <v>0</v>
      </c>
      <c r="I240" s="6">
        <v>57.914999999999999</v>
      </c>
      <c r="J240" s="6" t="s">
        <v>194</v>
      </c>
      <c r="K240" s="6" t="s">
        <v>195</v>
      </c>
      <c r="L240" s="7" t="s">
        <v>196</v>
      </c>
      <c r="M240" s="7" t="s">
        <v>172</v>
      </c>
      <c r="N240" s="8" t="s">
        <v>2614</v>
      </c>
      <c r="O240" s="5">
        <v>10479.700000000001</v>
      </c>
      <c r="P240" s="6">
        <v>-1348.64</v>
      </c>
      <c r="Q240" s="6">
        <v>-16574.3</v>
      </c>
      <c r="R240" s="12">
        <v>0</v>
      </c>
      <c r="S240" s="4" t="s">
        <v>2615</v>
      </c>
      <c r="T240" s="4" t="s">
        <v>2616</v>
      </c>
      <c r="U240" s="4" t="s">
        <v>2617</v>
      </c>
      <c r="V240" s="4" t="s">
        <v>2618</v>
      </c>
      <c r="W240" s="4" t="s">
        <v>2619</v>
      </c>
      <c r="X240" s="4" t="s">
        <v>2620</v>
      </c>
      <c r="Y240" s="4" t="s">
        <v>2621</v>
      </c>
      <c r="Z240" s="4" t="s">
        <v>2622</v>
      </c>
      <c r="AA240" s="4" t="s">
        <v>2623</v>
      </c>
      <c r="AB240" s="4" t="s">
        <v>2624</v>
      </c>
      <c r="AC240" s="4" t="s">
        <v>2625</v>
      </c>
      <c r="AD240" s="4" t="s">
        <v>2626</v>
      </c>
      <c r="AE240" s="4" t="s">
        <v>2627</v>
      </c>
      <c r="AF240" s="4" t="s">
        <v>2628</v>
      </c>
      <c r="AG240" s="4" t="s">
        <v>2629</v>
      </c>
      <c r="AH240" s="4" t="s">
        <v>2630</v>
      </c>
      <c r="AI240" s="4" t="s">
        <v>2631</v>
      </c>
      <c r="AJ240" s="4" t="s">
        <v>2632</v>
      </c>
      <c r="AK240" s="4" t="s">
        <v>2633</v>
      </c>
      <c r="AL240" s="4" t="s">
        <v>2634</v>
      </c>
      <c r="AM240" s="3">
        <v>-2260.1999999999998</v>
      </c>
      <c r="AN240" s="3">
        <v>-2252.0500000000002</v>
      </c>
      <c r="AO240" s="3">
        <v>-2251.39</v>
      </c>
      <c r="AP240" s="3">
        <v>-2266.7399999999998</v>
      </c>
      <c r="AQ240" s="3">
        <v>-2294.02</v>
      </c>
      <c r="AR240" s="3">
        <v>-2321.66</v>
      </c>
      <c r="AS240" s="3">
        <v>-2431.52</v>
      </c>
      <c r="AT240" s="3">
        <v>-2485.73</v>
      </c>
      <c r="AU240" s="3">
        <v>-2510.2199999999998</v>
      </c>
      <c r="AV240" s="3">
        <v>-2529.44</v>
      </c>
      <c r="AW240" s="3">
        <v>-2530.7399999999998</v>
      </c>
      <c r="AX240" s="3">
        <v>-2544.39</v>
      </c>
      <c r="AY240" s="3">
        <v>-2560.6</v>
      </c>
      <c r="AZ240" s="3">
        <v>-2574.0700000000002</v>
      </c>
      <c r="BA240" s="3">
        <v>-2585.19</v>
      </c>
      <c r="BB240" s="3">
        <v>-2608.62</v>
      </c>
      <c r="BC240" s="3">
        <v>-2571.46</v>
      </c>
      <c r="BD240" s="3">
        <v>-2531.9</v>
      </c>
      <c r="BE240" s="3">
        <v>-2475.6</v>
      </c>
      <c r="BF240" s="3">
        <v>-2381.52</v>
      </c>
      <c r="BG240" s="3">
        <v>229.06200000000001</v>
      </c>
      <c r="BH240" s="3">
        <v>218.21199999999999</v>
      </c>
      <c r="BI240" s="3">
        <v>211.262</v>
      </c>
      <c r="BJ240" s="3">
        <v>216.83099999999999</v>
      </c>
      <c r="BK240" s="3">
        <v>226.72800000000001</v>
      </c>
      <c r="BL240" s="3">
        <v>230.56700000000001</v>
      </c>
      <c r="BM240" s="3">
        <v>220.51900000000001</v>
      </c>
      <c r="BN240" s="3">
        <v>198.28899999999999</v>
      </c>
      <c r="BO240" s="3">
        <v>174.29599999999999</v>
      </c>
      <c r="BP240" s="3">
        <v>150.90100000000001</v>
      </c>
      <c r="BQ240" s="3">
        <v>122.593</v>
      </c>
      <c r="BR240" s="3">
        <v>139.113</v>
      </c>
      <c r="BS240" s="3">
        <v>153.12200000000001</v>
      </c>
      <c r="BT240" s="3">
        <v>159.04300000000001</v>
      </c>
      <c r="BU240" s="3">
        <v>160.13300000000001</v>
      </c>
      <c r="BV240" s="3">
        <v>165.023</v>
      </c>
      <c r="BW240" s="3">
        <v>181.333</v>
      </c>
      <c r="BX240" s="3">
        <v>199.441</v>
      </c>
      <c r="BY240" s="3">
        <v>215.46799999999999</v>
      </c>
      <c r="BZ240" s="3">
        <v>223.49100000000001</v>
      </c>
      <c r="CA240" s="3">
        <v>276.78899999999999</v>
      </c>
      <c r="CB240" s="3">
        <v>286.55399999999997</v>
      </c>
      <c r="CC240" s="3">
        <v>312.37700000000001</v>
      </c>
      <c r="CD240" s="3">
        <v>340.61700000000002</v>
      </c>
      <c r="CE240" s="3">
        <v>358.24400000000003</v>
      </c>
      <c r="CF240" s="3">
        <v>367.66</v>
      </c>
      <c r="CG240" s="3">
        <v>402.36799999999999</v>
      </c>
      <c r="CH240" s="3">
        <v>451.28</v>
      </c>
      <c r="CI240" s="3">
        <v>500.72199999999998</v>
      </c>
      <c r="CJ240" s="3">
        <v>525.505</v>
      </c>
      <c r="CK240" s="3">
        <v>523.70000000000005</v>
      </c>
      <c r="CL240" s="3">
        <v>485.09899999999999</v>
      </c>
      <c r="CM240" s="3">
        <v>432.91</v>
      </c>
      <c r="CN240" s="3">
        <v>378.65199999999999</v>
      </c>
      <c r="CO240" s="3">
        <v>341.05500000000001</v>
      </c>
      <c r="CP240" s="3">
        <v>318.22699999999998</v>
      </c>
      <c r="CQ240" s="3">
        <v>331.68799999999999</v>
      </c>
      <c r="CR240" s="3">
        <v>324.99099999999999</v>
      </c>
      <c r="CS240" s="3">
        <v>302.45800000000003</v>
      </c>
      <c r="CT240" s="3">
        <v>281.678</v>
      </c>
      <c r="CU240" s="3">
        <v>-2027.68</v>
      </c>
      <c r="CV240" s="3">
        <v>-2771.03</v>
      </c>
      <c r="CW240" s="3">
        <v>-3086.93</v>
      </c>
      <c r="CX240" s="3">
        <v>-3655.46</v>
      </c>
      <c r="CY240" s="3">
        <v>-4918.8999999999996</v>
      </c>
      <c r="CZ240" s="3">
        <v>-6787.08</v>
      </c>
      <c r="DA240" s="3">
        <v>-6353.38</v>
      </c>
      <c r="DB240" s="3">
        <v>-5938.77</v>
      </c>
      <c r="DC240" s="3">
        <v>-5649.36</v>
      </c>
      <c r="DD240" s="3">
        <v>-5530.74</v>
      </c>
      <c r="DE240" s="3">
        <v>-5570.62</v>
      </c>
      <c r="DF240" s="3">
        <v>-3557.17</v>
      </c>
      <c r="DG240" s="3">
        <v>-2168.38</v>
      </c>
      <c r="DH240" s="3">
        <v>-1490.3</v>
      </c>
      <c r="DI240" s="3">
        <v>-1301.1199999999999</v>
      </c>
      <c r="DJ240" s="3">
        <v>-726.65300000000002</v>
      </c>
      <c r="DK240" s="3">
        <v>-1000.36</v>
      </c>
      <c r="DL240" s="3">
        <v>-1245.4100000000001</v>
      </c>
      <c r="DM240" s="3">
        <v>-1450.75</v>
      </c>
      <c r="DN240" s="3">
        <v>-1701.45</v>
      </c>
      <c r="DO240" s="3">
        <v>424.91300000000001</v>
      </c>
      <c r="DP240" s="3">
        <v>220.11600000000001</v>
      </c>
      <c r="DQ240" s="3">
        <v>-112.13</v>
      </c>
      <c r="DR240" s="3">
        <v>-480.70499999999998</v>
      </c>
      <c r="DS240" s="3">
        <v>-727.13</v>
      </c>
      <c r="DT240" s="3">
        <v>-789.59100000000001</v>
      </c>
      <c r="DU240" s="3">
        <v>-400.54700000000003</v>
      </c>
      <c r="DV240" s="3">
        <v>84.359800000000007</v>
      </c>
      <c r="DW240" s="3">
        <v>411.71899999999999</v>
      </c>
      <c r="DX240" s="3">
        <v>503.42099999999999</v>
      </c>
      <c r="DY240" s="3">
        <v>553.16300000000001</v>
      </c>
      <c r="DZ240" s="3">
        <v>897.80200000000002</v>
      </c>
      <c r="EA240" s="3">
        <v>1280.68</v>
      </c>
      <c r="EB240" s="3">
        <v>1637.9</v>
      </c>
      <c r="EC240" s="3">
        <v>1957.45</v>
      </c>
      <c r="ED240" s="3">
        <v>2012.43</v>
      </c>
      <c r="EE240" s="3">
        <v>2213.63</v>
      </c>
      <c r="EF240" s="3">
        <v>2013.51</v>
      </c>
      <c r="EG240" s="3">
        <v>1469.97</v>
      </c>
      <c r="EH240" s="3">
        <v>869.97799999999995</v>
      </c>
      <c r="EI240" s="3">
        <v>539.82899999999995</v>
      </c>
      <c r="EJ240" s="3">
        <v>653.94600000000003</v>
      </c>
      <c r="EK240" s="3">
        <v>690.78599999999994</v>
      </c>
      <c r="EL240" s="3">
        <v>808.95</v>
      </c>
      <c r="EM240" s="3">
        <v>998.17700000000002</v>
      </c>
      <c r="EN240" s="3">
        <v>1203.75</v>
      </c>
      <c r="EO240" s="3">
        <v>1575.68</v>
      </c>
      <c r="EP240" s="3">
        <v>1411.46</v>
      </c>
      <c r="EQ240" s="3">
        <v>678.10900000000004</v>
      </c>
      <c r="ER240" s="3">
        <v>-0.59145899999999996</v>
      </c>
      <c r="ES240" s="3">
        <v>-191.46799999999999</v>
      </c>
      <c r="ET240" s="3">
        <v>29.4666</v>
      </c>
      <c r="EU240" s="3">
        <v>332.52</v>
      </c>
      <c r="EV240" s="3">
        <v>640.69100000000003</v>
      </c>
      <c r="EW240" s="3">
        <v>664.32100000000003</v>
      </c>
      <c r="EX240" s="3">
        <v>480.03899999999999</v>
      </c>
      <c r="EY240" s="3">
        <v>372.64100000000002</v>
      </c>
      <c r="EZ240" s="3">
        <v>349.005</v>
      </c>
      <c r="FA240" s="3">
        <v>410.52</v>
      </c>
      <c r="FB240" s="3">
        <v>512.36</v>
      </c>
      <c r="FC240" s="3">
        <v>-2468.2199999999998</v>
      </c>
      <c r="FD240" s="3">
        <v>-2471.5500000000002</v>
      </c>
      <c r="FE240" s="3">
        <v>149.83799999999999</v>
      </c>
      <c r="FF240" s="3">
        <v>222.11</v>
      </c>
      <c r="FG240" s="3">
        <v>305.97199999999998</v>
      </c>
      <c r="FH240" s="3">
        <v>461.87200000000001</v>
      </c>
      <c r="FI240" s="3">
        <v>3665.19</v>
      </c>
      <c r="FJ240" s="3">
        <v>-572.90800000000002</v>
      </c>
      <c r="FK240" s="3">
        <v>-591.34799999999996</v>
      </c>
      <c r="FL240" s="3">
        <v>0</v>
      </c>
      <c r="FM240" s="3"/>
    </row>
    <row r="241" spans="1:169" x14ac:dyDescent="0.3">
      <c r="A241" s="2">
        <v>233</v>
      </c>
      <c r="B241" s="5">
        <v>39</v>
      </c>
      <c r="C241" s="6">
        <v>3101679</v>
      </c>
      <c r="D241" s="6" t="s">
        <v>285</v>
      </c>
      <c r="E241" s="6">
        <v>3912010</v>
      </c>
      <c r="F241" s="6">
        <v>3912012</v>
      </c>
      <c r="G241" s="6">
        <v>4912010</v>
      </c>
      <c r="H241" s="6">
        <v>3912013</v>
      </c>
      <c r="I241" s="6">
        <v>51.48</v>
      </c>
      <c r="J241" s="6" t="s">
        <v>169</v>
      </c>
      <c r="K241" s="6" t="s">
        <v>170</v>
      </c>
      <c r="L241" s="7" t="s">
        <v>171</v>
      </c>
      <c r="M241" s="7" t="s">
        <v>172</v>
      </c>
      <c r="N241" s="8" t="s">
        <v>2635</v>
      </c>
      <c r="O241" s="5">
        <v>12464.3</v>
      </c>
      <c r="P241" s="6">
        <v>28857.7</v>
      </c>
      <c r="Q241" s="6">
        <v>-88.109399999999994</v>
      </c>
      <c r="R241" s="12">
        <v>34896.699999999997</v>
      </c>
      <c r="S241" s="4" t="s">
        <v>2636</v>
      </c>
      <c r="T241" s="4" t="s">
        <v>2637</v>
      </c>
      <c r="U241" s="4" t="s">
        <v>2638</v>
      </c>
      <c r="V241" s="4" t="s">
        <v>2639</v>
      </c>
      <c r="W241" s="4" t="s">
        <v>2640</v>
      </c>
      <c r="X241" s="4" t="s">
        <v>2641</v>
      </c>
      <c r="Y241" s="4" t="s">
        <v>2642</v>
      </c>
      <c r="Z241" s="4" t="s">
        <v>2643</v>
      </c>
      <c r="AA241" s="4" t="s">
        <v>2644</v>
      </c>
      <c r="AB241" s="4" t="s">
        <v>2645</v>
      </c>
      <c r="AC241" s="4" t="s">
        <v>2646</v>
      </c>
      <c r="AD241" s="4" t="s">
        <v>2647</v>
      </c>
      <c r="AE241" s="4" t="s">
        <v>2648</v>
      </c>
      <c r="AF241" s="4" t="s">
        <v>2649</v>
      </c>
      <c r="AG241" s="4" t="s">
        <v>2650</v>
      </c>
      <c r="AH241" s="4" t="s">
        <v>2651</v>
      </c>
      <c r="AI241" s="4" t="s">
        <v>2652</v>
      </c>
      <c r="AJ241" s="4" t="s">
        <v>2653</v>
      </c>
      <c r="AK241" s="4" t="s">
        <v>2654</v>
      </c>
      <c r="AL241" s="4" t="s">
        <v>2655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/>
    </row>
    <row r="242" spans="1:169" x14ac:dyDescent="0.3">
      <c r="A242" s="2">
        <v>234</v>
      </c>
      <c r="B242" s="5">
        <v>39</v>
      </c>
      <c r="C242" s="6">
        <v>3101679</v>
      </c>
      <c r="D242" s="6" t="s">
        <v>285</v>
      </c>
      <c r="E242" s="6">
        <v>3912010</v>
      </c>
      <c r="F242" s="6">
        <v>3912012</v>
      </c>
      <c r="G242" s="6">
        <v>4912010</v>
      </c>
      <c r="H242" s="6">
        <v>3912013</v>
      </c>
      <c r="I242" s="6">
        <v>51.48</v>
      </c>
      <c r="J242" s="6" t="s">
        <v>194</v>
      </c>
      <c r="K242" s="6" t="s">
        <v>195</v>
      </c>
      <c r="L242" s="7" t="s">
        <v>196</v>
      </c>
      <c r="M242" s="7" t="s">
        <v>172</v>
      </c>
      <c r="N242" s="8" t="s">
        <v>2635</v>
      </c>
      <c r="O242" s="5">
        <v>-13528.7</v>
      </c>
      <c r="P242" s="6">
        <v>-25078</v>
      </c>
      <c r="Q242" s="6">
        <v>-205.06399999999999</v>
      </c>
      <c r="R242" s="12">
        <v>0</v>
      </c>
      <c r="S242" s="4" t="s">
        <v>2636</v>
      </c>
      <c r="T242" s="4" t="s">
        <v>2637</v>
      </c>
      <c r="U242" s="4" t="s">
        <v>2638</v>
      </c>
      <c r="V242" s="4" t="s">
        <v>2639</v>
      </c>
      <c r="W242" s="4" t="s">
        <v>2640</v>
      </c>
      <c r="X242" s="4" t="s">
        <v>2641</v>
      </c>
      <c r="Y242" s="4" t="s">
        <v>2642</v>
      </c>
      <c r="Z242" s="4" t="s">
        <v>2643</v>
      </c>
      <c r="AA242" s="4" t="s">
        <v>2644</v>
      </c>
      <c r="AB242" s="4" t="s">
        <v>2645</v>
      </c>
      <c r="AC242" s="4" t="s">
        <v>2646</v>
      </c>
      <c r="AD242" s="4" t="s">
        <v>2647</v>
      </c>
      <c r="AE242" s="4" t="s">
        <v>2648</v>
      </c>
      <c r="AF242" s="4" t="s">
        <v>2649</v>
      </c>
      <c r="AG242" s="4" t="s">
        <v>2650</v>
      </c>
      <c r="AH242" s="4" t="s">
        <v>2651</v>
      </c>
      <c r="AI242" s="4" t="s">
        <v>2652</v>
      </c>
      <c r="AJ242" s="4" t="s">
        <v>2653</v>
      </c>
      <c r="AK242" s="4" t="s">
        <v>2654</v>
      </c>
      <c r="AL242" s="4" t="s">
        <v>2655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/>
    </row>
    <row r="243" spans="1:169" x14ac:dyDescent="0.3">
      <c r="A243" s="2">
        <v>235</v>
      </c>
      <c r="B243" s="5">
        <v>39</v>
      </c>
      <c r="C243" s="6">
        <v>4100199</v>
      </c>
      <c r="D243" s="6" t="s">
        <v>307</v>
      </c>
      <c r="E243" s="6">
        <v>4912010</v>
      </c>
      <c r="F243" s="6">
        <v>4912010</v>
      </c>
      <c r="G243" s="6">
        <v>0</v>
      </c>
      <c r="H243" s="6">
        <v>0</v>
      </c>
      <c r="I243" s="6">
        <v>57.914999999999999</v>
      </c>
      <c r="J243" s="6" t="s">
        <v>169</v>
      </c>
      <c r="K243" s="6" t="s">
        <v>170</v>
      </c>
      <c r="L243" s="7" t="s">
        <v>171</v>
      </c>
      <c r="M243" s="7" t="s">
        <v>172</v>
      </c>
      <c r="N243" s="8" t="s">
        <v>2656</v>
      </c>
      <c r="O243" s="5">
        <v>34190.699999999997</v>
      </c>
      <c r="P243" s="6">
        <v>-17928.099999999999</v>
      </c>
      <c r="Q243" s="6">
        <v>-18096.599999999999</v>
      </c>
      <c r="R243" s="12">
        <v>34896.699999999997</v>
      </c>
      <c r="S243" s="4" t="s">
        <v>2657</v>
      </c>
      <c r="T243" s="4" t="s">
        <v>2658</v>
      </c>
      <c r="U243" s="4" t="s">
        <v>2659</v>
      </c>
      <c r="V243" s="4" t="s">
        <v>2660</v>
      </c>
      <c r="W243" s="4" t="s">
        <v>2661</v>
      </c>
      <c r="X243" s="4" t="s">
        <v>2662</v>
      </c>
      <c r="Y243" s="4" t="s">
        <v>2663</v>
      </c>
      <c r="Z243" s="4" t="s">
        <v>2664</v>
      </c>
      <c r="AA243" s="4" t="s">
        <v>2665</v>
      </c>
      <c r="AB243" s="4" t="s">
        <v>2666</v>
      </c>
      <c r="AC243" s="4" t="s">
        <v>2667</v>
      </c>
      <c r="AD243" s="4" t="s">
        <v>2668</v>
      </c>
      <c r="AE243" s="4" t="s">
        <v>2669</v>
      </c>
      <c r="AF243" s="4" t="s">
        <v>2670</v>
      </c>
      <c r="AG243" s="4" t="s">
        <v>2671</v>
      </c>
      <c r="AH243" s="4" t="s">
        <v>2672</v>
      </c>
      <c r="AI243" s="4" t="s">
        <v>2673</v>
      </c>
      <c r="AJ243" s="4" t="s">
        <v>2674</v>
      </c>
      <c r="AK243" s="4" t="s">
        <v>2675</v>
      </c>
      <c r="AL243" s="4" t="s">
        <v>2676</v>
      </c>
      <c r="AM243" s="3">
        <v>294.596</v>
      </c>
      <c r="AN243" s="3">
        <v>241.99199999999999</v>
      </c>
      <c r="AO243" s="3">
        <v>198.821</v>
      </c>
      <c r="AP243" s="3">
        <v>146.66</v>
      </c>
      <c r="AQ243" s="3">
        <v>77.893100000000004</v>
      </c>
      <c r="AR243" s="3">
        <v>10.205399999999999</v>
      </c>
      <c r="AS243" s="3">
        <v>-23.113099999999999</v>
      </c>
      <c r="AT243" s="3">
        <v>-36.994799999999998</v>
      </c>
      <c r="AU243" s="3">
        <v>-28.133299999999998</v>
      </c>
      <c r="AV243" s="3">
        <v>9.1105300000000007</v>
      </c>
      <c r="AW243" s="3">
        <v>48.686900000000001</v>
      </c>
      <c r="AX243" s="3">
        <v>150.233</v>
      </c>
      <c r="AY243" s="3">
        <v>223.73</v>
      </c>
      <c r="AZ243" s="3">
        <v>304.81</v>
      </c>
      <c r="BA243" s="3">
        <v>376.14299999999997</v>
      </c>
      <c r="BB243" s="3">
        <v>418.12</v>
      </c>
      <c r="BC243" s="3">
        <v>435.31</v>
      </c>
      <c r="BD243" s="3">
        <v>433.76</v>
      </c>
      <c r="BE243" s="3">
        <v>401.81200000000001</v>
      </c>
      <c r="BF243" s="3">
        <v>349.32</v>
      </c>
      <c r="BG243" s="3">
        <v>92.332700000000003</v>
      </c>
      <c r="BH243" s="3">
        <v>98.605000000000004</v>
      </c>
      <c r="BI243" s="3">
        <v>51.369399999999999</v>
      </c>
      <c r="BJ243" s="3">
        <v>-4.4221300000000001</v>
      </c>
      <c r="BK243" s="3">
        <v>-32.351900000000001</v>
      </c>
      <c r="BL243" s="3">
        <v>22.581700000000001</v>
      </c>
      <c r="BM243" s="3">
        <v>60.697200000000002</v>
      </c>
      <c r="BN243" s="3">
        <v>82.062899999999999</v>
      </c>
      <c r="BO243" s="3">
        <v>63.967100000000002</v>
      </c>
      <c r="BP243" s="3">
        <v>-2.2072099999999999</v>
      </c>
      <c r="BQ243" s="3">
        <v>-45.256999999999998</v>
      </c>
      <c r="BR243" s="3">
        <v>18.7501</v>
      </c>
      <c r="BS243" s="3">
        <v>133.52600000000001</v>
      </c>
      <c r="BT243" s="3">
        <v>184.465</v>
      </c>
      <c r="BU243" s="3">
        <v>157.13300000000001</v>
      </c>
      <c r="BV243" s="3">
        <v>24.268000000000001</v>
      </c>
      <c r="BW243" s="3">
        <v>3.48996</v>
      </c>
      <c r="BX243" s="3">
        <v>-2.0484100000000001</v>
      </c>
      <c r="BY243" s="3">
        <v>23.033899999999999</v>
      </c>
      <c r="BZ243" s="3">
        <v>61.870800000000003</v>
      </c>
      <c r="CA243" s="3">
        <v>-142.85900000000001</v>
      </c>
      <c r="CB243" s="3">
        <v>-121.102</v>
      </c>
      <c r="CC243" s="3">
        <v>-85.004099999999994</v>
      </c>
      <c r="CD243" s="3">
        <v>-34.786999999999999</v>
      </c>
      <c r="CE243" s="3">
        <v>22.0227</v>
      </c>
      <c r="CF243" s="3">
        <v>40.485999999999997</v>
      </c>
      <c r="CG243" s="3">
        <v>27.169899999999998</v>
      </c>
      <c r="CH243" s="3">
        <v>-15.2065</v>
      </c>
      <c r="CI243" s="3">
        <v>-55.523499999999999</v>
      </c>
      <c r="CJ243" s="3">
        <v>-65.355699999999999</v>
      </c>
      <c r="CK243" s="3">
        <v>-64.871099999999998</v>
      </c>
      <c r="CL243" s="3">
        <v>-43.933700000000002</v>
      </c>
      <c r="CM243" s="3">
        <v>-75.792199999999994</v>
      </c>
      <c r="CN243" s="3">
        <v>-225.815</v>
      </c>
      <c r="CO243" s="3">
        <v>-386.70400000000001</v>
      </c>
      <c r="CP243" s="3">
        <v>-468.65199999999999</v>
      </c>
      <c r="CQ243" s="3">
        <v>-400.58699999999999</v>
      </c>
      <c r="CR243" s="3">
        <v>-276.98500000000001</v>
      </c>
      <c r="CS243" s="3">
        <v>-180.26599999999999</v>
      </c>
      <c r="CT243" s="3">
        <v>-131.11199999999999</v>
      </c>
      <c r="CU243" s="3">
        <v>687.19899999999996</v>
      </c>
      <c r="CV243" s="3">
        <v>911.79899999999998</v>
      </c>
      <c r="CW243" s="3">
        <v>823.23199999999997</v>
      </c>
      <c r="CX243" s="3">
        <v>534.41</v>
      </c>
      <c r="CY243" s="3">
        <v>168.39400000000001</v>
      </c>
      <c r="CZ243" s="3">
        <v>3.7293799999999999</v>
      </c>
      <c r="DA243" s="3">
        <v>-8.7102299999999993</v>
      </c>
      <c r="DB243" s="3">
        <v>-54.944800000000001</v>
      </c>
      <c r="DC243" s="3">
        <v>-154.09399999999999</v>
      </c>
      <c r="DD243" s="3">
        <v>-318.57299999999998</v>
      </c>
      <c r="DE243" s="3">
        <v>-403.77300000000002</v>
      </c>
      <c r="DF243" s="3">
        <v>-536.55100000000004</v>
      </c>
      <c r="DG243" s="3">
        <v>-595.221</v>
      </c>
      <c r="DH243" s="3">
        <v>-528.28599999999994</v>
      </c>
      <c r="DI243" s="3">
        <v>-451.11</v>
      </c>
      <c r="DJ243" s="3">
        <v>-454.86799999999999</v>
      </c>
      <c r="DK243" s="3">
        <v>-336.22800000000001</v>
      </c>
      <c r="DL243" s="3">
        <v>-35.025300000000001</v>
      </c>
      <c r="DM243" s="3">
        <v>298.33300000000003</v>
      </c>
      <c r="DN243" s="3">
        <v>567.03800000000001</v>
      </c>
      <c r="DO243" s="3">
        <v>772.21199999999999</v>
      </c>
      <c r="DP243" s="3">
        <v>820.70799999999997</v>
      </c>
      <c r="DQ243" s="3">
        <v>794.70799999999997</v>
      </c>
      <c r="DR243" s="3">
        <v>696.87599999999998</v>
      </c>
      <c r="DS243" s="3">
        <v>545.16399999999999</v>
      </c>
      <c r="DT243" s="3">
        <v>420.71100000000001</v>
      </c>
      <c r="DU243" s="3">
        <v>284.08800000000002</v>
      </c>
      <c r="DV243" s="3">
        <v>84.339500000000001</v>
      </c>
      <c r="DW243" s="3">
        <v>-197.1</v>
      </c>
      <c r="DX243" s="3">
        <v>-571.49800000000005</v>
      </c>
      <c r="DY243" s="3">
        <v>-768.73800000000006</v>
      </c>
      <c r="DZ243" s="3">
        <v>-1054.31</v>
      </c>
      <c r="EA243" s="3">
        <v>-1588.44</v>
      </c>
      <c r="EB243" s="3">
        <v>-1636.15</v>
      </c>
      <c r="EC243" s="3">
        <v>-1407.28</v>
      </c>
      <c r="ED243" s="3">
        <v>-1025.71</v>
      </c>
      <c r="EE243" s="3">
        <v>-580.82799999999997</v>
      </c>
      <c r="EF243" s="3">
        <v>177.851</v>
      </c>
      <c r="EG243" s="3">
        <v>650.78099999999995</v>
      </c>
      <c r="EH243" s="3">
        <v>818.52</v>
      </c>
      <c r="EI243" s="3">
        <v>-207.774</v>
      </c>
      <c r="EJ243" s="3">
        <v>-103.87</v>
      </c>
      <c r="EK243" s="3">
        <v>2.5664099999999999</v>
      </c>
      <c r="EL243" s="3">
        <v>52.150799999999997</v>
      </c>
      <c r="EM243" s="3">
        <v>26.7697</v>
      </c>
      <c r="EN243" s="3">
        <v>7.9725200000000003</v>
      </c>
      <c r="EO243" s="3">
        <v>-42.9983</v>
      </c>
      <c r="EP243" s="3">
        <v>-104.226</v>
      </c>
      <c r="EQ243" s="3">
        <v>-191.136</v>
      </c>
      <c r="ER243" s="3">
        <v>-335.28399999999999</v>
      </c>
      <c r="ES243" s="3">
        <v>-468.82400000000001</v>
      </c>
      <c r="ET243" s="3">
        <v>-756.99</v>
      </c>
      <c r="EU243" s="3">
        <v>-522.27800000000002</v>
      </c>
      <c r="EV243" s="3">
        <v>-9.3610900000000008</v>
      </c>
      <c r="EW243" s="3">
        <v>444.29199999999997</v>
      </c>
      <c r="EX243" s="3">
        <v>539.654</v>
      </c>
      <c r="EY243" s="3">
        <v>528.14800000000002</v>
      </c>
      <c r="EZ243" s="3">
        <v>265.30700000000002</v>
      </c>
      <c r="FA243" s="3">
        <v>-43.950400000000002</v>
      </c>
      <c r="FB243" s="3">
        <v>-243.26599999999999</v>
      </c>
      <c r="FC243" s="3">
        <v>-3.3730500000000001</v>
      </c>
      <c r="FD243" s="3">
        <v>388.82</v>
      </c>
      <c r="FE243" s="3">
        <v>38.019100000000002</v>
      </c>
      <c r="FF243" s="3">
        <v>78.8142</v>
      </c>
      <c r="FG243" s="3">
        <v>-22.216799999999999</v>
      </c>
      <c r="FH243" s="3">
        <v>-266.74400000000003</v>
      </c>
      <c r="FI243" s="3">
        <v>17.492999999999999</v>
      </c>
      <c r="FJ243" s="3">
        <v>285.85399999999998</v>
      </c>
      <c r="FK243" s="3">
        <v>53.836199999999998</v>
      </c>
      <c r="FL243" s="3">
        <v>0</v>
      </c>
      <c r="FM243" s="3" t="s">
        <v>2677</v>
      </c>
    </row>
    <row r="244" spans="1:169" x14ac:dyDescent="0.3">
      <c r="A244" s="2">
        <v>236</v>
      </c>
      <c r="B244" s="5">
        <v>39</v>
      </c>
      <c r="C244" s="6">
        <v>4100199</v>
      </c>
      <c r="D244" s="6" t="s">
        <v>307</v>
      </c>
      <c r="E244" s="6">
        <v>4912010</v>
      </c>
      <c r="F244" s="6">
        <v>4912010</v>
      </c>
      <c r="G244" s="6">
        <v>0</v>
      </c>
      <c r="H244" s="6">
        <v>0</v>
      </c>
      <c r="I244" s="6">
        <v>57.914999999999999</v>
      </c>
      <c r="J244" s="6" t="s">
        <v>194</v>
      </c>
      <c r="K244" s="6" t="s">
        <v>195</v>
      </c>
      <c r="L244" s="7" t="s">
        <v>196</v>
      </c>
      <c r="M244" s="7" t="s">
        <v>172</v>
      </c>
      <c r="N244" s="8" t="s">
        <v>2656</v>
      </c>
      <c r="O244" s="5">
        <v>-33440.5</v>
      </c>
      <c r="P244" s="6">
        <v>17741.900000000001</v>
      </c>
      <c r="Q244" s="6">
        <v>18139.900000000001</v>
      </c>
      <c r="R244" s="12">
        <v>0</v>
      </c>
      <c r="S244" s="4" t="s">
        <v>2657</v>
      </c>
      <c r="T244" s="4" t="s">
        <v>2658</v>
      </c>
      <c r="U244" s="4" t="s">
        <v>2659</v>
      </c>
      <c r="V244" s="4" t="s">
        <v>2660</v>
      </c>
      <c r="W244" s="4" t="s">
        <v>2661</v>
      </c>
      <c r="X244" s="4" t="s">
        <v>2662</v>
      </c>
      <c r="Y244" s="4" t="s">
        <v>2663</v>
      </c>
      <c r="Z244" s="4" t="s">
        <v>2664</v>
      </c>
      <c r="AA244" s="4" t="s">
        <v>2665</v>
      </c>
      <c r="AB244" s="4" t="s">
        <v>2666</v>
      </c>
      <c r="AC244" s="4" t="s">
        <v>2667</v>
      </c>
      <c r="AD244" s="4" t="s">
        <v>2668</v>
      </c>
      <c r="AE244" s="4" t="s">
        <v>2669</v>
      </c>
      <c r="AF244" s="4" t="s">
        <v>2670</v>
      </c>
      <c r="AG244" s="4" t="s">
        <v>2671</v>
      </c>
      <c r="AH244" s="4" t="s">
        <v>2672</v>
      </c>
      <c r="AI244" s="4" t="s">
        <v>2673</v>
      </c>
      <c r="AJ244" s="4" t="s">
        <v>2674</v>
      </c>
      <c r="AK244" s="4" t="s">
        <v>2675</v>
      </c>
      <c r="AL244" s="4" t="s">
        <v>2676</v>
      </c>
      <c r="AM244" s="3">
        <v>-289.27300000000002</v>
      </c>
      <c r="AN244" s="3">
        <v>-238.07499999999999</v>
      </c>
      <c r="AO244" s="3">
        <v>-196.32300000000001</v>
      </c>
      <c r="AP244" s="3">
        <v>-145.49199999999999</v>
      </c>
      <c r="AQ244" s="3">
        <v>-77.880399999999995</v>
      </c>
      <c r="AR244" s="3">
        <v>-10.9116</v>
      </c>
      <c r="AS244" s="3">
        <v>21.3644</v>
      </c>
      <c r="AT244" s="3">
        <v>35.557200000000002</v>
      </c>
      <c r="AU244" s="3">
        <v>28.073</v>
      </c>
      <c r="AV244" s="3">
        <v>-7.0322100000000001</v>
      </c>
      <c r="AW244" s="3">
        <v>-45.239400000000003</v>
      </c>
      <c r="AX244" s="3">
        <v>-144.21</v>
      </c>
      <c r="AY244" s="3">
        <v>-217.88300000000001</v>
      </c>
      <c r="AZ244" s="3">
        <v>-299.41300000000001</v>
      </c>
      <c r="BA244" s="3">
        <v>-370.24799999999999</v>
      </c>
      <c r="BB244" s="3">
        <v>-409.601</v>
      </c>
      <c r="BC244" s="3">
        <v>-426.923</v>
      </c>
      <c r="BD244" s="3">
        <v>-425.21899999999999</v>
      </c>
      <c r="BE244" s="3">
        <v>-393.52</v>
      </c>
      <c r="BF244" s="3">
        <v>-342.06200000000001</v>
      </c>
      <c r="BG244" s="3">
        <v>-87.256399999999999</v>
      </c>
      <c r="BH244" s="3">
        <v>-93.402900000000002</v>
      </c>
      <c r="BI244" s="3">
        <v>-46.9739</v>
      </c>
      <c r="BJ244" s="3">
        <v>7.7245699999999999</v>
      </c>
      <c r="BK244" s="3">
        <v>34.803400000000003</v>
      </c>
      <c r="BL244" s="3">
        <v>-19.876000000000001</v>
      </c>
      <c r="BM244" s="3">
        <v>-56.807899999999997</v>
      </c>
      <c r="BN244" s="3">
        <v>-77.493499999999997</v>
      </c>
      <c r="BO244" s="3">
        <v>-59.472000000000001</v>
      </c>
      <c r="BP244" s="3">
        <v>6.0355800000000004</v>
      </c>
      <c r="BQ244" s="3">
        <v>48.616100000000003</v>
      </c>
      <c r="BR244" s="3">
        <v>-10.963699999999999</v>
      </c>
      <c r="BS244" s="3">
        <v>-124.048</v>
      </c>
      <c r="BT244" s="3">
        <v>-176.42699999999999</v>
      </c>
      <c r="BU244" s="3">
        <v>-151.767</v>
      </c>
      <c r="BV244" s="3">
        <v>-21.446300000000001</v>
      </c>
      <c r="BW244" s="3">
        <v>-1.21896</v>
      </c>
      <c r="BX244" s="3">
        <v>4.4027799999999999</v>
      </c>
      <c r="BY244" s="3">
        <v>-19.724900000000002</v>
      </c>
      <c r="BZ244" s="3">
        <v>-57.364100000000001</v>
      </c>
      <c r="CA244" s="3">
        <v>144.00200000000001</v>
      </c>
      <c r="CB244" s="3">
        <v>122.123</v>
      </c>
      <c r="CC244" s="3">
        <v>86.158500000000004</v>
      </c>
      <c r="CD244" s="3">
        <v>36.3932</v>
      </c>
      <c r="CE244" s="3">
        <v>-19.811900000000001</v>
      </c>
      <c r="CF244" s="3">
        <v>-38.6036</v>
      </c>
      <c r="CG244" s="3">
        <v>-26.392099999999999</v>
      </c>
      <c r="CH244" s="3">
        <v>14.3874</v>
      </c>
      <c r="CI244" s="3">
        <v>53.461300000000001</v>
      </c>
      <c r="CJ244" s="3">
        <v>62.972099999999998</v>
      </c>
      <c r="CK244" s="3">
        <v>62.616199999999999</v>
      </c>
      <c r="CL244" s="3">
        <v>39.670699999999997</v>
      </c>
      <c r="CM244" s="3">
        <v>69.627499999999998</v>
      </c>
      <c r="CN244" s="3">
        <v>220.852</v>
      </c>
      <c r="CO244" s="3">
        <v>384.58499999999998</v>
      </c>
      <c r="CP244" s="3">
        <v>470.11799999999999</v>
      </c>
      <c r="CQ244" s="3">
        <v>400.98200000000003</v>
      </c>
      <c r="CR244" s="3">
        <v>276.73099999999999</v>
      </c>
      <c r="CS244" s="3">
        <v>180.548</v>
      </c>
      <c r="CT244" s="3">
        <v>132.203</v>
      </c>
      <c r="CU244" s="3">
        <v>-715.54899999999998</v>
      </c>
      <c r="CV244" s="3">
        <v>-945.69799999999998</v>
      </c>
      <c r="CW244" s="3">
        <v>-848.37599999999998</v>
      </c>
      <c r="CX244" s="3">
        <v>-543.84400000000005</v>
      </c>
      <c r="CY244" s="3">
        <v>-161.857</v>
      </c>
      <c r="CZ244" s="3">
        <v>6.47851</v>
      </c>
      <c r="DA244" s="3">
        <v>17.303799999999999</v>
      </c>
      <c r="DB244" s="3">
        <v>57.758400000000002</v>
      </c>
      <c r="DC244" s="3">
        <v>150.102</v>
      </c>
      <c r="DD244" s="3">
        <v>309.70499999999998</v>
      </c>
      <c r="DE244" s="3">
        <v>394.53</v>
      </c>
      <c r="DF244" s="3">
        <v>522.84199999999998</v>
      </c>
      <c r="DG244" s="3">
        <v>576.58000000000004</v>
      </c>
      <c r="DH244" s="3">
        <v>500.81400000000002</v>
      </c>
      <c r="DI244" s="3">
        <v>415.447</v>
      </c>
      <c r="DJ244" s="3">
        <v>416.01900000000001</v>
      </c>
      <c r="DK244" s="3">
        <v>297.65800000000002</v>
      </c>
      <c r="DL244" s="3">
        <v>-0.493004</v>
      </c>
      <c r="DM244" s="3">
        <v>-333.18799999999999</v>
      </c>
      <c r="DN244" s="3">
        <v>-600.83799999999997</v>
      </c>
      <c r="DO244" s="3">
        <v>-809.70100000000002</v>
      </c>
      <c r="DP244" s="3">
        <v>-857.69200000000001</v>
      </c>
      <c r="DQ244" s="3">
        <v>-826.94299999999998</v>
      </c>
      <c r="DR244" s="3">
        <v>-722.178</v>
      </c>
      <c r="DS244" s="3">
        <v>-562.91200000000003</v>
      </c>
      <c r="DT244" s="3">
        <v>-431.25700000000001</v>
      </c>
      <c r="DU244" s="3">
        <v>-294.822</v>
      </c>
      <c r="DV244" s="3">
        <v>-96.353700000000003</v>
      </c>
      <c r="DW244" s="3">
        <v>180.488</v>
      </c>
      <c r="DX244" s="3">
        <v>543.92700000000002</v>
      </c>
      <c r="DY244" s="3">
        <v>734.46600000000001</v>
      </c>
      <c r="DZ244" s="3">
        <v>1002.65</v>
      </c>
      <c r="EA244" s="3">
        <v>1533.29</v>
      </c>
      <c r="EB244" s="3">
        <v>1585.22</v>
      </c>
      <c r="EC244" s="3">
        <v>1360.23</v>
      </c>
      <c r="ED244" s="3">
        <v>976.12699999999995</v>
      </c>
      <c r="EE244" s="3">
        <v>520.65800000000002</v>
      </c>
      <c r="EF244" s="3">
        <v>-244.63200000000001</v>
      </c>
      <c r="EG244" s="3">
        <v>-715.77800000000002</v>
      </c>
      <c r="EH244" s="3">
        <v>-873.49</v>
      </c>
      <c r="EI244" s="3">
        <v>236.67500000000001</v>
      </c>
      <c r="EJ244" s="3">
        <v>119.69</v>
      </c>
      <c r="EK244" s="3">
        <v>-1.79657</v>
      </c>
      <c r="EL244" s="3">
        <v>-59.627000000000002</v>
      </c>
      <c r="EM244" s="3">
        <v>-31.2179</v>
      </c>
      <c r="EN244" s="3">
        <v>-0.40126600000000001</v>
      </c>
      <c r="EO244" s="3">
        <v>58.150100000000002</v>
      </c>
      <c r="EP244" s="3">
        <v>120.889</v>
      </c>
      <c r="EQ244" s="3">
        <v>205.54400000000001</v>
      </c>
      <c r="ER244" s="3">
        <v>347.44099999999997</v>
      </c>
      <c r="ES244" s="3">
        <v>484.31900000000002</v>
      </c>
      <c r="ET244" s="3">
        <v>782.82299999999998</v>
      </c>
      <c r="EU244" s="3">
        <v>562.84799999999996</v>
      </c>
      <c r="EV244" s="3">
        <v>43.1524</v>
      </c>
      <c r="EW244" s="3">
        <v>-429.024</v>
      </c>
      <c r="EX244" s="3">
        <v>-548.46100000000001</v>
      </c>
      <c r="EY244" s="3">
        <v>-535.88099999999997</v>
      </c>
      <c r="EZ244" s="3">
        <v>-262.65800000000002</v>
      </c>
      <c r="FA244" s="3">
        <v>60.037700000000001</v>
      </c>
      <c r="FB244" s="3">
        <v>270.02999999999997</v>
      </c>
      <c r="FC244" s="3">
        <v>3.6352099999999998</v>
      </c>
      <c r="FD244" s="3">
        <v>-381.1</v>
      </c>
      <c r="FE244" s="3">
        <v>-34.163499999999999</v>
      </c>
      <c r="FF244" s="3">
        <v>-72.672499999999999</v>
      </c>
      <c r="FG244" s="3">
        <v>21.4069</v>
      </c>
      <c r="FH244" s="3">
        <v>267.43099999999998</v>
      </c>
      <c r="FI244" s="3">
        <v>4.2808499999999999E-2</v>
      </c>
      <c r="FJ244" s="3">
        <v>-248.441</v>
      </c>
      <c r="FK244" s="3">
        <v>-66.444400000000002</v>
      </c>
      <c r="FL244" s="3">
        <v>0</v>
      </c>
      <c r="FM244" s="3" t="s">
        <v>2677</v>
      </c>
    </row>
    <row r="245" spans="1:169" x14ac:dyDescent="0.3">
      <c r="A245" s="2">
        <v>237</v>
      </c>
      <c r="B245" s="5">
        <v>40</v>
      </c>
      <c r="C245" s="6">
        <v>3102917</v>
      </c>
      <c r="D245" s="6" t="s">
        <v>285</v>
      </c>
      <c r="E245" s="6">
        <v>3913010</v>
      </c>
      <c r="F245" s="6">
        <v>3913012</v>
      </c>
      <c r="G245" s="6">
        <v>0</v>
      </c>
      <c r="H245" s="6">
        <v>0</v>
      </c>
      <c r="I245" s="6">
        <v>51.48</v>
      </c>
      <c r="J245" s="6" t="s">
        <v>169</v>
      </c>
      <c r="K245" s="6" t="s">
        <v>170</v>
      </c>
      <c r="L245" s="7" t="s">
        <v>171</v>
      </c>
      <c r="M245" s="7" t="s">
        <v>172</v>
      </c>
      <c r="N245" s="8" t="s">
        <v>2678</v>
      </c>
      <c r="O245" s="5">
        <v>11682.9</v>
      </c>
      <c r="P245" s="6">
        <v>4748.6000000000004</v>
      </c>
      <c r="Q245" s="6">
        <v>-6517.51</v>
      </c>
      <c r="R245" s="12">
        <v>0</v>
      </c>
      <c r="S245" s="4" t="s">
        <v>2679</v>
      </c>
      <c r="T245" s="4" t="s">
        <v>2680</v>
      </c>
      <c r="U245" s="4" t="s">
        <v>2681</v>
      </c>
      <c r="V245" s="4" t="s">
        <v>2682</v>
      </c>
      <c r="W245" s="4" t="s">
        <v>2683</v>
      </c>
      <c r="X245" s="4" t="s">
        <v>2684</v>
      </c>
      <c r="Y245" s="4" t="s">
        <v>2685</v>
      </c>
      <c r="Z245" s="4" t="s">
        <v>2686</v>
      </c>
      <c r="AA245" s="4" t="s">
        <v>2687</v>
      </c>
      <c r="AB245" s="4" t="s">
        <v>2688</v>
      </c>
      <c r="AC245" s="4" t="s">
        <v>2689</v>
      </c>
      <c r="AD245" s="4" t="s">
        <v>2690</v>
      </c>
      <c r="AE245" s="4" t="s">
        <v>2691</v>
      </c>
      <c r="AF245" s="4" t="s">
        <v>2692</v>
      </c>
      <c r="AG245" s="4" t="s">
        <v>2693</v>
      </c>
      <c r="AH245" s="4" t="s">
        <v>2694</v>
      </c>
      <c r="AI245" s="4" t="s">
        <v>2695</v>
      </c>
      <c r="AJ245" s="4" t="s">
        <v>2696</v>
      </c>
      <c r="AK245" s="4" t="s">
        <v>2697</v>
      </c>
      <c r="AL245" s="4" t="s">
        <v>2698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/>
    </row>
    <row r="246" spans="1:169" x14ac:dyDescent="0.3">
      <c r="A246" s="2">
        <v>238</v>
      </c>
      <c r="B246" s="5">
        <v>40</v>
      </c>
      <c r="C246" s="6">
        <v>3102917</v>
      </c>
      <c r="D246" s="6" t="s">
        <v>285</v>
      </c>
      <c r="E246" s="6">
        <v>3913010</v>
      </c>
      <c r="F246" s="6">
        <v>3913012</v>
      </c>
      <c r="G246" s="6">
        <v>0</v>
      </c>
      <c r="H246" s="6">
        <v>0</v>
      </c>
      <c r="I246" s="6">
        <v>51.48</v>
      </c>
      <c r="J246" s="6" t="s">
        <v>194</v>
      </c>
      <c r="K246" s="6" t="s">
        <v>195</v>
      </c>
      <c r="L246" s="7" t="s">
        <v>196</v>
      </c>
      <c r="M246" s="7" t="s">
        <v>172</v>
      </c>
      <c r="N246" s="8" t="s">
        <v>2678</v>
      </c>
      <c r="O246" s="5">
        <v>-9929.58</v>
      </c>
      <c r="P246" s="6">
        <v>-5971.19</v>
      </c>
      <c r="Q246" s="6">
        <v>4778.1000000000004</v>
      </c>
      <c r="R246" s="12">
        <v>9490.92</v>
      </c>
      <c r="S246" s="4" t="s">
        <v>2679</v>
      </c>
      <c r="T246" s="4" t="s">
        <v>2680</v>
      </c>
      <c r="U246" s="4" t="s">
        <v>2681</v>
      </c>
      <c r="V246" s="4" t="s">
        <v>2682</v>
      </c>
      <c r="W246" s="4" t="s">
        <v>2683</v>
      </c>
      <c r="X246" s="4" t="s">
        <v>2684</v>
      </c>
      <c r="Y246" s="4" t="s">
        <v>2685</v>
      </c>
      <c r="Z246" s="4" t="s">
        <v>2686</v>
      </c>
      <c r="AA246" s="4" t="s">
        <v>2687</v>
      </c>
      <c r="AB246" s="4" t="s">
        <v>2688</v>
      </c>
      <c r="AC246" s="4" t="s">
        <v>2689</v>
      </c>
      <c r="AD246" s="4" t="s">
        <v>2690</v>
      </c>
      <c r="AE246" s="4" t="s">
        <v>2691</v>
      </c>
      <c r="AF246" s="4" t="s">
        <v>2692</v>
      </c>
      <c r="AG246" s="4" t="s">
        <v>2693</v>
      </c>
      <c r="AH246" s="4" t="s">
        <v>2694</v>
      </c>
      <c r="AI246" s="4" t="s">
        <v>2695</v>
      </c>
      <c r="AJ246" s="4" t="s">
        <v>2696</v>
      </c>
      <c r="AK246" s="4" t="s">
        <v>2697</v>
      </c>
      <c r="AL246" s="4" t="s">
        <v>2698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/>
    </row>
    <row r="247" spans="1:169" x14ac:dyDescent="0.3">
      <c r="A247" s="2">
        <v>239</v>
      </c>
      <c r="B247" s="5">
        <v>40</v>
      </c>
      <c r="C247" s="6">
        <v>1101456</v>
      </c>
      <c r="D247" s="6" t="s">
        <v>263</v>
      </c>
      <c r="E247" s="6">
        <v>3913010</v>
      </c>
      <c r="F247" s="6">
        <v>1913011</v>
      </c>
      <c r="G247" s="6">
        <v>0</v>
      </c>
      <c r="H247" s="6">
        <v>0</v>
      </c>
      <c r="I247" s="6">
        <v>57.914999999999999</v>
      </c>
      <c r="J247" s="6" t="s">
        <v>169</v>
      </c>
      <c r="K247" s="6" t="s">
        <v>170</v>
      </c>
      <c r="L247" s="7" t="s">
        <v>171</v>
      </c>
      <c r="M247" s="7" t="s">
        <v>172</v>
      </c>
      <c r="N247" s="8" t="s">
        <v>2699</v>
      </c>
      <c r="O247" s="5">
        <v>11353.5</v>
      </c>
      <c r="P247" s="6">
        <v>5479.32</v>
      </c>
      <c r="Q247" s="6">
        <v>6526.3</v>
      </c>
      <c r="R247" s="12">
        <v>0</v>
      </c>
      <c r="S247" s="4" t="s">
        <v>2700</v>
      </c>
      <c r="T247" s="4" t="s">
        <v>2701</v>
      </c>
      <c r="U247" s="4" t="s">
        <v>2702</v>
      </c>
      <c r="V247" s="4" t="s">
        <v>2703</v>
      </c>
      <c r="W247" s="4" t="s">
        <v>2704</v>
      </c>
      <c r="X247" s="4" t="s">
        <v>2705</v>
      </c>
      <c r="Y247" s="4" t="s">
        <v>2706</v>
      </c>
      <c r="Z247" s="4" t="s">
        <v>2707</v>
      </c>
      <c r="AA247" s="4" t="s">
        <v>2708</v>
      </c>
      <c r="AB247" s="4" t="s">
        <v>2709</v>
      </c>
      <c r="AC247" s="4" t="s">
        <v>2710</v>
      </c>
      <c r="AD247" s="4" t="s">
        <v>2711</v>
      </c>
      <c r="AE247" s="4" t="s">
        <v>2712</v>
      </c>
      <c r="AF247" s="4" t="s">
        <v>2713</v>
      </c>
      <c r="AG247" s="4" t="s">
        <v>2714</v>
      </c>
      <c r="AH247" s="4" t="s">
        <v>2715</v>
      </c>
      <c r="AI247" s="4" t="s">
        <v>2716</v>
      </c>
      <c r="AJ247" s="4" t="s">
        <v>2717</v>
      </c>
      <c r="AK247" s="4" t="s">
        <v>2718</v>
      </c>
      <c r="AL247" s="4" t="s">
        <v>2719</v>
      </c>
      <c r="AM247" s="3">
        <v>2445.67</v>
      </c>
      <c r="AN247" s="3">
        <v>2394.77</v>
      </c>
      <c r="AO247" s="3">
        <v>2339.5700000000002</v>
      </c>
      <c r="AP247" s="3">
        <v>2292.46</v>
      </c>
      <c r="AQ247" s="3">
        <v>2243.91</v>
      </c>
      <c r="AR247" s="3">
        <v>2185.08</v>
      </c>
      <c r="AS247" s="3">
        <v>2257.4499999999998</v>
      </c>
      <c r="AT247" s="3">
        <v>2272.96</v>
      </c>
      <c r="AU247" s="3">
        <v>2278.64</v>
      </c>
      <c r="AV247" s="3">
        <v>2296.0700000000002</v>
      </c>
      <c r="AW247" s="3">
        <v>2271.54</v>
      </c>
      <c r="AX247" s="3">
        <v>2355.09</v>
      </c>
      <c r="AY247" s="3">
        <v>2440.04</v>
      </c>
      <c r="AZ247" s="3">
        <v>2510.7800000000002</v>
      </c>
      <c r="BA247" s="3">
        <v>2584.59</v>
      </c>
      <c r="BB247" s="3">
        <v>2670.55</v>
      </c>
      <c r="BC247" s="3">
        <v>2664.29</v>
      </c>
      <c r="BD247" s="3">
        <v>2672.88</v>
      </c>
      <c r="BE247" s="3">
        <v>2643.72</v>
      </c>
      <c r="BF247" s="3">
        <v>2551.36</v>
      </c>
      <c r="BG247" s="3">
        <v>-9.2105200000000007</v>
      </c>
      <c r="BH247" s="3">
        <v>24.867100000000001</v>
      </c>
      <c r="BI247" s="3">
        <v>46.837699999999998</v>
      </c>
      <c r="BJ247" s="3">
        <v>57.103999999999999</v>
      </c>
      <c r="BK247" s="3">
        <v>68.818600000000004</v>
      </c>
      <c r="BL247" s="3">
        <v>86.250600000000006</v>
      </c>
      <c r="BM247" s="3">
        <v>73.765000000000001</v>
      </c>
      <c r="BN247" s="3">
        <v>68.325900000000004</v>
      </c>
      <c r="BO247" s="3">
        <v>54.356099999999998</v>
      </c>
      <c r="BP247" s="3">
        <v>28.912199999999999</v>
      </c>
      <c r="BQ247" s="3">
        <v>9.0167300000000008</v>
      </c>
      <c r="BR247" s="3">
        <v>-7.4923400000000004</v>
      </c>
      <c r="BS247" s="3">
        <v>-15.9262</v>
      </c>
      <c r="BT247" s="3">
        <v>-4.6341099999999997</v>
      </c>
      <c r="BU247" s="3">
        <v>8.9862199999999994</v>
      </c>
      <c r="BV247" s="3">
        <v>-1.5397799999999999</v>
      </c>
      <c r="BW247" s="3">
        <v>-3.9904799999999998</v>
      </c>
      <c r="BX247" s="3">
        <v>-15.0952</v>
      </c>
      <c r="BY247" s="3">
        <v>-19.3522</v>
      </c>
      <c r="BZ247" s="3">
        <v>-11.299099999999999</v>
      </c>
      <c r="CA247" s="3">
        <v>-153.40299999999999</v>
      </c>
      <c r="CB247" s="3">
        <v>-165.08</v>
      </c>
      <c r="CC247" s="3">
        <v>-196.053</v>
      </c>
      <c r="CD247" s="3">
        <v>-215.87799999999999</v>
      </c>
      <c r="CE247" s="3">
        <v>-210.827</v>
      </c>
      <c r="CF247" s="3">
        <v>-194.3</v>
      </c>
      <c r="CG247" s="3">
        <v>-151.65100000000001</v>
      </c>
      <c r="CH247" s="3">
        <v>-168.642</v>
      </c>
      <c r="CI247" s="3">
        <v>-224.61799999999999</v>
      </c>
      <c r="CJ247" s="3">
        <v>-232.40600000000001</v>
      </c>
      <c r="CK247" s="3">
        <v>-171.61099999999999</v>
      </c>
      <c r="CL247" s="3">
        <v>-172.351</v>
      </c>
      <c r="CM247" s="3">
        <v>-160.60900000000001</v>
      </c>
      <c r="CN247" s="3">
        <v>-147.59100000000001</v>
      </c>
      <c r="CO247" s="3">
        <v>-152.68899999999999</v>
      </c>
      <c r="CP247" s="3">
        <v>-155.43799999999999</v>
      </c>
      <c r="CQ247" s="3">
        <v>-212.60300000000001</v>
      </c>
      <c r="CR247" s="3">
        <v>-204.42500000000001</v>
      </c>
      <c r="CS247" s="3">
        <v>-148.63300000000001</v>
      </c>
      <c r="CT247" s="3">
        <v>-123.419</v>
      </c>
      <c r="CU247" s="3">
        <v>1637.17</v>
      </c>
      <c r="CV247" s="3">
        <v>2344.8200000000002</v>
      </c>
      <c r="CW247" s="3">
        <v>3347.11</v>
      </c>
      <c r="CX247" s="3">
        <v>4877.47</v>
      </c>
      <c r="CY247" s="3">
        <v>6934.52</v>
      </c>
      <c r="CZ247" s="3">
        <v>9146.8700000000008</v>
      </c>
      <c r="DA247" s="3">
        <v>8931.4599999999991</v>
      </c>
      <c r="DB247" s="3">
        <v>8789.9599999999991</v>
      </c>
      <c r="DC247" s="3">
        <v>8720.83</v>
      </c>
      <c r="DD247" s="3">
        <v>8823.91</v>
      </c>
      <c r="DE247" s="3">
        <v>9102.89</v>
      </c>
      <c r="DF247" s="3">
        <v>7725.46</v>
      </c>
      <c r="DG247" s="3">
        <v>6339.9</v>
      </c>
      <c r="DH247" s="3">
        <v>5098.5600000000004</v>
      </c>
      <c r="DI247" s="3">
        <v>3897.9</v>
      </c>
      <c r="DJ247" s="3">
        <v>2616.7399999999998</v>
      </c>
      <c r="DK247" s="3">
        <v>2543.98</v>
      </c>
      <c r="DL247" s="3">
        <v>2427.3200000000002</v>
      </c>
      <c r="DM247" s="3">
        <v>2254.8000000000002</v>
      </c>
      <c r="DN247" s="3">
        <v>1956.23</v>
      </c>
      <c r="DO247" s="3">
        <v>-1793.77</v>
      </c>
      <c r="DP247" s="3">
        <v>-1578.52</v>
      </c>
      <c r="DQ247" s="3">
        <v>-1265.4100000000001</v>
      </c>
      <c r="DR247" s="3">
        <v>-1004.34</v>
      </c>
      <c r="DS247" s="3">
        <v>-807.755</v>
      </c>
      <c r="DT247" s="3">
        <v>-708.00099999999998</v>
      </c>
      <c r="DU247" s="3">
        <v>-832.34699999999998</v>
      </c>
      <c r="DV247" s="3">
        <v>-546.85</v>
      </c>
      <c r="DW247" s="3">
        <v>-29.8047</v>
      </c>
      <c r="DX247" s="3">
        <v>382.35599999999999</v>
      </c>
      <c r="DY247" s="3">
        <v>443.488</v>
      </c>
      <c r="DZ247" s="3">
        <v>280.60700000000003</v>
      </c>
      <c r="EA247" s="3">
        <v>131.435</v>
      </c>
      <c r="EB247" s="3">
        <v>-47.622199999999999</v>
      </c>
      <c r="EC247" s="3">
        <v>-174.34899999999999</v>
      </c>
      <c r="ED247" s="3">
        <v>-296.89699999999999</v>
      </c>
      <c r="EE247" s="3">
        <v>-626.95699999999999</v>
      </c>
      <c r="EF247" s="3">
        <v>-1036.6300000000001</v>
      </c>
      <c r="EG247" s="3">
        <v>-1396.3</v>
      </c>
      <c r="EH247" s="3">
        <v>-1631.65</v>
      </c>
      <c r="EI247" s="3">
        <v>-649.47799999999995</v>
      </c>
      <c r="EJ247" s="3">
        <v>-468.21800000000002</v>
      </c>
      <c r="EK247" s="3">
        <v>-281.36900000000003</v>
      </c>
      <c r="EL247" s="3">
        <v>-148.739</v>
      </c>
      <c r="EM247" s="3">
        <v>-125.57</v>
      </c>
      <c r="EN247" s="3">
        <v>-174.37799999999999</v>
      </c>
      <c r="EO247" s="3">
        <v>-461.387</v>
      </c>
      <c r="EP247" s="3">
        <v>-530.84799999999996</v>
      </c>
      <c r="EQ247" s="3">
        <v>-422.09100000000001</v>
      </c>
      <c r="ER247" s="3">
        <v>-355.40199999999999</v>
      </c>
      <c r="ES247" s="3">
        <v>-448.78100000000001</v>
      </c>
      <c r="ET247" s="3">
        <v>-640.37699999999995</v>
      </c>
      <c r="EU247" s="3">
        <v>-796.66600000000005</v>
      </c>
      <c r="EV247" s="3">
        <v>-883.11400000000003</v>
      </c>
      <c r="EW247" s="3">
        <v>-893.14</v>
      </c>
      <c r="EX247" s="3">
        <v>-889.51900000000001</v>
      </c>
      <c r="EY247" s="3">
        <v>-819.29600000000005</v>
      </c>
      <c r="EZ247" s="3">
        <v>-825.08199999999999</v>
      </c>
      <c r="FA247" s="3">
        <v>-800.95</v>
      </c>
      <c r="FB247" s="3">
        <v>-704.67499999999995</v>
      </c>
      <c r="FC247" s="3">
        <v>2260.29</v>
      </c>
      <c r="FD247" s="3">
        <v>2608.08</v>
      </c>
      <c r="FE247" s="3">
        <v>-1.9315800000000001</v>
      </c>
      <c r="FF247" s="3">
        <v>45.777900000000002</v>
      </c>
      <c r="FG247" s="3">
        <v>-160.048</v>
      </c>
      <c r="FH247" s="3">
        <v>-190.53800000000001</v>
      </c>
      <c r="FI247" s="3">
        <v>-5579.35</v>
      </c>
      <c r="FJ247" s="3">
        <v>568.428</v>
      </c>
      <c r="FK247" s="3">
        <v>561.71799999999996</v>
      </c>
      <c r="FL247" s="3">
        <v>0</v>
      </c>
      <c r="FM247" s="3"/>
    </row>
    <row r="248" spans="1:169" x14ac:dyDescent="0.3">
      <c r="A248" s="2">
        <v>240</v>
      </c>
      <c r="B248" s="5">
        <v>40</v>
      </c>
      <c r="C248" s="6">
        <v>1101456</v>
      </c>
      <c r="D248" s="6" t="s">
        <v>263</v>
      </c>
      <c r="E248" s="6">
        <v>3913010</v>
      </c>
      <c r="F248" s="6">
        <v>1913011</v>
      </c>
      <c r="G248" s="6">
        <v>0</v>
      </c>
      <c r="H248" s="6">
        <v>0</v>
      </c>
      <c r="I248" s="6">
        <v>57.914999999999999</v>
      </c>
      <c r="J248" s="6" t="s">
        <v>194</v>
      </c>
      <c r="K248" s="6" t="s">
        <v>195</v>
      </c>
      <c r="L248" s="7" t="s">
        <v>196</v>
      </c>
      <c r="M248" s="7" t="s">
        <v>172</v>
      </c>
      <c r="N248" s="8" t="s">
        <v>2699</v>
      </c>
      <c r="O248" s="5">
        <v>-9524.42</v>
      </c>
      <c r="P248" s="6">
        <v>-6589.82</v>
      </c>
      <c r="Q248" s="6">
        <v>-4789.7299999999996</v>
      </c>
      <c r="R248" s="12">
        <v>9490.92</v>
      </c>
      <c r="S248" s="4" t="s">
        <v>2700</v>
      </c>
      <c r="T248" s="4" t="s">
        <v>2701</v>
      </c>
      <c r="U248" s="4" t="s">
        <v>2702</v>
      </c>
      <c r="V248" s="4" t="s">
        <v>2703</v>
      </c>
      <c r="W248" s="4" t="s">
        <v>2704</v>
      </c>
      <c r="X248" s="4" t="s">
        <v>2705</v>
      </c>
      <c r="Y248" s="4" t="s">
        <v>2706</v>
      </c>
      <c r="Z248" s="4" t="s">
        <v>2707</v>
      </c>
      <c r="AA248" s="4" t="s">
        <v>2708</v>
      </c>
      <c r="AB248" s="4" t="s">
        <v>2709</v>
      </c>
      <c r="AC248" s="4" t="s">
        <v>2710</v>
      </c>
      <c r="AD248" s="4" t="s">
        <v>2711</v>
      </c>
      <c r="AE248" s="4" t="s">
        <v>2712</v>
      </c>
      <c r="AF248" s="4" t="s">
        <v>2713</v>
      </c>
      <c r="AG248" s="4" t="s">
        <v>2714</v>
      </c>
      <c r="AH248" s="4" t="s">
        <v>2715</v>
      </c>
      <c r="AI248" s="4" t="s">
        <v>2716</v>
      </c>
      <c r="AJ248" s="4" t="s">
        <v>2717</v>
      </c>
      <c r="AK248" s="4" t="s">
        <v>2718</v>
      </c>
      <c r="AL248" s="4" t="s">
        <v>2719</v>
      </c>
      <c r="AM248" s="3">
        <v>-2604.19</v>
      </c>
      <c r="AN248" s="3">
        <v>-2574.37</v>
      </c>
      <c r="AO248" s="3">
        <v>-2541.54</v>
      </c>
      <c r="AP248" s="3">
        <v>-2520.84</v>
      </c>
      <c r="AQ248" s="3">
        <v>-2503.66</v>
      </c>
      <c r="AR248" s="3">
        <v>-2477.44</v>
      </c>
      <c r="AS248" s="3">
        <v>-2369.44</v>
      </c>
      <c r="AT248" s="3">
        <v>-2206.25</v>
      </c>
      <c r="AU248" s="3">
        <v>-2039.88</v>
      </c>
      <c r="AV248" s="3">
        <v>-1901.14</v>
      </c>
      <c r="AW248" s="3">
        <v>-1747.42</v>
      </c>
      <c r="AX248" s="3">
        <v>-1913.6</v>
      </c>
      <c r="AY248" s="3">
        <v>-2073.23</v>
      </c>
      <c r="AZ248" s="3">
        <v>-2209.04</v>
      </c>
      <c r="BA248" s="3">
        <v>-2336.67</v>
      </c>
      <c r="BB248" s="3">
        <v>-2471.81</v>
      </c>
      <c r="BC248" s="3">
        <v>-2506.59</v>
      </c>
      <c r="BD248" s="3">
        <v>-2576.69</v>
      </c>
      <c r="BE248" s="3">
        <v>-2628.24</v>
      </c>
      <c r="BF248" s="3">
        <v>-2625.05</v>
      </c>
      <c r="BG248" s="3">
        <v>131.423</v>
      </c>
      <c r="BH248" s="3">
        <v>107.837</v>
      </c>
      <c r="BI248" s="3">
        <v>93.003399999999999</v>
      </c>
      <c r="BJ248" s="3">
        <v>90.6858</v>
      </c>
      <c r="BK248" s="3">
        <v>87.493200000000002</v>
      </c>
      <c r="BL248" s="3">
        <v>73.613200000000006</v>
      </c>
      <c r="BM248" s="3">
        <v>44.473399999999998</v>
      </c>
      <c r="BN248" s="3">
        <v>14.6973</v>
      </c>
      <c r="BO248" s="3">
        <v>-1.0872999999999999</v>
      </c>
      <c r="BP248" s="3">
        <v>0.42539199999999999</v>
      </c>
      <c r="BQ248" s="3">
        <v>3.6393599999999999</v>
      </c>
      <c r="BR248" s="3">
        <v>23.135000000000002</v>
      </c>
      <c r="BS248" s="3">
        <v>34.585599999999999</v>
      </c>
      <c r="BT248" s="3">
        <v>24.681100000000001</v>
      </c>
      <c r="BU248" s="3">
        <v>8.8726500000000001</v>
      </c>
      <c r="BV248" s="3">
        <v>14.7316</v>
      </c>
      <c r="BW248" s="3">
        <v>31.179099999999998</v>
      </c>
      <c r="BX248" s="3">
        <v>60.891100000000002</v>
      </c>
      <c r="BY248" s="3">
        <v>88.956599999999995</v>
      </c>
      <c r="BZ248" s="3">
        <v>107.449</v>
      </c>
      <c r="CA248" s="3">
        <v>325.42599999999999</v>
      </c>
      <c r="CB248" s="3">
        <v>364.23599999999999</v>
      </c>
      <c r="CC248" s="3">
        <v>428.02499999999998</v>
      </c>
      <c r="CD248" s="3">
        <v>485.73200000000003</v>
      </c>
      <c r="CE248" s="3">
        <v>522.47799999999995</v>
      </c>
      <c r="CF248" s="3">
        <v>549.44299999999998</v>
      </c>
      <c r="CG248" s="3">
        <v>520.88</v>
      </c>
      <c r="CH248" s="3">
        <v>518.99199999999996</v>
      </c>
      <c r="CI248" s="3">
        <v>529.154</v>
      </c>
      <c r="CJ248" s="3">
        <v>475.88400000000001</v>
      </c>
      <c r="CK248" s="3">
        <v>340.77800000000002</v>
      </c>
      <c r="CL248" s="3">
        <v>327.137</v>
      </c>
      <c r="CM248" s="3">
        <v>297.80399999999997</v>
      </c>
      <c r="CN248" s="3">
        <v>264.49</v>
      </c>
      <c r="CO248" s="3">
        <v>249.52799999999999</v>
      </c>
      <c r="CP248" s="3">
        <v>237.042</v>
      </c>
      <c r="CQ248" s="3">
        <v>334.036</v>
      </c>
      <c r="CR248" s="3">
        <v>359.83300000000003</v>
      </c>
      <c r="CS248" s="3">
        <v>327.64100000000002</v>
      </c>
      <c r="CT248" s="3">
        <v>307.94600000000003</v>
      </c>
      <c r="CU248" s="3">
        <v>-1500.46</v>
      </c>
      <c r="CV248" s="3">
        <v>-2104.73</v>
      </c>
      <c r="CW248" s="3">
        <v>-2957.92</v>
      </c>
      <c r="CX248" s="3">
        <v>-4295.3500000000004</v>
      </c>
      <c r="CY248" s="3">
        <v>-6105.36</v>
      </c>
      <c r="CZ248" s="3">
        <v>-8029.08</v>
      </c>
      <c r="DA248" s="3">
        <v>-7801.07</v>
      </c>
      <c r="DB248" s="3">
        <v>-7645.82</v>
      </c>
      <c r="DC248" s="3">
        <v>-7556.07</v>
      </c>
      <c r="DD248" s="3">
        <v>-7635.69</v>
      </c>
      <c r="DE248" s="3">
        <v>-7894.95</v>
      </c>
      <c r="DF248" s="3">
        <v>-6794.6</v>
      </c>
      <c r="DG248" s="3">
        <v>-5694.42</v>
      </c>
      <c r="DH248" s="3">
        <v>-4666.9799999999996</v>
      </c>
      <c r="DI248" s="3">
        <v>-3606.78</v>
      </c>
      <c r="DJ248" s="3">
        <v>-2418.6999999999998</v>
      </c>
      <c r="DK248" s="3">
        <v>-2351.81</v>
      </c>
      <c r="DL248" s="3">
        <v>-2242.2600000000002</v>
      </c>
      <c r="DM248" s="3">
        <v>-2085.2199999999998</v>
      </c>
      <c r="DN248" s="3">
        <v>-1805.06</v>
      </c>
      <c r="DO248" s="3">
        <v>1628.85</v>
      </c>
      <c r="DP248" s="3">
        <v>1427.91</v>
      </c>
      <c r="DQ248" s="3">
        <v>1133.8</v>
      </c>
      <c r="DR248" s="3">
        <v>898.28099999999995</v>
      </c>
      <c r="DS248" s="3">
        <v>728.44399999999996</v>
      </c>
      <c r="DT248" s="3">
        <v>653.10500000000002</v>
      </c>
      <c r="DU248" s="3">
        <v>837.16</v>
      </c>
      <c r="DV248" s="3">
        <v>564.69899999999996</v>
      </c>
      <c r="DW248" s="3">
        <v>36.985999999999997</v>
      </c>
      <c r="DX248" s="3">
        <v>-374.88400000000001</v>
      </c>
      <c r="DY248" s="3">
        <v>-423.80700000000002</v>
      </c>
      <c r="DZ248" s="3">
        <v>-275.50599999999997</v>
      </c>
      <c r="EA248" s="3">
        <v>-149.69</v>
      </c>
      <c r="EB248" s="3">
        <v>12.485900000000001</v>
      </c>
      <c r="EC248" s="3">
        <v>118.107</v>
      </c>
      <c r="ED248" s="3">
        <v>232.44200000000001</v>
      </c>
      <c r="EE248" s="3">
        <v>503.21300000000002</v>
      </c>
      <c r="EF248" s="3">
        <v>866.78800000000001</v>
      </c>
      <c r="EG248" s="3">
        <v>1217.96</v>
      </c>
      <c r="EH248" s="3">
        <v>1465.68</v>
      </c>
      <c r="EI248" s="3">
        <v>578.36</v>
      </c>
      <c r="EJ248" s="3">
        <v>394.19600000000003</v>
      </c>
      <c r="EK248" s="3">
        <v>191.94399999999999</v>
      </c>
      <c r="EL248" s="3">
        <v>40.986199999999997</v>
      </c>
      <c r="EM248" s="3">
        <v>8.3786900000000006</v>
      </c>
      <c r="EN248" s="3">
        <v>50.134300000000003</v>
      </c>
      <c r="EO248" s="3">
        <v>315.44499999999999</v>
      </c>
      <c r="EP248" s="3">
        <v>401.80599999999998</v>
      </c>
      <c r="EQ248" s="3">
        <v>328.899</v>
      </c>
      <c r="ER248" s="3">
        <v>282.54300000000001</v>
      </c>
      <c r="ES248" s="3">
        <v>361.08699999999999</v>
      </c>
      <c r="ET248" s="3">
        <v>533.36900000000003</v>
      </c>
      <c r="EU248" s="3">
        <v>661.10299999999995</v>
      </c>
      <c r="EV248" s="3">
        <v>713.92</v>
      </c>
      <c r="EW248" s="3">
        <v>698.71900000000005</v>
      </c>
      <c r="EX248" s="3">
        <v>697.27</v>
      </c>
      <c r="EY248" s="3">
        <v>646.29700000000003</v>
      </c>
      <c r="EZ248" s="3">
        <v>686.50900000000001</v>
      </c>
      <c r="FA248" s="3">
        <v>699.63599999999997</v>
      </c>
      <c r="FB248" s="3">
        <v>624.71299999999997</v>
      </c>
      <c r="FC248" s="3">
        <v>-2123.59</v>
      </c>
      <c r="FD248" s="3">
        <v>-2568.7600000000002</v>
      </c>
      <c r="FE248" s="3">
        <v>18.2742</v>
      </c>
      <c r="FF248" s="3">
        <v>97.342600000000004</v>
      </c>
      <c r="FG248" s="3">
        <v>286.13</v>
      </c>
      <c r="FH248" s="3">
        <v>489.18799999999999</v>
      </c>
      <c r="FI248" s="3">
        <v>4913.8500000000004</v>
      </c>
      <c r="FJ248" s="3">
        <v>-498.702</v>
      </c>
      <c r="FK248" s="3">
        <v>-441.75700000000001</v>
      </c>
      <c r="FL248" s="3">
        <v>0</v>
      </c>
      <c r="FM248" s="3"/>
    </row>
    <row r="249" spans="1:169" x14ac:dyDescent="0.3">
      <c r="A249" s="2">
        <v>241</v>
      </c>
      <c r="B249" s="5">
        <v>41</v>
      </c>
      <c r="C249" s="6">
        <v>1500794</v>
      </c>
      <c r="D249" s="6" t="s">
        <v>197</v>
      </c>
      <c r="E249" s="6">
        <v>3903020</v>
      </c>
      <c r="F249" s="6">
        <v>1903021</v>
      </c>
      <c r="G249" s="6">
        <v>0</v>
      </c>
      <c r="H249" s="6">
        <v>0</v>
      </c>
      <c r="I249" s="6">
        <v>57.914999999999999</v>
      </c>
      <c r="J249" s="6" t="s">
        <v>169</v>
      </c>
      <c r="K249" s="6" t="s">
        <v>170</v>
      </c>
      <c r="L249" s="7" t="s">
        <v>171</v>
      </c>
      <c r="M249" s="7" t="s">
        <v>172</v>
      </c>
      <c r="N249" s="8" t="s">
        <v>2720</v>
      </c>
      <c r="O249" s="5">
        <v>12776.5</v>
      </c>
      <c r="P249" s="6">
        <v>2411.67</v>
      </c>
      <c r="Q249" s="6">
        <v>14939.8</v>
      </c>
      <c r="R249" s="12">
        <v>0</v>
      </c>
      <c r="S249" s="4" t="s">
        <v>2721</v>
      </c>
      <c r="T249" s="4" t="s">
        <v>2722</v>
      </c>
      <c r="U249" s="4" t="s">
        <v>2723</v>
      </c>
      <c r="V249" s="4" t="s">
        <v>2724</v>
      </c>
      <c r="W249" s="4" t="s">
        <v>2725</v>
      </c>
      <c r="X249" s="4" t="s">
        <v>2726</v>
      </c>
      <c r="Y249" s="4" t="s">
        <v>2727</v>
      </c>
      <c r="Z249" s="4" t="s">
        <v>2728</v>
      </c>
      <c r="AA249" s="4" t="s">
        <v>2729</v>
      </c>
      <c r="AB249" s="4" t="s">
        <v>2730</v>
      </c>
      <c r="AC249" s="4" t="s">
        <v>2731</v>
      </c>
      <c r="AD249" s="4" t="s">
        <v>2732</v>
      </c>
      <c r="AE249" s="4" t="s">
        <v>2733</v>
      </c>
      <c r="AF249" s="4" t="s">
        <v>2734</v>
      </c>
      <c r="AG249" s="4" t="s">
        <v>2735</v>
      </c>
      <c r="AH249" s="4" t="s">
        <v>2736</v>
      </c>
      <c r="AI249" s="4" t="s">
        <v>2737</v>
      </c>
      <c r="AJ249" s="4" t="s">
        <v>2738</v>
      </c>
      <c r="AK249" s="4" t="s">
        <v>2739</v>
      </c>
      <c r="AL249" s="4" t="s">
        <v>2740</v>
      </c>
      <c r="AM249" s="3">
        <v>-897.89300000000003</v>
      </c>
      <c r="AN249" s="3">
        <v>-878.16200000000003</v>
      </c>
      <c r="AO249" s="3">
        <v>-857.21400000000006</v>
      </c>
      <c r="AP249" s="3">
        <v>-832.83699999999999</v>
      </c>
      <c r="AQ249" s="3">
        <v>-800.90599999999995</v>
      </c>
      <c r="AR249" s="3">
        <v>-769.077</v>
      </c>
      <c r="AS249" s="3">
        <v>-638.63099999999997</v>
      </c>
      <c r="AT249" s="3">
        <v>-529.20600000000002</v>
      </c>
      <c r="AU249" s="3">
        <v>-397.37200000000001</v>
      </c>
      <c r="AV249" s="3">
        <v>-225.786</v>
      </c>
      <c r="AW249" s="3">
        <v>-46.6357</v>
      </c>
      <c r="AX249" s="3">
        <v>-44.540399999999998</v>
      </c>
      <c r="AY249" s="3">
        <v>-45.841099999999997</v>
      </c>
      <c r="AZ249" s="3">
        <v>-57.156399999999998</v>
      </c>
      <c r="BA249" s="3">
        <v>-78.000200000000007</v>
      </c>
      <c r="BB249" s="3">
        <v>-96.322100000000006</v>
      </c>
      <c r="BC249" s="3">
        <v>-228.31800000000001</v>
      </c>
      <c r="BD249" s="3">
        <v>-355.67399999999998</v>
      </c>
      <c r="BE249" s="3">
        <v>-502.51799999999997</v>
      </c>
      <c r="BF249" s="3">
        <v>-696.13</v>
      </c>
      <c r="BG249" s="3">
        <v>274.53800000000001</v>
      </c>
      <c r="BH249" s="3">
        <v>289.67399999999998</v>
      </c>
      <c r="BI249" s="3">
        <v>311.33600000000001</v>
      </c>
      <c r="BJ249" s="3">
        <v>336.548</v>
      </c>
      <c r="BK249" s="3">
        <v>366.50799999999998</v>
      </c>
      <c r="BL249" s="3">
        <v>412.04599999999999</v>
      </c>
      <c r="BM249" s="3">
        <v>429.32600000000002</v>
      </c>
      <c r="BN249" s="3">
        <v>443.57</v>
      </c>
      <c r="BO249" s="3">
        <v>443.32100000000003</v>
      </c>
      <c r="BP249" s="3">
        <v>427.88200000000001</v>
      </c>
      <c r="BQ249" s="3">
        <v>417.33600000000001</v>
      </c>
      <c r="BR249" s="3">
        <v>386.072</v>
      </c>
      <c r="BS249" s="3">
        <v>359.39600000000002</v>
      </c>
      <c r="BT249" s="3">
        <v>345.495</v>
      </c>
      <c r="BU249" s="3">
        <v>344.06200000000001</v>
      </c>
      <c r="BV249" s="3">
        <v>330.70299999999997</v>
      </c>
      <c r="BW249" s="3">
        <v>299.20400000000001</v>
      </c>
      <c r="BX249" s="3">
        <v>288.14600000000002</v>
      </c>
      <c r="BY249" s="3">
        <v>279.55700000000002</v>
      </c>
      <c r="BZ249" s="3">
        <v>280.63400000000001</v>
      </c>
      <c r="CA249" s="3">
        <v>-370.20699999999999</v>
      </c>
      <c r="CB249" s="3">
        <v>-385.16300000000001</v>
      </c>
      <c r="CC249" s="3">
        <v>-410.62700000000001</v>
      </c>
      <c r="CD249" s="3">
        <v>-439.88200000000001</v>
      </c>
      <c r="CE249" s="3">
        <v>-464.32400000000001</v>
      </c>
      <c r="CF249" s="3">
        <v>-481.17700000000002</v>
      </c>
      <c r="CG249" s="3">
        <v>-508.68299999999999</v>
      </c>
      <c r="CH249" s="3">
        <v>-530.476</v>
      </c>
      <c r="CI249" s="3">
        <v>-557.08299999999997</v>
      </c>
      <c r="CJ249" s="3">
        <v>-571.22500000000002</v>
      </c>
      <c r="CK249" s="3">
        <v>-569.18399999999997</v>
      </c>
      <c r="CL249" s="3">
        <v>-571.62300000000005</v>
      </c>
      <c r="CM249" s="3">
        <v>-562.46299999999997</v>
      </c>
      <c r="CN249" s="3">
        <v>-545.27200000000005</v>
      </c>
      <c r="CO249" s="3">
        <v>-528.95600000000002</v>
      </c>
      <c r="CP249" s="3">
        <v>-497</v>
      </c>
      <c r="CQ249" s="3">
        <v>-462.988</v>
      </c>
      <c r="CR249" s="3">
        <v>-461.22699999999998</v>
      </c>
      <c r="CS249" s="3">
        <v>-427.00599999999997</v>
      </c>
      <c r="CT249" s="3">
        <v>-392.35300000000001</v>
      </c>
      <c r="CU249" s="3">
        <v>-11825.2</v>
      </c>
      <c r="CV249" s="3">
        <v>-12569.1</v>
      </c>
      <c r="CW249" s="3">
        <v>-12448</v>
      </c>
      <c r="CX249" s="3">
        <v>-11360.7</v>
      </c>
      <c r="CY249" s="3">
        <v>-9765.2199999999993</v>
      </c>
      <c r="CZ249" s="3">
        <v>-8132.81</v>
      </c>
      <c r="DA249" s="3">
        <v>-7582.54</v>
      </c>
      <c r="DB249" s="3">
        <v>-7201.22</v>
      </c>
      <c r="DC249" s="3">
        <v>-7165.46</v>
      </c>
      <c r="DD249" s="3">
        <v>-7185.79</v>
      </c>
      <c r="DE249" s="3">
        <v>-7566.4</v>
      </c>
      <c r="DF249" s="3">
        <v>-8177.46</v>
      </c>
      <c r="DG249" s="3">
        <v>-8676.7199999999993</v>
      </c>
      <c r="DH249" s="3">
        <v>-9069.7099999999991</v>
      </c>
      <c r="DI249" s="3">
        <v>-9140.76</v>
      </c>
      <c r="DJ249" s="3">
        <v>-7925.78</v>
      </c>
      <c r="DK249" s="3">
        <v>-8904.91</v>
      </c>
      <c r="DL249" s="3">
        <v>-10249.799999999999</v>
      </c>
      <c r="DM249" s="3">
        <v>-11020</v>
      </c>
      <c r="DN249" s="3">
        <v>-11525.1</v>
      </c>
      <c r="DO249" s="3">
        <v>-2637.69</v>
      </c>
      <c r="DP249" s="3">
        <v>-2399.71</v>
      </c>
      <c r="DQ249" s="3">
        <v>-2105.27</v>
      </c>
      <c r="DR249" s="3">
        <v>-1750.8</v>
      </c>
      <c r="DS249" s="3">
        <v>-1191.3699999999999</v>
      </c>
      <c r="DT249" s="3">
        <v>-444.20499999999998</v>
      </c>
      <c r="DU249" s="3">
        <v>-1261.22</v>
      </c>
      <c r="DV249" s="3">
        <v>-1537.44</v>
      </c>
      <c r="DW249" s="3">
        <v>-1492.36</v>
      </c>
      <c r="DX249" s="3">
        <v>-1722.24</v>
      </c>
      <c r="DY249" s="3">
        <v>-1928.98</v>
      </c>
      <c r="DZ249" s="3">
        <v>-1813.8</v>
      </c>
      <c r="EA249" s="3">
        <v>-1778.54</v>
      </c>
      <c r="EB249" s="3">
        <v>-1744.93</v>
      </c>
      <c r="EC249" s="3">
        <v>-1729.42</v>
      </c>
      <c r="ED249" s="3">
        <v>-1789.85</v>
      </c>
      <c r="EE249" s="3">
        <v>-2651.94</v>
      </c>
      <c r="EF249" s="3">
        <v>-3804.6</v>
      </c>
      <c r="EG249" s="3">
        <v>-4245.8100000000004</v>
      </c>
      <c r="EH249" s="3">
        <v>-3536.77</v>
      </c>
      <c r="EI249" s="3">
        <v>413.17</v>
      </c>
      <c r="EJ249" s="3">
        <v>618.78599999999994</v>
      </c>
      <c r="EK249" s="3">
        <v>611.98</v>
      </c>
      <c r="EL249" s="3">
        <v>534.40599999999995</v>
      </c>
      <c r="EM249" s="3">
        <v>706.81899999999996</v>
      </c>
      <c r="EN249" s="3">
        <v>1157.42</v>
      </c>
      <c r="EO249" s="3">
        <v>1734.84</v>
      </c>
      <c r="EP249" s="3">
        <v>2212.1</v>
      </c>
      <c r="EQ249" s="3">
        <v>2263.08</v>
      </c>
      <c r="ER249" s="3">
        <v>1962.86</v>
      </c>
      <c r="ES249" s="3">
        <v>1660.14</v>
      </c>
      <c r="ET249" s="3">
        <v>1924.56</v>
      </c>
      <c r="EU249" s="3">
        <v>2111.66</v>
      </c>
      <c r="EV249" s="3">
        <v>2035.65</v>
      </c>
      <c r="EW249" s="3">
        <v>1642.14</v>
      </c>
      <c r="EX249" s="3">
        <v>1045.8399999999999</v>
      </c>
      <c r="EY249" s="3">
        <v>628.97699999999998</v>
      </c>
      <c r="EZ249" s="3">
        <v>275.673</v>
      </c>
      <c r="FA249" s="3">
        <v>519.96900000000005</v>
      </c>
      <c r="FB249" s="3">
        <v>690.76400000000001</v>
      </c>
      <c r="FC249" s="3">
        <v>-434.45100000000002</v>
      </c>
      <c r="FD249" s="3">
        <v>-462.80900000000003</v>
      </c>
      <c r="FE249" s="3">
        <v>331.77499999999998</v>
      </c>
      <c r="FF249" s="3">
        <v>363.84399999999999</v>
      </c>
      <c r="FG249" s="3">
        <v>-425.23</v>
      </c>
      <c r="FH249" s="3">
        <v>-545.75</v>
      </c>
      <c r="FI249" s="3">
        <v>8857.09</v>
      </c>
      <c r="FJ249" s="3">
        <v>1776.21</v>
      </c>
      <c r="FK249" s="3">
        <v>-1209.48</v>
      </c>
      <c r="FL249" s="3">
        <v>0</v>
      </c>
      <c r="FM249" s="3"/>
    </row>
    <row r="250" spans="1:169" x14ac:dyDescent="0.3">
      <c r="A250" s="2">
        <v>242</v>
      </c>
      <c r="B250" s="5">
        <v>41</v>
      </c>
      <c r="C250" s="6">
        <v>1500794</v>
      </c>
      <c r="D250" s="6" t="s">
        <v>197</v>
      </c>
      <c r="E250" s="6">
        <v>3903020</v>
      </c>
      <c r="F250" s="6">
        <v>1903021</v>
      </c>
      <c r="G250" s="6">
        <v>0</v>
      </c>
      <c r="H250" s="6">
        <v>0</v>
      </c>
      <c r="I250" s="6">
        <v>57.914999999999999</v>
      </c>
      <c r="J250" s="6" t="s">
        <v>194</v>
      </c>
      <c r="K250" s="6" t="s">
        <v>195</v>
      </c>
      <c r="L250" s="7" t="s">
        <v>196</v>
      </c>
      <c r="M250" s="7" t="s">
        <v>172</v>
      </c>
      <c r="N250" s="8" t="s">
        <v>2720</v>
      </c>
      <c r="O250" s="5">
        <v>-11179.1</v>
      </c>
      <c r="P250" s="6">
        <v>-2763.28</v>
      </c>
      <c r="Q250" s="6">
        <v>-12951.8</v>
      </c>
      <c r="R250" s="12">
        <v>37023.4</v>
      </c>
      <c r="S250" s="4" t="s">
        <v>2721</v>
      </c>
      <c r="T250" s="4" t="s">
        <v>2722</v>
      </c>
      <c r="U250" s="4" t="s">
        <v>2723</v>
      </c>
      <c r="V250" s="4" t="s">
        <v>2724</v>
      </c>
      <c r="W250" s="4" t="s">
        <v>2725</v>
      </c>
      <c r="X250" s="4" t="s">
        <v>2726</v>
      </c>
      <c r="Y250" s="4" t="s">
        <v>2727</v>
      </c>
      <c r="Z250" s="4" t="s">
        <v>2728</v>
      </c>
      <c r="AA250" s="4" t="s">
        <v>2729</v>
      </c>
      <c r="AB250" s="4" t="s">
        <v>2730</v>
      </c>
      <c r="AC250" s="4" t="s">
        <v>2731</v>
      </c>
      <c r="AD250" s="4" t="s">
        <v>2732</v>
      </c>
      <c r="AE250" s="4" t="s">
        <v>2733</v>
      </c>
      <c r="AF250" s="4" t="s">
        <v>2734</v>
      </c>
      <c r="AG250" s="4" t="s">
        <v>2735</v>
      </c>
      <c r="AH250" s="4" t="s">
        <v>2736</v>
      </c>
      <c r="AI250" s="4" t="s">
        <v>2737</v>
      </c>
      <c r="AJ250" s="4" t="s">
        <v>2738</v>
      </c>
      <c r="AK250" s="4" t="s">
        <v>2739</v>
      </c>
      <c r="AL250" s="4" t="s">
        <v>2740</v>
      </c>
      <c r="AM250" s="3">
        <v>1440.77</v>
      </c>
      <c r="AN250" s="3">
        <v>1546.09</v>
      </c>
      <c r="AO250" s="3">
        <v>1679.05</v>
      </c>
      <c r="AP250" s="3">
        <v>1836.41</v>
      </c>
      <c r="AQ250" s="3">
        <v>2032.59</v>
      </c>
      <c r="AR250" s="3">
        <v>2244.89</v>
      </c>
      <c r="AS250" s="3">
        <v>2051.54</v>
      </c>
      <c r="AT250" s="3">
        <v>1745.55</v>
      </c>
      <c r="AU250" s="3">
        <v>1354.62</v>
      </c>
      <c r="AV250" s="3">
        <v>903.16800000000001</v>
      </c>
      <c r="AW250" s="3">
        <v>450.61700000000002</v>
      </c>
      <c r="AX250" s="3">
        <v>450.01100000000002</v>
      </c>
      <c r="AY250" s="3">
        <v>442.41</v>
      </c>
      <c r="AZ250" s="3">
        <v>434.73700000000002</v>
      </c>
      <c r="BA250" s="3">
        <v>429.29599999999999</v>
      </c>
      <c r="BB250" s="3">
        <v>408.08300000000003</v>
      </c>
      <c r="BC250" s="3">
        <v>640.58399999999995</v>
      </c>
      <c r="BD250" s="3">
        <v>873.91300000000001</v>
      </c>
      <c r="BE250" s="3">
        <v>1084.97</v>
      </c>
      <c r="BF250" s="3">
        <v>1287.6199999999999</v>
      </c>
      <c r="BG250" s="3">
        <v>-405.36599999999999</v>
      </c>
      <c r="BH250" s="3">
        <v>-441.82299999999998</v>
      </c>
      <c r="BI250" s="3">
        <v>-482.99700000000001</v>
      </c>
      <c r="BJ250" s="3">
        <v>-518.79499999999996</v>
      </c>
      <c r="BK250" s="3">
        <v>-547.11500000000001</v>
      </c>
      <c r="BL250" s="3">
        <v>-558.60400000000004</v>
      </c>
      <c r="BM250" s="3">
        <v>-527.92700000000002</v>
      </c>
      <c r="BN250" s="3">
        <v>-480.43099999999998</v>
      </c>
      <c r="BO250" s="3">
        <v>-422.709</v>
      </c>
      <c r="BP250" s="3">
        <v>-361.73099999999999</v>
      </c>
      <c r="BQ250" s="3">
        <v>-321.245</v>
      </c>
      <c r="BR250" s="3">
        <v>-341.10399999999998</v>
      </c>
      <c r="BS250" s="3">
        <v>-355.11</v>
      </c>
      <c r="BT250" s="3">
        <v>-369.858</v>
      </c>
      <c r="BU250" s="3">
        <v>-386.36700000000002</v>
      </c>
      <c r="BV250" s="3">
        <v>-380.65899999999999</v>
      </c>
      <c r="BW250" s="3">
        <v>-378.89800000000002</v>
      </c>
      <c r="BX250" s="3">
        <v>-399.30099999999999</v>
      </c>
      <c r="BY250" s="3">
        <v>-412.95800000000003</v>
      </c>
      <c r="BZ250" s="3">
        <v>-421.25700000000001</v>
      </c>
      <c r="CA250" s="3">
        <v>648.49</v>
      </c>
      <c r="CB250" s="3">
        <v>681.58600000000001</v>
      </c>
      <c r="CC250" s="3">
        <v>718.32799999999997</v>
      </c>
      <c r="CD250" s="3">
        <v>749.30200000000002</v>
      </c>
      <c r="CE250" s="3">
        <v>761.48400000000004</v>
      </c>
      <c r="CF250" s="3">
        <v>755.173</v>
      </c>
      <c r="CG250" s="3">
        <v>536.37099999999998</v>
      </c>
      <c r="CH250" s="3">
        <v>384.05200000000002</v>
      </c>
      <c r="CI250" s="3">
        <v>302.03899999999999</v>
      </c>
      <c r="CJ250" s="3">
        <v>260.56400000000002</v>
      </c>
      <c r="CK250" s="3">
        <v>250.20400000000001</v>
      </c>
      <c r="CL250" s="3">
        <v>281.98599999999999</v>
      </c>
      <c r="CM250" s="3">
        <v>312.98899999999998</v>
      </c>
      <c r="CN250" s="3">
        <v>336.94200000000001</v>
      </c>
      <c r="CO250" s="3">
        <v>361.28899999999999</v>
      </c>
      <c r="CP250" s="3">
        <v>367.09899999999999</v>
      </c>
      <c r="CQ250" s="3">
        <v>377.25</v>
      </c>
      <c r="CR250" s="3">
        <v>434.339</v>
      </c>
      <c r="CS250" s="3">
        <v>486.01400000000001</v>
      </c>
      <c r="CT250" s="3">
        <v>557.85799999999995</v>
      </c>
      <c r="CU250" s="3">
        <v>12437.1</v>
      </c>
      <c r="CV250" s="3">
        <v>13409</v>
      </c>
      <c r="CW250" s="3">
        <v>13641</v>
      </c>
      <c r="CX250" s="3">
        <v>13032.3</v>
      </c>
      <c r="CY250" s="3">
        <v>12008.1</v>
      </c>
      <c r="CZ250" s="3">
        <v>11024.7</v>
      </c>
      <c r="DA250" s="3">
        <v>10788.1</v>
      </c>
      <c r="DB250" s="3">
        <v>10512.4</v>
      </c>
      <c r="DC250" s="3">
        <v>10420.799999999999</v>
      </c>
      <c r="DD250" s="3">
        <v>10292.799999999999</v>
      </c>
      <c r="DE250" s="3">
        <v>10465</v>
      </c>
      <c r="DF250" s="3">
        <v>10755</v>
      </c>
      <c r="DG250" s="3">
        <v>10888</v>
      </c>
      <c r="DH250" s="3">
        <v>10910.8</v>
      </c>
      <c r="DI250" s="3">
        <v>10654.5</v>
      </c>
      <c r="DJ250" s="3">
        <v>9171.82</v>
      </c>
      <c r="DK250" s="3">
        <v>10053.9</v>
      </c>
      <c r="DL250" s="3">
        <v>11357.8</v>
      </c>
      <c r="DM250" s="3">
        <v>11993.6</v>
      </c>
      <c r="DN250" s="3">
        <v>12321</v>
      </c>
      <c r="DO250" s="3">
        <v>3496.13</v>
      </c>
      <c r="DP250" s="3">
        <v>3472.97</v>
      </c>
      <c r="DQ250" s="3">
        <v>3421.2</v>
      </c>
      <c r="DR250" s="3">
        <v>3332.8</v>
      </c>
      <c r="DS250" s="3">
        <v>3077.23</v>
      </c>
      <c r="DT250" s="3">
        <v>2628.07</v>
      </c>
      <c r="DU250" s="3">
        <v>2950.18</v>
      </c>
      <c r="DV250" s="3">
        <v>2754.73</v>
      </c>
      <c r="DW250" s="3">
        <v>2297.9299999999998</v>
      </c>
      <c r="DX250" s="3">
        <v>2190.2600000000002</v>
      </c>
      <c r="DY250" s="3">
        <v>2185.6799999999998</v>
      </c>
      <c r="DZ250" s="3">
        <v>2189.1999999999998</v>
      </c>
      <c r="EA250" s="3">
        <v>2243.87</v>
      </c>
      <c r="EB250" s="3">
        <v>2267.21</v>
      </c>
      <c r="EC250" s="3">
        <v>2281.14</v>
      </c>
      <c r="ED250" s="3">
        <v>2322.38</v>
      </c>
      <c r="EE250" s="3">
        <v>3247.36</v>
      </c>
      <c r="EF250" s="3">
        <v>4470.8999999999996</v>
      </c>
      <c r="EG250" s="3">
        <v>4993.13</v>
      </c>
      <c r="EH250" s="3">
        <v>4382.74</v>
      </c>
      <c r="EI250" s="3">
        <v>-214.48400000000001</v>
      </c>
      <c r="EJ250" s="3">
        <v>-324.70999999999998</v>
      </c>
      <c r="EK250" s="3">
        <v>-209.04499999999999</v>
      </c>
      <c r="EL250" s="3">
        <v>3.9121999999999999</v>
      </c>
      <c r="EM250" s="3">
        <v>39.375100000000003</v>
      </c>
      <c r="EN250" s="3">
        <v>-148.14699999999999</v>
      </c>
      <c r="EO250" s="3">
        <v>-681.45399999999995</v>
      </c>
      <c r="EP250" s="3">
        <v>-1264.4100000000001</v>
      </c>
      <c r="EQ250" s="3">
        <v>-1486.73</v>
      </c>
      <c r="ER250" s="3">
        <v>-1370.27</v>
      </c>
      <c r="ES250" s="3">
        <v>-1259.32</v>
      </c>
      <c r="ET250" s="3">
        <v>-1471.8</v>
      </c>
      <c r="EU250" s="3">
        <v>-1650.38</v>
      </c>
      <c r="EV250" s="3">
        <v>-1611.39</v>
      </c>
      <c r="EW250" s="3">
        <v>-1287.43</v>
      </c>
      <c r="EX250" s="3">
        <v>-764.31799999999998</v>
      </c>
      <c r="EY250" s="3">
        <v>-304.23700000000002</v>
      </c>
      <c r="EZ250" s="3">
        <v>108.974</v>
      </c>
      <c r="FA250" s="3">
        <v>-116.268</v>
      </c>
      <c r="FB250" s="3">
        <v>-356.36599999999999</v>
      </c>
      <c r="FC250" s="3">
        <v>955.98900000000003</v>
      </c>
      <c r="FD250" s="3">
        <v>1458.4</v>
      </c>
      <c r="FE250" s="3">
        <v>-359.05700000000002</v>
      </c>
      <c r="FF250" s="3">
        <v>-492.45</v>
      </c>
      <c r="FG250" s="3">
        <v>318.41800000000001</v>
      </c>
      <c r="FH250" s="3">
        <v>719.06</v>
      </c>
      <c r="FI250" s="3">
        <v>-10903.2</v>
      </c>
      <c r="FJ250" s="3">
        <v>-2743.16</v>
      </c>
      <c r="FK250" s="3">
        <v>698.11599999999999</v>
      </c>
      <c r="FL250" s="3">
        <v>0</v>
      </c>
      <c r="FM250" s="3"/>
    </row>
    <row r="251" spans="1:169" x14ac:dyDescent="0.3">
      <c r="A251" s="2">
        <v>243</v>
      </c>
      <c r="B251" s="5">
        <v>41</v>
      </c>
      <c r="C251" s="6">
        <v>3502632</v>
      </c>
      <c r="D251" s="6" t="s">
        <v>219</v>
      </c>
      <c r="E251" s="6">
        <v>3903020</v>
      </c>
      <c r="F251" s="6">
        <v>3903022</v>
      </c>
      <c r="G251" s="6">
        <v>5903020</v>
      </c>
      <c r="H251" s="6">
        <v>3903023</v>
      </c>
      <c r="I251" s="6">
        <v>51.48</v>
      </c>
      <c r="J251" s="6" t="s">
        <v>169</v>
      </c>
      <c r="K251" s="6" t="s">
        <v>170</v>
      </c>
      <c r="L251" s="7" t="s">
        <v>171</v>
      </c>
      <c r="M251" s="7" t="s">
        <v>172</v>
      </c>
      <c r="N251" s="8" t="s">
        <v>2741</v>
      </c>
      <c r="O251" s="5">
        <v>40592.6</v>
      </c>
      <c r="P251" s="6">
        <v>-14769.8</v>
      </c>
      <c r="Q251" s="6">
        <v>663.23900000000003</v>
      </c>
      <c r="R251" s="12">
        <v>0</v>
      </c>
      <c r="S251" s="4" t="s">
        <v>2742</v>
      </c>
      <c r="T251" s="4" t="s">
        <v>2743</v>
      </c>
      <c r="U251" s="4" t="s">
        <v>2744</v>
      </c>
      <c r="V251" s="4" t="s">
        <v>2745</v>
      </c>
      <c r="W251" s="4" t="s">
        <v>2746</v>
      </c>
      <c r="X251" s="4" t="s">
        <v>2747</v>
      </c>
      <c r="Y251" s="4" t="s">
        <v>2748</v>
      </c>
      <c r="Z251" s="4" t="s">
        <v>2749</v>
      </c>
      <c r="AA251" s="4" t="s">
        <v>2750</v>
      </c>
      <c r="AB251" s="4" t="s">
        <v>2751</v>
      </c>
      <c r="AC251" s="4" t="s">
        <v>2752</v>
      </c>
      <c r="AD251" s="4" t="s">
        <v>2753</v>
      </c>
      <c r="AE251" s="4" t="s">
        <v>2754</v>
      </c>
      <c r="AF251" s="4" t="s">
        <v>2755</v>
      </c>
      <c r="AG251" s="4" t="s">
        <v>2756</v>
      </c>
      <c r="AH251" s="4" t="s">
        <v>2757</v>
      </c>
      <c r="AI251" s="4" t="s">
        <v>2758</v>
      </c>
      <c r="AJ251" s="4" t="s">
        <v>2759</v>
      </c>
      <c r="AK251" s="4" t="s">
        <v>2760</v>
      </c>
      <c r="AL251" s="4" t="s">
        <v>2761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/>
    </row>
    <row r="252" spans="1:169" x14ac:dyDescent="0.3">
      <c r="A252" s="2">
        <v>244</v>
      </c>
      <c r="B252" s="5">
        <v>41</v>
      </c>
      <c r="C252" s="6">
        <v>3502632</v>
      </c>
      <c r="D252" s="6" t="s">
        <v>219</v>
      </c>
      <c r="E252" s="6">
        <v>3903020</v>
      </c>
      <c r="F252" s="6">
        <v>3903022</v>
      </c>
      <c r="G252" s="6">
        <v>5903020</v>
      </c>
      <c r="H252" s="6">
        <v>3903023</v>
      </c>
      <c r="I252" s="6">
        <v>51.48</v>
      </c>
      <c r="J252" s="6" t="s">
        <v>194</v>
      </c>
      <c r="K252" s="6" t="s">
        <v>195</v>
      </c>
      <c r="L252" s="7" t="s">
        <v>196</v>
      </c>
      <c r="M252" s="7" t="s">
        <v>172</v>
      </c>
      <c r="N252" s="8" t="s">
        <v>2741</v>
      </c>
      <c r="O252" s="5">
        <v>-40157.699999999997</v>
      </c>
      <c r="P252" s="6">
        <v>17840.5</v>
      </c>
      <c r="Q252" s="6">
        <v>204.86500000000001</v>
      </c>
      <c r="R252" s="12">
        <v>37023.4</v>
      </c>
      <c r="S252" s="4" t="s">
        <v>2742</v>
      </c>
      <c r="T252" s="4" t="s">
        <v>2743</v>
      </c>
      <c r="U252" s="4" t="s">
        <v>2744</v>
      </c>
      <c r="V252" s="4" t="s">
        <v>2745</v>
      </c>
      <c r="W252" s="4" t="s">
        <v>2746</v>
      </c>
      <c r="X252" s="4" t="s">
        <v>2747</v>
      </c>
      <c r="Y252" s="4" t="s">
        <v>2748</v>
      </c>
      <c r="Z252" s="4" t="s">
        <v>2749</v>
      </c>
      <c r="AA252" s="4" t="s">
        <v>2750</v>
      </c>
      <c r="AB252" s="4" t="s">
        <v>2751</v>
      </c>
      <c r="AC252" s="4" t="s">
        <v>2752</v>
      </c>
      <c r="AD252" s="4" t="s">
        <v>2753</v>
      </c>
      <c r="AE252" s="4" t="s">
        <v>2754</v>
      </c>
      <c r="AF252" s="4" t="s">
        <v>2755</v>
      </c>
      <c r="AG252" s="4" t="s">
        <v>2756</v>
      </c>
      <c r="AH252" s="4" t="s">
        <v>2757</v>
      </c>
      <c r="AI252" s="4" t="s">
        <v>2758</v>
      </c>
      <c r="AJ252" s="4" t="s">
        <v>2759</v>
      </c>
      <c r="AK252" s="4" t="s">
        <v>2760</v>
      </c>
      <c r="AL252" s="4" t="s">
        <v>2761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/>
    </row>
    <row r="253" spans="1:169" x14ac:dyDescent="0.3">
      <c r="A253" s="2">
        <v>245</v>
      </c>
      <c r="B253" s="5">
        <v>41</v>
      </c>
      <c r="C253" s="6">
        <v>6301169</v>
      </c>
      <c r="D253" s="6" t="s">
        <v>774</v>
      </c>
      <c r="E253" s="6">
        <v>5903020</v>
      </c>
      <c r="F253" s="6">
        <v>5903020</v>
      </c>
      <c r="G253" s="6">
        <v>0</v>
      </c>
      <c r="H253" s="6">
        <v>0</v>
      </c>
      <c r="I253" s="6">
        <v>51.48</v>
      </c>
      <c r="J253" s="6" t="s">
        <v>169</v>
      </c>
      <c r="K253" s="6" t="s">
        <v>170</v>
      </c>
      <c r="L253" s="7" t="s">
        <v>171</v>
      </c>
      <c r="M253" s="7" t="s">
        <v>172</v>
      </c>
      <c r="N253" s="8" t="s">
        <v>2762</v>
      </c>
      <c r="O253" s="5">
        <v>-44915.7</v>
      </c>
      <c r="P253" s="6">
        <v>27609.200000000001</v>
      </c>
      <c r="Q253" s="6">
        <v>-16613.900000000001</v>
      </c>
      <c r="R253" s="12">
        <v>0</v>
      </c>
      <c r="S253" s="4" t="s">
        <v>2763</v>
      </c>
      <c r="T253" s="4" t="s">
        <v>2764</v>
      </c>
      <c r="U253" s="4" t="s">
        <v>2765</v>
      </c>
      <c r="V253" s="4" t="s">
        <v>2766</v>
      </c>
      <c r="W253" s="4" t="s">
        <v>2767</v>
      </c>
      <c r="X253" s="4" t="s">
        <v>2768</v>
      </c>
      <c r="Y253" s="4" t="s">
        <v>2769</v>
      </c>
      <c r="Z253" s="4" t="s">
        <v>2770</v>
      </c>
      <c r="AA253" s="4" t="s">
        <v>2771</v>
      </c>
      <c r="AB253" s="4" t="s">
        <v>2772</v>
      </c>
      <c r="AC253" s="4" t="s">
        <v>2773</v>
      </c>
      <c r="AD253" s="4" t="s">
        <v>2774</v>
      </c>
      <c r="AE253" s="4" t="s">
        <v>2775</v>
      </c>
      <c r="AF253" s="4" t="s">
        <v>2776</v>
      </c>
      <c r="AG253" s="4" t="s">
        <v>2777</v>
      </c>
      <c r="AH253" s="4" t="s">
        <v>2778</v>
      </c>
      <c r="AI253" s="4" t="s">
        <v>2779</v>
      </c>
      <c r="AJ253" s="4" t="s">
        <v>2780</v>
      </c>
      <c r="AK253" s="4" t="s">
        <v>2781</v>
      </c>
      <c r="AL253" s="4" t="s">
        <v>2782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 t="s">
        <v>2065</v>
      </c>
    </row>
    <row r="254" spans="1:169" x14ac:dyDescent="0.3">
      <c r="A254" s="2">
        <v>246</v>
      </c>
      <c r="B254" s="5">
        <v>41</v>
      </c>
      <c r="C254" s="6">
        <v>6301169</v>
      </c>
      <c r="D254" s="6" t="s">
        <v>774</v>
      </c>
      <c r="E254" s="6">
        <v>5903020</v>
      </c>
      <c r="F254" s="6">
        <v>5903020</v>
      </c>
      <c r="G254" s="6">
        <v>0</v>
      </c>
      <c r="H254" s="6">
        <v>0</v>
      </c>
      <c r="I254" s="6">
        <v>51.48</v>
      </c>
      <c r="J254" s="6" t="s">
        <v>194</v>
      </c>
      <c r="K254" s="6" t="s">
        <v>195</v>
      </c>
      <c r="L254" s="7" t="s">
        <v>196</v>
      </c>
      <c r="M254" s="7" t="s">
        <v>172</v>
      </c>
      <c r="N254" s="8" t="s">
        <v>2762</v>
      </c>
      <c r="O254" s="5">
        <v>44463.7</v>
      </c>
      <c r="P254" s="6">
        <v>-29077</v>
      </c>
      <c r="Q254" s="6">
        <v>13788.4</v>
      </c>
      <c r="R254" s="12">
        <v>37023.4</v>
      </c>
      <c r="S254" s="4" t="s">
        <v>2763</v>
      </c>
      <c r="T254" s="4" t="s">
        <v>2764</v>
      </c>
      <c r="U254" s="4" t="s">
        <v>2765</v>
      </c>
      <c r="V254" s="4" t="s">
        <v>2766</v>
      </c>
      <c r="W254" s="4" t="s">
        <v>2767</v>
      </c>
      <c r="X254" s="4" t="s">
        <v>2768</v>
      </c>
      <c r="Y254" s="4" t="s">
        <v>2769</v>
      </c>
      <c r="Z254" s="4" t="s">
        <v>2770</v>
      </c>
      <c r="AA254" s="4" t="s">
        <v>2771</v>
      </c>
      <c r="AB254" s="4" t="s">
        <v>2772</v>
      </c>
      <c r="AC254" s="4" t="s">
        <v>2773</v>
      </c>
      <c r="AD254" s="4" t="s">
        <v>2774</v>
      </c>
      <c r="AE254" s="4" t="s">
        <v>2775</v>
      </c>
      <c r="AF254" s="4" t="s">
        <v>2776</v>
      </c>
      <c r="AG254" s="4" t="s">
        <v>2777</v>
      </c>
      <c r="AH254" s="4" t="s">
        <v>2778</v>
      </c>
      <c r="AI254" s="4" t="s">
        <v>2779</v>
      </c>
      <c r="AJ254" s="4" t="s">
        <v>2780</v>
      </c>
      <c r="AK254" s="4" t="s">
        <v>2781</v>
      </c>
      <c r="AL254" s="4" t="s">
        <v>2782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 t="s">
        <v>2065</v>
      </c>
    </row>
    <row r="255" spans="1:169" x14ac:dyDescent="0.3">
      <c r="A255" s="2">
        <v>247</v>
      </c>
      <c r="B255" s="5">
        <v>42</v>
      </c>
      <c r="C255" s="6">
        <v>1500504</v>
      </c>
      <c r="D255" s="6" t="s">
        <v>197</v>
      </c>
      <c r="E255" s="6">
        <v>3906020</v>
      </c>
      <c r="F255" s="6">
        <v>1906021</v>
      </c>
      <c r="G255" s="6">
        <v>0</v>
      </c>
      <c r="H255" s="6">
        <v>0</v>
      </c>
      <c r="I255" s="6">
        <v>57.914999999999999</v>
      </c>
      <c r="J255" s="6" t="s">
        <v>169</v>
      </c>
      <c r="K255" s="6" t="s">
        <v>170</v>
      </c>
      <c r="L255" s="7" t="s">
        <v>171</v>
      </c>
      <c r="M255" s="7" t="s">
        <v>172</v>
      </c>
      <c r="N255" s="8" t="s">
        <v>2783</v>
      </c>
      <c r="O255" s="5">
        <v>-8883.89</v>
      </c>
      <c r="P255" s="6">
        <v>15619.8</v>
      </c>
      <c r="Q255" s="6">
        <v>10059.5</v>
      </c>
      <c r="R255" s="12">
        <v>8902.5400000000009</v>
      </c>
      <c r="S255" s="4" t="s">
        <v>2784</v>
      </c>
      <c r="T255" s="4" t="s">
        <v>2785</v>
      </c>
      <c r="U255" s="4" t="s">
        <v>2786</v>
      </c>
      <c r="V255" s="4" t="s">
        <v>2787</v>
      </c>
      <c r="W255" s="4" t="s">
        <v>2788</v>
      </c>
      <c r="X255" s="4" t="s">
        <v>2789</v>
      </c>
      <c r="Y255" s="4" t="s">
        <v>2790</v>
      </c>
      <c r="Z255" s="4" t="s">
        <v>2791</v>
      </c>
      <c r="AA255" s="4" t="s">
        <v>2792</v>
      </c>
      <c r="AB255" s="4" t="s">
        <v>2793</v>
      </c>
      <c r="AC255" s="4" t="s">
        <v>2794</v>
      </c>
      <c r="AD255" s="4" t="s">
        <v>2795</v>
      </c>
      <c r="AE255" s="4" t="s">
        <v>2796</v>
      </c>
      <c r="AF255" s="4" t="s">
        <v>2797</v>
      </c>
      <c r="AG255" s="4" t="s">
        <v>2798</v>
      </c>
      <c r="AH255" s="4" t="s">
        <v>2799</v>
      </c>
      <c r="AI255" s="4" t="s">
        <v>2800</v>
      </c>
      <c r="AJ255" s="4" t="s">
        <v>2801</v>
      </c>
      <c r="AK255" s="4" t="s">
        <v>2802</v>
      </c>
      <c r="AL255" s="4" t="s">
        <v>2803</v>
      </c>
      <c r="AM255" s="3">
        <v>-1492.85</v>
      </c>
      <c r="AN255" s="3">
        <v>-1336.95</v>
      </c>
      <c r="AO255" s="3">
        <v>-1184.03</v>
      </c>
      <c r="AP255" s="3">
        <v>-1016.28</v>
      </c>
      <c r="AQ255" s="3">
        <v>-818.89700000000005</v>
      </c>
      <c r="AR255" s="3">
        <v>-606.82500000000005</v>
      </c>
      <c r="AS255" s="3">
        <v>-900.33199999999999</v>
      </c>
      <c r="AT255" s="3">
        <v>-1185.28</v>
      </c>
      <c r="AU255" s="3">
        <v>-1511.51</v>
      </c>
      <c r="AV255" s="3">
        <v>-1854.32</v>
      </c>
      <c r="AW255" s="3">
        <v>-2155.62</v>
      </c>
      <c r="AX255" s="3">
        <v>-2229.31</v>
      </c>
      <c r="AY255" s="3">
        <v>-2285</v>
      </c>
      <c r="AZ255" s="3">
        <v>-2339.36</v>
      </c>
      <c r="BA255" s="3">
        <v>-2393.5500000000002</v>
      </c>
      <c r="BB255" s="3">
        <v>-2437.5500000000002</v>
      </c>
      <c r="BC255" s="3">
        <v>-2313.6799999999998</v>
      </c>
      <c r="BD255" s="3">
        <v>-2151.63</v>
      </c>
      <c r="BE255" s="3">
        <v>-1938.16</v>
      </c>
      <c r="BF255" s="3">
        <v>-1710.28</v>
      </c>
      <c r="BG255" s="3">
        <v>-4.9387499999999998</v>
      </c>
      <c r="BH255" s="3">
        <v>-10.566700000000001</v>
      </c>
      <c r="BI255" s="3">
        <v>-7.8247900000000001</v>
      </c>
      <c r="BJ255" s="3">
        <v>-9.5911500000000007</v>
      </c>
      <c r="BK255" s="3">
        <v>-25.742100000000001</v>
      </c>
      <c r="BL255" s="3">
        <v>-45.5884</v>
      </c>
      <c r="BM255" s="3">
        <v>-82.4512</v>
      </c>
      <c r="BN255" s="3">
        <v>-119.32299999999999</v>
      </c>
      <c r="BO255" s="3">
        <v>-130.91399999999999</v>
      </c>
      <c r="BP255" s="3">
        <v>-113.52500000000001</v>
      </c>
      <c r="BQ255" s="3">
        <v>-79.063199999999995</v>
      </c>
      <c r="BR255" s="3">
        <v>-49.908499999999997</v>
      </c>
      <c r="BS255" s="3">
        <v>-39.334600000000002</v>
      </c>
      <c r="BT255" s="3">
        <v>-24.6907</v>
      </c>
      <c r="BU255" s="3">
        <v>4.1028700000000002</v>
      </c>
      <c r="BV255" s="3">
        <v>37.614699999999999</v>
      </c>
      <c r="BW255" s="3">
        <v>8.3042300000000004</v>
      </c>
      <c r="BX255" s="3">
        <v>-5.1150000000000002</v>
      </c>
      <c r="BY255" s="3">
        <v>-14.4146</v>
      </c>
      <c r="BZ255" s="3">
        <v>-15.712999999999999</v>
      </c>
      <c r="CA255" s="3">
        <v>-327.21800000000002</v>
      </c>
      <c r="CB255" s="3">
        <v>-311.13799999999998</v>
      </c>
      <c r="CC255" s="3">
        <v>-311.024</v>
      </c>
      <c r="CD255" s="3">
        <v>-325.53199999999998</v>
      </c>
      <c r="CE255" s="3">
        <v>-329.50700000000001</v>
      </c>
      <c r="CF255" s="3">
        <v>-308.036</v>
      </c>
      <c r="CG255" s="3">
        <v>-495.33</v>
      </c>
      <c r="CH255" s="3">
        <v>-622.81899999999996</v>
      </c>
      <c r="CI255" s="3">
        <v>-717.39700000000005</v>
      </c>
      <c r="CJ255" s="3">
        <v>-819.697</v>
      </c>
      <c r="CK255" s="3">
        <v>-916.66200000000003</v>
      </c>
      <c r="CL255" s="3">
        <v>-867.57899999999995</v>
      </c>
      <c r="CM255" s="3">
        <v>-803.62800000000004</v>
      </c>
      <c r="CN255" s="3">
        <v>-721.4</v>
      </c>
      <c r="CO255" s="3">
        <v>-647.59900000000005</v>
      </c>
      <c r="CP255" s="3">
        <v>-593.16300000000001</v>
      </c>
      <c r="CQ255" s="3">
        <v>-557.87800000000004</v>
      </c>
      <c r="CR255" s="3">
        <v>-544.39599999999996</v>
      </c>
      <c r="CS255" s="3">
        <v>-530.13</v>
      </c>
      <c r="CT255" s="3">
        <v>-458.88499999999999</v>
      </c>
      <c r="CU255" s="3">
        <v>-8888.49</v>
      </c>
      <c r="CV255" s="3">
        <v>-10311.4</v>
      </c>
      <c r="CW255" s="3">
        <v>-11268.5</v>
      </c>
      <c r="CX255" s="3">
        <v>-11459.2</v>
      </c>
      <c r="CY255" s="3">
        <v>-10807.8</v>
      </c>
      <c r="CZ255" s="3">
        <v>-9838.2000000000007</v>
      </c>
      <c r="DA255" s="3">
        <v>-9498.09</v>
      </c>
      <c r="DB255" s="3">
        <v>-9331.86</v>
      </c>
      <c r="DC255" s="3">
        <v>-9353.89</v>
      </c>
      <c r="DD255" s="3">
        <v>-9314.74</v>
      </c>
      <c r="DE255" s="3">
        <v>-9131.86</v>
      </c>
      <c r="DF255" s="3">
        <v>-9346.39</v>
      </c>
      <c r="DG255" s="3">
        <v>-9609.59</v>
      </c>
      <c r="DH255" s="3">
        <v>-9994.68</v>
      </c>
      <c r="DI255" s="3">
        <v>-10091.700000000001</v>
      </c>
      <c r="DJ255" s="3">
        <v>-9586.01</v>
      </c>
      <c r="DK255" s="3">
        <v>-9325.14</v>
      </c>
      <c r="DL255" s="3">
        <v>-9058.39</v>
      </c>
      <c r="DM255" s="3">
        <v>-8866.1</v>
      </c>
      <c r="DN255" s="3">
        <v>-8821.85</v>
      </c>
      <c r="DO255" s="3">
        <v>-628.44299999999998</v>
      </c>
      <c r="DP255" s="3">
        <v>-648.78599999999994</v>
      </c>
      <c r="DQ255" s="3">
        <v>-683.22900000000004</v>
      </c>
      <c r="DR255" s="3">
        <v>-636.99300000000005</v>
      </c>
      <c r="DS255" s="3">
        <v>-593.42399999999998</v>
      </c>
      <c r="DT255" s="3">
        <v>-452.39100000000002</v>
      </c>
      <c r="DU255" s="3">
        <v>-714.947</v>
      </c>
      <c r="DV255" s="3">
        <v>-407.76</v>
      </c>
      <c r="DW255" s="3">
        <v>209.81100000000001</v>
      </c>
      <c r="DX255" s="3">
        <v>435.59199999999998</v>
      </c>
      <c r="DY255" s="3">
        <v>-12.2813</v>
      </c>
      <c r="DZ255" s="3">
        <v>54.804600000000001</v>
      </c>
      <c r="EA255" s="3">
        <v>166.31800000000001</v>
      </c>
      <c r="EB255" s="3">
        <v>399.79500000000002</v>
      </c>
      <c r="EC255" s="3">
        <v>576.90700000000004</v>
      </c>
      <c r="ED255" s="3">
        <v>747.78899999999999</v>
      </c>
      <c r="EE255" s="3">
        <v>981.45399999999995</v>
      </c>
      <c r="EF255" s="3">
        <v>336.53899999999999</v>
      </c>
      <c r="EG255" s="3">
        <v>-496.85599999999999</v>
      </c>
      <c r="EH255" s="3">
        <v>-852.399</v>
      </c>
      <c r="EI255" s="3">
        <v>-255.72</v>
      </c>
      <c r="EJ255" s="3">
        <v>-252.66900000000001</v>
      </c>
      <c r="EK255" s="3">
        <v>-492.25400000000002</v>
      </c>
      <c r="EL255" s="3">
        <v>-680.47900000000004</v>
      </c>
      <c r="EM255" s="3">
        <v>-743.43600000000004</v>
      </c>
      <c r="EN255" s="3">
        <v>-522.64599999999996</v>
      </c>
      <c r="EO255" s="3">
        <v>-320.58100000000002</v>
      </c>
      <c r="EP255" s="3">
        <v>28.1281</v>
      </c>
      <c r="EQ255" s="3">
        <v>78.547399999999996</v>
      </c>
      <c r="ER255" s="3">
        <v>-209.17599999999999</v>
      </c>
      <c r="ES255" s="3">
        <v>-460.53</v>
      </c>
      <c r="ET255" s="3">
        <v>-668.06899999999996</v>
      </c>
      <c r="EU255" s="3">
        <v>-692.101</v>
      </c>
      <c r="EV255" s="3">
        <v>-600.11300000000006</v>
      </c>
      <c r="EW255" s="3">
        <v>-438.31799999999998</v>
      </c>
      <c r="EX255" s="3">
        <v>-283.57100000000003</v>
      </c>
      <c r="EY255" s="3">
        <v>-569.13300000000004</v>
      </c>
      <c r="EZ255" s="3">
        <v>-745.42</v>
      </c>
      <c r="FA255" s="3">
        <v>-580.25900000000001</v>
      </c>
      <c r="FB255" s="3">
        <v>-300.17500000000001</v>
      </c>
      <c r="FC255" s="3">
        <v>-1368.98</v>
      </c>
      <c r="FD255" s="3">
        <v>-2007.36</v>
      </c>
      <c r="FE255" s="3">
        <v>-17.375299999999999</v>
      </c>
      <c r="FF255" s="3">
        <v>-25.213200000000001</v>
      </c>
      <c r="FG255" s="3">
        <v>-318.74299999999999</v>
      </c>
      <c r="FH255" s="3">
        <v>-758.33799999999997</v>
      </c>
      <c r="FI255" s="3">
        <v>9251.2199999999993</v>
      </c>
      <c r="FJ255" s="3">
        <v>142.494</v>
      </c>
      <c r="FK255" s="3">
        <v>426.26799999999997</v>
      </c>
      <c r="FL255" s="3">
        <v>0</v>
      </c>
      <c r="FM255" s="3"/>
    </row>
    <row r="256" spans="1:169" x14ac:dyDescent="0.3">
      <c r="A256" s="2">
        <v>248</v>
      </c>
      <c r="B256" s="5">
        <v>42</v>
      </c>
      <c r="C256" s="6">
        <v>1500504</v>
      </c>
      <c r="D256" s="6" t="s">
        <v>197</v>
      </c>
      <c r="E256" s="6">
        <v>3906020</v>
      </c>
      <c r="F256" s="6">
        <v>1906021</v>
      </c>
      <c r="G256" s="6">
        <v>0</v>
      </c>
      <c r="H256" s="6">
        <v>0</v>
      </c>
      <c r="I256" s="6">
        <v>57.914999999999999</v>
      </c>
      <c r="J256" s="6" t="s">
        <v>194</v>
      </c>
      <c r="K256" s="6" t="s">
        <v>195</v>
      </c>
      <c r="L256" s="7" t="s">
        <v>196</v>
      </c>
      <c r="M256" s="7" t="s">
        <v>172</v>
      </c>
      <c r="N256" s="8" t="s">
        <v>2783</v>
      </c>
      <c r="O256" s="5">
        <v>11492.2</v>
      </c>
      <c r="P256" s="6">
        <v>-14099.6</v>
      </c>
      <c r="Q256" s="6">
        <v>-11456.2</v>
      </c>
      <c r="R256" s="12">
        <v>34506.400000000001</v>
      </c>
      <c r="S256" s="4" t="s">
        <v>2784</v>
      </c>
      <c r="T256" s="4" t="s">
        <v>2785</v>
      </c>
      <c r="U256" s="4" t="s">
        <v>2786</v>
      </c>
      <c r="V256" s="4" t="s">
        <v>2787</v>
      </c>
      <c r="W256" s="4" t="s">
        <v>2788</v>
      </c>
      <c r="X256" s="4" t="s">
        <v>2789</v>
      </c>
      <c r="Y256" s="4" t="s">
        <v>2790</v>
      </c>
      <c r="Z256" s="4" t="s">
        <v>2791</v>
      </c>
      <c r="AA256" s="4" t="s">
        <v>2792</v>
      </c>
      <c r="AB256" s="4" t="s">
        <v>2793</v>
      </c>
      <c r="AC256" s="4" t="s">
        <v>2794</v>
      </c>
      <c r="AD256" s="4" t="s">
        <v>2795</v>
      </c>
      <c r="AE256" s="4" t="s">
        <v>2796</v>
      </c>
      <c r="AF256" s="4" t="s">
        <v>2797</v>
      </c>
      <c r="AG256" s="4" t="s">
        <v>2798</v>
      </c>
      <c r="AH256" s="4" t="s">
        <v>2799</v>
      </c>
      <c r="AI256" s="4" t="s">
        <v>2800</v>
      </c>
      <c r="AJ256" s="4" t="s">
        <v>2801</v>
      </c>
      <c r="AK256" s="4" t="s">
        <v>2802</v>
      </c>
      <c r="AL256" s="4" t="s">
        <v>2803</v>
      </c>
      <c r="AM256" s="3">
        <v>2089.6</v>
      </c>
      <c r="AN256" s="3">
        <v>2035.97</v>
      </c>
      <c r="AO256" s="3">
        <v>2003.58</v>
      </c>
      <c r="AP256" s="3">
        <v>1978.4</v>
      </c>
      <c r="AQ256" s="3">
        <v>1943.64</v>
      </c>
      <c r="AR256" s="3">
        <v>1900.51</v>
      </c>
      <c r="AS256" s="3">
        <v>1911.4</v>
      </c>
      <c r="AT256" s="3">
        <v>1899.1</v>
      </c>
      <c r="AU256" s="3">
        <v>1925.88</v>
      </c>
      <c r="AV256" s="3">
        <v>1959.31</v>
      </c>
      <c r="AW256" s="3">
        <v>1907.58</v>
      </c>
      <c r="AX256" s="3">
        <v>1938.23</v>
      </c>
      <c r="AY256" s="3">
        <v>1977.72</v>
      </c>
      <c r="AZ256" s="3">
        <v>2028.93</v>
      </c>
      <c r="BA256" s="3">
        <v>2089.6999999999998</v>
      </c>
      <c r="BB256" s="3">
        <v>2148.0300000000002</v>
      </c>
      <c r="BC256" s="3">
        <v>2238.23</v>
      </c>
      <c r="BD256" s="3">
        <v>2290.8000000000002</v>
      </c>
      <c r="BE256" s="3">
        <v>2268.0300000000002</v>
      </c>
      <c r="BF256" s="3">
        <v>2193.1799999999998</v>
      </c>
      <c r="BG256" s="3">
        <v>-6.0873299999999997</v>
      </c>
      <c r="BH256" s="3">
        <v>-1.6018399999999999</v>
      </c>
      <c r="BI256" s="3">
        <v>-4.35046</v>
      </c>
      <c r="BJ256" s="3">
        <v>-9.4197199999999999</v>
      </c>
      <c r="BK256" s="3">
        <v>-4.8504500000000004</v>
      </c>
      <c r="BL256" s="3">
        <v>6.7584799999999996</v>
      </c>
      <c r="BM256" s="3">
        <v>2.8701099999999999</v>
      </c>
      <c r="BN256" s="3">
        <v>-0.76139400000000002</v>
      </c>
      <c r="BO256" s="3">
        <v>-28.993500000000001</v>
      </c>
      <c r="BP256" s="3">
        <v>-76.203400000000002</v>
      </c>
      <c r="BQ256" s="3">
        <v>-111.69</v>
      </c>
      <c r="BR256" s="3">
        <v>-33.327199999999998</v>
      </c>
      <c r="BS256" s="3">
        <v>37.476500000000001</v>
      </c>
      <c r="BT256" s="3">
        <v>87.240899999999996</v>
      </c>
      <c r="BU256" s="3">
        <v>106.114</v>
      </c>
      <c r="BV256" s="3">
        <v>101.71599999999999</v>
      </c>
      <c r="BW256" s="3">
        <v>83.375299999999996</v>
      </c>
      <c r="BX256" s="3">
        <v>55.072000000000003</v>
      </c>
      <c r="BY256" s="3">
        <v>33.719099999999997</v>
      </c>
      <c r="BZ256" s="3">
        <v>15.5784</v>
      </c>
      <c r="CA256" s="3">
        <v>185.68799999999999</v>
      </c>
      <c r="CB256" s="3">
        <v>161.97</v>
      </c>
      <c r="CC256" s="3">
        <v>156.327</v>
      </c>
      <c r="CD256" s="3">
        <v>172.792</v>
      </c>
      <c r="CE256" s="3">
        <v>194.54300000000001</v>
      </c>
      <c r="CF256" s="3">
        <v>206.93</v>
      </c>
      <c r="CG256" s="3">
        <v>247.52199999999999</v>
      </c>
      <c r="CH256" s="3">
        <v>256.13799999999998</v>
      </c>
      <c r="CI256" s="3">
        <v>236.54400000000001</v>
      </c>
      <c r="CJ256" s="3">
        <v>237.828</v>
      </c>
      <c r="CK256" s="3">
        <v>258.72199999999998</v>
      </c>
      <c r="CL256" s="3">
        <v>240.505</v>
      </c>
      <c r="CM256" s="3">
        <v>226.47</v>
      </c>
      <c r="CN256" s="3">
        <v>203.39599999999999</v>
      </c>
      <c r="CO256" s="3">
        <v>187.81700000000001</v>
      </c>
      <c r="CP256" s="3">
        <v>187.10400000000001</v>
      </c>
      <c r="CQ256" s="3">
        <v>145.20500000000001</v>
      </c>
      <c r="CR256" s="3">
        <v>165.102</v>
      </c>
      <c r="CS256" s="3">
        <v>216.369</v>
      </c>
      <c r="CT256" s="3">
        <v>226.755</v>
      </c>
      <c r="CU256" s="3">
        <v>10089</v>
      </c>
      <c r="CV256" s="3">
        <v>11747.3</v>
      </c>
      <c r="CW256" s="3">
        <v>12905.9</v>
      </c>
      <c r="CX256" s="3">
        <v>13245.7</v>
      </c>
      <c r="CY256" s="3">
        <v>12672.5</v>
      </c>
      <c r="CZ256" s="3">
        <v>11726.8</v>
      </c>
      <c r="DA256" s="3">
        <v>11349.9</v>
      </c>
      <c r="DB256" s="3">
        <v>11123.9</v>
      </c>
      <c r="DC256" s="3">
        <v>11072.1</v>
      </c>
      <c r="DD256" s="3">
        <v>10954.9</v>
      </c>
      <c r="DE256" s="3">
        <v>10695.8</v>
      </c>
      <c r="DF256" s="3">
        <v>11067.8</v>
      </c>
      <c r="DG256" s="3">
        <v>11404.5</v>
      </c>
      <c r="DH256" s="3">
        <v>11725.9</v>
      </c>
      <c r="DI256" s="3">
        <v>11626.1</v>
      </c>
      <c r="DJ256" s="3">
        <v>10846.5</v>
      </c>
      <c r="DK256" s="3">
        <v>10575.3</v>
      </c>
      <c r="DL256" s="3">
        <v>10298.799999999999</v>
      </c>
      <c r="DM256" s="3">
        <v>10100.4</v>
      </c>
      <c r="DN256" s="3">
        <v>10045.5</v>
      </c>
      <c r="DO256" s="3">
        <v>677.92</v>
      </c>
      <c r="DP256" s="3">
        <v>724.12</v>
      </c>
      <c r="DQ256" s="3">
        <v>776.86699999999996</v>
      </c>
      <c r="DR256" s="3">
        <v>747.298</v>
      </c>
      <c r="DS256" s="3">
        <v>716.99099999999999</v>
      </c>
      <c r="DT256" s="3">
        <v>584.00300000000004</v>
      </c>
      <c r="DU256" s="3">
        <v>950.97900000000004</v>
      </c>
      <c r="DV256" s="3">
        <v>727.40899999999999</v>
      </c>
      <c r="DW256" s="3">
        <v>115.646</v>
      </c>
      <c r="DX256" s="3">
        <v>-226.75299999999999</v>
      </c>
      <c r="DY256" s="3">
        <v>-14.6196</v>
      </c>
      <c r="DZ256" s="3">
        <v>-135.57900000000001</v>
      </c>
      <c r="EA256" s="3">
        <v>-283.58600000000001</v>
      </c>
      <c r="EB256" s="3">
        <v>-533.81299999999999</v>
      </c>
      <c r="EC256" s="3">
        <v>-715.39</v>
      </c>
      <c r="ED256" s="3">
        <v>-886.36800000000005</v>
      </c>
      <c r="EE256" s="3">
        <v>-1003.56</v>
      </c>
      <c r="EF256" s="3">
        <v>-280.214</v>
      </c>
      <c r="EG256" s="3">
        <v>576.49400000000003</v>
      </c>
      <c r="EH256" s="3">
        <v>920.91399999999999</v>
      </c>
      <c r="EI256" s="3">
        <v>419.07900000000001</v>
      </c>
      <c r="EJ256" s="3">
        <v>431.03100000000001</v>
      </c>
      <c r="EK256" s="3">
        <v>689.50800000000004</v>
      </c>
      <c r="EL256" s="3">
        <v>893.31200000000001</v>
      </c>
      <c r="EM256" s="3">
        <v>955.50300000000004</v>
      </c>
      <c r="EN256" s="3">
        <v>713.40300000000002</v>
      </c>
      <c r="EO256" s="3">
        <v>521.78599999999994</v>
      </c>
      <c r="EP256" s="3">
        <v>185.81399999999999</v>
      </c>
      <c r="EQ256" s="3">
        <v>152.18299999999999</v>
      </c>
      <c r="ER256" s="3">
        <v>490.78800000000001</v>
      </c>
      <c r="ES256" s="3">
        <v>833.48500000000001</v>
      </c>
      <c r="ET256" s="3">
        <v>1009.21</v>
      </c>
      <c r="EU256" s="3">
        <v>1003.75</v>
      </c>
      <c r="EV256" s="3">
        <v>879.20600000000002</v>
      </c>
      <c r="EW256" s="3">
        <v>679.61300000000006</v>
      </c>
      <c r="EX256" s="3">
        <v>489.43400000000003</v>
      </c>
      <c r="EY256" s="3">
        <v>806.048</v>
      </c>
      <c r="EZ256" s="3">
        <v>958.90899999999999</v>
      </c>
      <c r="FA256" s="3">
        <v>754.82600000000002</v>
      </c>
      <c r="FB256" s="3">
        <v>454.86</v>
      </c>
      <c r="FC256" s="3">
        <v>1917.3</v>
      </c>
      <c r="FD256" s="3">
        <v>2204.64</v>
      </c>
      <c r="FE256" s="3">
        <v>-3.2585500000000001</v>
      </c>
      <c r="FF256" s="3">
        <v>31.255099999999999</v>
      </c>
      <c r="FG256" s="3">
        <v>179.709</v>
      </c>
      <c r="FH256" s="3">
        <v>240.614</v>
      </c>
      <c r="FI256" s="3">
        <v>-10739.9</v>
      </c>
      <c r="FJ256" s="3">
        <v>-138.154</v>
      </c>
      <c r="FK256" s="3">
        <v>-657.38099999999997</v>
      </c>
      <c r="FL256" s="3">
        <v>0</v>
      </c>
      <c r="FM256" s="3"/>
    </row>
    <row r="257" spans="1:169" x14ac:dyDescent="0.3">
      <c r="A257" s="2">
        <v>249</v>
      </c>
      <c r="B257" s="5">
        <v>42</v>
      </c>
      <c r="C257" s="6">
        <v>3504165</v>
      </c>
      <c r="D257" s="6" t="s">
        <v>219</v>
      </c>
      <c r="E257" s="6">
        <v>3906020</v>
      </c>
      <c r="F257" s="6">
        <v>3906022</v>
      </c>
      <c r="G257" s="6">
        <v>4906020</v>
      </c>
      <c r="H257" s="6">
        <v>3906023</v>
      </c>
      <c r="I257" s="6">
        <v>51.48</v>
      </c>
      <c r="J257" s="6" t="s">
        <v>169</v>
      </c>
      <c r="K257" s="6" t="s">
        <v>170</v>
      </c>
      <c r="L257" s="7" t="s">
        <v>171</v>
      </c>
      <c r="M257" s="7" t="s">
        <v>172</v>
      </c>
      <c r="N257" s="8" t="s">
        <v>2804</v>
      </c>
      <c r="O257" s="5">
        <v>14145.3</v>
      </c>
      <c r="P257" s="6">
        <v>-38960.1</v>
      </c>
      <c r="Q257" s="6">
        <v>1301.3599999999999</v>
      </c>
      <c r="R257" s="12">
        <v>8902.5400000000009</v>
      </c>
      <c r="S257" s="4" t="s">
        <v>2805</v>
      </c>
      <c r="T257" s="4" t="s">
        <v>2806</v>
      </c>
      <c r="U257" s="4" t="s">
        <v>2807</v>
      </c>
      <c r="V257" s="4" t="s">
        <v>2808</v>
      </c>
      <c r="W257" s="4" t="s">
        <v>2809</v>
      </c>
      <c r="X257" s="4" t="s">
        <v>2810</v>
      </c>
      <c r="Y257" s="4" t="s">
        <v>2811</v>
      </c>
      <c r="Z257" s="4" t="s">
        <v>2812</v>
      </c>
      <c r="AA257" s="4" t="s">
        <v>2813</v>
      </c>
      <c r="AB257" s="4" t="s">
        <v>2814</v>
      </c>
      <c r="AC257" s="4" t="s">
        <v>2815</v>
      </c>
      <c r="AD257" s="4" t="s">
        <v>2816</v>
      </c>
      <c r="AE257" s="4" t="s">
        <v>2817</v>
      </c>
      <c r="AF257" s="4" t="s">
        <v>2818</v>
      </c>
      <c r="AG257" s="4" t="s">
        <v>2819</v>
      </c>
      <c r="AH257" s="4" t="s">
        <v>2820</v>
      </c>
      <c r="AI257" s="4" t="s">
        <v>2821</v>
      </c>
      <c r="AJ257" s="4" t="s">
        <v>2822</v>
      </c>
      <c r="AK257" s="4" t="s">
        <v>2823</v>
      </c>
      <c r="AL257" s="4" t="s">
        <v>2824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0.224471</v>
      </c>
      <c r="FM257" s="3"/>
    </row>
    <row r="258" spans="1:169" x14ac:dyDescent="0.3">
      <c r="A258" s="2">
        <v>250</v>
      </c>
      <c r="B258" s="5">
        <v>42</v>
      </c>
      <c r="C258" s="6">
        <v>3504165</v>
      </c>
      <c r="D258" s="6" t="s">
        <v>219</v>
      </c>
      <c r="E258" s="6">
        <v>3906020</v>
      </c>
      <c r="F258" s="6">
        <v>3906022</v>
      </c>
      <c r="G258" s="6">
        <v>4906020</v>
      </c>
      <c r="H258" s="6">
        <v>3906023</v>
      </c>
      <c r="I258" s="6">
        <v>51.48</v>
      </c>
      <c r="J258" s="6" t="s">
        <v>194</v>
      </c>
      <c r="K258" s="6" t="s">
        <v>195</v>
      </c>
      <c r="L258" s="7" t="s">
        <v>196</v>
      </c>
      <c r="M258" s="7" t="s">
        <v>172</v>
      </c>
      <c r="N258" s="8" t="s">
        <v>2804</v>
      </c>
      <c r="O258" s="5">
        <v>-16652.900000000001</v>
      </c>
      <c r="P258" s="6">
        <v>42901.8</v>
      </c>
      <c r="Q258" s="6">
        <v>-69.716800000000006</v>
      </c>
      <c r="R258" s="12">
        <v>34506.400000000001</v>
      </c>
      <c r="S258" s="4" t="s">
        <v>2805</v>
      </c>
      <c r="T258" s="4" t="s">
        <v>2806</v>
      </c>
      <c r="U258" s="4" t="s">
        <v>2807</v>
      </c>
      <c r="V258" s="4" t="s">
        <v>2808</v>
      </c>
      <c r="W258" s="4" t="s">
        <v>2809</v>
      </c>
      <c r="X258" s="4" t="s">
        <v>2810</v>
      </c>
      <c r="Y258" s="4" t="s">
        <v>2811</v>
      </c>
      <c r="Z258" s="4" t="s">
        <v>2812</v>
      </c>
      <c r="AA258" s="4" t="s">
        <v>2813</v>
      </c>
      <c r="AB258" s="4" t="s">
        <v>2814</v>
      </c>
      <c r="AC258" s="4" t="s">
        <v>2815</v>
      </c>
      <c r="AD258" s="4" t="s">
        <v>2816</v>
      </c>
      <c r="AE258" s="4" t="s">
        <v>2817</v>
      </c>
      <c r="AF258" s="4" t="s">
        <v>2818</v>
      </c>
      <c r="AG258" s="4" t="s">
        <v>2819</v>
      </c>
      <c r="AH258" s="4" t="s">
        <v>2820</v>
      </c>
      <c r="AI258" s="4" t="s">
        <v>2821</v>
      </c>
      <c r="AJ258" s="4" t="s">
        <v>2822</v>
      </c>
      <c r="AK258" s="4" t="s">
        <v>2823</v>
      </c>
      <c r="AL258" s="4" t="s">
        <v>2824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0.25128400000000001</v>
      </c>
      <c r="FM258" s="3"/>
    </row>
    <row r="259" spans="1:169" x14ac:dyDescent="0.3">
      <c r="A259" s="2">
        <v>251</v>
      </c>
      <c r="B259" s="5">
        <v>42</v>
      </c>
      <c r="C259" s="6">
        <v>4601121</v>
      </c>
      <c r="D259" s="6" t="s">
        <v>1327</v>
      </c>
      <c r="E259" s="6">
        <v>4906020</v>
      </c>
      <c r="F259" s="6">
        <v>4600106</v>
      </c>
      <c r="G259" s="6">
        <v>0</v>
      </c>
      <c r="H259" s="6">
        <v>0</v>
      </c>
      <c r="I259" s="6">
        <v>51.48</v>
      </c>
      <c r="J259" s="6" t="s">
        <v>169</v>
      </c>
      <c r="K259" s="6" t="s">
        <v>170</v>
      </c>
      <c r="L259" s="7" t="s">
        <v>171</v>
      </c>
      <c r="M259" s="7" t="s">
        <v>172</v>
      </c>
      <c r="N259" s="8" t="s">
        <v>2825</v>
      </c>
      <c r="O259" s="5">
        <v>-17861.900000000001</v>
      </c>
      <c r="P259" s="6">
        <v>-30901.4</v>
      </c>
      <c r="Q259" s="6">
        <v>11115.3</v>
      </c>
      <c r="R259" s="12">
        <v>8902.5400000000009</v>
      </c>
      <c r="S259" s="4" t="s">
        <v>2826</v>
      </c>
      <c r="T259" s="4" t="s">
        <v>2827</v>
      </c>
      <c r="U259" s="4" t="s">
        <v>2828</v>
      </c>
      <c r="V259" s="4" t="s">
        <v>2829</v>
      </c>
      <c r="W259" s="4" t="s">
        <v>2830</v>
      </c>
      <c r="X259" s="4" t="s">
        <v>2831</v>
      </c>
      <c r="Y259" s="4" t="s">
        <v>2832</v>
      </c>
      <c r="Z259" s="4" t="s">
        <v>2833</v>
      </c>
      <c r="AA259" s="4" t="s">
        <v>2834</v>
      </c>
      <c r="AB259" s="4" t="s">
        <v>2835</v>
      </c>
      <c r="AC259" s="4" t="s">
        <v>2836</v>
      </c>
      <c r="AD259" s="4" t="s">
        <v>2837</v>
      </c>
      <c r="AE259" s="4" t="s">
        <v>2838</v>
      </c>
      <c r="AF259" s="4" t="s">
        <v>2839</v>
      </c>
      <c r="AG259" s="4" t="s">
        <v>2840</v>
      </c>
      <c r="AH259" s="4" t="s">
        <v>2841</v>
      </c>
      <c r="AI259" s="4" t="s">
        <v>2842</v>
      </c>
      <c r="AJ259" s="4" t="s">
        <v>2843</v>
      </c>
      <c r="AK259" s="4" t="s">
        <v>2844</v>
      </c>
      <c r="AL259" s="4" t="s">
        <v>2845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 t="s">
        <v>2846</v>
      </c>
    </row>
    <row r="260" spans="1:169" x14ac:dyDescent="0.3">
      <c r="A260" s="2">
        <v>252</v>
      </c>
      <c r="B260" s="5">
        <v>42</v>
      </c>
      <c r="C260" s="6">
        <v>4601121</v>
      </c>
      <c r="D260" s="6" t="s">
        <v>1327</v>
      </c>
      <c r="E260" s="6">
        <v>4906020</v>
      </c>
      <c r="F260" s="6">
        <v>4600106</v>
      </c>
      <c r="G260" s="6">
        <v>0</v>
      </c>
      <c r="H260" s="6">
        <v>0</v>
      </c>
      <c r="I260" s="6">
        <v>51.48</v>
      </c>
      <c r="J260" s="6" t="s">
        <v>194</v>
      </c>
      <c r="K260" s="6" t="s">
        <v>195</v>
      </c>
      <c r="L260" s="7" t="s">
        <v>196</v>
      </c>
      <c r="M260" s="7" t="s">
        <v>172</v>
      </c>
      <c r="N260" s="8" t="s">
        <v>2825</v>
      </c>
      <c r="O260" s="5">
        <v>17445.3</v>
      </c>
      <c r="P260" s="6">
        <v>32937.599999999999</v>
      </c>
      <c r="Q260" s="6">
        <v>-11237.5</v>
      </c>
      <c r="R260" s="12">
        <v>34506.400000000001</v>
      </c>
      <c r="S260" s="4" t="s">
        <v>2826</v>
      </c>
      <c r="T260" s="4" t="s">
        <v>2827</v>
      </c>
      <c r="U260" s="4" t="s">
        <v>2828</v>
      </c>
      <c r="V260" s="4" t="s">
        <v>2829</v>
      </c>
      <c r="W260" s="4" t="s">
        <v>2830</v>
      </c>
      <c r="X260" s="4" t="s">
        <v>2831</v>
      </c>
      <c r="Y260" s="4" t="s">
        <v>2832</v>
      </c>
      <c r="Z260" s="4" t="s">
        <v>2833</v>
      </c>
      <c r="AA260" s="4" t="s">
        <v>2834</v>
      </c>
      <c r="AB260" s="4" t="s">
        <v>2835</v>
      </c>
      <c r="AC260" s="4" t="s">
        <v>2836</v>
      </c>
      <c r="AD260" s="4" t="s">
        <v>2837</v>
      </c>
      <c r="AE260" s="4" t="s">
        <v>2838</v>
      </c>
      <c r="AF260" s="4" t="s">
        <v>2839</v>
      </c>
      <c r="AG260" s="4" t="s">
        <v>2840</v>
      </c>
      <c r="AH260" s="4" t="s">
        <v>2841</v>
      </c>
      <c r="AI260" s="4" t="s">
        <v>2842</v>
      </c>
      <c r="AJ260" s="4" t="s">
        <v>2843</v>
      </c>
      <c r="AK260" s="4" t="s">
        <v>2844</v>
      </c>
      <c r="AL260" s="4" t="s">
        <v>2845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 t="s">
        <v>2846</v>
      </c>
    </row>
    <row r="261" spans="1:169" x14ac:dyDescent="0.3">
      <c r="A261" s="2">
        <v>253</v>
      </c>
      <c r="B261" s="5">
        <v>43</v>
      </c>
      <c r="C261" s="6">
        <v>1501149</v>
      </c>
      <c r="D261" s="6" t="s">
        <v>197</v>
      </c>
      <c r="E261" s="6">
        <v>3907020</v>
      </c>
      <c r="F261" s="6">
        <v>1907021</v>
      </c>
      <c r="G261" s="6">
        <v>0</v>
      </c>
      <c r="H261" s="6">
        <v>0</v>
      </c>
      <c r="I261" s="6">
        <v>57.914999999999999</v>
      </c>
      <c r="J261" s="6" t="s">
        <v>169</v>
      </c>
      <c r="K261" s="6" t="s">
        <v>170</v>
      </c>
      <c r="L261" s="7" t="s">
        <v>171</v>
      </c>
      <c r="M261" s="7" t="s">
        <v>172</v>
      </c>
      <c r="N261" s="8" t="s">
        <v>2847</v>
      </c>
      <c r="O261" s="5">
        <v>-1314.49</v>
      </c>
      <c r="P261" s="6">
        <v>-317.03699999999998</v>
      </c>
      <c r="Q261" s="6">
        <v>-171.77199999999999</v>
      </c>
      <c r="R261" s="12">
        <v>37713.800000000003</v>
      </c>
      <c r="S261" s="4" t="s">
        <v>2848</v>
      </c>
      <c r="T261" s="4" t="s">
        <v>2849</v>
      </c>
      <c r="U261" s="4" t="s">
        <v>2850</v>
      </c>
      <c r="V261" s="4" t="s">
        <v>2851</v>
      </c>
      <c r="W261" s="4" t="s">
        <v>2852</v>
      </c>
      <c r="X261" s="4" t="s">
        <v>2853</v>
      </c>
      <c r="Y261" s="4" t="s">
        <v>2854</v>
      </c>
      <c r="Z261" s="4" t="s">
        <v>2855</v>
      </c>
      <c r="AA261" s="4" t="s">
        <v>2856</v>
      </c>
      <c r="AB261" s="4" t="s">
        <v>2857</v>
      </c>
      <c r="AC261" s="4" t="s">
        <v>2858</v>
      </c>
      <c r="AD261" s="4" t="s">
        <v>2859</v>
      </c>
      <c r="AE261" s="4" t="s">
        <v>2860</v>
      </c>
      <c r="AF261" s="4" t="s">
        <v>2861</v>
      </c>
      <c r="AG261" s="4" t="s">
        <v>2862</v>
      </c>
      <c r="AH261" s="4" t="s">
        <v>2863</v>
      </c>
      <c r="AI261" s="4" t="s">
        <v>2864</v>
      </c>
      <c r="AJ261" s="4" t="s">
        <v>2865</v>
      </c>
      <c r="AK261" s="4" t="s">
        <v>2866</v>
      </c>
      <c r="AL261" s="4" t="s">
        <v>2867</v>
      </c>
      <c r="AM261" s="3">
        <v>484.18799999999999</v>
      </c>
      <c r="AN261" s="3">
        <v>520.68700000000001</v>
      </c>
      <c r="AO261" s="3">
        <v>553.024</v>
      </c>
      <c r="AP261" s="3">
        <v>579.88499999999999</v>
      </c>
      <c r="AQ261" s="3">
        <v>597.31899999999996</v>
      </c>
      <c r="AR261" s="3">
        <v>612.24199999999996</v>
      </c>
      <c r="AS261" s="3">
        <v>800.18600000000004</v>
      </c>
      <c r="AT261" s="3">
        <v>994.13400000000001</v>
      </c>
      <c r="AU261" s="3">
        <v>1181.6199999999999</v>
      </c>
      <c r="AV261" s="3">
        <v>1340.18</v>
      </c>
      <c r="AW261" s="3">
        <v>1423.2</v>
      </c>
      <c r="AX261" s="3">
        <v>1432.54</v>
      </c>
      <c r="AY261" s="3">
        <v>1408.81</v>
      </c>
      <c r="AZ261" s="3">
        <v>1387.64</v>
      </c>
      <c r="BA261" s="3">
        <v>1374.39</v>
      </c>
      <c r="BB261" s="3">
        <v>1376.6</v>
      </c>
      <c r="BC261" s="3">
        <v>1209.79</v>
      </c>
      <c r="BD261" s="3">
        <v>1009.64</v>
      </c>
      <c r="BE261" s="3">
        <v>813.33600000000001</v>
      </c>
      <c r="BF261" s="3">
        <v>641.06799999999998</v>
      </c>
      <c r="BG261" s="3">
        <v>429.80500000000001</v>
      </c>
      <c r="BH261" s="3">
        <v>409.58600000000001</v>
      </c>
      <c r="BI261" s="3">
        <v>396.721</v>
      </c>
      <c r="BJ261" s="3">
        <v>389.54599999999999</v>
      </c>
      <c r="BK261" s="3">
        <v>391.92</v>
      </c>
      <c r="BL261" s="3">
        <v>393.24900000000002</v>
      </c>
      <c r="BM261" s="3">
        <v>389.512</v>
      </c>
      <c r="BN261" s="3">
        <v>384.26600000000002</v>
      </c>
      <c r="BO261" s="3">
        <v>382.16699999999997</v>
      </c>
      <c r="BP261" s="3">
        <v>385.49599999999998</v>
      </c>
      <c r="BQ261" s="3">
        <v>386.57600000000002</v>
      </c>
      <c r="BR261" s="3">
        <v>396.286</v>
      </c>
      <c r="BS261" s="3">
        <v>405.25700000000001</v>
      </c>
      <c r="BT261" s="3">
        <v>406.43900000000002</v>
      </c>
      <c r="BU261" s="3">
        <v>402.25</v>
      </c>
      <c r="BV261" s="3">
        <v>398.43400000000003</v>
      </c>
      <c r="BW261" s="3">
        <v>417.75900000000001</v>
      </c>
      <c r="BX261" s="3">
        <v>438.07900000000001</v>
      </c>
      <c r="BY261" s="3">
        <v>445.40899999999999</v>
      </c>
      <c r="BZ261" s="3">
        <v>441.10199999999998</v>
      </c>
      <c r="CA261" s="3">
        <v>-612.87900000000002</v>
      </c>
      <c r="CB261" s="3">
        <v>-623.87</v>
      </c>
      <c r="CC261" s="3">
        <v>-623.61900000000003</v>
      </c>
      <c r="CD261" s="3">
        <v>-615.78800000000001</v>
      </c>
      <c r="CE261" s="3">
        <v>-609.94899999999996</v>
      </c>
      <c r="CF261" s="3">
        <v>-609.375</v>
      </c>
      <c r="CG261" s="3">
        <v>-626.471</v>
      </c>
      <c r="CH261" s="3">
        <v>-655.49099999999999</v>
      </c>
      <c r="CI261" s="3">
        <v>-687.48800000000006</v>
      </c>
      <c r="CJ261" s="3">
        <v>-721.46400000000006</v>
      </c>
      <c r="CK261" s="3">
        <v>-742.02499999999998</v>
      </c>
      <c r="CL261" s="3">
        <v>-753.37699999999995</v>
      </c>
      <c r="CM261" s="3">
        <v>-757.35599999999999</v>
      </c>
      <c r="CN261" s="3">
        <v>-763.005</v>
      </c>
      <c r="CO261" s="3">
        <v>-772.202</v>
      </c>
      <c r="CP261" s="3">
        <v>-781.77599999999995</v>
      </c>
      <c r="CQ261" s="3">
        <v>-777.78200000000004</v>
      </c>
      <c r="CR261" s="3">
        <v>-749.51900000000001</v>
      </c>
      <c r="CS261" s="3">
        <v>-705.47799999999995</v>
      </c>
      <c r="CT261" s="3">
        <v>-656.99</v>
      </c>
      <c r="CU261" s="3">
        <v>-3213.64</v>
      </c>
      <c r="CV261" s="3">
        <v>-3820.01</v>
      </c>
      <c r="CW261" s="3">
        <v>-4472.76</v>
      </c>
      <c r="CX261" s="3">
        <v>-5167.17</v>
      </c>
      <c r="CY261" s="3">
        <v>-5767.98</v>
      </c>
      <c r="CZ261" s="3">
        <v>-6105.98</v>
      </c>
      <c r="DA261" s="3">
        <v>-5745.95</v>
      </c>
      <c r="DB261" s="3">
        <v>-5262.01</v>
      </c>
      <c r="DC261" s="3">
        <v>-4791.1099999999997</v>
      </c>
      <c r="DD261" s="3">
        <v>-4158.18</v>
      </c>
      <c r="DE261" s="3">
        <v>-3855.67</v>
      </c>
      <c r="DF261" s="3">
        <v>-3012.3</v>
      </c>
      <c r="DG261" s="3">
        <v>-2397.59</v>
      </c>
      <c r="DH261" s="3">
        <v>-1893.55</v>
      </c>
      <c r="DI261" s="3">
        <v>-1531.94</v>
      </c>
      <c r="DJ261" s="3">
        <v>-1439.9</v>
      </c>
      <c r="DK261" s="3">
        <v>-1779.79</v>
      </c>
      <c r="DL261" s="3">
        <v>-2089.1999999999998</v>
      </c>
      <c r="DM261" s="3">
        <v>-2406.64</v>
      </c>
      <c r="DN261" s="3">
        <v>-2791.42</v>
      </c>
      <c r="DO261" s="3">
        <v>-1242.02</v>
      </c>
      <c r="DP261" s="3">
        <v>-1328.68</v>
      </c>
      <c r="DQ261" s="3">
        <v>-1425.36</v>
      </c>
      <c r="DR261" s="3">
        <v>-1516.84</v>
      </c>
      <c r="DS261" s="3">
        <v>-1613.06</v>
      </c>
      <c r="DT261" s="3">
        <v>-1719.79</v>
      </c>
      <c r="DU261" s="3">
        <v>-1526.26</v>
      </c>
      <c r="DV261" s="3">
        <v>-1433.21</v>
      </c>
      <c r="DW261" s="3">
        <v>-1176.8800000000001</v>
      </c>
      <c r="DX261" s="3">
        <v>-891.31500000000005</v>
      </c>
      <c r="DY261" s="3">
        <v>-810.88</v>
      </c>
      <c r="DZ261" s="3">
        <v>-674.55499999999995</v>
      </c>
      <c r="EA261" s="3">
        <v>-581.13300000000004</v>
      </c>
      <c r="EB261" s="3">
        <v>-538.58199999999999</v>
      </c>
      <c r="EC261" s="3">
        <v>-510.81099999999998</v>
      </c>
      <c r="ED261" s="3">
        <v>-469.61500000000001</v>
      </c>
      <c r="EE261" s="3">
        <v>-472.65199999999999</v>
      </c>
      <c r="EF261" s="3">
        <v>-472.87200000000001</v>
      </c>
      <c r="EG261" s="3">
        <v>-714.09900000000005</v>
      </c>
      <c r="EH261" s="3">
        <v>-1054.77</v>
      </c>
      <c r="EI261" s="3">
        <v>399.26900000000001</v>
      </c>
      <c r="EJ261" s="3">
        <v>636.68399999999997</v>
      </c>
      <c r="EK261" s="3">
        <v>902.12300000000005</v>
      </c>
      <c r="EL261" s="3">
        <v>1120.24</v>
      </c>
      <c r="EM261" s="3">
        <v>1192.47</v>
      </c>
      <c r="EN261" s="3">
        <v>1286.03</v>
      </c>
      <c r="EO261" s="3">
        <v>1355.06</v>
      </c>
      <c r="EP261" s="3">
        <v>1513.88</v>
      </c>
      <c r="EQ261" s="3">
        <v>1682.6</v>
      </c>
      <c r="ER261" s="3">
        <v>1684.63</v>
      </c>
      <c r="ES261" s="3">
        <v>1720.08</v>
      </c>
      <c r="ET261" s="3">
        <v>1317.41</v>
      </c>
      <c r="EU261" s="3">
        <v>989.23299999999995</v>
      </c>
      <c r="EV261" s="3">
        <v>790.14400000000001</v>
      </c>
      <c r="EW261" s="3">
        <v>666.23099999999999</v>
      </c>
      <c r="EX261" s="3">
        <v>574.82000000000005</v>
      </c>
      <c r="EY261" s="3">
        <v>542.25300000000004</v>
      </c>
      <c r="EZ261" s="3">
        <v>443.40699999999998</v>
      </c>
      <c r="FA261" s="3">
        <v>375.68</v>
      </c>
      <c r="FB261" s="3">
        <v>406.10199999999998</v>
      </c>
      <c r="FC261" s="3">
        <v>922.43799999999999</v>
      </c>
      <c r="FD261" s="3">
        <v>1058.5899999999999</v>
      </c>
      <c r="FE261" s="3">
        <v>399.20699999999999</v>
      </c>
      <c r="FF261" s="3">
        <v>401.80500000000001</v>
      </c>
      <c r="FG261" s="3">
        <v>-615.91300000000001</v>
      </c>
      <c r="FH261" s="3">
        <v>-761.62400000000002</v>
      </c>
      <c r="FI261" s="3">
        <v>3636.62</v>
      </c>
      <c r="FJ261" s="3">
        <v>1035.94</v>
      </c>
      <c r="FK261" s="3">
        <v>-982.43899999999996</v>
      </c>
      <c r="FL261" s="3">
        <v>0</v>
      </c>
      <c r="FM261" s="3" t="s">
        <v>666</v>
      </c>
    </row>
    <row r="262" spans="1:169" x14ac:dyDescent="0.3">
      <c r="A262" s="2">
        <v>254</v>
      </c>
      <c r="B262" s="5">
        <v>43</v>
      </c>
      <c r="C262" s="6">
        <v>1501149</v>
      </c>
      <c r="D262" s="6" t="s">
        <v>197</v>
      </c>
      <c r="E262" s="6">
        <v>3907020</v>
      </c>
      <c r="F262" s="6">
        <v>1907021</v>
      </c>
      <c r="G262" s="6">
        <v>0</v>
      </c>
      <c r="H262" s="6">
        <v>0</v>
      </c>
      <c r="I262" s="6">
        <v>57.914999999999999</v>
      </c>
      <c r="J262" s="6" t="s">
        <v>194</v>
      </c>
      <c r="K262" s="6" t="s">
        <v>195</v>
      </c>
      <c r="L262" s="7" t="s">
        <v>196</v>
      </c>
      <c r="M262" s="7" t="s">
        <v>172</v>
      </c>
      <c r="N262" s="8" t="s">
        <v>2847</v>
      </c>
      <c r="O262" s="5">
        <v>-713.35500000000002</v>
      </c>
      <c r="P262" s="6">
        <v>-63.037100000000002</v>
      </c>
      <c r="Q262" s="6">
        <v>386.399</v>
      </c>
      <c r="R262" s="12">
        <v>735.82500000000005</v>
      </c>
      <c r="S262" s="4" t="s">
        <v>2848</v>
      </c>
      <c r="T262" s="4" t="s">
        <v>2849</v>
      </c>
      <c r="U262" s="4" t="s">
        <v>2850</v>
      </c>
      <c r="V262" s="4" t="s">
        <v>2851</v>
      </c>
      <c r="W262" s="4" t="s">
        <v>2852</v>
      </c>
      <c r="X262" s="4" t="s">
        <v>2853</v>
      </c>
      <c r="Y262" s="4" t="s">
        <v>2854</v>
      </c>
      <c r="Z262" s="4" t="s">
        <v>2855</v>
      </c>
      <c r="AA262" s="4" t="s">
        <v>2856</v>
      </c>
      <c r="AB262" s="4" t="s">
        <v>2857</v>
      </c>
      <c r="AC262" s="4" t="s">
        <v>2858</v>
      </c>
      <c r="AD262" s="4" t="s">
        <v>2859</v>
      </c>
      <c r="AE262" s="4" t="s">
        <v>2860</v>
      </c>
      <c r="AF262" s="4" t="s">
        <v>2861</v>
      </c>
      <c r="AG262" s="4" t="s">
        <v>2862</v>
      </c>
      <c r="AH262" s="4" t="s">
        <v>2863</v>
      </c>
      <c r="AI262" s="4" t="s">
        <v>2864</v>
      </c>
      <c r="AJ262" s="4" t="s">
        <v>2865</v>
      </c>
      <c r="AK262" s="4" t="s">
        <v>2866</v>
      </c>
      <c r="AL262" s="4" t="s">
        <v>2867</v>
      </c>
      <c r="AM262" s="3">
        <v>-478.76799999999997</v>
      </c>
      <c r="AN262" s="3">
        <v>-525.58399999999995</v>
      </c>
      <c r="AO262" s="3">
        <v>-573.78499999999997</v>
      </c>
      <c r="AP262" s="3">
        <v>-619.30999999999995</v>
      </c>
      <c r="AQ262" s="3">
        <v>-663.37800000000004</v>
      </c>
      <c r="AR262" s="3">
        <v>-710.00099999999998</v>
      </c>
      <c r="AS262" s="3">
        <v>-934.88</v>
      </c>
      <c r="AT262" s="3">
        <v>-1140.3</v>
      </c>
      <c r="AU262" s="3">
        <v>-1317.45</v>
      </c>
      <c r="AV262" s="3">
        <v>-1449.03</v>
      </c>
      <c r="AW262" s="3">
        <v>-1516.16</v>
      </c>
      <c r="AX262" s="3">
        <v>-1503.53</v>
      </c>
      <c r="AY262" s="3">
        <v>-1468.42</v>
      </c>
      <c r="AZ262" s="3">
        <v>-1438.63</v>
      </c>
      <c r="BA262" s="3">
        <v>-1416.49</v>
      </c>
      <c r="BB262" s="3">
        <v>-1409.98</v>
      </c>
      <c r="BC262" s="3">
        <v>-1248.7</v>
      </c>
      <c r="BD262" s="3">
        <v>-1048.77</v>
      </c>
      <c r="BE262" s="3">
        <v>-845.65499999999997</v>
      </c>
      <c r="BF262" s="3">
        <v>-658.75400000000002</v>
      </c>
      <c r="BG262" s="3">
        <v>-424.846</v>
      </c>
      <c r="BH262" s="3">
        <v>-399.92599999999999</v>
      </c>
      <c r="BI262" s="3">
        <v>-380.82600000000002</v>
      </c>
      <c r="BJ262" s="3">
        <v>-367.25299999999999</v>
      </c>
      <c r="BK262" s="3">
        <v>-361.43299999999999</v>
      </c>
      <c r="BL262" s="3">
        <v>-354.27</v>
      </c>
      <c r="BM262" s="3">
        <v>-353.12099999999998</v>
      </c>
      <c r="BN262" s="3">
        <v>-357.298</v>
      </c>
      <c r="BO262" s="3">
        <v>-370.65300000000002</v>
      </c>
      <c r="BP262" s="3">
        <v>-390.69400000000002</v>
      </c>
      <c r="BQ262" s="3">
        <v>-403.10599999999999</v>
      </c>
      <c r="BR262" s="3">
        <v>-405.07100000000003</v>
      </c>
      <c r="BS262" s="3">
        <v>-407.40800000000002</v>
      </c>
      <c r="BT262" s="3">
        <v>-404.74400000000003</v>
      </c>
      <c r="BU262" s="3">
        <v>-398.05900000000003</v>
      </c>
      <c r="BV262" s="3">
        <v>-393.02699999999999</v>
      </c>
      <c r="BW262" s="3">
        <v>-408.39800000000002</v>
      </c>
      <c r="BX262" s="3">
        <v>-426.142</v>
      </c>
      <c r="BY262" s="3">
        <v>-432.91699999999997</v>
      </c>
      <c r="BZ262" s="3">
        <v>-430.81900000000002</v>
      </c>
      <c r="CA262" s="3">
        <v>552.62099999999998</v>
      </c>
      <c r="CB262" s="3">
        <v>556.72</v>
      </c>
      <c r="CC262" s="3">
        <v>548.59799999999996</v>
      </c>
      <c r="CD262" s="3">
        <v>534.08299999999997</v>
      </c>
      <c r="CE262" s="3">
        <v>522.03899999999999</v>
      </c>
      <c r="CF262" s="3">
        <v>518.54899999999998</v>
      </c>
      <c r="CG262" s="3">
        <v>573.23400000000004</v>
      </c>
      <c r="CH262" s="3">
        <v>637.63900000000001</v>
      </c>
      <c r="CI262" s="3">
        <v>698.03700000000003</v>
      </c>
      <c r="CJ262" s="3">
        <v>750.44600000000003</v>
      </c>
      <c r="CK262" s="3">
        <v>781.24300000000005</v>
      </c>
      <c r="CL262" s="3">
        <v>778.79399999999998</v>
      </c>
      <c r="CM262" s="3">
        <v>771.69</v>
      </c>
      <c r="CN262" s="3">
        <v>769.88499999999999</v>
      </c>
      <c r="CO262" s="3">
        <v>772.49800000000005</v>
      </c>
      <c r="CP262" s="3">
        <v>777.23400000000004</v>
      </c>
      <c r="CQ262" s="3">
        <v>763.70500000000004</v>
      </c>
      <c r="CR262" s="3">
        <v>724.44100000000003</v>
      </c>
      <c r="CS262" s="3">
        <v>668.524</v>
      </c>
      <c r="CT262" s="3">
        <v>607.75099999999998</v>
      </c>
      <c r="CU262" s="3">
        <v>3776.61</v>
      </c>
      <c r="CV262" s="3">
        <v>4531.7700000000004</v>
      </c>
      <c r="CW262" s="3">
        <v>5297.54</v>
      </c>
      <c r="CX262" s="3">
        <v>6085.32</v>
      </c>
      <c r="CY262" s="3">
        <v>6792.89</v>
      </c>
      <c r="CZ262" s="3">
        <v>7344.99</v>
      </c>
      <c r="DA262" s="3">
        <v>6858.37</v>
      </c>
      <c r="DB262" s="3">
        <v>6245.85</v>
      </c>
      <c r="DC262" s="3">
        <v>5655.92</v>
      </c>
      <c r="DD262" s="3">
        <v>4905.4799999999996</v>
      </c>
      <c r="DE262" s="3">
        <v>4566.63</v>
      </c>
      <c r="DF262" s="3">
        <v>3607.57</v>
      </c>
      <c r="DG262" s="3">
        <v>2931.15</v>
      </c>
      <c r="DH262" s="3">
        <v>2404.36</v>
      </c>
      <c r="DI262" s="3">
        <v>2019.33</v>
      </c>
      <c r="DJ262" s="3">
        <v>1872.61</v>
      </c>
      <c r="DK262" s="3">
        <v>2282.6799999999998</v>
      </c>
      <c r="DL262" s="3">
        <v>2648.34</v>
      </c>
      <c r="DM262" s="3">
        <v>2999.81</v>
      </c>
      <c r="DN262" s="3">
        <v>3381.02</v>
      </c>
      <c r="DO262" s="3">
        <v>1476.45</v>
      </c>
      <c r="DP262" s="3">
        <v>1574.26</v>
      </c>
      <c r="DQ262" s="3">
        <v>1685.2</v>
      </c>
      <c r="DR262" s="3">
        <v>1792.98</v>
      </c>
      <c r="DS262" s="3">
        <v>1903.67</v>
      </c>
      <c r="DT262" s="3">
        <v>2008.55</v>
      </c>
      <c r="DU262" s="3">
        <v>1700.4</v>
      </c>
      <c r="DV262" s="3">
        <v>1470.06</v>
      </c>
      <c r="DW262" s="3">
        <v>1129.9100000000001</v>
      </c>
      <c r="DX262" s="3">
        <v>830.40800000000002</v>
      </c>
      <c r="DY262" s="3">
        <v>747.995</v>
      </c>
      <c r="DZ262" s="3">
        <v>622.11800000000005</v>
      </c>
      <c r="EA262" s="3">
        <v>540.39499999999998</v>
      </c>
      <c r="EB262" s="3">
        <v>499.00799999999998</v>
      </c>
      <c r="EC262" s="3">
        <v>473.28300000000002</v>
      </c>
      <c r="ED262" s="3">
        <v>443.14499999999998</v>
      </c>
      <c r="EE262" s="3">
        <v>515.03800000000001</v>
      </c>
      <c r="EF262" s="3">
        <v>614.38699999999994</v>
      </c>
      <c r="EG262" s="3">
        <v>924.64800000000002</v>
      </c>
      <c r="EH262" s="3">
        <v>1281.31</v>
      </c>
      <c r="EI262" s="3">
        <v>-261.214</v>
      </c>
      <c r="EJ262" s="3">
        <v>-486.17599999999999</v>
      </c>
      <c r="EK262" s="3">
        <v>-738.95299999999997</v>
      </c>
      <c r="EL262" s="3">
        <v>-958.43799999999999</v>
      </c>
      <c r="EM262" s="3">
        <v>-1068.49</v>
      </c>
      <c r="EN262" s="3">
        <v>-1212.4100000000001</v>
      </c>
      <c r="EO262" s="3">
        <v>-1327.8</v>
      </c>
      <c r="EP262" s="3">
        <v>-1532.13</v>
      </c>
      <c r="EQ262" s="3">
        <v>-1723.9</v>
      </c>
      <c r="ER262" s="3">
        <v>-1753.89</v>
      </c>
      <c r="ES262" s="3">
        <v>-1817.15</v>
      </c>
      <c r="ET262" s="3">
        <v>-1392.59</v>
      </c>
      <c r="EU262" s="3">
        <v>-1049.81</v>
      </c>
      <c r="EV262" s="3">
        <v>-831.64700000000005</v>
      </c>
      <c r="EW262" s="3">
        <v>-673.08799999999997</v>
      </c>
      <c r="EX262" s="3">
        <v>-533.51300000000003</v>
      </c>
      <c r="EY262" s="3">
        <v>-474.81200000000001</v>
      </c>
      <c r="EZ262" s="3">
        <v>-360.43299999999999</v>
      </c>
      <c r="FA262" s="3">
        <v>-287.75799999999998</v>
      </c>
      <c r="FB262" s="3">
        <v>-299.20999999999998</v>
      </c>
      <c r="FC262" s="3">
        <v>-948.43799999999999</v>
      </c>
      <c r="FD262" s="3">
        <v>-1177.97</v>
      </c>
      <c r="FE262" s="3">
        <v>-381.42599999999999</v>
      </c>
      <c r="FF262" s="3">
        <v>-401.90300000000002</v>
      </c>
      <c r="FG262" s="3">
        <v>538.76800000000003</v>
      </c>
      <c r="FH262" s="3">
        <v>775.22400000000005</v>
      </c>
      <c r="FI262" s="3">
        <v>-4378.1899999999996</v>
      </c>
      <c r="FJ262" s="3">
        <v>-1147.26</v>
      </c>
      <c r="FK262" s="3">
        <v>941.98699999999997</v>
      </c>
      <c r="FL262" s="3">
        <v>0</v>
      </c>
      <c r="FM262" s="3" t="s">
        <v>666</v>
      </c>
    </row>
    <row r="263" spans="1:169" x14ac:dyDescent="0.3">
      <c r="A263" s="2">
        <v>255</v>
      </c>
      <c r="B263" s="5">
        <v>43</v>
      </c>
      <c r="C263" s="6">
        <v>3502569</v>
      </c>
      <c r="D263" s="6" t="s">
        <v>219</v>
      </c>
      <c r="E263" s="6">
        <v>3907020</v>
      </c>
      <c r="F263" s="6">
        <v>3907022</v>
      </c>
      <c r="G263" s="6">
        <v>5907020</v>
      </c>
      <c r="H263" s="6">
        <v>3907023</v>
      </c>
      <c r="I263" s="6">
        <v>51.48</v>
      </c>
      <c r="J263" s="6" t="s">
        <v>169</v>
      </c>
      <c r="K263" s="6" t="s">
        <v>170</v>
      </c>
      <c r="L263" s="7" t="s">
        <v>171</v>
      </c>
      <c r="M263" s="7" t="s">
        <v>172</v>
      </c>
      <c r="N263" s="8" t="s">
        <v>2868</v>
      </c>
      <c r="O263" s="5">
        <v>40839.1</v>
      </c>
      <c r="P263" s="6">
        <v>2922.58</v>
      </c>
      <c r="Q263" s="6">
        <v>23.105899999999998</v>
      </c>
      <c r="R263" s="12">
        <v>37713.800000000003</v>
      </c>
      <c r="S263" s="4" t="s">
        <v>2869</v>
      </c>
      <c r="T263" s="4" t="s">
        <v>2870</v>
      </c>
      <c r="U263" s="4" t="s">
        <v>2871</v>
      </c>
      <c r="V263" s="4" t="s">
        <v>2872</v>
      </c>
      <c r="W263" s="4" t="s">
        <v>2873</v>
      </c>
      <c r="X263" s="4" t="s">
        <v>2874</v>
      </c>
      <c r="Y263" s="4" t="s">
        <v>2875</v>
      </c>
      <c r="Z263" s="4" t="s">
        <v>2876</v>
      </c>
      <c r="AA263" s="4" t="s">
        <v>2877</v>
      </c>
      <c r="AB263" s="4" t="s">
        <v>2878</v>
      </c>
      <c r="AC263" s="4" t="s">
        <v>2879</v>
      </c>
      <c r="AD263" s="4" t="s">
        <v>2880</v>
      </c>
      <c r="AE263" s="4" t="s">
        <v>2881</v>
      </c>
      <c r="AF263" s="4" t="s">
        <v>2882</v>
      </c>
      <c r="AG263" s="4" t="s">
        <v>2883</v>
      </c>
      <c r="AH263" s="4" t="s">
        <v>2884</v>
      </c>
      <c r="AI263" s="4" t="s">
        <v>2885</v>
      </c>
      <c r="AJ263" s="4" t="s">
        <v>2886</v>
      </c>
      <c r="AK263" s="4" t="s">
        <v>2887</v>
      </c>
      <c r="AL263" s="4" t="s">
        <v>2888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/>
    </row>
    <row r="264" spans="1:169" x14ac:dyDescent="0.3">
      <c r="A264" s="2">
        <v>256</v>
      </c>
      <c r="B264" s="5">
        <v>43</v>
      </c>
      <c r="C264" s="6">
        <v>3502569</v>
      </c>
      <c r="D264" s="6" t="s">
        <v>219</v>
      </c>
      <c r="E264" s="6">
        <v>3907020</v>
      </c>
      <c r="F264" s="6">
        <v>3907022</v>
      </c>
      <c r="G264" s="6">
        <v>5907020</v>
      </c>
      <c r="H264" s="6">
        <v>3907023</v>
      </c>
      <c r="I264" s="6">
        <v>51.48</v>
      </c>
      <c r="J264" s="6" t="s">
        <v>194</v>
      </c>
      <c r="K264" s="6" t="s">
        <v>195</v>
      </c>
      <c r="L264" s="7" t="s">
        <v>196</v>
      </c>
      <c r="M264" s="7" t="s">
        <v>172</v>
      </c>
      <c r="N264" s="8" t="s">
        <v>2868</v>
      </c>
      <c r="O264" s="5">
        <v>-42830.5</v>
      </c>
      <c r="P264" s="6">
        <v>-5135.1400000000003</v>
      </c>
      <c r="Q264" s="6">
        <v>-200.51499999999999</v>
      </c>
      <c r="R264" s="12">
        <v>735.82500000000005</v>
      </c>
      <c r="S264" s="4" t="s">
        <v>2869</v>
      </c>
      <c r="T264" s="4" t="s">
        <v>2870</v>
      </c>
      <c r="U264" s="4" t="s">
        <v>2871</v>
      </c>
      <c r="V264" s="4" t="s">
        <v>2872</v>
      </c>
      <c r="W264" s="4" t="s">
        <v>2873</v>
      </c>
      <c r="X264" s="4" t="s">
        <v>2874</v>
      </c>
      <c r="Y264" s="4" t="s">
        <v>2875</v>
      </c>
      <c r="Z264" s="4" t="s">
        <v>2876</v>
      </c>
      <c r="AA264" s="4" t="s">
        <v>2877</v>
      </c>
      <c r="AB264" s="4" t="s">
        <v>2878</v>
      </c>
      <c r="AC264" s="4" t="s">
        <v>2879</v>
      </c>
      <c r="AD264" s="4" t="s">
        <v>2880</v>
      </c>
      <c r="AE264" s="4" t="s">
        <v>2881</v>
      </c>
      <c r="AF264" s="4" t="s">
        <v>2882</v>
      </c>
      <c r="AG264" s="4" t="s">
        <v>2883</v>
      </c>
      <c r="AH264" s="4" t="s">
        <v>2884</v>
      </c>
      <c r="AI264" s="4" t="s">
        <v>2885</v>
      </c>
      <c r="AJ264" s="4" t="s">
        <v>2886</v>
      </c>
      <c r="AK264" s="4" t="s">
        <v>2887</v>
      </c>
      <c r="AL264" s="4" t="s">
        <v>2888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1.44753E-2</v>
      </c>
      <c r="FM264" s="3"/>
    </row>
    <row r="265" spans="1:169" x14ac:dyDescent="0.3">
      <c r="A265" s="2">
        <v>257</v>
      </c>
      <c r="B265" s="5">
        <v>43</v>
      </c>
      <c r="C265" s="6">
        <v>611495</v>
      </c>
      <c r="D265" s="6" t="s">
        <v>1959</v>
      </c>
      <c r="E265" s="6">
        <v>5907020</v>
      </c>
      <c r="F265" s="6">
        <v>610719</v>
      </c>
      <c r="G265" s="6">
        <v>0</v>
      </c>
      <c r="H265" s="6">
        <v>0</v>
      </c>
      <c r="I265" s="6">
        <v>51.48</v>
      </c>
      <c r="J265" s="6" t="s">
        <v>169</v>
      </c>
      <c r="K265" s="6" t="s">
        <v>170</v>
      </c>
      <c r="L265" s="7" t="s">
        <v>171</v>
      </c>
      <c r="M265" s="7" t="s">
        <v>172</v>
      </c>
      <c r="N265" s="8" t="s">
        <v>2889</v>
      </c>
      <c r="O265" s="5">
        <v>1470.18</v>
      </c>
      <c r="P265" s="6">
        <v>41953.599999999999</v>
      </c>
      <c r="Q265" s="6">
        <v>228.16399999999999</v>
      </c>
      <c r="R265" s="12">
        <v>37713.800000000003</v>
      </c>
      <c r="S265" s="4" t="s">
        <v>2890</v>
      </c>
      <c r="T265" s="4" t="s">
        <v>2891</v>
      </c>
      <c r="U265" s="4" t="s">
        <v>2892</v>
      </c>
      <c r="V265" s="4" t="s">
        <v>2893</v>
      </c>
      <c r="W265" s="4" t="s">
        <v>2894</v>
      </c>
      <c r="X265" s="4" t="s">
        <v>2895</v>
      </c>
      <c r="Y265" s="4" t="s">
        <v>2896</v>
      </c>
      <c r="Z265" s="4" t="s">
        <v>2897</v>
      </c>
      <c r="AA265" s="4" t="s">
        <v>2898</v>
      </c>
      <c r="AB265" s="4" t="s">
        <v>2899</v>
      </c>
      <c r="AC265" s="4" t="s">
        <v>2900</v>
      </c>
      <c r="AD265" s="4" t="s">
        <v>2901</v>
      </c>
      <c r="AE265" s="4" t="s">
        <v>2902</v>
      </c>
      <c r="AF265" s="4" t="s">
        <v>2903</v>
      </c>
      <c r="AG265" s="4" t="s">
        <v>2904</v>
      </c>
      <c r="AH265" s="4" t="s">
        <v>2905</v>
      </c>
      <c r="AI265" s="4" t="s">
        <v>2906</v>
      </c>
      <c r="AJ265" s="4" t="s">
        <v>2907</v>
      </c>
      <c r="AK265" s="4" t="s">
        <v>2908</v>
      </c>
      <c r="AL265" s="4" t="s">
        <v>2909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  <c r="DX265" s="3">
        <v>0</v>
      </c>
      <c r="DY265" s="3">
        <v>0</v>
      </c>
      <c r="DZ265" s="3">
        <v>0</v>
      </c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 t="s">
        <v>2910</v>
      </c>
    </row>
    <row r="266" spans="1:169" x14ac:dyDescent="0.3">
      <c r="A266" s="2">
        <v>258</v>
      </c>
      <c r="B266" s="5">
        <v>43</v>
      </c>
      <c r="C266" s="6">
        <v>611495</v>
      </c>
      <c r="D266" s="6" t="s">
        <v>1959</v>
      </c>
      <c r="E266" s="6">
        <v>5907020</v>
      </c>
      <c r="F266" s="6">
        <v>610719</v>
      </c>
      <c r="G266" s="6">
        <v>0</v>
      </c>
      <c r="H266" s="6">
        <v>0</v>
      </c>
      <c r="I266" s="6">
        <v>51.48</v>
      </c>
      <c r="J266" s="6" t="s">
        <v>194</v>
      </c>
      <c r="K266" s="6" t="s">
        <v>195</v>
      </c>
      <c r="L266" s="7" t="s">
        <v>196</v>
      </c>
      <c r="M266" s="7" t="s">
        <v>172</v>
      </c>
      <c r="N266" s="8" t="s">
        <v>2889</v>
      </c>
      <c r="O266" s="5">
        <v>-694.57500000000005</v>
      </c>
      <c r="P266" s="6">
        <v>-42507.8</v>
      </c>
      <c r="Q266" s="6">
        <v>-263.62200000000001</v>
      </c>
      <c r="R266" s="12">
        <v>735.82500000000005</v>
      </c>
      <c r="S266" s="4" t="s">
        <v>2890</v>
      </c>
      <c r="T266" s="4" t="s">
        <v>2891</v>
      </c>
      <c r="U266" s="4" t="s">
        <v>2892</v>
      </c>
      <c r="V266" s="4" t="s">
        <v>2893</v>
      </c>
      <c r="W266" s="4" t="s">
        <v>2894</v>
      </c>
      <c r="X266" s="4" t="s">
        <v>2895</v>
      </c>
      <c r="Y266" s="4" t="s">
        <v>2896</v>
      </c>
      <c r="Z266" s="4" t="s">
        <v>2897</v>
      </c>
      <c r="AA266" s="4" t="s">
        <v>2898</v>
      </c>
      <c r="AB266" s="4" t="s">
        <v>2899</v>
      </c>
      <c r="AC266" s="4" t="s">
        <v>2900</v>
      </c>
      <c r="AD266" s="4" t="s">
        <v>2901</v>
      </c>
      <c r="AE266" s="4" t="s">
        <v>2902</v>
      </c>
      <c r="AF266" s="4" t="s">
        <v>2903</v>
      </c>
      <c r="AG266" s="4" t="s">
        <v>2904</v>
      </c>
      <c r="AH266" s="4" t="s">
        <v>2905</v>
      </c>
      <c r="AI266" s="4" t="s">
        <v>2906</v>
      </c>
      <c r="AJ266" s="4" t="s">
        <v>2907</v>
      </c>
      <c r="AK266" s="4" t="s">
        <v>2908</v>
      </c>
      <c r="AL266" s="4" t="s">
        <v>2909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 t="s">
        <v>2910</v>
      </c>
    </row>
    <row r="267" spans="1:169" x14ac:dyDescent="0.3">
      <c r="A267" s="2">
        <v>259</v>
      </c>
      <c r="B267" s="5">
        <v>44</v>
      </c>
      <c r="C267" s="6">
        <v>1500671</v>
      </c>
      <c r="D267" s="6" t="s">
        <v>197</v>
      </c>
      <c r="E267" s="6">
        <v>3913020</v>
      </c>
      <c r="F267" s="6">
        <v>1913021</v>
      </c>
      <c r="G267" s="6">
        <v>0</v>
      </c>
      <c r="H267" s="6">
        <v>0</v>
      </c>
      <c r="I267" s="6">
        <v>57.914999999999999</v>
      </c>
      <c r="J267" s="6" t="s">
        <v>169</v>
      </c>
      <c r="K267" s="6" t="s">
        <v>170</v>
      </c>
      <c r="L267" s="7" t="s">
        <v>171</v>
      </c>
      <c r="M267" s="7" t="s">
        <v>172</v>
      </c>
      <c r="N267" s="8" t="s">
        <v>2911</v>
      </c>
      <c r="O267" s="5">
        <v>-9649.83</v>
      </c>
      <c r="P267" s="6">
        <v>7985.62</v>
      </c>
      <c r="Q267" s="6">
        <v>-4957.21</v>
      </c>
      <c r="R267" s="12">
        <v>9613.49</v>
      </c>
      <c r="S267" s="4" t="s">
        <v>2912</v>
      </c>
      <c r="T267" s="4" t="s">
        <v>2913</v>
      </c>
      <c r="U267" s="4" t="s">
        <v>2914</v>
      </c>
      <c r="V267" s="4" t="s">
        <v>2915</v>
      </c>
      <c r="W267" s="4" t="s">
        <v>2916</v>
      </c>
      <c r="X267" s="4" t="s">
        <v>2917</v>
      </c>
      <c r="Y267" s="4" t="s">
        <v>2918</v>
      </c>
      <c r="Z267" s="4" t="s">
        <v>2919</v>
      </c>
      <c r="AA267" s="4" t="s">
        <v>2920</v>
      </c>
      <c r="AB267" s="4" t="s">
        <v>2921</v>
      </c>
      <c r="AC267" s="4" t="s">
        <v>2922</v>
      </c>
      <c r="AD267" s="4" t="s">
        <v>2923</v>
      </c>
      <c r="AE267" s="4" t="s">
        <v>2924</v>
      </c>
      <c r="AF267" s="4" t="s">
        <v>2925</v>
      </c>
      <c r="AG267" s="4" t="s">
        <v>2926</v>
      </c>
      <c r="AH267" s="4" t="s">
        <v>2927</v>
      </c>
      <c r="AI267" s="4" t="s">
        <v>2928</v>
      </c>
      <c r="AJ267" s="4" t="s">
        <v>2929</v>
      </c>
      <c r="AK267" s="4" t="s">
        <v>2930</v>
      </c>
      <c r="AL267" s="4" t="s">
        <v>2931</v>
      </c>
      <c r="AM267" s="3">
        <v>-2390.85</v>
      </c>
      <c r="AN267" s="3">
        <v>-2260.5700000000002</v>
      </c>
      <c r="AO267" s="3">
        <v>-2134.91</v>
      </c>
      <c r="AP267" s="3">
        <v>-2000.03</v>
      </c>
      <c r="AQ267" s="3">
        <v>-1840.91</v>
      </c>
      <c r="AR267" s="3">
        <v>-1677.38</v>
      </c>
      <c r="AS267" s="3">
        <v>-1828.61</v>
      </c>
      <c r="AT267" s="3">
        <v>-1971.71</v>
      </c>
      <c r="AU267" s="3">
        <v>-2152.0700000000002</v>
      </c>
      <c r="AV267" s="3">
        <v>-2337.86</v>
      </c>
      <c r="AW267" s="3">
        <v>-2466.63</v>
      </c>
      <c r="AX267" s="3">
        <v>-2486.1799999999998</v>
      </c>
      <c r="AY267" s="3">
        <v>-2496.2600000000002</v>
      </c>
      <c r="AZ267" s="3">
        <v>-2511.2199999999998</v>
      </c>
      <c r="BA267" s="3">
        <v>-2538.85</v>
      </c>
      <c r="BB267" s="3">
        <v>-2562.23</v>
      </c>
      <c r="BC267" s="3">
        <v>-2571.81</v>
      </c>
      <c r="BD267" s="3">
        <v>-2561.89</v>
      </c>
      <c r="BE267" s="3">
        <v>-2500.42</v>
      </c>
      <c r="BF267" s="3">
        <v>-2425.38</v>
      </c>
      <c r="BG267" s="3">
        <v>13.606199999999999</v>
      </c>
      <c r="BH267" s="3">
        <v>9.89269</v>
      </c>
      <c r="BI267" s="3">
        <v>25.9588</v>
      </c>
      <c r="BJ267" s="3">
        <v>36.111699999999999</v>
      </c>
      <c r="BK267" s="3">
        <v>27.4818</v>
      </c>
      <c r="BL267" s="3">
        <v>10.3559</v>
      </c>
      <c r="BM267" s="3">
        <v>4.4880500000000003</v>
      </c>
      <c r="BN267" s="3">
        <v>-1.99434</v>
      </c>
      <c r="BO267" s="3">
        <v>10.3683</v>
      </c>
      <c r="BP267" s="3">
        <v>38.272199999999998</v>
      </c>
      <c r="BQ267" s="3">
        <v>66.525999999999996</v>
      </c>
      <c r="BR267" s="3">
        <v>81.522199999999998</v>
      </c>
      <c r="BS267" s="3">
        <v>85.629199999999997</v>
      </c>
      <c r="BT267" s="3">
        <v>89.652500000000003</v>
      </c>
      <c r="BU267" s="3">
        <v>106.59099999999999</v>
      </c>
      <c r="BV267" s="3">
        <v>130.35900000000001</v>
      </c>
      <c r="BW267" s="3">
        <v>105.611</v>
      </c>
      <c r="BX267" s="3">
        <v>86.505499999999998</v>
      </c>
      <c r="BY267" s="3">
        <v>58.637999999999998</v>
      </c>
      <c r="BZ267" s="3">
        <v>30.1</v>
      </c>
      <c r="CA267" s="3">
        <v>-231.93899999999999</v>
      </c>
      <c r="CB267" s="3">
        <v>-243.93700000000001</v>
      </c>
      <c r="CC267" s="3">
        <v>-260.91800000000001</v>
      </c>
      <c r="CD267" s="3">
        <v>-295.72000000000003</v>
      </c>
      <c r="CE267" s="3">
        <v>-325.375</v>
      </c>
      <c r="CF267" s="3">
        <v>-339.363</v>
      </c>
      <c r="CG267" s="3">
        <v>-470.29599999999999</v>
      </c>
      <c r="CH267" s="3">
        <v>-525.86900000000003</v>
      </c>
      <c r="CI267" s="3">
        <v>-524.45699999999999</v>
      </c>
      <c r="CJ267" s="3">
        <v>-530.745</v>
      </c>
      <c r="CK267" s="3">
        <v>-554.58600000000001</v>
      </c>
      <c r="CL267" s="3">
        <v>-527.66999999999996</v>
      </c>
      <c r="CM267" s="3">
        <v>-489.96899999999999</v>
      </c>
      <c r="CN267" s="3">
        <v>-431.09800000000001</v>
      </c>
      <c r="CO267" s="3">
        <v>-366.33800000000002</v>
      </c>
      <c r="CP267" s="3">
        <v>-327.18799999999999</v>
      </c>
      <c r="CQ267" s="3">
        <v>-314.471</v>
      </c>
      <c r="CR267" s="3">
        <v>-332.86500000000001</v>
      </c>
      <c r="CS267" s="3">
        <v>-359.96600000000001</v>
      </c>
      <c r="CT267" s="3">
        <v>-329.74700000000001</v>
      </c>
      <c r="CU267" s="3">
        <v>-2579.4899999999998</v>
      </c>
      <c r="CV267" s="3">
        <v>-3701.43</v>
      </c>
      <c r="CW267" s="3">
        <v>-4699.04</v>
      </c>
      <c r="CX267" s="3">
        <v>-5573.89</v>
      </c>
      <c r="CY267" s="3">
        <v>-6459.13</v>
      </c>
      <c r="CZ267" s="3">
        <v>-7437.57</v>
      </c>
      <c r="DA267" s="3">
        <v>-7224.47</v>
      </c>
      <c r="DB267" s="3">
        <v>-7216.49</v>
      </c>
      <c r="DC267" s="3">
        <v>-7374.83</v>
      </c>
      <c r="DD267" s="3">
        <v>-7585.02</v>
      </c>
      <c r="DE267" s="3">
        <v>-7870.2</v>
      </c>
      <c r="DF267" s="3">
        <v>-5923.26</v>
      </c>
      <c r="DG267" s="3">
        <v>-4105.8999999999996</v>
      </c>
      <c r="DH267" s="3">
        <v>-2809.51</v>
      </c>
      <c r="DI267" s="3">
        <v>-2069.73</v>
      </c>
      <c r="DJ267" s="3">
        <v>-1608.5</v>
      </c>
      <c r="DK267" s="3">
        <v>-1924.02</v>
      </c>
      <c r="DL267" s="3">
        <v>-2204.9</v>
      </c>
      <c r="DM267" s="3">
        <v>-2347.15</v>
      </c>
      <c r="DN267" s="3">
        <v>-2468.54</v>
      </c>
      <c r="DO267" s="3">
        <v>172.82</v>
      </c>
      <c r="DP267" s="3">
        <v>51.882100000000001</v>
      </c>
      <c r="DQ267" s="3">
        <v>-29.475999999999999</v>
      </c>
      <c r="DR267" s="3">
        <v>-192.53</v>
      </c>
      <c r="DS267" s="3">
        <v>-294.44900000000001</v>
      </c>
      <c r="DT267" s="3">
        <v>-448.62799999999999</v>
      </c>
      <c r="DU267" s="3">
        <v>-388.52300000000002</v>
      </c>
      <c r="DV267" s="3">
        <v>96.979500000000002</v>
      </c>
      <c r="DW267" s="3">
        <v>733.83100000000002</v>
      </c>
      <c r="DX267" s="3">
        <v>1065.96</v>
      </c>
      <c r="DY267" s="3">
        <v>837.572</v>
      </c>
      <c r="DZ267" s="3">
        <v>904.15700000000004</v>
      </c>
      <c r="EA267" s="3">
        <v>1057.2</v>
      </c>
      <c r="EB267" s="3">
        <v>1276.02</v>
      </c>
      <c r="EC267" s="3">
        <v>1553.48</v>
      </c>
      <c r="ED267" s="3">
        <v>1723.67</v>
      </c>
      <c r="EE267" s="3">
        <v>1596.94</v>
      </c>
      <c r="EF267" s="3">
        <v>1300.5899999999999</v>
      </c>
      <c r="EG267" s="3">
        <v>851.875</v>
      </c>
      <c r="EH267" s="3">
        <v>431.2</v>
      </c>
      <c r="EI267" s="3">
        <v>-672.12</v>
      </c>
      <c r="EJ267" s="3">
        <v>-646.05700000000002</v>
      </c>
      <c r="EK267" s="3">
        <v>-678.976</v>
      </c>
      <c r="EL267" s="3">
        <v>-655.87900000000002</v>
      </c>
      <c r="EM267" s="3">
        <v>-551.32799999999997</v>
      </c>
      <c r="EN267" s="3">
        <v>-413.73200000000003</v>
      </c>
      <c r="EO267" s="3">
        <v>-315.899</v>
      </c>
      <c r="EP267" s="3">
        <v>-332.06700000000001</v>
      </c>
      <c r="EQ267" s="3">
        <v>-417.42399999999998</v>
      </c>
      <c r="ER267" s="3">
        <v>-393.7</v>
      </c>
      <c r="ES267" s="3">
        <v>-160.34100000000001</v>
      </c>
      <c r="ET267" s="3">
        <v>-85.339399999999998</v>
      </c>
      <c r="EU267" s="3">
        <v>-57.380899999999997</v>
      </c>
      <c r="EV267" s="3">
        <v>-168.88200000000001</v>
      </c>
      <c r="EW267" s="3">
        <v>-342.02699999999999</v>
      </c>
      <c r="EX267" s="3">
        <v>-546.60400000000004</v>
      </c>
      <c r="EY267" s="3">
        <v>-623.26199999999994</v>
      </c>
      <c r="EZ267" s="3">
        <v>-744.13599999999997</v>
      </c>
      <c r="FA267" s="3">
        <v>-737.14599999999996</v>
      </c>
      <c r="FB267" s="3">
        <v>-657.625</v>
      </c>
      <c r="FC267" s="3">
        <v>-2072.38</v>
      </c>
      <c r="FD267" s="3">
        <v>-2502.1</v>
      </c>
      <c r="FE267" s="3">
        <v>20.567799999999998</v>
      </c>
      <c r="FF267" s="3">
        <v>93.379900000000006</v>
      </c>
      <c r="FG267" s="3">
        <v>-282.875</v>
      </c>
      <c r="FH267" s="3">
        <v>-490.88600000000002</v>
      </c>
      <c r="FI267" s="3">
        <v>4820.1000000000004</v>
      </c>
      <c r="FJ267" s="3">
        <v>-550.97699999999998</v>
      </c>
      <c r="FK267" s="3">
        <v>458.03</v>
      </c>
      <c r="FL267" s="3">
        <v>0</v>
      </c>
      <c r="FM267" s="3"/>
    </row>
    <row r="268" spans="1:169" x14ac:dyDescent="0.3">
      <c r="A268" s="2">
        <v>260</v>
      </c>
      <c r="B268" s="5">
        <v>44</v>
      </c>
      <c r="C268" s="6">
        <v>1500671</v>
      </c>
      <c r="D268" s="6" t="s">
        <v>197</v>
      </c>
      <c r="E268" s="6">
        <v>3913020</v>
      </c>
      <c r="F268" s="6">
        <v>1913021</v>
      </c>
      <c r="G268" s="6">
        <v>0</v>
      </c>
      <c r="H268" s="6">
        <v>0</v>
      </c>
      <c r="I268" s="6">
        <v>57.914999999999999</v>
      </c>
      <c r="J268" s="6" t="s">
        <v>194</v>
      </c>
      <c r="K268" s="6" t="s">
        <v>195</v>
      </c>
      <c r="L268" s="7" t="s">
        <v>196</v>
      </c>
      <c r="M268" s="7" t="s">
        <v>172</v>
      </c>
      <c r="N268" s="8" t="s">
        <v>2911</v>
      </c>
      <c r="O268" s="5">
        <v>11412.2</v>
      </c>
      <c r="P268" s="6">
        <v>-7209.73</v>
      </c>
      <c r="Q268" s="6">
        <v>6548.42</v>
      </c>
      <c r="R268" s="12">
        <v>31857.5</v>
      </c>
      <c r="S268" s="4" t="s">
        <v>2912</v>
      </c>
      <c r="T268" s="4" t="s">
        <v>2913</v>
      </c>
      <c r="U268" s="4" t="s">
        <v>2914</v>
      </c>
      <c r="V268" s="4" t="s">
        <v>2915</v>
      </c>
      <c r="W268" s="4" t="s">
        <v>2916</v>
      </c>
      <c r="X268" s="4" t="s">
        <v>2917</v>
      </c>
      <c r="Y268" s="4" t="s">
        <v>2918</v>
      </c>
      <c r="Z268" s="4" t="s">
        <v>2919</v>
      </c>
      <c r="AA268" s="4" t="s">
        <v>2920</v>
      </c>
      <c r="AB268" s="4" t="s">
        <v>2921</v>
      </c>
      <c r="AC268" s="4" t="s">
        <v>2922</v>
      </c>
      <c r="AD268" s="4" t="s">
        <v>2923</v>
      </c>
      <c r="AE268" s="4" t="s">
        <v>2924</v>
      </c>
      <c r="AF268" s="4" t="s">
        <v>2925</v>
      </c>
      <c r="AG268" s="4" t="s">
        <v>2926</v>
      </c>
      <c r="AH268" s="4" t="s">
        <v>2927</v>
      </c>
      <c r="AI268" s="4" t="s">
        <v>2928</v>
      </c>
      <c r="AJ268" s="4" t="s">
        <v>2929</v>
      </c>
      <c r="AK268" s="4" t="s">
        <v>2930</v>
      </c>
      <c r="AL268" s="4" t="s">
        <v>2931</v>
      </c>
      <c r="AM268" s="3">
        <v>2585.58</v>
      </c>
      <c r="AN268" s="3">
        <v>2497.9899999999998</v>
      </c>
      <c r="AO268" s="3">
        <v>2420.41</v>
      </c>
      <c r="AP268" s="3">
        <v>2344.0500000000002</v>
      </c>
      <c r="AQ268" s="3">
        <v>2252.5100000000002</v>
      </c>
      <c r="AR268" s="3">
        <v>2166.17</v>
      </c>
      <c r="AS268" s="3">
        <v>2213.9499999999998</v>
      </c>
      <c r="AT268" s="3">
        <v>2217.13</v>
      </c>
      <c r="AU268" s="3">
        <v>2235.7800000000002</v>
      </c>
      <c r="AV268" s="3">
        <v>2250.2399999999998</v>
      </c>
      <c r="AW268" s="3">
        <v>2203.94</v>
      </c>
      <c r="AX268" s="3">
        <v>2252.83</v>
      </c>
      <c r="AY268" s="3">
        <v>2291.0100000000002</v>
      </c>
      <c r="AZ268" s="3">
        <v>2329.75</v>
      </c>
      <c r="BA268" s="3">
        <v>2377.81</v>
      </c>
      <c r="BB268" s="3">
        <v>2420.81</v>
      </c>
      <c r="BC268" s="3">
        <v>2512.4</v>
      </c>
      <c r="BD268" s="3">
        <v>2587.65</v>
      </c>
      <c r="BE268" s="3">
        <v>2600.89</v>
      </c>
      <c r="BF268" s="3">
        <v>2581.14</v>
      </c>
      <c r="BG268" s="3">
        <v>-2.22621</v>
      </c>
      <c r="BH268" s="3">
        <v>5.3898000000000001</v>
      </c>
      <c r="BI268" s="3">
        <v>-10.4598</v>
      </c>
      <c r="BJ268" s="3">
        <v>-24.491499999999998</v>
      </c>
      <c r="BK268" s="3">
        <v>-22.633500000000002</v>
      </c>
      <c r="BL268" s="3">
        <v>-13.3581</v>
      </c>
      <c r="BM268" s="3">
        <v>5.2353500000000004</v>
      </c>
      <c r="BN268" s="3">
        <v>36.031799999999997</v>
      </c>
      <c r="BO268" s="3">
        <v>55.716700000000003</v>
      </c>
      <c r="BP268" s="3">
        <v>65.626000000000005</v>
      </c>
      <c r="BQ268" s="3">
        <v>81.656000000000006</v>
      </c>
      <c r="BR268" s="3">
        <v>62.095700000000001</v>
      </c>
      <c r="BS268" s="3">
        <v>50.052799999999998</v>
      </c>
      <c r="BT268" s="3">
        <v>39.326799999999999</v>
      </c>
      <c r="BU268" s="3">
        <v>16.4815</v>
      </c>
      <c r="BV268" s="3">
        <v>-16.986000000000001</v>
      </c>
      <c r="BW268" s="3">
        <v>-17.947800000000001</v>
      </c>
      <c r="BX268" s="3">
        <v>-24.569400000000002</v>
      </c>
      <c r="BY268" s="3">
        <v>-18.771999999999998</v>
      </c>
      <c r="BZ268" s="3">
        <v>-6.5504699999999998</v>
      </c>
      <c r="CA268" s="3">
        <v>159.547</v>
      </c>
      <c r="CB268" s="3">
        <v>158.53299999999999</v>
      </c>
      <c r="CC268" s="3">
        <v>158.73599999999999</v>
      </c>
      <c r="CD268" s="3">
        <v>178.24600000000001</v>
      </c>
      <c r="CE268" s="3">
        <v>197.37700000000001</v>
      </c>
      <c r="CF268" s="3">
        <v>204.72800000000001</v>
      </c>
      <c r="CG268" s="3">
        <v>257.97500000000002</v>
      </c>
      <c r="CH268" s="3">
        <v>244.21700000000001</v>
      </c>
      <c r="CI268" s="3">
        <v>188.56399999999999</v>
      </c>
      <c r="CJ268" s="3">
        <v>170.119</v>
      </c>
      <c r="CK268" s="3">
        <v>206.405</v>
      </c>
      <c r="CL268" s="3">
        <v>224.36199999999999</v>
      </c>
      <c r="CM268" s="3">
        <v>229.03299999999999</v>
      </c>
      <c r="CN268" s="3">
        <v>207.97900000000001</v>
      </c>
      <c r="CO268" s="3">
        <v>175.42500000000001</v>
      </c>
      <c r="CP268" s="3">
        <v>162.94399999999999</v>
      </c>
      <c r="CQ268" s="3">
        <v>139.179</v>
      </c>
      <c r="CR268" s="3">
        <v>165.21</v>
      </c>
      <c r="CS268" s="3">
        <v>217.82499999999999</v>
      </c>
      <c r="CT268" s="3">
        <v>220.91300000000001</v>
      </c>
      <c r="CU268" s="3">
        <v>2670.53</v>
      </c>
      <c r="CV268" s="3">
        <v>3865.89</v>
      </c>
      <c r="CW268" s="3">
        <v>4975.24</v>
      </c>
      <c r="CX268" s="3">
        <v>6017.6</v>
      </c>
      <c r="CY268" s="3">
        <v>7125.46</v>
      </c>
      <c r="CZ268" s="3">
        <v>8349.07</v>
      </c>
      <c r="DA268" s="3">
        <v>8137.35</v>
      </c>
      <c r="DB268" s="3">
        <v>8131.5</v>
      </c>
      <c r="DC268" s="3">
        <v>8290.9</v>
      </c>
      <c r="DD268" s="3">
        <v>8503.92</v>
      </c>
      <c r="DE268" s="3">
        <v>8789.92</v>
      </c>
      <c r="DF268" s="3">
        <v>6578.76</v>
      </c>
      <c r="DG268" s="3">
        <v>4542.32</v>
      </c>
      <c r="DH268" s="3">
        <v>3079.74</v>
      </c>
      <c r="DI268" s="3">
        <v>2216.3200000000002</v>
      </c>
      <c r="DJ268" s="3">
        <v>1670.14</v>
      </c>
      <c r="DK268" s="3">
        <v>1994.12</v>
      </c>
      <c r="DL268" s="3">
        <v>2286.1799999999998</v>
      </c>
      <c r="DM268" s="3">
        <v>2435.3000000000002</v>
      </c>
      <c r="DN268" s="3">
        <v>2557.6799999999998</v>
      </c>
      <c r="DO268" s="3">
        <v>-239.37899999999999</v>
      </c>
      <c r="DP268" s="3">
        <v>-111.706</v>
      </c>
      <c r="DQ268" s="3">
        <v>-13.342700000000001</v>
      </c>
      <c r="DR268" s="3">
        <v>163.99199999999999</v>
      </c>
      <c r="DS268" s="3">
        <v>286.02100000000002</v>
      </c>
      <c r="DT268" s="3">
        <v>463.94900000000001</v>
      </c>
      <c r="DU268" s="3">
        <v>383.63</v>
      </c>
      <c r="DV268" s="3">
        <v>-125.29300000000001</v>
      </c>
      <c r="DW268" s="3">
        <v>-785.06600000000003</v>
      </c>
      <c r="DX268" s="3">
        <v>-1152.81</v>
      </c>
      <c r="DY268" s="3">
        <v>-986.60799999999995</v>
      </c>
      <c r="DZ268" s="3">
        <v>-1066.82</v>
      </c>
      <c r="EA268" s="3">
        <v>-1236.81</v>
      </c>
      <c r="EB268" s="3">
        <v>-1474.01</v>
      </c>
      <c r="EC268" s="3">
        <v>-1764.46</v>
      </c>
      <c r="ED268" s="3">
        <v>-1941.44</v>
      </c>
      <c r="EE268" s="3">
        <v>-1808.02</v>
      </c>
      <c r="EF268" s="3">
        <v>-1508.92</v>
      </c>
      <c r="EG268" s="3">
        <v>-1035.5</v>
      </c>
      <c r="EH268" s="3">
        <v>-559.16200000000003</v>
      </c>
      <c r="EI268" s="3">
        <v>880.529</v>
      </c>
      <c r="EJ268" s="3">
        <v>859.88499999999999</v>
      </c>
      <c r="EK268" s="3">
        <v>877.87400000000002</v>
      </c>
      <c r="EL268" s="3">
        <v>832.74599999999998</v>
      </c>
      <c r="EM268" s="3">
        <v>712.33100000000002</v>
      </c>
      <c r="EN268" s="3">
        <v>568.77</v>
      </c>
      <c r="EO268" s="3">
        <v>463.94</v>
      </c>
      <c r="EP268" s="3">
        <v>501.28699999999998</v>
      </c>
      <c r="EQ268" s="3">
        <v>618.24099999999999</v>
      </c>
      <c r="ER268" s="3">
        <v>604.94500000000005</v>
      </c>
      <c r="ES268" s="3">
        <v>342.38600000000002</v>
      </c>
      <c r="ET268" s="3">
        <v>254.65700000000001</v>
      </c>
      <c r="EU268" s="3">
        <v>210.155</v>
      </c>
      <c r="EV268" s="3">
        <v>296.46800000000002</v>
      </c>
      <c r="EW268" s="3">
        <v>447.73399999999998</v>
      </c>
      <c r="EX268" s="3">
        <v>645.22900000000004</v>
      </c>
      <c r="EY268" s="3">
        <v>735.24199999999996</v>
      </c>
      <c r="EZ268" s="3">
        <v>878.21600000000001</v>
      </c>
      <c r="FA268" s="3">
        <v>903.43899999999996</v>
      </c>
      <c r="FB268" s="3">
        <v>850.90300000000002</v>
      </c>
      <c r="FC268" s="3">
        <v>2214.54</v>
      </c>
      <c r="FD268" s="3">
        <v>2548.08</v>
      </c>
      <c r="FE268" s="3">
        <v>-11.2965</v>
      </c>
      <c r="FF268" s="3">
        <v>38.771099999999997</v>
      </c>
      <c r="FG268" s="3">
        <v>176.19499999999999</v>
      </c>
      <c r="FH268" s="3">
        <v>212.001</v>
      </c>
      <c r="FI268" s="3">
        <v>-5318.05</v>
      </c>
      <c r="FJ268" s="3">
        <v>660.05100000000004</v>
      </c>
      <c r="FK268" s="3">
        <v>-621.745</v>
      </c>
      <c r="FL268" s="3">
        <v>0</v>
      </c>
      <c r="FM268" s="3"/>
    </row>
    <row r="269" spans="1:169" x14ac:dyDescent="0.3">
      <c r="A269" s="2">
        <v>261</v>
      </c>
      <c r="B269" s="5">
        <v>44</v>
      </c>
      <c r="C269" s="6">
        <v>3502372</v>
      </c>
      <c r="D269" s="6" t="s">
        <v>219</v>
      </c>
      <c r="E269" s="6">
        <v>3913020</v>
      </c>
      <c r="F269" s="6">
        <v>3913022</v>
      </c>
      <c r="G269" s="6">
        <v>4913020</v>
      </c>
      <c r="H269" s="6">
        <v>3913023</v>
      </c>
      <c r="I269" s="6">
        <v>51.48</v>
      </c>
      <c r="J269" s="6" t="s">
        <v>169</v>
      </c>
      <c r="K269" s="6" t="s">
        <v>170</v>
      </c>
      <c r="L269" s="7" t="s">
        <v>171</v>
      </c>
      <c r="M269" s="7" t="s">
        <v>172</v>
      </c>
      <c r="N269" s="8" t="s">
        <v>2932</v>
      </c>
      <c r="O269" s="5">
        <v>40435.5</v>
      </c>
      <c r="P269" s="6">
        <v>-2612.8000000000002</v>
      </c>
      <c r="Q269" s="6">
        <v>-1757.11</v>
      </c>
      <c r="R269" s="12">
        <v>9613.49</v>
      </c>
      <c r="S269" s="4" t="s">
        <v>2933</v>
      </c>
      <c r="T269" s="4" t="s">
        <v>2934</v>
      </c>
      <c r="U269" s="4" t="s">
        <v>2935</v>
      </c>
      <c r="V269" s="4" t="s">
        <v>2936</v>
      </c>
      <c r="W269" s="4" t="s">
        <v>2937</v>
      </c>
      <c r="X269" s="4" t="s">
        <v>2938</v>
      </c>
      <c r="Y269" s="4" t="s">
        <v>2939</v>
      </c>
      <c r="Z269" s="4" t="s">
        <v>2940</v>
      </c>
      <c r="AA269" s="4" t="s">
        <v>2941</v>
      </c>
      <c r="AB269" s="4" t="s">
        <v>2942</v>
      </c>
      <c r="AC269" s="4" t="s">
        <v>2943</v>
      </c>
      <c r="AD269" s="4" t="s">
        <v>2944</v>
      </c>
      <c r="AE269" s="4" t="s">
        <v>2945</v>
      </c>
      <c r="AF269" s="4" t="s">
        <v>2946</v>
      </c>
      <c r="AG269" s="4" t="s">
        <v>2947</v>
      </c>
      <c r="AH269" s="4" t="s">
        <v>2948</v>
      </c>
      <c r="AI269" s="4" t="s">
        <v>2949</v>
      </c>
      <c r="AJ269" s="4" t="s">
        <v>2950</v>
      </c>
      <c r="AK269" s="4" t="s">
        <v>2951</v>
      </c>
      <c r="AL269" s="4" t="s">
        <v>2952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0.26447399999999999</v>
      </c>
      <c r="FM269" s="3"/>
    </row>
    <row r="270" spans="1:169" x14ac:dyDescent="0.3">
      <c r="A270" s="2">
        <v>262</v>
      </c>
      <c r="B270" s="5">
        <v>44</v>
      </c>
      <c r="C270" s="6">
        <v>3502372</v>
      </c>
      <c r="D270" s="6" t="s">
        <v>219</v>
      </c>
      <c r="E270" s="6">
        <v>3913020</v>
      </c>
      <c r="F270" s="6">
        <v>3913022</v>
      </c>
      <c r="G270" s="6">
        <v>4913020</v>
      </c>
      <c r="H270" s="6">
        <v>3913023</v>
      </c>
      <c r="I270" s="6">
        <v>51.48</v>
      </c>
      <c r="J270" s="6" t="s">
        <v>194</v>
      </c>
      <c r="K270" s="6" t="s">
        <v>195</v>
      </c>
      <c r="L270" s="7" t="s">
        <v>196</v>
      </c>
      <c r="M270" s="7" t="s">
        <v>172</v>
      </c>
      <c r="N270" s="8" t="s">
        <v>2932</v>
      </c>
      <c r="O270" s="5">
        <v>-43514</v>
      </c>
      <c r="P270" s="6">
        <v>1830.4</v>
      </c>
      <c r="Q270" s="6">
        <v>1485.34</v>
      </c>
      <c r="R270" s="12">
        <v>31857.5</v>
      </c>
      <c r="S270" s="4" t="s">
        <v>2933</v>
      </c>
      <c r="T270" s="4" t="s">
        <v>2934</v>
      </c>
      <c r="U270" s="4" t="s">
        <v>2935</v>
      </c>
      <c r="V270" s="4" t="s">
        <v>2936</v>
      </c>
      <c r="W270" s="4" t="s">
        <v>2937</v>
      </c>
      <c r="X270" s="4" t="s">
        <v>2938</v>
      </c>
      <c r="Y270" s="4" t="s">
        <v>2939</v>
      </c>
      <c r="Z270" s="4" t="s">
        <v>2940</v>
      </c>
      <c r="AA270" s="4" t="s">
        <v>2941</v>
      </c>
      <c r="AB270" s="4" t="s">
        <v>2942</v>
      </c>
      <c r="AC270" s="4" t="s">
        <v>2943</v>
      </c>
      <c r="AD270" s="4" t="s">
        <v>2944</v>
      </c>
      <c r="AE270" s="4" t="s">
        <v>2945</v>
      </c>
      <c r="AF270" s="4" t="s">
        <v>2946</v>
      </c>
      <c r="AG270" s="4" t="s">
        <v>2947</v>
      </c>
      <c r="AH270" s="4" t="s">
        <v>2948</v>
      </c>
      <c r="AI270" s="4" t="s">
        <v>2949</v>
      </c>
      <c r="AJ270" s="4" t="s">
        <v>2950</v>
      </c>
      <c r="AK270" s="4" t="s">
        <v>2951</v>
      </c>
      <c r="AL270" s="4" t="s">
        <v>2952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0.280584</v>
      </c>
      <c r="FM270" s="3"/>
    </row>
    <row r="271" spans="1:169" x14ac:dyDescent="0.3">
      <c r="A271" s="2">
        <v>263</v>
      </c>
      <c r="B271" s="5">
        <v>44</v>
      </c>
      <c r="C271" s="6">
        <v>4601130</v>
      </c>
      <c r="D271" s="6" t="s">
        <v>1327</v>
      </c>
      <c r="E271" s="6">
        <v>4913020</v>
      </c>
      <c r="F271" s="6">
        <v>4600107</v>
      </c>
      <c r="G271" s="6">
        <v>0</v>
      </c>
      <c r="H271" s="6">
        <v>0</v>
      </c>
      <c r="I271" s="6">
        <v>51.48</v>
      </c>
      <c r="J271" s="6" t="s">
        <v>169</v>
      </c>
      <c r="K271" s="6" t="s">
        <v>170</v>
      </c>
      <c r="L271" s="7" t="s">
        <v>171</v>
      </c>
      <c r="M271" s="7" t="s">
        <v>172</v>
      </c>
      <c r="N271" s="8" t="s">
        <v>2953</v>
      </c>
      <c r="O271" s="5">
        <v>-30367.7</v>
      </c>
      <c r="P271" s="6">
        <v>486.73899999999998</v>
      </c>
      <c r="Q271" s="6">
        <v>-7332.85</v>
      </c>
      <c r="R271" s="12">
        <v>9613.49</v>
      </c>
      <c r="S271" s="4" t="s">
        <v>2954</v>
      </c>
      <c r="T271" s="4" t="s">
        <v>2955</v>
      </c>
      <c r="U271" s="4" t="s">
        <v>2956</v>
      </c>
      <c r="V271" s="4" t="s">
        <v>2957</v>
      </c>
      <c r="W271" s="4" t="s">
        <v>2958</v>
      </c>
      <c r="X271" s="4" t="s">
        <v>2959</v>
      </c>
      <c r="Y271" s="4" t="s">
        <v>2960</v>
      </c>
      <c r="Z271" s="4" t="s">
        <v>2961</v>
      </c>
      <c r="AA271" s="4" t="s">
        <v>2962</v>
      </c>
      <c r="AB271" s="4" t="s">
        <v>2963</v>
      </c>
      <c r="AC271" s="4" t="s">
        <v>2964</v>
      </c>
      <c r="AD271" s="4" t="s">
        <v>2965</v>
      </c>
      <c r="AE271" s="4" t="s">
        <v>2966</v>
      </c>
      <c r="AF271" s="4" t="s">
        <v>2967</v>
      </c>
      <c r="AG271" s="4" t="s">
        <v>2968</v>
      </c>
      <c r="AH271" s="4" t="s">
        <v>2969</v>
      </c>
      <c r="AI271" s="4" t="s">
        <v>2970</v>
      </c>
      <c r="AJ271" s="4" t="s">
        <v>2971</v>
      </c>
      <c r="AK271" s="4" t="s">
        <v>2972</v>
      </c>
      <c r="AL271" s="4" t="s">
        <v>2973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/>
    </row>
    <row r="272" spans="1:169" x14ac:dyDescent="0.3">
      <c r="A272" s="2">
        <v>264</v>
      </c>
      <c r="B272" s="5">
        <v>44</v>
      </c>
      <c r="C272" s="6">
        <v>4601130</v>
      </c>
      <c r="D272" s="6" t="s">
        <v>1327</v>
      </c>
      <c r="E272" s="6">
        <v>4913020</v>
      </c>
      <c r="F272" s="6">
        <v>4600107</v>
      </c>
      <c r="G272" s="6">
        <v>0</v>
      </c>
      <c r="H272" s="6">
        <v>0</v>
      </c>
      <c r="I272" s="6">
        <v>51.48</v>
      </c>
      <c r="J272" s="6" t="s">
        <v>194</v>
      </c>
      <c r="K272" s="6" t="s">
        <v>195</v>
      </c>
      <c r="L272" s="7" t="s">
        <v>196</v>
      </c>
      <c r="M272" s="7" t="s">
        <v>172</v>
      </c>
      <c r="N272" s="8" t="s">
        <v>2953</v>
      </c>
      <c r="O272" s="5">
        <v>31698.5</v>
      </c>
      <c r="P272" s="6">
        <v>-184.17599999999999</v>
      </c>
      <c r="Q272" s="6">
        <v>8687.84</v>
      </c>
      <c r="R272" s="12">
        <v>31857.5</v>
      </c>
      <c r="S272" s="4" t="s">
        <v>2954</v>
      </c>
      <c r="T272" s="4" t="s">
        <v>2955</v>
      </c>
      <c r="U272" s="4" t="s">
        <v>2956</v>
      </c>
      <c r="V272" s="4" t="s">
        <v>2957</v>
      </c>
      <c r="W272" s="4" t="s">
        <v>2958</v>
      </c>
      <c r="X272" s="4" t="s">
        <v>2959</v>
      </c>
      <c r="Y272" s="4" t="s">
        <v>2960</v>
      </c>
      <c r="Z272" s="4" t="s">
        <v>2961</v>
      </c>
      <c r="AA272" s="4" t="s">
        <v>2962</v>
      </c>
      <c r="AB272" s="4" t="s">
        <v>2963</v>
      </c>
      <c r="AC272" s="4" t="s">
        <v>2964</v>
      </c>
      <c r="AD272" s="4" t="s">
        <v>2965</v>
      </c>
      <c r="AE272" s="4" t="s">
        <v>2966</v>
      </c>
      <c r="AF272" s="4" t="s">
        <v>2967</v>
      </c>
      <c r="AG272" s="4" t="s">
        <v>2968</v>
      </c>
      <c r="AH272" s="4" t="s">
        <v>2969</v>
      </c>
      <c r="AI272" s="4" t="s">
        <v>2970</v>
      </c>
      <c r="AJ272" s="4" t="s">
        <v>2971</v>
      </c>
      <c r="AK272" s="4" t="s">
        <v>2972</v>
      </c>
      <c r="AL272" s="4" t="s">
        <v>2973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/>
    </row>
    <row r="273" spans="1:169" x14ac:dyDescent="0.3">
      <c r="A273" s="2">
        <v>265</v>
      </c>
      <c r="B273" s="5">
        <v>45</v>
      </c>
      <c r="C273" s="6">
        <v>1502995</v>
      </c>
      <c r="D273" s="6" t="s">
        <v>197</v>
      </c>
      <c r="E273" s="6">
        <v>3914020</v>
      </c>
      <c r="F273" s="6">
        <v>1914023</v>
      </c>
      <c r="G273" s="6">
        <v>0</v>
      </c>
      <c r="H273" s="6">
        <v>0</v>
      </c>
      <c r="I273" s="6">
        <v>57.914999999999999</v>
      </c>
      <c r="J273" s="6" t="s">
        <v>169</v>
      </c>
      <c r="K273" s="6" t="s">
        <v>170</v>
      </c>
      <c r="L273" s="7" t="s">
        <v>171</v>
      </c>
      <c r="M273" s="7" t="s">
        <v>172</v>
      </c>
      <c r="N273" s="8" t="s">
        <v>2974</v>
      </c>
      <c r="O273" s="5">
        <v>8696.4500000000007</v>
      </c>
      <c r="P273" s="6">
        <v>-3709.1</v>
      </c>
      <c r="Q273" s="6">
        <v>-72.188900000000004</v>
      </c>
      <c r="R273" s="12">
        <v>8671.9</v>
      </c>
      <c r="S273" s="4" t="s">
        <v>2975</v>
      </c>
      <c r="T273" s="4" t="s">
        <v>2976</v>
      </c>
      <c r="U273" s="4" t="s">
        <v>2977</v>
      </c>
      <c r="V273" s="4" t="s">
        <v>2978</v>
      </c>
      <c r="W273" s="4" t="s">
        <v>2979</v>
      </c>
      <c r="X273" s="4" t="s">
        <v>2980</v>
      </c>
      <c r="Y273" s="4" t="s">
        <v>2981</v>
      </c>
      <c r="Z273" s="4" t="s">
        <v>2982</v>
      </c>
      <c r="AA273" s="4" t="s">
        <v>2983</v>
      </c>
      <c r="AB273" s="4" t="s">
        <v>2984</v>
      </c>
      <c r="AC273" s="4" t="s">
        <v>2985</v>
      </c>
      <c r="AD273" s="4" t="s">
        <v>2986</v>
      </c>
      <c r="AE273" s="4" t="s">
        <v>2987</v>
      </c>
      <c r="AF273" s="4" t="s">
        <v>2988</v>
      </c>
      <c r="AG273" s="4" t="s">
        <v>2989</v>
      </c>
      <c r="AH273" s="4" t="s">
        <v>2990</v>
      </c>
      <c r="AI273" s="4" t="s">
        <v>2991</v>
      </c>
      <c r="AJ273" s="4" t="s">
        <v>2992</v>
      </c>
      <c r="AK273" s="4" t="s">
        <v>2993</v>
      </c>
      <c r="AL273" s="4" t="s">
        <v>2994</v>
      </c>
      <c r="AM273" s="3">
        <v>-346.63799999999998</v>
      </c>
      <c r="AN273" s="3">
        <v>-328.46499999999997</v>
      </c>
      <c r="AO273" s="3">
        <v>-309.21499999999997</v>
      </c>
      <c r="AP273" s="3">
        <v>-275.28699999999998</v>
      </c>
      <c r="AQ273" s="3">
        <v>-242.02799999999999</v>
      </c>
      <c r="AR273" s="3">
        <v>-211.84800000000001</v>
      </c>
      <c r="AS273" s="3">
        <v>-347.03300000000002</v>
      </c>
      <c r="AT273" s="3">
        <v>-487.14400000000001</v>
      </c>
      <c r="AU273" s="3">
        <v>-644.38</v>
      </c>
      <c r="AV273" s="3">
        <v>-810.04300000000001</v>
      </c>
      <c r="AW273" s="3">
        <v>-964.43399999999997</v>
      </c>
      <c r="AX273" s="3">
        <v>-975.87</v>
      </c>
      <c r="AY273" s="3">
        <v>-984.83900000000006</v>
      </c>
      <c r="AZ273" s="3">
        <v>-996.28499999999997</v>
      </c>
      <c r="BA273" s="3">
        <v>-1020.14</v>
      </c>
      <c r="BB273" s="3">
        <v>-1024.42</v>
      </c>
      <c r="BC273" s="3">
        <v>-900.822</v>
      </c>
      <c r="BD273" s="3">
        <v>-771.81600000000003</v>
      </c>
      <c r="BE273" s="3">
        <v>-631.98800000000006</v>
      </c>
      <c r="BF273" s="3">
        <v>-487.26400000000001</v>
      </c>
      <c r="BG273" s="3">
        <v>375.779</v>
      </c>
      <c r="BH273" s="3">
        <v>381.72699999999998</v>
      </c>
      <c r="BI273" s="3">
        <v>390.25900000000001</v>
      </c>
      <c r="BJ273" s="3">
        <v>391.97899999999998</v>
      </c>
      <c r="BK273" s="3">
        <v>384.48399999999998</v>
      </c>
      <c r="BL273" s="3">
        <v>373.34800000000001</v>
      </c>
      <c r="BM273" s="3">
        <v>352.85399999999998</v>
      </c>
      <c r="BN273" s="3">
        <v>332.22399999999999</v>
      </c>
      <c r="BO273" s="3">
        <v>315.73</v>
      </c>
      <c r="BP273" s="3">
        <v>302.197</v>
      </c>
      <c r="BQ273" s="3">
        <v>290.399</v>
      </c>
      <c r="BR273" s="3">
        <v>290.61399999999998</v>
      </c>
      <c r="BS273" s="3">
        <v>286.92</v>
      </c>
      <c r="BT273" s="3">
        <v>285.79399999999998</v>
      </c>
      <c r="BU273" s="3">
        <v>291.642</v>
      </c>
      <c r="BV273" s="3">
        <v>300.113</v>
      </c>
      <c r="BW273" s="3">
        <v>315.49</v>
      </c>
      <c r="BX273" s="3">
        <v>332.53800000000001</v>
      </c>
      <c r="BY273" s="3">
        <v>347.95</v>
      </c>
      <c r="BZ273" s="3">
        <v>361.70600000000002</v>
      </c>
      <c r="CA273" s="3">
        <v>-392.07</v>
      </c>
      <c r="CB273" s="3">
        <v>-405.012</v>
      </c>
      <c r="CC273" s="3">
        <v>-413.26100000000002</v>
      </c>
      <c r="CD273" s="3">
        <v>-416.92399999999998</v>
      </c>
      <c r="CE273" s="3">
        <v>-423.26600000000002</v>
      </c>
      <c r="CF273" s="3">
        <v>-438.63099999999997</v>
      </c>
      <c r="CG273" s="3">
        <v>-412.892</v>
      </c>
      <c r="CH273" s="3">
        <v>-393.10899999999998</v>
      </c>
      <c r="CI273" s="3">
        <v>-378.74299999999999</v>
      </c>
      <c r="CJ273" s="3">
        <v>-363.42899999999997</v>
      </c>
      <c r="CK273" s="3">
        <v>-348.81</v>
      </c>
      <c r="CL273" s="3">
        <v>-340.56</v>
      </c>
      <c r="CM273" s="3">
        <v>-337.65899999999999</v>
      </c>
      <c r="CN273" s="3">
        <v>-339.154</v>
      </c>
      <c r="CO273" s="3">
        <v>-337.19600000000003</v>
      </c>
      <c r="CP273" s="3">
        <v>-327.17099999999999</v>
      </c>
      <c r="CQ273" s="3">
        <v>-337.56700000000001</v>
      </c>
      <c r="CR273" s="3">
        <v>-345.23200000000003</v>
      </c>
      <c r="CS273" s="3">
        <v>-353.83199999999999</v>
      </c>
      <c r="CT273" s="3">
        <v>-369.92399999999998</v>
      </c>
      <c r="CU273" s="3">
        <v>-1799.31</v>
      </c>
      <c r="CV273" s="3">
        <v>-2190.0700000000002</v>
      </c>
      <c r="CW273" s="3">
        <v>-2331.0300000000002</v>
      </c>
      <c r="CX273" s="3">
        <v>-2358.81</v>
      </c>
      <c r="CY273" s="3">
        <v>-2489.62</v>
      </c>
      <c r="CZ273" s="3">
        <v>-2956.12</v>
      </c>
      <c r="DA273" s="3">
        <v>-3058.51</v>
      </c>
      <c r="DB273" s="3">
        <v>-3141.58</v>
      </c>
      <c r="DC273" s="3">
        <v>-3231.73</v>
      </c>
      <c r="DD273" s="3">
        <v>-3350.21</v>
      </c>
      <c r="DE273" s="3">
        <v>-3497.94</v>
      </c>
      <c r="DF273" s="3">
        <v>-2934.51</v>
      </c>
      <c r="DG273" s="3">
        <v>-2675.97</v>
      </c>
      <c r="DH273" s="3">
        <v>-2605.77</v>
      </c>
      <c r="DI273" s="3">
        <v>-2501.91</v>
      </c>
      <c r="DJ273" s="3">
        <v>-2137.67</v>
      </c>
      <c r="DK273" s="3">
        <v>-2229.88</v>
      </c>
      <c r="DL273" s="3">
        <v>-2244.25</v>
      </c>
      <c r="DM273" s="3">
        <v>-2185.9899999999998</v>
      </c>
      <c r="DN273" s="3">
        <v>-2038.69</v>
      </c>
      <c r="DO273" s="3">
        <v>-1489.75</v>
      </c>
      <c r="DP273" s="3">
        <v>-1634.29</v>
      </c>
      <c r="DQ273" s="3">
        <v>-1743.31</v>
      </c>
      <c r="DR273" s="3">
        <v>-1929.6</v>
      </c>
      <c r="DS273" s="3">
        <v>-2048.89</v>
      </c>
      <c r="DT273" s="3">
        <v>-2100.02</v>
      </c>
      <c r="DU273" s="3">
        <v>-2135.7800000000002</v>
      </c>
      <c r="DV273" s="3">
        <v>-2186.16</v>
      </c>
      <c r="DW273" s="3">
        <v>-2346.16</v>
      </c>
      <c r="DX273" s="3">
        <v>-2612.9299999999998</v>
      </c>
      <c r="DY273" s="3">
        <v>-2766.95</v>
      </c>
      <c r="DZ273" s="3">
        <v>-2547.46</v>
      </c>
      <c r="EA273" s="3">
        <v>-2321.21</v>
      </c>
      <c r="EB273" s="3">
        <v>-2076.09</v>
      </c>
      <c r="EC273" s="3">
        <v>-1907.09</v>
      </c>
      <c r="ED273" s="3">
        <v>-1756.78</v>
      </c>
      <c r="EE273" s="3">
        <v>-1899.18</v>
      </c>
      <c r="EF273" s="3">
        <v>-2051.9299999999998</v>
      </c>
      <c r="EG273" s="3">
        <v>-2036</v>
      </c>
      <c r="EH273" s="3">
        <v>-1801.63</v>
      </c>
      <c r="EI273" s="3">
        <v>-702.63900000000001</v>
      </c>
      <c r="EJ273" s="3">
        <v>-596.62699999999995</v>
      </c>
      <c r="EK273" s="3">
        <v>-401.27199999999999</v>
      </c>
      <c r="EL273" s="3">
        <v>-345.505</v>
      </c>
      <c r="EM273" s="3">
        <v>-381.60599999999999</v>
      </c>
      <c r="EN273" s="3">
        <v>-406.71499999999997</v>
      </c>
      <c r="EO273" s="3">
        <v>-497.10300000000001</v>
      </c>
      <c r="EP273" s="3">
        <v>-511.08199999999999</v>
      </c>
      <c r="EQ273" s="3">
        <v>-356.72699999999998</v>
      </c>
      <c r="ER273" s="3">
        <v>-166.58199999999999</v>
      </c>
      <c r="ES273" s="3">
        <v>-93.982600000000005</v>
      </c>
      <c r="ET273" s="3">
        <v>-180.63900000000001</v>
      </c>
      <c r="EU273" s="3">
        <v>-295.87099999999998</v>
      </c>
      <c r="EV273" s="3">
        <v>-354.72500000000002</v>
      </c>
      <c r="EW273" s="3">
        <v>-301.85399999999998</v>
      </c>
      <c r="EX273" s="3">
        <v>-220.34200000000001</v>
      </c>
      <c r="EY273" s="3">
        <v>-236.02699999999999</v>
      </c>
      <c r="EZ273" s="3">
        <v>-334.79</v>
      </c>
      <c r="FA273" s="3">
        <v>-501.61900000000003</v>
      </c>
      <c r="FB273" s="3">
        <v>-639.71799999999996</v>
      </c>
      <c r="FC273" s="3">
        <v>-577.48</v>
      </c>
      <c r="FD273" s="3">
        <v>-693.82500000000005</v>
      </c>
      <c r="FE273" s="3">
        <v>290.91399999999999</v>
      </c>
      <c r="FF273" s="3">
        <v>382.92899999999997</v>
      </c>
      <c r="FG273" s="3">
        <v>-338.42500000000001</v>
      </c>
      <c r="FH273" s="3">
        <v>-414.86099999999999</v>
      </c>
      <c r="FI273" s="3">
        <v>2655.99</v>
      </c>
      <c r="FJ273" s="3">
        <v>2026.79</v>
      </c>
      <c r="FK273" s="3">
        <v>372.87900000000002</v>
      </c>
      <c r="FL273" s="3">
        <v>0</v>
      </c>
      <c r="FM273" s="3"/>
    </row>
    <row r="274" spans="1:169" x14ac:dyDescent="0.3">
      <c r="A274" s="2">
        <v>266</v>
      </c>
      <c r="B274" s="5">
        <v>45</v>
      </c>
      <c r="C274" s="6">
        <v>1502995</v>
      </c>
      <c r="D274" s="6" t="s">
        <v>197</v>
      </c>
      <c r="E274" s="6">
        <v>3914020</v>
      </c>
      <c r="F274" s="6">
        <v>1914023</v>
      </c>
      <c r="G274" s="6">
        <v>0</v>
      </c>
      <c r="H274" s="6">
        <v>0</v>
      </c>
      <c r="I274" s="6">
        <v>57.914999999999999</v>
      </c>
      <c r="J274" s="6" t="s">
        <v>194</v>
      </c>
      <c r="K274" s="6" t="s">
        <v>195</v>
      </c>
      <c r="L274" s="7" t="s">
        <v>196</v>
      </c>
      <c r="M274" s="7" t="s">
        <v>172</v>
      </c>
      <c r="N274" s="8" t="s">
        <v>2974</v>
      </c>
      <c r="O274" s="5">
        <v>-8390.76</v>
      </c>
      <c r="P274" s="6">
        <v>3325.5</v>
      </c>
      <c r="Q274" s="6">
        <v>-15.837899999999999</v>
      </c>
      <c r="R274" s="12">
        <v>0</v>
      </c>
      <c r="S274" s="4" t="s">
        <v>2975</v>
      </c>
      <c r="T274" s="4" t="s">
        <v>2976</v>
      </c>
      <c r="U274" s="4" t="s">
        <v>2977</v>
      </c>
      <c r="V274" s="4" t="s">
        <v>2978</v>
      </c>
      <c r="W274" s="4" t="s">
        <v>2979</v>
      </c>
      <c r="X274" s="4" t="s">
        <v>2980</v>
      </c>
      <c r="Y274" s="4" t="s">
        <v>2981</v>
      </c>
      <c r="Z274" s="4" t="s">
        <v>2982</v>
      </c>
      <c r="AA274" s="4" t="s">
        <v>2983</v>
      </c>
      <c r="AB274" s="4" t="s">
        <v>2984</v>
      </c>
      <c r="AC274" s="4" t="s">
        <v>2985</v>
      </c>
      <c r="AD274" s="4" t="s">
        <v>2986</v>
      </c>
      <c r="AE274" s="4" t="s">
        <v>2987</v>
      </c>
      <c r="AF274" s="4" t="s">
        <v>2988</v>
      </c>
      <c r="AG274" s="4" t="s">
        <v>2989</v>
      </c>
      <c r="AH274" s="4" t="s">
        <v>2990</v>
      </c>
      <c r="AI274" s="4" t="s">
        <v>2991</v>
      </c>
      <c r="AJ274" s="4" t="s">
        <v>2992</v>
      </c>
      <c r="AK274" s="4" t="s">
        <v>2993</v>
      </c>
      <c r="AL274" s="4" t="s">
        <v>2994</v>
      </c>
      <c r="AM274" s="3">
        <v>384.9</v>
      </c>
      <c r="AN274" s="3">
        <v>372.28100000000001</v>
      </c>
      <c r="AO274" s="3">
        <v>360.024</v>
      </c>
      <c r="AP274" s="3">
        <v>333.11500000000001</v>
      </c>
      <c r="AQ274" s="3">
        <v>307.41699999999997</v>
      </c>
      <c r="AR274" s="3">
        <v>286.10300000000001</v>
      </c>
      <c r="AS274" s="3">
        <v>430.28899999999999</v>
      </c>
      <c r="AT274" s="3">
        <v>576.14499999999998</v>
      </c>
      <c r="AU274" s="3">
        <v>735.17600000000004</v>
      </c>
      <c r="AV274" s="3">
        <v>896.5</v>
      </c>
      <c r="AW274" s="3">
        <v>1038.02</v>
      </c>
      <c r="AX274" s="3">
        <v>1035.5999999999999</v>
      </c>
      <c r="AY274" s="3">
        <v>1033.28</v>
      </c>
      <c r="AZ274" s="3">
        <v>1035.8599999999999</v>
      </c>
      <c r="BA274" s="3">
        <v>1052.26</v>
      </c>
      <c r="BB274" s="3">
        <v>1052.06</v>
      </c>
      <c r="BC274" s="3">
        <v>936.774</v>
      </c>
      <c r="BD274" s="3">
        <v>813.37699999999995</v>
      </c>
      <c r="BE274" s="3">
        <v>675.24</v>
      </c>
      <c r="BF274" s="3">
        <v>528.86300000000006</v>
      </c>
      <c r="BG274" s="3">
        <v>-384.49900000000002</v>
      </c>
      <c r="BH274" s="3">
        <v>-392.565</v>
      </c>
      <c r="BI274" s="3">
        <v>-403.98700000000002</v>
      </c>
      <c r="BJ274" s="3">
        <v>-408.22399999999999</v>
      </c>
      <c r="BK274" s="3">
        <v>-402.75799999999998</v>
      </c>
      <c r="BL274" s="3">
        <v>-393.57900000000001</v>
      </c>
      <c r="BM274" s="3">
        <v>-374.82100000000003</v>
      </c>
      <c r="BN274" s="3">
        <v>-354.34300000000002</v>
      </c>
      <c r="BO274" s="3">
        <v>-336.16800000000001</v>
      </c>
      <c r="BP274" s="3">
        <v>-318.34100000000001</v>
      </c>
      <c r="BQ274" s="3">
        <v>-298.988</v>
      </c>
      <c r="BR274" s="3">
        <v>-294.36099999999999</v>
      </c>
      <c r="BS274" s="3">
        <v>-286.64299999999997</v>
      </c>
      <c r="BT274" s="3">
        <v>-282.70699999999999</v>
      </c>
      <c r="BU274" s="3">
        <v>-287.27999999999997</v>
      </c>
      <c r="BV274" s="3">
        <v>-295.81900000000002</v>
      </c>
      <c r="BW274" s="3">
        <v>-316.22500000000002</v>
      </c>
      <c r="BX274" s="3">
        <v>-337.27499999999998</v>
      </c>
      <c r="BY274" s="3">
        <v>-355.245</v>
      </c>
      <c r="BZ274" s="3">
        <v>-370.17</v>
      </c>
      <c r="CA274" s="3">
        <v>391.08</v>
      </c>
      <c r="CB274" s="3">
        <v>403.79700000000003</v>
      </c>
      <c r="CC274" s="3">
        <v>411.27300000000002</v>
      </c>
      <c r="CD274" s="3">
        <v>413.00799999999998</v>
      </c>
      <c r="CE274" s="3">
        <v>417.21899999999999</v>
      </c>
      <c r="CF274" s="3">
        <v>430.39600000000002</v>
      </c>
      <c r="CG274" s="3">
        <v>415.65499999999997</v>
      </c>
      <c r="CH274" s="3">
        <v>410.13</v>
      </c>
      <c r="CI274" s="3">
        <v>412.733</v>
      </c>
      <c r="CJ274" s="3">
        <v>414.71300000000002</v>
      </c>
      <c r="CK274" s="3">
        <v>416.05200000000002</v>
      </c>
      <c r="CL274" s="3">
        <v>398.96800000000002</v>
      </c>
      <c r="CM274" s="3">
        <v>388.22300000000001</v>
      </c>
      <c r="CN274" s="3">
        <v>383.09699999999998</v>
      </c>
      <c r="CO274" s="3">
        <v>375.25299999999999</v>
      </c>
      <c r="CP274" s="3">
        <v>359.34500000000003</v>
      </c>
      <c r="CQ274" s="3">
        <v>363.95800000000003</v>
      </c>
      <c r="CR274" s="3">
        <v>364.49099999999999</v>
      </c>
      <c r="CS274" s="3">
        <v>365.435</v>
      </c>
      <c r="CT274" s="3">
        <v>374.66</v>
      </c>
      <c r="CU274" s="3">
        <v>1714.33</v>
      </c>
      <c r="CV274" s="3">
        <v>2107.87</v>
      </c>
      <c r="CW274" s="3">
        <v>2262.81</v>
      </c>
      <c r="CX274" s="3">
        <v>2332.62</v>
      </c>
      <c r="CY274" s="3">
        <v>2522.1799999999998</v>
      </c>
      <c r="CZ274" s="3">
        <v>3057.32</v>
      </c>
      <c r="DA274" s="3">
        <v>3123.37</v>
      </c>
      <c r="DB274" s="3">
        <v>3160.82</v>
      </c>
      <c r="DC274" s="3">
        <v>3199.34</v>
      </c>
      <c r="DD274" s="3">
        <v>3267.76</v>
      </c>
      <c r="DE274" s="3">
        <v>3369.65</v>
      </c>
      <c r="DF274" s="3">
        <v>2789.8</v>
      </c>
      <c r="DG274" s="3">
        <v>2517.69</v>
      </c>
      <c r="DH274" s="3">
        <v>2432.0700000000002</v>
      </c>
      <c r="DI274" s="3">
        <v>2313.19</v>
      </c>
      <c r="DJ274" s="3">
        <v>1944.04</v>
      </c>
      <c r="DK274" s="3">
        <v>2055.13</v>
      </c>
      <c r="DL274" s="3">
        <v>2091.06</v>
      </c>
      <c r="DM274" s="3">
        <v>2055.48</v>
      </c>
      <c r="DN274" s="3">
        <v>1930.31</v>
      </c>
      <c r="DO274" s="3">
        <v>1587.92</v>
      </c>
      <c r="DP274" s="3">
        <v>1753.52</v>
      </c>
      <c r="DQ274" s="3">
        <v>1889.44</v>
      </c>
      <c r="DR274" s="3">
        <v>2104.21</v>
      </c>
      <c r="DS274" s="3">
        <v>2256.38</v>
      </c>
      <c r="DT274" s="3">
        <v>2347.89</v>
      </c>
      <c r="DU274" s="3">
        <v>2350.9899999999998</v>
      </c>
      <c r="DV274" s="3">
        <v>2371.98</v>
      </c>
      <c r="DW274" s="3">
        <v>2503.54</v>
      </c>
      <c r="DX274" s="3">
        <v>2725.26</v>
      </c>
      <c r="DY274" s="3">
        <v>2804.99</v>
      </c>
      <c r="DZ274" s="3">
        <v>2558.86</v>
      </c>
      <c r="EA274" s="3">
        <v>2312.0500000000002</v>
      </c>
      <c r="EB274" s="3">
        <v>2050.11</v>
      </c>
      <c r="EC274" s="3">
        <v>1863.71</v>
      </c>
      <c r="ED274" s="3">
        <v>1702.87</v>
      </c>
      <c r="EE274" s="3">
        <v>1895.51</v>
      </c>
      <c r="EF274" s="3">
        <v>2080.3000000000002</v>
      </c>
      <c r="EG274" s="3">
        <v>2085.21</v>
      </c>
      <c r="EH274" s="3">
        <v>1872.85</v>
      </c>
      <c r="EI274" s="3">
        <v>706.78399999999999</v>
      </c>
      <c r="EJ274" s="3">
        <v>607.06100000000004</v>
      </c>
      <c r="EK274" s="3">
        <v>422.90899999999999</v>
      </c>
      <c r="EL274" s="3">
        <v>383.17200000000003</v>
      </c>
      <c r="EM274" s="3">
        <v>429.57299999999998</v>
      </c>
      <c r="EN274" s="3">
        <v>462.44099999999997</v>
      </c>
      <c r="EO274" s="3">
        <v>526.56399999999996</v>
      </c>
      <c r="EP274" s="3">
        <v>516.68600000000004</v>
      </c>
      <c r="EQ274" s="3">
        <v>344.56700000000001</v>
      </c>
      <c r="ER274" s="3">
        <v>141.56899999999999</v>
      </c>
      <c r="ES274" s="3">
        <v>48.952100000000002</v>
      </c>
      <c r="ET274" s="3">
        <v>128.256</v>
      </c>
      <c r="EU274" s="3">
        <v>233.322</v>
      </c>
      <c r="EV274" s="3">
        <v>281.3</v>
      </c>
      <c r="EW274" s="3">
        <v>223.01300000000001</v>
      </c>
      <c r="EX274" s="3">
        <v>143.26599999999999</v>
      </c>
      <c r="EY274" s="3">
        <v>178.83199999999999</v>
      </c>
      <c r="EZ274" s="3">
        <v>298.72000000000003</v>
      </c>
      <c r="FA274" s="3">
        <v>481.27300000000002</v>
      </c>
      <c r="FB274" s="3">
        <v>630.42700000000002</v>
      </c>
      <c r="FC274" s="3">
        <v>660.37199999999996</v>
      </c>
      <c r="FD274" s="3">
        <v>731.86900000000003</v>
      </c>
      <c r="FE274" s="3">
        <v>-290.96600000000001</v>
      </c>
      <c r="FF274" s="3">
        <v>-397.60199999999998</v>
      </c>
      <c r="FG274" s="3">
        <v>369.82799999999997</v>
      </c>
      <c r="FH274" s="3">
        <v>416.613</v>
      </c>
      <c r="FI274" s="3">
        <v>-2580.7199999999998</v>
      </c>
      <c r="FJ274" s="3">
        <v>-2102.66</v>
      </c>
      <c r="FK274" s="3">
        <v>-356.255</v>
      </c>
      <c r="FL274" s="3">
        <v>0</v>
      </c>
      <c r="FM274" s="3"/>
    </row>
    <row r="275" spans="1:169" x14ac:dyDescent="0.3">
      <c r="A275" s="2">
        <v>267</v>
      </c>
      <c r="B275" s="5">
        <v>45</v>
      </c>
      <c r="C275" s="6">
        <v>3502479</v>
      </c>
      <c r="D275" s="6" t="s">
        <v>219</v>
      </c>
      <c r="E275" s="6">
        <v>3914020</v>
      </c>
      <c r="F275" s="6">
        <v>3914021</v>
      </c>
      <c r="G275" s="6">
        <v>0</v>
      </c>
      <c r="H275" s="6">
        <v>0</v>
      </c>
      <c r="I275" s="6">
        <v>51.48</v>
      </c>
      <c r="J275" s="6" t="s">
        <v>169</v>
      </c>
      <c r="K275" s="6" t="s">
        <v>170</v>
      </c>
      <c r="L275" s="7" t="s">
        <v>171</v>
      </c>
      <c r="M275" s="7" t="s">
        <v>172</v>
      </c>
      <c r="N275" s="8" t="s">
        <v>2995</v>
      </c>
      <c r="O275" s="5">
        <v>-4338.03</v>
      </c>
      <c r="P275" s="6">
        <v>-8399.68</v>
      </c>
      <c r="Q275" s="6">
        <v>133.155</v>
      </c>
      <c r="R275" s="12">
        <v>8671.9</v>
      </c>
      <c r="S275" s="4" t="s">
        <v>2996</v>
      </c>
      <c r="T275" s="4" t="s">
        <v>2997</v>
      </c>
      <c r="U275" s="4" t="s">
        <v>2998</v>
      </c>
      <c r="V275" s="4" t="s">
        <v>2999</v>
      </c>
      <c r="W275" s="4" t="s">
        <v>3000</v>
      </c>
      <c r="X275" s="4" t="s">
        <v>3001</v>
      </c>
      <c r="Y275" s="4" t="s">
        <v>3002</v>
      </c>
      <c r="Z275" s="4" t="s">
        <v>3003</v>
      </c>
      <c r="AA275" s="4" t="s">
        <v>3004</v>
      </c>
      <c r="AB275" s="4" t="s">
        <v>3005</v>
      </c>
      <c r="AC275" s="4" t="s">
        <v>3006</v>
      </c>
      <c r="AD275" s="4" t="s">
        <v>3007</v>
      </c>
      <c r="AE275" s="4" t="s">
        <v>3008</v>
      </c>
      <c r="AF275" s="4" t="s">
        <v>3009</v>
      </c>
      <c r="AG275" s="4" t="s">
        <v>3010</v>
      </c>
      <c r="AH275" s="4" t="s">
        <v>3011</v>
      </c>
      <c r="AI275" s="4" t="s">
        <v>3012</v>
      </c>
      <c r="AJ275" s="4" t="s">
        <v>3013</v>
      </c>
      <c r="AK275" s="4" t="s">
        <v>3014</v>
      </c>
      <c r="AL275" s="4" t="s">
        <v>3015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0</v>
      </c>
      <c r="DZ275" s="3">
        <v>0</v>
      </c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 t="s">
        <v>1093</v>
      </c>
    </row>
    <row r="276" spans="1:169" x14ac:dyDescent="0.3">
      <c r="A276" s="2">
        <v>268</v>
      </c>
      <c r="B276" s="5">
        <v>45</v>
      </c>
      <c r="C276" s="6">
        <v>3502479</v>
      </c>
      <c r="D276" s="6" t="s">
        <v>219</v>
      </c>
      <c r="E276" s="6">
        <v>3914020</v>
      </c>
      <c r="F276" s="6">
        <v>3914021</v>
      </c>
      <c r="G276" s="6">
        <v>0</v>
      </c>
      <c r="H276" s="6">
        <v>0</v>
      </c>
      <c r="I276" s="6">
        <v>51.48</v>
      </c>
      <c r="J276" s="6" t="s">
        <v>194</v>
      </c>
      <c r="K276" s="6" t="s">
        <v>195</v>
      </c>
      <c r="L276" s="7" t="s">
        <v>196</v>
      </c>
      <c r="M276" s="7" t="s">
        <v>172</v>
      </c>
      <c r="N276" s="8" t="s">
        <v>2995</v>
      </c>
      <c r="O276" s="5">
        <v>3933.07</v>
      </c>
      <c r="P276" s="6">
        <v>8123.62</v>
      </c>
      <c r="Q276" s="6">
        <v>-42.945099999999996</v>
      </c>
      <c r="R276" s="12">
        <v>0</v>
      </c>
      <c r="S276" s="4" t="s">
        <v>2996</v>
      </c>
      <c r="T276" s="4" t="s">
        <v>2997</v>
      </c>
      <c r="U276" s="4" t="s">
        <v>2998</v>
      </c>
      <c r="V276" s="4" t="s">
        <v>2999</v>
      </c>
      <c r="W276" s="4" t="s">
        <v>3000</v>
      </c>
      <c r="X276" s="4" t="s">
        <v>3001</v>
      </c>
      <c r="Y276" s="4" t="s">
        <v>3002</v>
      </c>
      <c r="Z276" s="4" t="s">
        <v>3003</v>
      </c>
      <c r="AA276" s="4" t="s">
        <v>3004</v>
      </c>
      <c r="AB276" s="4" t="s">
        <v>3005</v>
      </c>
      <c r="AC276" s="4" t="s">
        <v>3006</v>
      </c>
      <c r="AD276" s="4" t="s">
        <v>3007</v>
      </c>
      <c r="AE276" s="4" t="s">
        <v>3008</v>
      </c>
      <c r="AF276" s="4" t="s">
        <v>3009</v>
      </c>
      <c r="AG276" s="4" t="s">
        <v>3010</v>
      </c>
      <c r="AH276" s="4" t="s">
        <v>3011</v>
      </c>
      <c r="AI276" s="4" t="s">
        <v>3012</v>
      </c>
      <c r="AJ276" s="4" t="s">
        <v>3013</v>
      </c>
      <c r="AK276" s="4" t="s">
        <v>3014</v>
      </c>
      <c r="AL276" s="4" t="s">
        <v>3015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 t="s">
        <v>1093</v>
      </c>
    </row>
    <row r="277" spans="1:169" x14ac:dyDescent="0.3">
      <c r="A277" s="2">
        <v>269</v>
      </c>
      <c r="B277" s="5">
        <v>46</v>
      </c>
      <c r="C277" s="6">
        <v>3502134</v>
      </c>
      <c r="D277" s="6" t="s">
        <v>219</v>
      </c>
      <c r="E277" s="6">
        <v>3917020</v>
      </c>
      <c r="F277" s="6">
        <v>3917022</v>
      </c>
      <c r="G277" s="6">
        <v>0</v>
      </c>
      <c r="H277" s="6">
        <v>0</v>
      </c>
      <c r="I277" s="6">
        <v>51.48</v>
      </c>
      <c r="J277" s="6" t="s">
        <v>169</v>
      </c>
      <c r="K277" s="6" t="s">
        <v>170</v>
      </c>
      <c r="L277" s="7" t="s">
        <v>171</v>
      </c>
      <c r="M277" s="7" t="s">
        <v>172</v>
      </c>
      <c r="N277" s="8" t="s">
        <v>3016</v>
      </c>
      <c r="O277" s="5">
        <v>2109.6999999999998</v>
      </c>
      <c r="P277" s="6">
        <v>7658.91</v>
      </c>
      <c r="Q277" s="6">
        <v>6720.84</v>
      </c>
      <c r="R277" s="12">
        <v>7805.91</v>
      </c>
      <c r="S277" s="4" t="s">
        <v>3017</v>
      </c>
      <c r="T277" s="4" t="s">
        <v>3018</v>
      </c>
      <c r="U277" s="4" t="s">
        <v>3019</v>
      </c>
      <c r="V277" s="4" t="s">
        <v>3020</v>
      </c>
      <c r="W277" s="4" t="s">
        <v>3021</v>
      </c>
      <c r="X277" s="4" t="s">
        <v>3022</v>
      </c>
      <c r="Y277" s="4" t="s">
        <v>3023</v>
      </c>
      <c r="Z277" s="4" t="s">
        <v>3024</v>
      </c>
      <c r="AA277" s="4" t="s">
        <v>3025</v>
      </c>
      <c r="AB277" s="4" t="s">
        <v>3026</v>
      </c>
      <c r="AC277" s="4" t="s">
        <v>3027</v>
      </c>
      <c r="AD277" s="4" t="s">
        <v>3028</v>
      </c>
      <c r="AE277" s="4" t="s">
        <v>3029</v>
      </c>
      <c r="AF277" s="4" t="s">
        <v>3030</v>
      </c>
      <c r="AG277" s="4" t="s">
        <v>3031</v>
      </c>
      <c r="AH277" s="4" t="s">
        <v>3032</v>
      </c>
      <c r="AI277" s="4" t="s">
        <v>3033</v>
      </c>
      <c r="AJ277" s="4" t="s">
        <v>3034</v>
      </c>
      <c r="AK277" s="4" t="s">
        <v>3035</v>
      </c>
      <c r="AL277" s="4" t="s">
        <v>3036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/>
    </row>
    <row r="278" spans="1:169" x14ac:dyDescent="0.3">
      <c r="A278" s="2">
        <v>270</v>
      </c>
      <c r="B278" s="5">
        <v>46</v>
      </c>
      <c r="C278" s="6">
        <v>3502134</v>
      </c>
      <c r="D278" s="6" t="s">
        <v>219</v>
      </c>
      <c r="E278" s="6">
        <v>3917020</v>
      </c>
      <c r="F278" s="6">
        <v>3917022</v>
      </c>
      <c r="G278" s="6">
        <v>0</v>
      </c>
      <c r="H278" s="6">
        <v>0</v>
      </c>
      <c r="I278" s="6">
        <v>51.48</v>
      </c>
      <c r="J278" s="6" t="s">
        <v>194</v>
      </c>
      <c r="K278" s="6" t="s">
        <v>195</v>
      </c>
      <c r="L278" s="7" t="s">
        <v>196</v>
      </c>
      <c r="M278" s="7" t="s">
        <v>172</v>
      </c>
      <c r="N278" s="8" t="s">
        <v>3016</v>
      </c>
      <c r="O278" s="5">
        <v>-2276.69</v>
      </c>
      <c r="P278" s="6">
        <v>-8674.39</v>
      </c>
      <c r="Q278" s="6">
        <v>-7129.75</v>
      </c>
      <c r="R278" s="12">
        <v>0</v>
      </c>
      <c r="S278" s="4" t="s">
        <v>3017</v>
      </c>
      <c r="T278" s="4" t="s">
        <v>3018</v>
      </c>
      <c r="U278" s="4" t="s">
        <v>3019</v>
      </c>
      <c r="V278" s="4" t="s">
        <v>3020</v>
      </c>
      <c r="W278" s="4" t="s">
        <v>3021</v>
      </c>
      <c r="X278" s="4" t="s">
        <v>3022</v>
      </c>
      <c r="Y278" s="4" t="s">
        <v>3023</v>
      </c>
      <c r="Z278" s="4" t="s">
        <v>3024</v>
      </c>
      <c r="AA278" s="4" t="s">
        <v>3025</v>
      </c>
      <c r="AB278" s="4" t="s">
        <v>3026</v>
      </c>
      <c r="AC278" s="4" t="s">
        <v>3027</v>
      </c>
      <c r="AD278" s="4" t="s">
        <v>3028</v>
      </c>
      <c r="AE278" s="4" t="s">
        <v>3029</v>
      </c>
      <c r="AF278" s="4" t="s">
        <v>3030</v>
      </c>
      <c r="AG278" s="4" t="s">
        <v>3031</v>
      </c>
      <c r="AH278" s="4" t="s">
        <v>3032</v>
      </c>
      <c r="AI278" s="4" t="s">
        <v>3033</v>
      </c>
      <c r="AJ278" s="4" t="s">
        <v>3034</v>
      </c>
      <c r="AK278" s="4" t="s">
        <v>3035</v>
      </c>
      <c r="AL278" s="4" t="s">
        <v>3036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/>
    </row>
    <row r="279" spans="1:169" x14ac:dyDescent="0.3">
      <c r="A279" s="2">
        <v>271</v>
      </c>
      <c r="B279" s="5">
        <v>46</v>
      </c>
      <c r="C279" s="6">
        <v>1502143</v>
      </c>
      <c r="D279" s="6" t="s">
        <v>197</v>
      </c>
      <c r="E279" s="6">
        <v>3917020</v>
      </c>
      <c r="F279" s="6">
        <v>1917021</v>
      </c>
      <c r="G279" s="6">
        <v>0</v>
      </c>
      <c r="H279" s="6">
        <v>0</v>
      </c>
      <c r="I279" s="6">
        <v>57.914999999999999</v>
      </c>
      <c r="J279" s="6" t="s">
        <v>169</v>
      </c>
      <c r="K279" s="6" t="s">
        <v>170</v>
      </c>
      <c r="L279" s="7" t="s">
        <v>171</v>
      </c>
      <c r="M279" s="7" t="s">
        <v>172</v>
      </c>
      <c r="N279" s="8" t="s">
        <v>3037</v>
      </c>
      <c r="O279" s="5">
        <v>-7890.89</v>
      </c>
      <c r="P279" s="6">
        <v>415.59300000000002</v>
      </c>
      <c r="Q279" s="6">
        <v>-6770.57</v>
      </c>
      <c r="R279" s="12">
        <v>7805.91</v>
      </c>
      <c r="S279" s="4" t="s">
        <v>3038</v>
      </c>
      <c r="T279" s="4" t="s">
        <v>3039</v>
      </c>
      <c r="U279" s="4" t="s">
        <v>3040</v>
      </c>
      <c r="V279" s="4" t="s">
        <v>3041</v>
      </c>
      <c r="W279" s="4" t="s">
        <v>3042</v>
      </c>
      <c r="X279" s="4" t="s">
        <v>3043</v>
      </c>
      <c r="Y279" s="4" t="s">
        <v>3044</v>
      </c>
      <c r="Z279" s="4" t="s">
        <v>3045</v>
      </c>
      <c r="AA279" s="4" t="s">
        <v>3046</v>
      </c>
      <c r="AB279" s="4" t="s">
        <v>3047</v>
      </c>
      <c r="AC279" s="4" t="s">
        <v>3048</v>
      </c>
      <c r="AD279" s="4" t="s">
        <v>3049</v>
      </c>
      <c r="AE279" s="4" t="s">
        <v>3050</v>
      </c>
      <c r="AF279" s="4" t="s">
        <v>3051</v>
      </c>
      <c r="AG279" s="4" t="s">
        <v>3052</v>
      </c>
      <c r="AH279" s="4" t="s">
        <v>3053</v>
      </c>
      <c r="AI279" s="4" t="s">
        <v>3054</v>
      </c>
      <c r="AJ279" s="4" t="s">
        <v>3055</v>
      </c>
      <c r="AK279" s="4" t="s">
        <v>3056</v>
      </c>
      <c r="AL279" s="4" t="s">
        <v>3057</v>
      </c>
      <c r="AM279" s="3">
        <v>-2923.85</v>
      </c>
      <c r="AN279" s="3">
        <v>-2867.99</v>
      </c>
      <c r="AO279" s="3">
        <v>-2805.12</v>
      </c>
      <c r="AP279" s="3">
        <v>-2727.06</v>
      </c>
      <c r="AQ279" s="3">
        <v>-2629.48</v>
      </c>
      <c r="AR279" s="3">
        <v>-2523.1799999999998</v>
      </c>
      <c r="AS279" s="3">
        <v>-2503.79</v>
      </c>
      <c r="AT279" s="3">
        <v>-2485.21</v>
      </c>
      <c r="AU279" s="3">
        <v>-2518.66</v>
      </c>
      <c r="AV279" s="3">
        <v>-2570.37</v>
      </c>
      <c r="AW279" s="3">
        <v>-2584.7399999999998</v>
      </c>
      <c r="AX279" s="3">
        <v>-2606.0300000000002</v>
      </c>
      <c r="AY279" s="3">
        <v>-2631.25</v>
      </c>
      <c r="AZ279" s="3">
        <v>-2653.97</v>
      </c>
      <c r="BA279" s="3">
        <v>-2685.19</v>
      </c>
      <c r="BB279" s="3">
        <v>-2708.76</v>
      </c>
      <c r="BC279" s="3">
        <v>-2843.14</v>
      </c>
      <c r="BD279" s="3">
        <v>-2975.1</v>
      </c>
      <c r="BE279" s="3">
        <v>-3015.91</v>
      </c>
      <c r="BF279" s="3">
        <v>-2969.77</v>
      </c>
      <c r="BG279" s="3">
        <v>20.940300000000001</v>
      </c>
      <c r="BH279" s="3">
        <v>25.323599999999999</v>
      </c>
      <c r="BI279" s="3">
        <v>36.2971</v>
      </c>
      <c r="BJ279" s="3">
        <v>45.2742</v>
      </c>
      <c r="BK279" s="3">
        <v>41.661999999999999</v>
      </c>
      <c r="BL279" s="3">
        <v>28.7441</v>
      </c>
      <c r="BM279" s="3">
        <v>51.528799999999997</v>
      </c>
      <c r="BN279" s="3">
        <v>62.218400000000003</v>
      </c>
      <c r="BO279" s="3">
        <v>86.276399999999995</v>
      </c>
      <c r="BP279" s="3">
        <v>120.869</v>
      </c>
      <c r="BQ279" s="3">
        <v>147.137</v>
      </c>
      <c r="BR279" s="3">
        <v>150.75700000000001</v>
      </c>
      <c r="BS279" s="3">
        <v>141.96299999999999</v>
      </c>
      <c r="BT279" s="3">
        <v>129.19499999999999</v>
      </c>
      <c r="BU279" s="3">
        <v>125.803</v>
      </c>
      <c r="BV279" s="3">
        <v>130.328</v>
      </c>
      <c r="BW279" s="3">
        <v>127.765</v>
      </c>
      <c r="BX279" s="3">
        <v>132.12299999999999</v>
      </c>
      <c r="BY279" s="3">
        <v>111.328</v>
      </c>
      <c r="BZ279" s="3">
        <v>62.162399999999998</v>
      </c>
      <c r="CA279" s="3">
        <v>-49.296199999999999</v>
      </c>
      <c r="CB279" s="3">
        <v>-73.247299999999996</v>
      </c>
      <c r="CC279" s="3">
        <v>-101.568</v>
      </c>
      <c r="CD279" s="3">
        <v>-142.6</v>
      </c>
      <c r="CE279" s="3">
        <v>-183.91900000000001</v>
      </c>
      <c r="CF279" s="3">
        <v>-215.08</v>
      </c>
      <c r="CG279" s="3">
        <v>-312.71600000000001</v>
      </c>
      <c r="CH279" s="3">
        <v>-335.55799999999999</v>
      </c>
      <c r="CI279" s="3">
        <v>-297.97000000000003</v>
      </c>
      <c r="CJ279" s="3">
        <v>-280.52999999999997</v>
      </c>
      <c r="CK279" s="3">
        <v>-295.80799999999999</v>
      </c>
      <c r="CL279" s="3">
        <v>-278.63299999999998</v>
      </c>
      <c r="CM279" s="3">
        <v>-257.62799999999999</v>
      </c>
      <c r="CN279" s="3">
        <v>-224.095</v>
      </c>
      <c r="CO279" s="3">
        <v>-186.73099999999999</v>
      </c>
      <c r="CP279" s="3">
        <v>-165.56800000000001</v>
      </c>
      <c r="CQ279" s="3">
        <v>-152.61000000000001</v>
      </c>
      <c r="CR279" s="3">
        <v>-149.41999999999999</v>
      </c>
      <c r="CS279" s="3">
        <v>-140.76900000000001</v>
      </c>
      <c r="CT279" s="3">
        <v>-101.384</v>
      </c>
      <c r="CU279" s="3">
        <v>-34.623699999999999</v>
      </c>
      <c r="CV279" s="3">
        <v>8.3319700000000001</v>
      </c>
      <c r="CW279" s="3">
        <v>6.0470499999999996</v>
      </c>
      <c r="CX279" s="3">
        <v>-210.096</v>
      </c>
      <c r="CY279" s="3">
        <v>-730.28399999999999</v>
      </c>
      <c r="CZ279" s="3">
        <v>-1502.48</v>
      </c>
      <c r="DA279" s="3">
        <v>-1275.54</v>
      </c>
      <c r="DB279" s="3">
        <v>-1145.06</v>
      </c>
      <c r="DC279" s="3">
        <v>-1022.53</v>
      </c>
      <c r="DD279" s="3">
        <v>-905.01499999999999</v>
      </c>
      <c r="DE279" s="3">
        <v>-871.84900000000005</v>
      </c>
      <c r="DF279" s="3">
        <v>-307.97199999999998</v>
      </c>
      <c r="DG279" s="3">
        <v>132.387</v>
      </c>
      <c r="DH279" s="3">
        <v>375.33600000000001</v>
      </c>
      <c r="DI279" s="3">
        <v>430.99400000000003</v>
      </c>
      <c r="DJ279" s="3">
        <v>439.959</v>
      </c>
      <c r="DK279" s="3">
        <v>257.75799999999998</v>
      </c>
      <c r="DL279" s="3">
        <v>110.67400000000001</v>
      </c>
      <c r="DM279" s="3">
        <v>24.396599999999999</v>
      </c>
      <c r="DN279" s="3">
        <v>-17.594799999999999</v>
      </c>
      <c r="DO279" s="3">
        <v>310.50200000000001</v>
      </c>
      <c r="DP279" s="3">
        <v>376.87900000000002</v>
      </c>
      <c r="DQ279" s="3">
        <v>373.72300000000001</v>
      </c>
      <c r="DR279" s="3">
        <v>361.63600000000002</v>
      </c>
      <c r="DS279" s="3">
        <v>330.27300000000002</v>
      </c>
      <c r="DT279" s="3">
        <v>273.37200000000001</v>
      </c>
      <c r="DU279" s="3">
        <v>713.26700000000005</v>
      </c>
      <c r="DV279" s="3">
        <v>1242.07</v>
      </c>
      <c r="DW279" s="3">
        <v>1554.39</v>
      </c>
      <c r="DX279" s="3">
        <v>1665.52</v>
      </c>
      <c r="DY279" s="3">
        <v>1787.14</v>
      </c>
      <c r="DZ279" s="3">
        <v>1780.08</v>
      </c>
      <c r="EA279" s="3">
        <v>1759.6</v>
      </c>
      <c r="EB279" s="3">
        <v>1777.17</v>
      </c>
      <c r="EC279" s="3">
        <v>1786.29</v>
      </c>
      <c r="ED279" s="3">
        <v>1784.06</v>
      </c>
      <c r="EE279" s="3">
        <v>1554.25</v>
      </c>
      <c r="EF279" s="3">
        <v>1294.6400000000001</v>
      </c>
      <c r="EG279" s="3">
        <v>983.40499999999997</v>
      </c>
      <c r="EH279" s="3">
        <v>638.86900000000003</v>
      </c>
      <c r="EI279" s="3">
        <v>-837.899</v>
      </c>
      <c r="EJ279" s="3">
        <v>-897.68899999999996</v>
      </c>
      <c r="EK279" s="3">
        <v>-904.91899999999998</v>
      </c>
      <c r="EL279" s="3">
        <v>-843.29700000000003</v>
      </c>
      <c r="EM279" s="3">
        <v>-768.17</v>
      </c>
      <c r="EN279" s="3">
        <v>-707.93600000000004</v>
      </c>
      <c r="EO279" s="3">
        <v>-624.78399999999999</v>
      </c>
      <c r="EP279" s="3">
        <v>-679.32399999999996</v>
      </c>
      <c r="EQ279" s="3">
        <v>-759.02099999999996</v>
      </c>
      <c r="ER279" s="3">
        <v>-706.02300000000002</v>
      </c>
      <c r="ES279" s="3">
        <v>-583.04600000000005</v>
      </c>
      <c r="ET279" s="3">
        <v>-487.089</v>
      </c>
      <c r="EU279" s="3">
        <v>-387.48899999999998</v>
      </c>
      <c r="EV279" s="3">
        <v>-369.923</v>
      </c>
      <c r="EW279" s="3">
        <v>-428.14400000000001</v>
      </c>
      <c r="EX279" s="3">
        <v>-499.27100000000002</v>
      </c>
      <c r="EY279" s="3">
        <v>-504.92599999999999</v>
      </c>
      <c r="EZ279" s="3">
        <v>-519.96400000000006</v>
      </c>
      <c r="FA279" s="3">
        <v>-579.63099999999997</v>
      </c>
      <c r="FB279" s="3">
        <v>-701.25699999999995</v>
      </c>
      <c r="FC279" s="3">
        <v>-2530.9899999999998</v>
      </c>
      <c r="FD279" s="3">
        <v>-2906.09</v>
      </c>
      <c r="FE279" s="3">
        <v>33.040199999999999</v>
      </c>
      <c r="FF279" s="3">
        <v>137.53</v>
      </c>
      <c r="FG279" s="3">
        <v>-126.508</v>
      </c>
      <c r="FH279" s="3">
        <v>-289.61</v>
      </c>
      <c r="FI279" s="3">
        <v>495.15899999999999</v>
      </c>
      <c r="FJ279" s="3">
        <v>-1058.3900000000001</v>
      </c>
      <c r="FK279" s="3">
        <v>642.41499999999996</v>
      </c>
      <c r="FL279" s="3">
        <v>0</v>
      </c>
      <c r="FM279" s="3"/>
    </row>
    <row r="280" spans="1:169" x14ac:dyDescent="0.3">
      <c r="A280" s="2">
        <v>272</v>
      </c>
      <c r="B280" s="5">
        <v>46</v>
      </c>
      <c r="C280" s="6">
        <v>1502143</v>
      </c>
      <c r="D280" s="6" t="s">
        <v>197</v>
      </c>
      <c r="E280" s="6">
        <v>3917020</v>
      </c>
      <c r="F280" s="6">
        <v>1917021</v>
      </c>
      <c r="G280" s="6">
        <v>0</v>
      </c>
      <c r="H280" s="6">
        <v>0</v>
      </c>
      <c r="I280" s="6">
        <v>57.914999999999999</v>
      </c>
      <c r="J280" s="6" t="s">
        <v>194</v>
      </c>
      <c r="K280" s="6" t="s">
        <v>195</v>
      </c>
      <c r="L280" s="7" t="s">
        <v>196</v>
      </c>
      <c r="M280" s="7" t="s">
        <v>172</v>
      </c>
      <c r="N280" s="8" t="s">
        <v>3037</v>
      </c>
      <c r="O280" s="5">
        <v>8915.7000000000007</v>
      </c>
      <c r="P280" s="6">
        <v>-358.89699999999999</v>
      </c>
      <c r="Q280" s="6">
        <v>7186.33</v>
      </c>
      <c r="R280" s="12">
        <v>0</v>
      </c>
      <c r="S280" s="4" t="s">
        <v>3038</v>
      </c>
      <c r="T280" s="4" t="s">
        <v>3039</v>
      </c>
      <c r="U280" s="4" t="s">
        <v>3040</v>
      </c>
      <c r="V280" s="4" t="s">
        <v>3041</v>
      </c>
      <c r="W280" s="4" t="s">
        <v>3042</v>
      </c>
      <c r="X280" s="4" t="s">
        <v>3043</v>
      </c>
      <c r="Y280" s="4" t="s">
        <v>3044</v>
      </c>
      <c r="Z280" s="4" t="s">
        <v>3045</v>
      </c>
      <c r="AA280" s="4" t="s">
        <v>3046</v>
      </c>
      <c r="AB280" s="4" t="s">
        <v>3047</v>
      </c>
      <c r="AC280" s="4" t="s">
        <v>3048</v>
      </c>
      <c r="AD280" s="4" t="s">
        <v>3049</v>
      </c>
      <c r="AE280" s="4" t="s">
        <v>3050</v>
      </c>
      <c r="AF280" s="4" t="s">
        <v>3051</v>
      </c>
      <c r="AG280" s="4" t="s">
        <v>3052</v>
      </c>
      <c r="AH280" s="4" t="s">
        <v>3053</v>
      </c>
      <c r="AI280" s="4" t="s">
        <v>3054</v>
      </c>
      <c r="AJ280" s="4" t="s">
        <v>3055</v>
      </c>
      <c r="AK280" s="4" t="s">
        <v>3056</v>
      </c>
      <c r="AL280" s="4" t="s">
        <v>3057</v>
      </c>
      <c r="AM280" s="3">
        <v>2963.95</v>
      </c>
      <c r="AN280" s="3">
        <v>2922.95</v>
      </c>
      <c r="AO280" s="3">
        <v>2878.52</v>
      </c>
      <c r="AP280" s="3">
        <v>2823.01</v>
      </c>
      <c r="AQ280" s="3">
        <v>2752.09</v>
      </c>
      <c r="AR280" s="3">
        <v>2676.63</v>
      </c>
      <c r="AS280" s="3">
        <v>2622.48</v>
      </c>
      <c r="AT280" s="3">
        <v>2551.9499999999998</v>
      </c>
      <c r="AU280" s="3">
        <v>2525.61</v>
      </c>
      <c r="AV280" s="3">
        <v>2514.6999999999998</v>
      </c>
      <c r="AW280" s="3">
        <v>2466.48</v>
      </c>
      <c r="AX280" s="3">
        <v>2500.83</v>
      </c>
      <c r="AY280" s="3">
        <v>2540.7800000000002</v>
      </c>
      <c r="AZ280" s="3">
        <v>2575.15</v>
      </c>
      <c r="BA280" s="3">
        <v>2616.25</v>
      </c>
      <c r="BB280" s="3">
        <v>2648.24</v>
      </c>
      <c r="BC280" s="3">
        <v>2811.3</v>
      </c>
      <c r="BD280" s="3">
        <v>2972.6</v>
      </c>
      <c r="BE280" s="3">
        <v>3036.04</v>
      </c>
      <c r="BF280" s="3">
        <v>3003.46</v>
      </c>
      <c r="BG280" s="3">
        <v>-15.738899999999999</v>
      </c>
      <c r="BH280" s="3">
        <v>-18.6098</v>
      </c>
      <c r="BI280" s="3">
        <v>-28.805800000000001</v>
      </c>
      <c r="BJ280" s="3">
        <v>-37.784799999999997</v>
      </c>
      <c r="BK280" s="3">
        <v>-33.969299999999997</v>
      </c>
      <c r="BL280" s="3">
        <v>-19.914400000000001</v>
      </c>
      <c r="BM280" s="3">
        <v>-31.808299999999999</v>
      </c>
      <c r="BN280" s="3">
        <v>-26.0746</v>
      </c>
      <c r="BO280" s="3">
        <v>-30.803699999999999</v>
      </c>
      <c r="BP280" s="3">
        <v>-44.966000000000001</v>
      </c>
      <c r="BQ280" s="3">
        <v>-49.972799999999999</v>
      </c>
      <c r="BR280" s="3">
        <v>-65.270899999999997</v>
      </c>
      <c r="BS280" s="3">
        <v>-68.180899999999994</v>
      </c>
      <c r="BT280" s="3">
        <v>-64.607200000000006</v>
      </c>
      <c r="BU280" s="3">
        <v>-68.832899999999995</v>
      </c>
      <c r="BV280" s="3">
        <v>-80.633200000000002</v>
      </c>
      <c r="BW280" s="3">
        <v>-88.957700000000003</v>
      </c>
      <c r="BX280" s="3">
        <v>-104.721</v>
      </c>
      <c r="BY280" s="3">
        <v>-93.615499999999997</v>
      </c>
      <c r="BZ280" s="3">
        <v>-51.523400000000002</v>
      </c>
      <c r="CA280" s="3">
        <v>23.573</v>
      </c>
      <c r="CB280" s="3">
        <v>41.662199999999999</v>
      </c>
      <c r="CC280" s="3">
        <v>62.506599999999999</v>
      </c>
      <c r="CD280" s="3">
        <v>95.698700000000002</v>
      </c>
      <c r="CE280" s="3">
        <v>129.20400000000001</v>
      </c>
      <c r="CF280" s="3">
        <v>152.523</v>
      </c>
      <c r="CG280" s="3">
        <v>219.51499999999999</v>
      </c>
      <c r="CH280" s="3">
        <v>215.596</v>
      </c>
      <c r="CI280" s="3">
        <v>157.452</v>
      </c>
      <c r="CJ280" s="3">
        <v>134.12899999999999</v>
      </c>
      <c r="CK280" s="3">
        <v>159.684</v>
      </c>
      <c r="CL280" s="3">
        <v>162.4</v>
      </c>
      <c r="CM280" s="3">
        <v>159.542</v>
      </c>
      <c r="CN280" s="3">
        <v>141.08600000000001</v>
      </c>
      <c r="CO280" s="3">
        <v>115.96299999999999</v>
      </c>
      <c r="CP280" s="3">
        <v>105.616</v>
      </c>
      <c r="CQ280" s="3">
        <v>88.142700000000005</v>
      </c>
      <c r="CR280" s="3">
        <v>88.161900000000003</v>
      </c>
      <c r="CS280" s="3">
        <v>89.666700000000006</v>
      </c>
      <c r="CT280" s="3">
        <v>62.709699999999998</v>
      </c>
      <c r="CU280" s="3">
        <v>-102.11</v>
      </c>
      <c r="CV280" s="3">
        <v>-140.017</v>
      </c>
      <c r="CW280" s="3">
        <v>-120.35599999999999</v>
      </c>
      <c r="CX280" s="3">
        <v>128.626</v>
      </c>
      <c r="CY280" s="3">
        <v>696.38599999999997</v>
      </c>
      <c r="CZ280" s="3">
        <v>1523.87</v>
      </c>
      <c r="DA280" s="3">
        <v>1299.67</v>
      </c>
      <c r="DB280" s="3">
        <v>1168.67</v>
      </c>
      <c r="DC280" s="3">
        <v>1039.3</v>
      </c>
      <c r="DD280" s="3">
        <v>908.19399999999996</v>
      </c>
      <c r="DE280" s="3">
        <v>857.58900000000006</v>
      </c>
      <c r="DF280" s="3">
        <v>247.86199999999999</v>
      </c>
      <c r="DG280" s="3">
        <v>-227.22300000000001</v>
      </c>
      <c r="DH280" s="3">
        <v>-490.52300000000002</v>
      </c>
      <c r="DI280" s="3">
        <v>-554.67100000000005</v>
      </c>
      <c r="DJ280" s="3">
        <v>-563.00699999999995</v>
      </c>
      <c r="DK280" s="3">
        <v>-382.37200000000001</v>
      </c>
      <c r="DL280" s="3">
        <v>-235.845</v>
      </c>
      <c r="DM280" s="3">
        <v>-150.846</v>
      </c>
      <c r="DN280" s="3">
        <v>-113.10899999999999</v>
      </c>
      <c r="DO280" s="3">
        <v>-360.923</v>
      </c>
      <c r="DP280" s="3">
        <v>-428.31299999999999</v>
      </c>
      <c r="DQ280" s="3">
        <v>-427.721</v>
      </c>
      <c r="DR280" s="3">
        <v>-419.476</v>
      </c>
      <c r="DS280" s="3">
        <v>-392.78100000000001</v>
      </c>
      <c r="DT280" s="3">
        <v>-339.75099999999998</v>
      </c>
      <c r="DU280" s="3">
        <v>-830.98</v>
      </c>
      <c r="DV280" s="3">
        <v>-1406.54</v>
      </c>
      <c r="DW280" s="3">
        <v>-1746.46</v>
      </c>
      <c r="DX280" s="3">
        <v>-1869.84</v>
      </c>
      <c r="DY280" s="3">
        <v>-2002.55</v>
      </c>
      <c r="DZ280" s="3">
        <v>-1991.63</v>
      </c>
      <c r="EA280" s="3">
        <v>-1962.89</v>
      </c>
      <c r="EB280" s="3">
        <v>-1968.08</v>
      </c>
      <c r="EC280" s="3">
        <v>-1963.21</v>
      </c>
      <c r="ED280" s="3">
        <v>-1945.01</v>
      </c>
      <c r="EE280" s="3">
        <v>-1703.32</v>
      </c>
      <c r="EF280" s="3">
        <v>-1430.33</v>
      </c>
      <c r="EG280" s="3">
        <v>-1097.3699999999999</v>
      </c>
      <c r="EH280" s="3">
        <v>-722.62400000000002</v>
      </c>
      <c r="EI280" s="3">
        <v>990.03800000000001</v>
      </c>
      <c r="EJ280" s="3">
        <v>1058.6600000000001</v>
      </c>
      <c r="EK280" s="3">
        <v>1072.57</v>
      </c>
      <c r="EL280" s="3">
        <v>1017.65</v>
      </c>
      <c r="EM280" s="3">
        <v>951.71199999999999</v>
      </c>
      <c r="EN280" s="3">
        <v>903.19200000000001</v>
      </c>
      <c r="EO280" s="3">
        <v>803.00300000000004</v>
      </c>
      <c r="EP280" s="3">
        <v>836.66600000000005</v>
      </c>
      <c r="EQ280" s="3">
        <v>895.89499999999998</v>
      </c>
      <c r="ER280" s="3">
        <v>825.73800000000006</v>
      </c>
      <c r="ES280" s="3">
        <v>688.08299999999997</v>
      </c>
      <c r="ET280" s="3">
        <v>595.83600000000001</v>
      </c>
      <c r="EU280" s="3">
        <v>494.04700000000003</v>
      </c>
      <c r="EV280" s="3">
        <v>467.76299999999998</v>
      </c>
      <c r="EW280" s="3">
        <v>516.55999999999995</v>
      </c>
      <c r="EX280" s="3">
        <v>581.56299999999999</v>
      </c>
      <c r="EY280" s="3">
        <v>604.10299999999995</v>
      </c>
      <c r="EZ280" s="3">
        <v>638.87900000000002</v>
      </c>
      <c r="FA280" s="3">
        <v>717.29899999999998</v>
      </c>
      <c r="FB280" s="3">
        <v>850.31899999999996</v>
      </c>
      <c r="FC280" s="3">
        <v>2559.64</v>
      </c>
      <c r="FD280" s="3">
        <v>2905.93</v>
      </c>
      <c r="FE280" s="3">
        <v>-25.803799999999999</v>
      </c>
      <c r="FF280" s="3">
        <v>-66.249700000000004</v>
      </c>
      <c r="FG280" s="3">
        <v>76.311599999999999</v>
      </c>
      <c r="FH280" s="3">
        <v>173.15</v>
      </c>
      <c r="FI280" s="3">
        <v>-437.5</v>
      </c>
      <c r="FJ280" s="3">
        <v>1183.53</v>
      </c>
      <c r="FK280" s="3">
        <v>-778.01900000000001</v>
      </c>
      <c r="FL280" s="3">
        <v>0</v>
      </c>
      <c r="FM280" s="3"/>
    </row>
    <row r="281" spans="1:169" x14ac:dyDescent="0.3">
      <c r="A281" s="2">
        <v>273</v>
      </c>
      <c r="B281" s="5">
        <v>47</v>
      </c>
      <c r="C281" s="6">
        <v>6303790</v>
      </c>
      <c r="D281" s="6" t="s">
        <v>774</v>
      </c>
      <c r="E281" s="6">
        <v>5904010</v>
      </c>
      <c r="F281" s="6">
        <v>5904010</v>
      </c>
      <c r="G281" s="6">
        <v>0</v>
      </c>
      <c r="H281" s="6">
        <v>0</v>
      </c>
      <c r="I281" s="6">
        <v>51.48</v>
      </c>
      <c r="J281" s="6" t="s">
        <v>169</v>
      </c>
      <c r="K281" s="6" t="s">
        <v>170</v>
      </c>
      <c r="L281" s="7" t="s">
        <v>171</v>
      </c>
      <c r="M281" s="7" t="s">
        <v>172</v>
      </c>
      <c r="N281" s="8" t="s">
        <v>3058</v>
      </c>
      <c r="O281" s="5">
        <v>-26655</v>
      </c>
      <c r="P281" s="6">
        <v>43188.1</v>
      </c>
      <c r="Q281" s="6">
        <v>19094.2</v>
      </c>
      <c r="R281" s="12">
        <v>35794.400000000001</v>
      </c>
      <c r="S281" s="4" t="s">
        <v>3059</v>
      </c>
      <c r="T281" s="4" t="s">
        <v>3060</v>
      </c>
      <c r="U281" s="4" t="s">
        <v>3061</v>
      </c>
      <c r="V281" s="4" t="s">
        <v>3062</v>
      </c>
      <c r="W281" s="4" t="s">
        <v>3063</v>
      </c>
      <c r="X281" s="4" t="s">
        <v>3064</v>
      </c>
      <c r="Y281" s="4" t="s">
        <v>3065</v>
      </c>
      <c r="Z281" s="4" t="s">
        <v>3066</v>
      </c>
      <c r="AA281" s="4" t="s">
        <v>3067</v>
      </c>
      <c r="AB281" s="4" t="s">
        <v>3068</v>
      </c>
      <c r="AC281" s="4" t="s">
        <v>3069</v>
      </c>
      <c r="AD281" s="4" t="s">
        <v>3070</v>
      </c>
      <c r="AE281" s="4" t="s">
        <v>3071</v>
      </c>
      <c r="AF281" s="4" t="s">
        <v>3072</v>
      </c>
      <c r="AG281" s="4" t="s">
        <v>3073</v>
      </c>
      <c r="AH281" s="4" t="s">
        <v>3074</v>
      </c>
      <c r="AI281" s="4" t="s">
        <v>3075</v>
      </c>
      <c r="AJ281" s="4" t="s">
        <v>3076</v>
      </c>
      <c r="AK281" s="4" t="s">
        <v>3077</v>
      </c>
      <c r="AL281" s="4" t="s">
        <v>3078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 t="s">
        <v>3079</v>
      </c>
    </row>
    <row r="282" spans="1:169" x14ac:dyDescent="0.3">
      <c r="A282" s="2">
        <v>274</v>
      </c>
      <c r="B282" s="5">
        <v>47</v>
      </c>
      <c r="C282" s="6">
        <v>6303790</v>
      </c>
      <c r="D282" s="6" t="s">
        <v>774</v>
      </c>
      <c r="E282" s="6">
        <v>5904010</v>
      </c>
      <c r="F282" s="6">
        <v>5904010</v>
      </c>
      <c r="G282" s="6">
        <v>0</v>
      </c>
      <c r="H282" s="6">
        <v>0</v>
      </c>
      <c r="I282" s="6">
        <v>51.48</v>
      </c>
      <c r="J282" s="6" t="s">
        <v>194</v>
      </c>
      <c r="K282" s="6" t="s">
        <v>195</v>
      </c>
      <c r="L282" s="7" t="s">
        <v>196</v>
      </c>
      <c r="M282" s="7" t="s">
        <v>172</v>
      </c>
      <c r="N282" s="8" t="s">
        <v>3058</v>
      </c>
      <c r="O282" s="5">
        <v>25968.400000000001</v>
      </c>
      <c r="P282" s="6">
        <v>-41490.5</v>
      </c>
      <c r="Q282" s="6">
        <v>-19707.400000000001</v>
      </c>
      <c r="R282" s="12">
        <v>0</v>
      </c>
      <c r="S282" s="4" t="s">
        <v>3059</v>
      </c>
      <c r="T282" s="4" t="s">
        <v>3060</v>
      </c>
      <c r="U282" s="4" t="s">
        <v>3061</v>
      </c>
      <c r="V282" s="4" t="s">
        <v>3062</v>
      </c>
      <c r="W282" s="4" t="s">
        <v>3063</v>
      </c>
      <c r="X282" s="4" t="s">
        <v>3064</v>
      </c>
      <c r="Y282" s="4" t="s">
        <v>3065</v>
      </c>
      <c r="Z282" s="4" t="s">
        <v>3066</v>
      </c>
      <c r="AA282" s="4" t="s">
        <v>3067</v>
      </c>
      <c r="AB282" s="4" t="s">
        <v>3068</v>
      </c>
      <c r="AC282" s="4" t="s">
        <v>3069</v>
      </c>
      <c r="AD282" s="4" t="s">
        <v>3070</v>
      </c>
      <c r="AE282" s="4" t="s">
        <v>3071</v>
      </c>
      <c r="AF282" s="4" t="s">
        <v>3072</v>
      </c>
      <c r="AG282" s="4" t="s">
        <v>3073</v>
      </c>
      <c r="AH282" s="4" t="s">
        <v>3074</v>
      </c>
      <c r="AI282" s="4" t="s">
        <v>3075</v>
      </c>
      <c r="AJ282" s="4" t="s">
        <v>3076</v>
      </c>
      <c r="AK282" s="4" t="s">
        <v>3077</v>
      </c>
      <c r="AL282" s="4" t="s">
        <v>3078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 t="s">
        <v>3079</v>
      </c>
    </row>
    <row r="283" spans="1:169" x14ac:dyDescent="0.3">
      <c r="A283" s="2">
        <v>275</v>
      </c>
      <c r="B283" s="5">
        <v>47</v>
      </c>
      <c r="C283" s="6">
        <v>3102665</v>
      </c>
      <c r="D283" s="6" t="s">
        <v>285</v>
      </c>
      <c r="E283" s="6">
        <v>5904010</v>
      </c>
      <c r="F283" s="6">
        <v>3904013</v>
      </c>
      <c r="G283" s="6">
        <v>0</v>
      </c>
      <c r="H283" s="6">
        <v>0</v>
      </c>
      <c r="I283" s="6">
        <v>51.48</v>
      </c>
      <c r="J283" s="6" t="s">
        <v>169</v>
      </c>
      <c r="K283" s="6" t="s">
        <v>170</v>
      </c>
      <c r="L283" s="7" t="s">
        <v>171</v>
      </c>
      <c r="M283" s="7" t="s">
        <v>172</v>
      </c>
      <c r="N283" s="8" t="s">
        <v>3080</v>
      </c>
      <c r="O283" s="5">
        <v>37687.800000000003</v>
      </c>
      <c r="P283" s="6">
        <v>34394.199999999997</v>
      </c>
      <c r="Q283" s="6">
        <v>-18356.5</v>
      </c>
      <c r="R283" s="12">
        <v>35794.400000000001</v>
      </c>
      <c r="S283" s="4" t="s">
        <v>3081</v>
      </c>
      <c r="T283" s="4" t="s">
        <v>3082</v>
      </c>
      <c r="U283" s="4" t="s">
        <v>3083</v>
      </c>
      <c r="V283" s="4" t="s">
        <v>3084</v>
      </c>
      <c r="W283" s="4" t="s">
        <v>3085</v>
      </c>
      <c r="X283" s="4" t="s">
        <v>3086</v>
      </c>
      <c r="Y283" s="4" t="s">
        <v>3087</v>
      </c>
      <c r="Z283" s="4" t="s">
        <v>3088</v>
      </c>
      <c r="AA283" s="4" t="s">
        <v>3089</v>
      </c>
      <c r="AB283" s="4" t="s">
        <v>3090</v>
      </c>
      <c r="AC283" s="4" t="s">
        <v>3091</v>
      </c>
      <c r="AD283" s="4" t="s">
        <v>3092</v>
      </c>
      <c r="AE283" s="4" t="s">
        <v>3093</v>
      </c>
      <c r="AF283" s="4" t="s">
        <v>3094</v>
      </c>
      <c r="AG283" s="4" t="s">
        <v>3095</v>
      </c>
      <c r="AH283" s="4" t="s">
        <v>3096</v>
      </c>
      <c r="AI283" s="4" t="s">
        <v>3097</v>
      </c>
      <c r="AJ283" s="4" t="s">
        <v>3098</v>
      </c>
      <c r="AK283" s="4" t="s">
        <v>3099</v>
      </c>
      <c r="AL283" s="4" t="s">
        <v>3100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/>
    </row>
    <row r="284" spans="1:169" x14ac:dyDescent="0.3">
      <c r="A284" s="2">
        <v>276</v>
      </c>
      <c r="B284" s="5">
        <v>47</v>
      </c>
      <c r="C284" s="6">
        <v>3102665</v>
      </c>
      <c r="D284" s="6" t="s">
        <v>285</v>
      </c>
      <c r="E284" s="6">
        <v>5904010</v>
      </c>
      <c r="F284" s="6">
        <v>3904013</v>
      </c>
      <c r="G284" s="6">
        <v>0</v>
      </c>
      <c r="H284" s="6">
        <v>0</v>
      </c>
      <c r="I284" s="6">
        <v>51.48</v>
      </c>
      <c r="J284" s="6" t="s">
        <v>194</v>
      </c>
      <c r="K284" s="6" t="s">
        <v>195</v>
      </c>
      <c r="L284" s="7" t="s">
        <v>196</v>
      </c>
      <c r="M284" s="7" t="s">
        <v>172</v>
      </c>
      <c r="N284" s="8" t="s">
        <v>3080</v>
      </c>
      <c r="O284" s="5">
        <v>-36142.5</v>
      </c>
      <c r="P284" s="6">
        <v>-33425.4</v>
      </c>
      <c r="Q284" s="6">
        <v>18991.2</v>
      </c>
      <c r="R284" s="12">
        <v>0</v>
      </c>
      <c r="S284" s="4" t="s">
        <v>3081</v>
      </c>
      <c r="T284" s="4" t="s">
        <v>3082</v>
      </c>
      <c r="U284" s="4" t="s">
        <v>3083</v>
      </c>
      <c r="V284" s="4" t="s">
        <v>3084</v>
      </c>
      <c r="W284" s="4" t="s">
        <v>3085</v>
      </c>
      <c r="X284" s="4" t="s">
        <v>3086</v>
      </c>
      <c r="Y284" s="4" t="s">
        <v>3087</v>
      </c>
      <c r="Z284" s="4" t="s">
        <v>3088</v>
      </c>
      <c r="AA284" s="4" t="s">
        <v>3089</v>
      </c>
      <c r="AB284" s="4" t="s">
        <v>3090</v>
      </c>
      <c r="AC284" s="4" t="s">
        <v>3091</v>
      </c>
      <c r="AD284" s="4" t="s">
        <v>3092</v>
      </c>
      <c r="AE284" s="4" t="s">
        <v>3093</v>
      </c>
      <c r="AF284" s="4" t="s">
        <v>3094</v>
      </c>
      <c r="AG284" s="4" t="s">
        <v>3095</v>
      </c>
      <c r="AH284" s="4" t="s">
        <v>3096</v>
      </c>
      <c r="AI284" s="4" t="s">
        <v>3097</v>
      </c>
      <c r="AJ284" s="4" t="s">
        <v>3098</v>
      </c>
      <c r="AK284" s="4" t="s">
        <v>3099</v>
      </c>
      <c r="AL284" s="4" t="s">
        <v>3100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/>
    </row>
    <row r="285" spans="1:169" x14ac:dyDescent="0.3">
      <c r="A285" s="2">
        <v>277</v>
      </c>
      <c r="B285" s="5">
        <v>48</v>
      </c>
      <c r="C285" s="6">
        <v>3502133</v>
      </c>
      <c r="D285" s="6" t="s">
        <v>219</v>
      </c>
      <c r="E285" s="6">
        <v>4917020</v>
      </c>
      <c r="F285" s="6">
        <v>3917023</v>
      </c>
      <c r="G285" s="6">
        <v>0</v>
      </c>
      <c r="H285" s="6">
        <v>0</v>
      </c>
      <c r="I285" s="6">
        <v>51.48</v>
      </c>
      <c r="J285" s="6" t="s">
        <v>169</v>
      </c>
      <c r="K285" s="6" t="s">
        <v>170</v>
      </c>
      <c r="L285" s="7" t="s">
        <v>171</v>
      </c>
      <c r="M285" s="7" t="s">
        <v>172</v>
      </c>
      <c r="N285" s="8" t="s">
        <v>3101</v>
      </c>
      <c r="O285" s="5">
        <v>8478.2999999999993</v>
      </c>
      <c r="P285" s="6">
        <v>26818.7</v>
      </c>
      <c r="Q285" s="6">
        <v>-7156.79</v>
      </c>
      <c r="R285" s="12">
        <v>0</v>
      </c>
      <c r="S285" s="4" t="s">
        <v>3102</v>
      </c>
      <c r="T285" s="4" t="s">
        <v>3103</v>
      </c>
      <c r="U285" s="4" t="s">
        <v>3104</v>
      </c>
      <c r="V285" s="4" t="s">
        <v>3105</v>
      </c>
      <c r="W285" s="4" t="s">
        <v>3106</v>
      </c>
      <c r="X285" s="4" t="s">
        <v>3107</v>
      </c>
      <c r="Y285" s="4" t="s">
        <v>3108</v>
      </c>
      <c r="Z285" s="4" t="s">
        <v>3109</v>
      </c>
      <c r="AA285" s="4" t="s">
        <v>3110</v>
      </c>
      <c r="AB285" s="4" t="s">
        <v>3111</v>
      </c>
      <c r="AC285" s="4" t="s">
        <v>3112</v>
      </c>
      <c r="AD285" s="4" t="s">
        <v>3113</v>
      </c>
      <c r="AE285" s="4" t="s">
        <v>3114</v>
      </c>
      <c r="AF285" s="4" t="s">
        <v>3115</v>
      </c>
      <c r="AG285" s="4" t="s">
        <v>3116</v>
      </c>
      <c r="AH285" s="4" t="s">
        <v>3117</v>
      </c>
      <c r="AI285" s="4" t="s">
        <v>3118</v>
      </c>
      <c r="AJ285" s="4" t="s">
        <v>3119</v>
      </c>
      <c r="AK285" s="4" t="s">
        <v>3120</v>
      </c>
      <c r="AL285" s="4" t="s">
        <v>3121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  <c r="DF285" s="3">
        <v>0</v>
      </c>
      <c r="DG285" s="3">
        <v>0</v>
      </c>
      <c r="DH285" s="3">
        <v>0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0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 t="s">
        <v>1601</v>
      </c>
    </row>
    <row r="286" spans="1:169" x14ac:dyDescent="0.3">
      <c r="A286" s="2">
        <v>278</v>
      </c>
      <c r="B286" s="5">
        <v>48</v>
      </c>
      <c r="C286" s="6">
        <v>3502133</v>
      </c>
      <c r="D286" s="6" t="s">
        <v>219</v>
      </c>
      <c r="E286" s="6">
        <v>4917020</v>
      </c>
      <c r="F286" s="6">
        <v>3917023</v>
      </c>
      <c r="G286" s="6">
        <v>0</v>
      </c>
      <c r="H286" s="6">
        <v>0</v>
      </c>
      <c r="I286" s="6">
        <v>51.48</v>
      </c>
      <c r="J286" s="6" t="s">
        <v>194</v>
      </c>
      <c r="K286" s="6" t="s">
        <v>195</v>
      </c>
      <c r="L286" s="7" t="s">
        <v>196</v>
      </c>
      <c r="M286" s="7" t="s">
        <v>172</v>
      </c>
      <c r="N286" s="8" t="s">
        <v>3101</v>
      </c>
      <c r="O286" s="5">
        <v>-9024.84</v>
      </c>
      <c r="P286" s="6">
        <v>-27787.3</v>
      </c>
      <c r="Q286" s="6">
        <v>7621.72</v>
      </c>
      <c r="R286" s="12">
        <v>28325.9</v>
      </c>
      <c r="S286" s="4" t="s">
        <v>3102</v>
      </c>
      <c r="T286" s="4" t="s">
        <v>3103</v>
      </c>
      <c r="U286" s="4" t="s">
        <v>3104</v>
      </c>
      <c r="V286" s="4" t="s">
        <v>3105</v>
      </c>
      <c r="W286" s="4" t="s">
        <v>3106</v>
      </c>
      <c r="X286" s="4" t="s">
        <v>3107</v>
      </c>
      <c r="Y286" s="4" t="s">
        <v>3108</v>
      </c>
      <c r="Z286" s="4" t="s">
        <v>3109</v>
      </c>
      <c r="AA286" s="4" t="s">
        <v>3110</v>
      </c>
      <c r="AB286" s="4" t="s">
        <v>3111</v>
      </c>
      <c r="AC286" s="4" t="s">
        <v>3112</v>
      </c>
      <c r="AD286" s="4" t="s">
        <v>3113</v>
      </c>
      <c r="AE286" s="4" t="s">
        <v>3114</v>
      </c>
      <c r="AF286" s="4" t="s">
        <v>3115</v>
      </c>
      <c r="AG286" s="4" t="s">
        <v>3116</v>
      </c>
      <c r="AH286" s="4" t="s">
        <v>3117</v>
      </c>
      <c r="AI286" s="4" t="s">
        <v>3118</v>
      </c>
      <c r="AJ286" s="4" t="s">
        <v>3119</v>
      </c>
      <c r="AK286" s="4" t="s">
        <v>3120</v>
      </c>
      <c r="AL286" s="4" t="s">
        <v>3121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 t="s">
        <v>1601</v>
      </c>
    </row>
    <row r="287" spans="1:169" x14ac:dyDescent="0.3">
      <c r="A287" s="2">
        <v>279</v>
      </c>
      <c r="B287" s="5">
        <v>48</v>
      </c>
      <c r="C287" s="6">
        <v>4601137</v>
      </c>
      <c r="D287" s="6" t="s">
        <v>1327</v>
      </c>
      <c r="E287" s="6">
        <v>4917020</v>
      </c>
      <c r="F287" s="6">
        <v>4600108</v>
      </c>
      <c r="G287" s="6">
        <v>0</v>
      </c>
      <c r="H287" s="6">
        <v>0</v>
      </c>
      <c r="I287" s="6">
        <v>51.48</v>
      </c>
      <c r="J287" s="6" t="s">
        <v>169</v>
      </c>
      <c r="K287" s="6" t="s">
        <v>170</v>
      </c>
      <c r="L287" s="7" t="s">
        <v>171</v>
      </c>
      <c r="M287" s="7" t="s">
        <v>172</v>
      </c>
      <c r="N287" s="8" t="s">
        <v>3122</v>
      </c>
      <c r="O287" s="5">
        <v>-26903.9</v>
      </c>
      <c r="P287" s="6">
        <v>-7755.18</v>
      </c>
      <c r="Q287" s="6">
        <v>-7640.73</v>
      </c>
      <c r="R287" s="12">
        <v>0</v>
      </c>
      <c r="S287" s="4" t="s">
        <v>3123</v>
      </c>
      <c r="T287" s="4" t="s">
        <v>3124</v>
      </c>
      <c r="U287" s="4" t="s">
        <v>3125</v>
      </c>
      <c r="V287" s="4" t="s">
        <v>3126</v>
      </c>
      <c r="W287" s="4" t="s">
        <v>3127</v>
      </c>
      <c r="X287" s="4" t="s">
        <v>3128</v>
      </c>
      <c r="Y287" s="4" t="s">
        <v>3129</v>
      </c>
      <c r="Z287" s="4" t="s">
        <v>3130</v>
      </c>
      <c r="AA287" s="4" t="s">
        <v>3131</v>
      </c>
      <c r="AB287" s="4" t="s">
        <v>3132</v>
      </c>
      <c r="AC287" s="4" t="s">
        <v>3133</v>
      </c>
      <c r="AD287" s="4" t="s">
        <v>3134</v>
      </c>
      <c r="AE287" s="4" t="s">
        <v>3135</v>
      </c>
      <c r="AF287" s="4" t="s">
        <v>3136</v>
      </c>
      <c r="AG287" s="4" t="s">
        <v>3137</v>
      </c>
      <c r="AH287" s="4" t="s">
        <v>3138</v>
      </c>
      <c r="AI287" s="4" t="s">
        <v>3139</v>
      </c>
      <c r="AJ287" s="4" t="s">
        <v>3140</v>
      </c>
      <c r="AK287" s="4" t="s">
        <v>3141</v>
      </c>
      <c r="AL287" s="4" t="s">
        <v>3142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/>
    </row>
    <row r="288" spans="1:169" x14ac:dyDescent="0.3">
      <c r="A288" s="2">
        <v>280</v>
      </c>
      <c r="B288" s="5">
        <v>48</v>
      </c>
      <c r="C288" s="6">
        <v>4601137</v>
      </c>
      <c r="D288" s="6" t="s">
        <v>1327</v>
      </c>
      <c r="E288" s="6">
        <v>4917020</v>
      </c>
      <c r="F288" s="6">
        <v>4600108</v>
      </c>
      <c r="G288" s="6">
        <v>0</v>
      </c>
      <c r="H288" s="6">
        <v>0</v>
      </c>
      <c r="I288" s="6">
        <v>51.48</v>
      </c>
      <c r="J288" s="6" t="s">
        <v>194</v>
      </c>
      <c r="K288" s="6" t="s">
        <v>195</v>
      </c>
      <c r="L288" s="7" t="s">
        <v>196</v>
      </c>
      <c r="M288" s="7" t="s">
        <v>172</v>
      </c>
      <c r="N288" s="8" t="s">
        <v>3122</v>
      </c>
      <c r="O288" s="5">
        <v>27878.2</v>
      </c>
      <c r="P288" s="6">
        <v>8273.5400000000009</v>
      </c>
      <c r="Q288" s="6">
        <v>8125.49</v>
      </c>
      <c r="R288" s="12">
        <v>28325.9</v>
      </c>
      <c r="S288" s="4" t="s">
        <v>3123</v>
      </c>
      <c r="T288" s="4" t="s">
        <v>3124</v>
      </c>
      <c r="U288" s="4" t="s">
        <v>3125</v>
      </c>
      <c r="V288" s="4" t="s">
        <v>3126</v>
      </c>
      <c r="W288" s="4" t="s">
        <v>3127</v>
      </c>
      <c r="X288" s="4" t="s">
        <v>3128</v>
      </c>
      <c r="Y288" s="4" t="s">
        <v>3129</v>
      </c>
      <c r="Z288" s="4" t="s">
        <v>3130</v>
      </c>
      <c r="AA288" s="4" t="s">
        <v>3131</v>
      </c>
      <c r="AB288" s="4" t="s">
        <v>3132</v>
      </c>
      <c r="AC288" s="4" t="s">
        <v>3133</v>
      </c>
      <c r="AD288" s="4" t="s">
        <v>3134</v>
      </c>
      <c r="AE288" s="4" t="s">
        <v>3135</v>
      </c>
      <c r="AF288" s="4" t="s">
        <v>3136</v>
      </c>
      <c r="AG288" s="4" t="s">
        <v>3137</v>
      </c>
      <c r="AH288" s="4" t="s">
        <v>3138</v>
      </c>
      <c r="AI288" s="4" t="s">
        <v>3139</v>
      </c>
      <c r="AJ288" s="4" t="s">
        <v>3140</v>
      </c>
      <c r="AK288" s="4" t="s">
        <v>3141</v>
      </c>
      <c r="AL288" s="4" t="s">
        <v>3142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/>
    </row>
  </sheetData>
  <autoFilter ref="B8:FM288"/>
  <mergeCells count="1">
    <mergeCell ref="B2:E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Z871"/>
  <sheetViews>
    <sheetView topLeftCell="B2" zoomScaleNormal="100" workbookViewId="0">
      <selection activeCell="J12" sqref="J12"/>
    </sheetView>
  </sheetViews>
  <sheetFormatPr baseColWidth="10" defaultColWidth="11.5546875" defaultRowHeight="14.4" x14ac:dyDescent="0.3"/>
  <cols>
    <col min="1" max="2" width="11.5546875" style="31"/>
    <col min="3" max="3" width="17.33203125" style="34" bestFit="1" customWidth="1"/>
    <col min="4" max="4" width="9.44140625" style="6" bestFit="1" customWidth="1"/>
    <col min="5" max="5" width="9.33203125" style="6" bestFit="1" customWidth="1"/>
    <col min="6" max="6" width="8.88671875" style="6" bestFit="1" customWidth="1"/>
    <col min="7" max="7" width="6.109375" style="6" bestFit="1" customWidth="1"/>
    <col min="8" max="8" width="6.109375" style="6" customWidth="1"/>
    <col min="9" max="9" width="6.33203125" style="41" bestFit="1" customWidth="1"/>
    <col min="10" max="10" width="13.44140625" style="31" bestFit="1" customWidth="1"/>
    <col min="11" max="11" width="14.33203125" style="50" bestFit="1" customWidth="1"/>
    <col min="12" max="12" width="14.109375" style="41" bestFit="1" customWidth="1"/>
    <col min="13" max="13" width="14.109375" style="31" bestFit="1" customWidth="1"/>
    <col min="14" max="14" width="15.109375" style="31" bestFit="1" customWidth="1"/>
    <col min="15" max="16384" width="11.5546875" style="31"/>
  </cols>
  <sheetData>
    <row r="1" spans="3:26" x14ac:dyDescent="0.3">
      <c r="C1" s="31"/>
      <c r="D1" s="31"/>
      <c r="E1" s="31"/>
      <c r="F1" s="31"/>
      <c r="G1" s="31"/>
      <c r="H1" s="31"/>
      <c r="I1" s="31"/>
      <c r="K1" s="31"/>
      <c r="L1" s="31"/>
    </row>
    <row r="2" spans="3:26" x14ac:dyDescent="0.3">
      <c r="C2" s="31"/>
      <c r="D2" s="31"/>
      <c r="E2" s="31"/>
      <c r="F2" s="31"/>
      <c r="G2" s="31"/>
      <c r="H2" s="31"/>
      <c r="I2" s="31"/>
      <c r="K2" s="31"/>
      <c r="L2" s="31"/>
    </row>
    <row r="3" spans="3:26" x14ac:dyDescent="0.3">
      <c r="C3" s="31"/>
      <c r="D3" s="31"/>
      <c r="E3" s="31"/>
      <c r="F3" s="31"/>
      <c r="G3" s="31"/>
      <c r="H3" s="31"/>
      <c r="I3" s="31"/>
      <c r="K3" s="31"/>
      <c r="L3" s="31"/>
    </row>
    <row r="4" spans="3:26" x14ac:dyDescent="0.3">
      <c r="C4" s="31"/>
      <c r="D4" s="31"/>
      <c r="E4" s="31"/>
      <c r="F4" s="31"/>
      <c r="G4" s="31"/>
      <c r="H4" s="31"/>
      <c r="I4" s="31"/>
      <c r="K4" s="31"/>
      <c r="L4" s="31"/>
    </row>
    <row r="5" spans="3:26" x14ac:dyDescent="0.3">
      <c r="C5" s="31"/>
      <c r="D5" s="31"/>
      <c r="E5" s="31"/>
      <c r="F5" s="31"/>
      <c r="G5" s="31"/>
      <c r="H5" s="31"/>
      <c r="I5" s="31"/>
      <c r="K5" s="31"/>
      <c r="L5" s="31"/>
    </row>
    <row r="6" spans="3:26" x14ac:dyDescent="0.3">
      <c r="C6" s="31"/>
      <c r="D6" s="31"/>
      <c r="E6" s="31"/>
      <c r="F6" s="31"/>
      <c r="G6" s="31"/>
      <c r="H6" s="31"/>
      <c r="I6" s="31"/>
      <c r="K6" s="31"/>
      <c r="L6" s="31"/>
    </row>
    <row r="7" spans="3:26" s="42" customFormat="1" x14ac:dyDescent="0.3">
      <c r="C7" s="55" t="s">
        <v>3163</v>
      </c>
      <c r="D7" s="55"/>
      <c r="E7" s="55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3:26" ht="15" thickBot="1" x14ac:dyDescent="0.35">
      <c r="C8" s="55"/>
      <c r="D8" s="55"/>
      <c r="E8" s="55"/>
      <c r="F8" s="31"/>
      <c r="G8" s="31"/>
      <c r="H8" s="31"/>
      <c r="I8" s="31"/>
      <c r="K8" s="31"/>
      <c r="L8" s="31"/>
    </row>
    <row r="9" spans="3:26" ht="15" thickBot="1" x14ac:dyDescent="0.35">
      <c r="C9" s="31"/>
      <c r="D9" s="31"/>
      <c r="E9" s="31"/>
      <c r="F9" s="31"/>
      <c r="G9" s="31"/>
      <c r="H9" s="31"/>
      <c r="I9" s="31"/>
      <c r="K9" s="43" t="s">
        <v>3159</v>
      </c>
      <c r="L9" s="44" t="s">
        <v>3159</v>
      </c>
    </row>
    <row r="10" spans="3:26" ht="15" thickBot="1" x14ac:dyDescent="0.35">
      <c r="C10" s="37" t="s">
        <v>2</v>
      </c>
      <c r="D10" s="38" t="s">
        <v>3144</v>
      </c>
      <c r="E10" s="38" t="s">
        <v>3145</v>
      </c>
      <c r="F10" s="38" t="s">
        <v>3146</v>
      </c>
      <c r="G10" s="38" t="s">
        <v>3147</v>
      </c>
      <c r="H10" s="38" t="s">
        <v>3148</v>
      </c>
      <c r="I10" s="39" t="s">
        <v>3149</v>
      </c>
      <c r="K10" s="48" t="s">
        <v>3160</v>
      </c>
      <c r="L10" s="49" t="s">
        <v>3161</v>
      </c>
    </row>
    <row r="11" spans="3:26" x14ac:dyDescent="0.3">
      <c r="C11" s="34" t="s">
        <v>197</v>
      </c>
      <c r="D11" s="6">
        <v>16.559999999999999</v>
      </c>
      <c r="E11" s="35">
        <v>79593.867056640505</v>
      </c>
      <c r="F11" s="35">
        <v>41017.370743551612</v>
      </c>
      <c r="G11" s="35">
        <v>19846.188560278148</v>
      </c>
      <c r="H11" s="40">
        <v>0.4142802271075095</v>
      </c>
      <c r="I11" s="36">
        <v>1</v>
      </c>
      <c r="K11" s="45">
        <f>IF(D11&lt;=5,0.5,IF(D11&lt;7.5,0.1*D11,0.75))</f>
        <v>0.75</v>
      </c>
      <c r="L11" s="46">
        <v>1</v>
      </c>
    </row>
    <row r="12" spans="3:26" x14ac:dyDescent="0.3">
      <c r="C12" s="34" t="s">
        <v>263</v>
      </c>
      <c r="D12" s="6">
        <v>16.559999999999999</v>
      </c>
      <c r="E12" s="35">
        <v>79593.867056640505</v>
      </c>
      <c r="F12" s="35">
        <v>41017.370743551612</v>
      </c>
      <c r="G12" s="35">
        <v>19846.188560278148</v>
      </c>
      <c r="H12" s="40">
        <v>0.4142802271075095</v>
      </c>
      <c r="I12" s="36">
        <v>1</v>
      </c>
      <c r="K12" s="47">
        <f t="shared" ref="K12:K75" si="0">IF(D12&lt;=5,0.5,IF(D12&lt;7.5,0.1*D12,0.75))</f>
        <v>0.75</v>
      </c>
      <c r="L12" s="41">
        <v>1</v>
      </c>
    </row>
    <row r="13" spans="3:26" x14ac:dyDescent="0.3">
      <c r="I13" s="36"/>
      <c r="K13" s="47">
        <f t="shared" si="0"/>
        <v>0.5</v>
      </c>
      <c r="L13" s="41">
        <v>1</v>
      </c>
    </row>
    <row r="14" spans="3:26" x14ac:dyDescent="0.3">
      <c r="I14" s="36"/>
      <c r="K14" s="47">
        <f t="shared" si="0"/>
        <v>0.5</v>
      </c>
      <c r="L14" s="41">
        <v>1</v>
      </c>
    </row>
    <row r="15" spans="3:26" x14ac:dyDescent="0.3">
      <c r="I15" s="36"/>
      <c r="K15" s="47">
        <f t="shared" si="0"/>
        <v>0.5</v>
      </c>
      <c r="L15" s="41">
        <v>1</v>
      </c>
    </row>
    <row r="16" spans="3:26" x14ac:dyDescent="0.3">
      <c r="I16" s="36"/>
      <c r="K16" s="47">
        <f t="shared" si="0"/>
        <v>0.5</v>
      </c>
      <c r="L16" s="41">
        <v>1</v>
      </c>
    </row>
    <row r="17" spans="9:12" x14ac:dyDescent="0.3">
      <c r="I17" s="36"/>
      <c r="K17" s="47">
        <f t="shared" si="0"/>
        <v>0.5</v>
      </c>
      <c r="L17" s="41">
        <v>1</v>
      </c>
    </row>
    <row r="18" spans="9:12" x14ac:dyDescent="0.3">
      <c r="I18" s="36"/>
      <c r="K18" s="47">
        <f t="shared" si="0"/>
        <v>0.5</v>
      </c>
      <c r="L18" s="41">
        <v>1</v>
      </c>
    </row>
    <row r="19" spans="9:12" x14ac:dyDescent="0.3">
      <c r="I19" s="36"/>
      <c r="K19" s="47">
        <f t="shared" si="0"/>
        <v>0.5</v>
      </c>
      <c r="L19" s="41">
        <v>1</v>
      </c>
    </row>
    <row r="20" spans="9:12" x14ac:dyDescent="0.3">
      <c r="I20" s="36"/>
      <c r="K20" s="47">
        <f t="shared" si="0"/>
        <v>0.5</v>
      </c>
      <c r="L20" s="41">
        <v>1</v>
      </c>
    </row>
    <row r="21" spans="9:12" x14ac:dyDescent="0.3">
      <c r="I21" s="36"/>
      <c r="K21" s="47">
        <f t="shared" si="0"/>
        <v>0.5</v>
      </c>
      <c r="L21" s="41">
        <v>1</v>
      </c>
    </row>
    <row r="22" spans="9:12" x14ac:dyDescent="0.3">
      <c r="I22" s="36"/>
      <c r="K22" s="47">
        <f t="shared" si="0"/>
        <v>0.5</v>
      </c>
      <c r="L22" s="41">
        <v>1</v>
      </c>
    </row>
    <row r="23" spans="9:12" x14ac:dyDescent="0.3">
      <c r="I23" s="36"/>
      <c r="K23" s="47">
        <f t="shared" si="0"/>
        <v>0.5</v>
      </c>
      <c r="L23" s="41">
        <v>1</v>
      </c>
    </row>
    <row r="24" spans="9:12" x14ac:dyDescent="0.3">
      <c r="I24" s="36"/>
      <c r="K24" s="47">
        <f t="shared" si="0"/>
        <v>0.5</v>
      </c>
      <c r="L24" s="41">
        <v>1</v>
      </c>
    </row>
    <row r="25" spans="9:12" x14ac:dyDescent="0.3">
      <c r="I25" s="36"/>
      <c r="K25" s="47">
        <f t="shared" si="0"/>
        <v>0.5</v>
      </c>
      <c r="L25" s="41">
        <v>1</v>
      </c>
    </row>
    <row r="26" spans="9:12" x14ac:dyDescent="0.3">
      <c r="I26" s="36"/>
      <c r="K26" s="47">
        <f t="shared" si="0"/>
        <v>0.5</v>
      </c>
      <c r="L26" s="41">
        <v>1</v>
      </c>
    </row>
    <row r="27" spans="9:12" x14ac:dyDescent="0.3">
      <c r="I27" s="36"/>
      <c r="K27" s="47">
        <f t="shared" si="0"/>
        <v>0.5</v>
      </c>
      <c r="L27" s="41">
        <v>1</v>
      </c>
    </row>
    <row r="28" spans="9:12" x14ac:dyDescent="0.3">
      <c r="I28" s="36"/>
      <c r="K28" s="47">
        <f t="shared" si="0"/>
        <v>0.5</v>
      </c>
      <c r="L28" s="41">
        <v>1</v>
      </c>
    </row>
    <row r="29" spans="9:12" x14ac:dyDescent="0.3">
      <c r="I29" s="36"/>
      <c r="K29" s="47">
        <f t="shared" si="0"/>
        <v>0.5</v>
      </c>
      <c r="L29" s="41">
        <v>1</v>
      </c>
    </row>
    <row r="30" spans="9:12" x14ac:dyDescent="0.3">
      <c r="I30" s="36"/>
      <c r="K30" s="47">
        <f t="shared" si="0"/>
        <v>0.5</v>
      </c>
      <c r="L30" s="41">
        <v>1</v>
      </c>
    </row>
    <row r="31" spans="9:12" x14ac:dyDescent="0.3">
      <c r="I31" s="36"/>
      <c r="K31" s="47">
        <f t="shared" si="0"/>
        <v>0.5</v>
      </c>
      <c r="L31" s="41">
        <v>1</v>
      </c>
    </row>
    <row r="32" spans="9:12" x14ac:dyDescent="0.3">
      <c r="I32" s="36"/>
      <c r="K32" s="47">
        <f t="shared" si="0"/>
        <v>0.5</v>
      </c>
      <c r="L32" s="41">
        <v>1</v>
      </c>
    </row>
    <row r="33" spans="9:12" x14ac:dyDescent="0.3">
      <c r="I33" s="36"/>
      <c r="K33" s="47">
        <f t="shared" si="0"/>
        <v>0.5</v>
      </c>
      <c r="L33" s="41">
        <v>1</v>
      </c>
    </row>
    <row r="34" spans="9:12" x14ac:dyDescent="0.3">
      <c r="I34" s="36"/>
      <c r="K34" s="47">
        <f t="shared" si="0"/>
        <v>0.5</v>
      </c>
      <c r="L34" s="41">
        <v>1</v>
      </c>
    </row>
    <row r="35" spans="9:12" x14ac:dyDescent="0.3">
      <c r="I35" s="36"/>
      <c r="K35" s="47">
        <f t="shared" si="0"/>
        <v>0.5</v>
      </c>
      <c r="L35" s="41">
        <v>1</v>
      </c>
    </row>
    <row r="36" spans="9:12" x14ac:dyDescent="0.3">
      <c r="I36" s="36"/>
      <c r="K36" s="47">
        <f t="shared" si="0"/>
        <v>0.5</v>
      </c>
      <c r="L36" s="41">
        <v>1</v>
      </c>
    </row>
    <row r="37" spans="9:12" x14ac:dyDescent="0.3">
      <c r="I37" s="36"/>
      <c r="K37" s="47">
        <f t="shared" si="0"/>
        <v>0.5</v>
      </c>
      <c r="L37" s="41">
        <v>1</v>
      </c>
    </row>
    <row r="38" spans="9:12" x14ac:dyDescent="0.3">
      <c r="I38" s="36"/>
      <c r="K38" s="47">
        <f t="shared" si="0"/>
        <v>0.5</v>
      </c>
      <c r="L38" s="41">
        <v>1</v>
      </c>
    </row>
    <row r="39" spans="9:12" x14ac:dyDescent="0.3">
      <c r="I39" s="36"/>
      <c r="K39" s="47">
        <f t="shared" si="0"/>
        <v>0.5</v>
      </c>
      <c r="L39" s="41">
        <v>1</v>
      </c>
    </row>
    <row r="40" spans="9:12" x14ac:dyDescent="0.3">
      <c r="I40" s="36"/>
      <c r="K40" s="47">
        <f t="shared" si="0"/>
        <v>0.5</v>
      </c>
      <c r="L40" s="41">
        <v>1</v>
      </c>
    </row>
    <row r="41" spans="9:12" x14ac:dyDescent="0.3">
      <c r="I41" s="36"/>
      <c r="K41" s="47">
        <f t="shared" si="0"/>
        <v>0.5</v>
      </c>
      <c r="L41" s="41">
        <v>1</v>
      </c>
    </row>
    <row r="42" spans="9:12" x14ac:dyDescent="0.3">
      <c r="I42" s="36"/>
      <c r="K42" s="47">
        <f t="shared" si="0"/>
        <v>0.5</v>
      </c>
      <c r="L42" s="41">
        <v>1</v>
      </c>
    </row>
    <row r="43" spans="9:12" x14ac:dyDescent="0.3">
      <c r="I43" s="36"/>
      <c r="K43" s="47">
        <f t="shared" si="0"/>
        <v>0.5</v>
      </c>
      <c r="L43" s="41">
        <v>1</v>
      </c>
    </row>
    <row r="44" spans="9:12" x14ac:dyDescent="0.3">
      <c r="I44" s="36"/>
      <c r="K44" s="47">
        <f t="shared" si="0"/>
        <v>0.5</v>
      </c>
      <c r="L44" s="41">
        <v>1</v>
      </c>
    </row>
    <row r="45" spans="9:12" x14ac:dyDescent="0.3">
      <c r="I45" s="36"/>
      <c r="K45" s="47">
        <f t="shared" si="0"/>
        <v>0.5</v>
      </c>
      <c r="L45" s="41">
        <v>1</v>
      </c>
    </row>
    <row r="46" spans="9:12" x14ac:dyDescent="0.3">
      <c r="I46" s="36"/>
      <c r="K46" s="47">
        <f t="shared" si="0"/>
        <v>0.5</v>
      </c>
      <c r="L46" s="41">
        <v>1</v>
      </c>
    </row>
    <row r="47" spans="9:12" x14ac:dyDescent="0.3">
      <c r="I47" s="36"/>
      <c r="K47" s="47">
        <f t="shared" si="0"/>
        <v>0.5</v>
      </c>
      <c r="L47" s="41">
        <v>1</v>
      </c>
    </row>
    <row r="48" spans="9:12" x14ac:dyDescent="0.3">
      <c r="I48" s="36"/>
      <c r="K48" s="47">
        <f t="shared" si="0"/>
        <v>0.5</v>
      </c>
      <c r="L48" s="41">
        <v>1</v>
      </c>
    </row>
    <row r="49" spans="9:12" x14ac:dyDescent="0.3">
      <c r="I49" s="36"/>
      <c r="K49" s="47">
        <f t="shared" si="0"/>
        <v>0.5</v>
      </c>
      <c r="L49" s="41">
        <v>1</v>
      </c>
    </row>
    <row r="50" spans="9:12" x14ac:dyDescent="0.3">
      <c r="I50" s="36"/>
      <c r="K50" s="47">
        <f t="shared" si="0"/>
        <v>0.5</v>
      </c>
      <c r="L50" s="41">
        <v>1</v>
      </c>
    </row>
    <row r="51" spans="9:12" x14ac:dyDescent="0.3">
      <c r="I51" s="36"/>
      <c r="K51" s="47">
        <f t="shared" si="0"/>
        <v>0.5</v>
      </c>
      <c r="L51" s="41">
        <v>1</v>
      </c>
    </row>
    <row r="52" spans="9:12" x14ac:dyDescent="0.3">
      <c r="I52" s="36"/>
      <c r="K52" s="47">
        <f t="shared" si="0"/>
        <v>0.5</v>
      </c>
      <c r="L52" s="41">
        <v>1</v>
      </c>
    </row>
    <row r="53" spans="9:12" x14ac:dyDescent="0.3">
      <c r="I53" s="36"/>
      <c r="K53" s="47">
        <f t="shared" si="0"/>
        <v>0.5</v>
      </c>
      <c r="L53" s="41">
        <v>1</v>
      </c>
    </row>
    <row r="54" spans="9:12" x14ac:dyDescent="0.3">
      <c r="I54" s="36"/>
      <c r="K54" s="47">
        <f t="shared" si="0"/>
        <v>0.5</v>
      </c>
      <c r="L54" s="41">
        <v>1</v>
      </c>
    </row>
    <row r="55" spans="9:12" x14ac:dyDescent="0.3">
      <c r="I55" s="36"/>
      <c r="K55" s="47">
        <f t="shared" si="0"/>
        <v>0.5</v>
      </c>
      <c r="L55" s="41">
        <v>1</v>
      </c>
    </row>
    <row r="56" spans="9:12" x14ac:dyDescent="0.3">
      <c r="I56" s="36"/>
      <c r="K56" s="47">
        <f t="shared" si="0"/>
        <v>0.5</v>
      </c>
      <c r="L56" s="41">
        <v>1</v>
      </c>
    </row>
    <row r="57" spans="9:12" x14ac:dyDescent="0.3">
      <c r="I57" s="36"/>
      <c r="K57" s="47">
        <f t="shared" si="0"/>
        <v>0.5</v>
      </c>
      <c r="L57" s="41">
        <v>1</v>
      </c>
    </row>
    <row r="58" spans="9:12" x14ac:dyDescent="0.3">
      <c r="I58" s="36"/>
      <c r="K58" s="47">
        <f t="shared" si="0"/>
        <v>0.5</v>
      </c>
      <c r="L58" s="41">
        <v>1</v>
      </c>
    </row>
    <row r="59" spans="9:12" x14ac:dyDescent="0.3">
      <c r="I59" s="36"/>
      <c r="K59" s="47">
        <f t="shared" si="0"/>
        <v>0.5</v>
      </c>
      <c r="L59" s="41">
        <v>1</v>
      </c>
    </row>
    <row r="60" spans="9:12" x14ac:dyDescent="0.3">
      <c r="I60" s="36"/>
      <c r="K60" s="47">
        <f t="shared" si="0"/>
        <v>0.5</v>
      </c>
      <c r="L60" s="41">
        <v>1</v>
      </c>
    </row>
    <row r="61" spans="9:12" x14ac:dyDescent="0.3">
      <c r="I61" s="36"/>
      <c r="K61" s="47">
        <f t="shared" si="0"/>
        <v>0.5</v>
      </c>
      <c r="L61" s="41">
        <v>1</v>
      </c>
    </row>
    <row r="62" spans="9:12" x14ac:dyDescent="0.3">
      <c r="I62" s="36"/>
      <c r="K62" s="47">
        <f t="shared" si="0"/>
        <v>0.5</v>
      </c>
      <c r="L62" s="41">
        <v>1</v>
      </c>
    </row>
    <row r="63" spans="9:12" x14ac:dyDescent="0.3">
      <c r="I63" s="36"/>
      <c r="K63" s="47">
        <f t="shared" si="0"/>
        <v>0.5</v>
      </c>
      <c r="L63" s="41">
        <v>1</v>
      </c>
    </row>
    <row r="64" spans="9:12" x14ac:dyDescent="0.3">
      <c r="I64" s="36"/>
      <c r="K64" s="47">
        <f t="shared" si="0"/>
        <v>0.5</v>
      </c>
      <c r="L64" s="41">
        <v>1</v>
      </c>
    </row>
    <row r="65" spans="9:12" x14ac:dyDescent="0.3">
      <c r="I65" s="36"/>
      <c r="K65" s="47">
        <f t="shared" si="0"/>
        <v>0.5</v>
      </c>
      <c r="L65" s="41">
        <v>1</v>
      </c>
    </row>
    <row r="66" spans="9:12" x14ac:dyDescent="0.3">
      <c r="I66" s="36"/>
      <c r="K66" s="47">
        <f t="shared" si="0"/>
        <v>0.5</v>
      </c>
      <c r="L66" s="41">
        <v>1</v>
      </c>
    </row>
    <row r="67" spans="9:12" x14ac:dyDescent="0.3">
      <c r="I67" s="36"/>
      <c r="K67" s="47">
        <f t="shared" si="0"/>
        <v>0.5</v>
      </c>
      <c r="L67" s="41">
        <v>1</v>
      </c>
    </row>
    <row r="68" spans="9:12" x14ac:dyDescent="0.3">
      <c r="I68" s="36"/>
      <c r="K68" s="47">
        <f t="shared" si="0"/>
        <v>0.5</v>
      </c>
      <c r="L68" s="41">
        <v>1</v>
      </c>
    </row>
    <row r="69" spans="9:12" x14ac:dyDescent="0.3">
      <c r="I69" s="36"/>
      <c r="K69" s="47">
        <f t="shared" si="0"/>
        <v>0.5</v>
      </c>
      <c r="L69" s="41">
        <v>1</v>
      </c>
    </row>
    <row r="70" spans="9:12" x14ac:dyDescent="0.3">
      <c r="I70" s="36"/>
      <c r="K70" s="47">
        <f t="shared" si="0"/>
        <v>0.5</v>
      </c>
      <c r="L70" s="41">
        <v>1</v>
      </c>
    </row>
    <row r="71" spans="9:12" x14ac:dyDescent="0.3">
      <c r="I71" s="36"/>
      <c r="K71" s="47">
        <f t="shared" si="0"/>
        <v>0.5</v>
      </c>
      <c r="L71" s="41">
        <v>1</v>
      </c>
    </row>
    <row r="72" spans="9:12" x14ac:dyDescent="0.3">
      <c r="I72" s="36"/>
      <c r="K72" s="47">
        <f t="shared" si="0"/>
        <v>0.5</v>
      </c>
      <c r="L72" s="41">
        <v>1</v>
      </c>
    </row>
    <row r="73" spans="9:12" x14ac:dyDescent="0.3">
      <c r="I73" s="36"/>
      <c r="K73" s="47">
        <f t="shared" si="0"/>
        <v>0.5</v>
      </c>
      <c r="L73" s="41">
        <v>1</v>
      </c>
    </row>
    <row r="74" spans="9:12" x14ac:dyDescent="0.3">
      <c r="I74" s="36"/>
      <c r="K74" s="47">
        <f t="shared" si="0"/>
        <v>0.5</v>
      </c>
      <c r="L74" s="41">
        <v>1</v>
      </c>
    </row>
    <row r="75" spans="9:12" x14ac:dyDescent="0.3">
      <c r="I75" s="36"/>
      <c r="K75" s="47">
        <f t="shared" si="0"/>
        <v>0.5</v>
      </c>
      <c r="L75" s="41">
        <v>1</v>
      </c>
    </row>
    <row r="76" spans="9:12" x14ac:dyDescent="0.3">
      <c r="I76" s="36"/>
      <c r="K76" s="47">
        <f t="shared" ref="K76:K139" si="1">IF(D76&lt;=5,0.5,IF(D76&lt;7.5,0.1*D76,0.75))</f>
        <v>0.5</v>
      </c>
      <c r="L76" s="41">
        <v>1</v>
      </c>
    </row>
    <row r="77" spans="9:12" x14ac:dyDescent="0.3">
      <c r="I77" s="36"/>
      <c r="K77" s="47">
        <f t="shared" si="1"/>
        <v>0.5</v>
      </c>
      <c r="L77" s="41">
        <v>1</v>
      </c>
    </row>
    <row r="78" spans="9:12" x14ac:dyDescent="0.3">
      <c r="I78" s="36"/>
      <c r="K78" s="47">
        <f t="shared" si="1"/>
        <v>0.5</v>
      </c>
      <c r="L78" s="41">
        <v>1</v>
      </c>
    </row>
    <row r="79" spans="9:12" x14ac:dyDescent="0.3">
      <c r="I79" s="36"/>
      <c r="K79" s="47">
        <f t="shared" si="1"/>
        <v>0.5</v>
      </c>
      <c r="L79" s="41">
        <v>1</v>
      </c>
    </row>
    <row r="80" spans="9:12" x14ac:dyDescent="0.3">
      <c r="I80" s="36"/>
      <c r="K80" s="47">
        <f t="shared" si="1"/>
        <v>0.5</v>
      </c>
      <c r="L80" s="41">
        <v>1</v>
      </c>
    </row>
    <row r="81" spans="9:12" x14ac:dyDescent="0.3">
      <c r="I81" s="36"/>
      <c r="K81" s="47">
        <f t="shared" si="1"/>
        <v>0.5</v>
      </c>
      <c r="L81" s="41">
        <v>1</v>
      </c>
    </row>
    <row r="82" spans="9:12" x14ac:dyDescent="0.3">
      <c r="I82" s="36"/>
      <c r="K82" s="47">
        <f t="shared" si="1"/>
        <v>0.5</v>
      </c>
      <c r="L82" s="41">
        <v>1</v>
      </c>
    </row>
    <row r="83" spans="9:12" x14ac:dyDescent="0.3">
      <c r="I83" s="36"/>
      <c r="K83" s="47">
        <f t="shared" si="1"/>
        <v>0.5</v>
      </c>
      <c r="L83" s="41">
        <v>1</v>
      </c>
    </row>
    <row r="84" spans="9:12" x14ac:dyDescent="0.3">
      <c r="I84" s="36"/>
      <c r="K84" s="47">
        <f t="shared" si="1"/>
        <v>0.5</v>
      </c>
      <c r="L84" s="41">
        <v>1</v>
      </c>
    </row>
    <row r="85" spans="9:12" x14ac:dyDescent="0.3">
      <c r="I85" s="36"/>
      <c r="K85" s="47">
        <f t="shared" si="1"/>
        <v>0.5</v>
      </c>
      <c r="L85" s="41">
        <v>1</v>
      </c>
    </row>
    <row r="86" spans="9:12" x14ac:dyDescent="0.3">
      <c r="I86" s="36"/>
      <c r="K86" s="47">
        <f t="shared" si="1"/>
        <v>0.5</v>
      </c>
      <c r="L86" s="41">
        <v>1</v>
      </c>
    </row>
    <row r="87" spans="9:12" x14ac:dyDescent="0.3">
      <c r="I87" s="36"/>
      <c r="K87" s="47">
        <f t="shared" si="1"/>
        <v>0.5</v>
      </c>
      <c r="L87" s="41">
        <v>1</v>
      </c>
    </row>
    <row r="88" spans="9:12" x14ac:dyDescent="0.3">
      <c r="I88" s="36"/>
      <c r="K88" s="47">
        <f t="shared" si="1"/>
        <v>0.5</v>
      </c>
      <c r="L88" s="41">
        <v>1</v>
      </c>
    </row>
    <row r="89" spans="9:12" x14ac:dyDescent="0.3">
      <c r="I89" s="36"/>
      <c r="K89" s="47">
        <f t="shared" si="1"/>
        <v>0.5</v>
      </c>
      <c r="L89" s="41">
        <v>1</v>
      </c>
    </row>
    <row r="90" spans="9:12" x14ac:dyDescent="0.3">
      <c r="I90" s="36"/>
      <c r="K90" s="47">
        <f t="shared" si="1"/>
        <v>0.5</v>
      </c>
      <c r="L90" s="41">
        <v>1</v>
      </c>
    </row>
    <row r="91" spans="9:12" x14ac:dyDescent="0.3">
      <c r="I91" s="36"/>
      <c r="K91" s="47">
        <f t="shared" si="1"/>
        <v>0.5</v>
      </c>
      <c r="L91" s="41">
        <v>1</v>
      </c>
    </row>
    <row r="92" spans="9:12" x14ac:dyDescent="0.3">
      <c r="I92" s="36"/>
      <c r="K92" s="47">
        <f t="shared" si="1"/>
        <v>0.5</v>
      </c>
      <c r="L92" s="41">
        <v>1</v>
      </c>
    </row>
    <row r="93" spans="9:12" x14ac:dyDescent="0.3">
      <c r="I93" s="36"/>
      <c r="K93" s="47">
        <f t="shared" si="1"/>
        <v>0.5</v>
      </c>
      <c r="L93" s="41">
        <v>1</v>
      </c>
    </row>
    <row r="94" spans="9:12" x14ac:dyDescent="0.3">
      <c r="I94" s="36"/>
      <c r="K94" s="47">
        <f t="shared" si="1"/>
        <v>0.5</v>
      </c>
      <c r="L94" s="41">
        <v>1</v>
      </c>
    </row>
    <row r="95" spans="9:12" x14ac:dyDescent="0.3">
      <c r="I95" s="36"/>
      <c r="K95" s="47">
        <f t="shared" si="1"/>
        <v>0.5</v>
      </c>
      <c r="L95" s="41">
        <v>1</v>
      </c>
    </row>
    <row r="96" spans="9:12" x14ac:dyDescent="0.3">
      <c r="I96" s="36"/>
      <c r="K96" s="47">
        <f t="shared" si="1"/>
        <v>0.5</v>
      </c>
      <c r="L96" s="41">
        <v>1</v>
      </c>
    </row>
    <row r="97" spans="9:12" x14ac:dyDescent="0.3">
      <c r="I97" s="36"/>
      <c r="K97" s="47">
        <f t="shared" si="1"/>
        <v>0.5</v>
      </c>
      <c r="L97" s="41">
        <v>1</v>
      </c>
    </row>
    <row r="98" spans="9:12" x14ac:dyDescent="0.3">
      <c r="I98" s="36"/>
      <c r="K98" s="47">
        <f t="shared" si="1"/>
        <v>0.5</v>
      </c>
      <c r="L98" s="41">
        <v>1</v>
      </c>
    </row>
    <row r="99" spans="9:12" x14ac:dyDescent="0.3">
      <c r="I99" s="36"/>
      <c r="K99" s="47">
        <f t="shared" si="1"/>
        <v>0.5</v>
      </c>
      <c r="L99" s="41">
        <v>1</v>
      </c>
    </row>
    <row r="100" spans="9:12" x14ac:dyDescent="0.3">
      <c r="I100" s="36"/>
      <c r="K100" s="47">
        <f t="shared" si="1"/>
        <v>0.5</v>
      </c>
      <c r="L100" s="41">
        <v>1</v>
      </c>
    </row>
    <row r="101" spans="9:12" x14ac:dyDescent="0.3">
      <c r="I101" s="36"/>
      <c r="K101" s="47">
        <f t="shared" si="1"/>
        <v>0.5</v>
      </c>
      <c r="L101" s="41">
        <v>1</v>
      </c>
    </row>
    <row r="102" spans="9:12" x14ac:dyDescent="0.3">
      <c r="I102" s="36"/>
      <c r="K102" s="47">
        <f t="shared" si="1"/>
        <v>0.5</v>
      </c>
      <c r="L102" s="41">
        <v>1</v>
      </c>
    </row>
    <row r="103" spans="9:12" x14ac:dyDescent="0.3">
      <c r="I103" s="36"/>
      <c r="K103" s="47">
        <f t="shared" si="1"/>
        <v>0.5</v>
      </c>
      <c r="L103" s="41">
        <v>1</v>
      </c>
    </row>
    <row r="104" spans="9:12" x14ac:dyDescent="0.3">
      <c r="I104" s="36"/>
      <c r="K104" s="47">
        <f t="shared" si="1"/>
        <v>0.5</v>
      </c>
      <c r="L104" s="41">
        <v>1</v>
      </c>
    </row>
    <row r="105" spans="9:12" x14ac:dyDescent="0.3">
      <c r="I105" s="36"/>
      <c r="K105" s="47">
        <f t="shared" si="1"/>
        <v>0.5</v>
      </c>
      <c r="L105" s="41">
        <v>1</v>
      </c>
    </row>
    <row r="106" spans="9:12" x14ac:dyDescent="0.3">
      <c r="I106" s="36"/>
      <c r="K106" s="47">
        <f t="shared" si="1"/>
        <v>0.5</v>
      </c>
      <c r="L106" s="41">
        <v>1</v>
      </c>
    </row>
    <row r="107" spans="9:12" x14ac:dyDescent="0.3">
      <c r="I107" s="36"/>
      <c r="K107" s="47">
        <f t="shared" si="1"/>
        <v>0.5</v>
      </c>
      <c r="L107" s="41">
        <v>1</v>
      </c>
    </row>
    <row r="108" spans="9:12" x14ac:dyDescent="0.3">
      <c r="I108" s="36"/>
      <c r="K108" s="47">
        <f t="shared" si="1"/>
        <v>0.5</v>
      </c>
      <c r="L108" s="41">
        <v>1</v>
      </c>
    </row>
    <row r="109" spans="9:12" x14ac:dyDescent="0.3">
      <c r="I109" s="36"/>
      <c r="K109" s="47">
        <f t="shared" si="1"/>
        <v>0.5</v>
      </c>
      <c r="L109" s="41">
        <v>1</v>
      </c>
    </row>
    <row r="110" spans="9:12" x14ac:dyDescent="0.3">
      <c r="I110" s="36"/>
      <c r="K110" s="47">
        <f t="shared" si="1"/>
        <v>0.5</v>
      </c>
      <c r="L110" s="41">
        <v>1</v>
      </c>
    </row>
    <row r="111" spans="9:12" x14ac:dyDescent="0.3">
      <c r="I111" s="36"/>
      <c r="K111" s="47">
        <f t="shared" si="1"/>
        <v>0.5</v>
      </c>
      <c r="L111" s="41">
        <v>1</v>
      </c>
    </row>
    <row r="112" spans="9:12" x14ac:dyDescent="0.3">
      <c r="I112" s="36"/>
      <c r="K112" s="47">
        <f t="shared" si="1"/>
        <v>0.5</v>
      </c>
      <c r="L112" s="41">
        <v>1</v>
      </c>
    </row>
    <row r="113" spans="9:12" x14ac:dyDescent="0.3">
      <c r="I113" s="36"/>
      <c r="K113" s="47">
        <f t="shared" si="1"/>
        <v>0.5</v>
      </c>
      <c r="L113" s="41">
        <v>1</v>
      </c>
    </row>
    <row r="114" spans="9:12" x14ac:dyDescent="0.3">
      <c r="I114" s="36"/>
      <c r="K114" s="47">
        <f t="shared" si="1"/>
        <v>0.5</v>
      </c>
      <c r="L114" s="41">
        <v>1</v>
      </c>
    </row>
    <row r="115" spans="9:12" x14ac:dyDescent="0.3">
      <c r="I115" s="36"/>
      <c r="K115" s="47">
        <f t="shared" si="1"/>
        <v>0.5</v>
      </c>
      <c r="L115" s="41">
        <v>1</v>
      </c>
    </row>
    <row r="116" spans="9:12" x14ac:dyDescent="0.3">
      <c r="I116" s="36"/>
      <c r="K116" s="47">
        <f t="shared" si="1"/>
        <v>0.5</v>
      </c>
      <c r="L116" s="41">
        <v>1</v>
      </c>
    </row>
    <row r="117" spans="9:12" x14ac:dyDescent="0.3">
      <c r="I117" s="36"/>
      <c r="K117" s="47">
        <f t="shared" si="1"/>
        <v>0.5</v>
      </c>
      <c r="L117" s="41">
        <v>1</v>
      </c>
    </row>
    <row r="118" spans="9:12" x14ac:dyDescent="0.3">
      <c r="I118" s="36"/>
      <c r="K118" s="47">
        <f t="shared" si="1"/>
        <v>0.5</v>
      </c>
      <c r="L118" s="41">
        <v>1</v>
      </c>
    </row>
    <row r="119" spans="9:12" x14ac:dyDescent="0.3">
      <c r="I119" s="36"/>
      <c r="K119" s="47">
        <f t="shared" si="1"/>
        <v>0.5</v>
      </c>
      <c r="L119" s="41">
        <v>1</v>
      </c>
    </row>
    <row r="120" spans="9:12" x14ac:dyDescent="0.3">
      <c r="I120" s="36"/>
      <c r="K120" s="47">
        <f t="shared" si="1"/>
        <v>0.5</v>
      </c>
      <c r="L120" s="41">
        <v>1</v>
      </c>
    </row>
    <row r="121" spans="9:12" x14ac:dyDescent="0.3">
      <c r="I121" s="36"/>
      <c r="K121" s="47">
        <f t="shared" si="1"/>
        <v>0.5</v>
      </c>
      <c r="L121" s="41">
        <v>1</v>
      </c>
    </row>
    <row r="122" spans="9:12" x14ac:dyDescent="0.3">
      <c r="I122" s="36"/>
      <c r="K122" s="47">
        <f t="shared" si="1"/>
        <v>0.5</v>
      </c>
      <c r="L122" s="41">
        <v>1</v>
      </c>
    </row>
    <row r="123" spans="9:12" x14ac:dyDescent="0.3">
      <c r="I123" s="36"/>
      <c r="K123" s="47">
        <f t="shared" si="1"/>
        <v>0.5</v>
      </c>
      <c r="L123" s="41">
        <v>1</v>
      </c>
    </row>
    <row r="124" spans="9:12" x14ac:dyDescent="0.3">
      <c r="I124" s="36"/>
      <c r="K124" s="47">
        <f t="shared" si="1"/>
        <v>0.5</v>
      </c>
      <c r="L124" s="41">
        <v>1</v>
      </c>
    </row>
    <row r="125" spans="9:12" x14ac:dyDescent="0.3">
      <c r="I125" s="36"/>
      <c r="K125" s="47">
        <f t="shared" si="1"/>
        <v>0.5</v>
      </c>
      <c r="L125" s="41">
        <v>1</v>
      </c>
    </row>
    <row r="126" spans="9:12" x14ac:dyDescent="0.3">
      <c r="I126" s="36"/>
      <c r="K126" s="47">
        <f t="shared" si="1"/>
        <v>0.5</v>
      </c>
      <c r="L126" s="41">
        <v>1</v>
      </c>
    </row>
    <row r="127" spans="9:12" x14ac:dyDescent="0.3">
      <c r="I127" s="36"/>
      <c r="K127" s="47">
        <f t="shared" si="1"/>
        <v>0.5</v>
      </c>
      <c r="L127" s="41">
        <v>1</v>
      </c>
    </row>
    <row r="128" spans="9:12" x14ac:dyDescent="0.3">
      <c r="I128" s="36"/>
      <c r="K128" s="47">
        <f t="shared" si="1"/>
        <v>0.5</v>
      </c>
      <c r="L128" s="41">
        <v>1</v>
      </c>
    </row>
    <row r="129" spans="9:12" x14ac:dyDescent="0.3">
      <c r="I129" s="36"/>
      <c r="K129" s="47">
        <f t="shared" si="1"/>
        <v>0.5</v>
      </c>
      <c r="L129" s="41">
        <v>1</v>
      </c>
    </row>
    <row r="130" spans="9:12" x14ac:dyDescent="0.3">
      <c r="I130" s="36"/>
      <c r="K130" s="47">
        <f t="shared" si="1"/>
        <v>0.5</v>
      </c>
      <c r="L130" s="41">
        <v>1</v>
      </c>
    </row>
    <row r="131" spans="9:12" x14ac:dyDescent="0.3">
      <c r="I131" s="36"/>
      <c r="K131" s="47">
        <f t="shared" si="1"/>
        <v>0.5</v>
      </c>
      <c r="L131" s="41">
        <v>1</v>
      </c>
    </row>
    <row r="132" spans="9:12" x14ac:dyDescent="0.3">
      <c r="I132" s="36"/>
      <c r="K132" s="47">
        <f t="shared" si="1"/>
        <v>0.5</v>
      </c>
      <c r="L132" s="41">
        <v>1</v>
      </c>
    </row>
    <row r="133" spans="9:12" x14ac:dyDescent="0.3">
      <c r="I133" s="36"/>
      <c r="K133" s="47">
        <f t="shared" si="1"/>
        <v>0.5</v>
      </c>
      <c r="L133" s="41">
        <v>1</v>
      </c>
    </row>
    <row r="134" spans="9:12" x14ac:dyDescent="0.3">
      <c r="I134" s="36"/>
      <c r="K134" s="47">
        <f t="shared" si="1"/>
        <v>0.5</v>
      </c>
      <c r="L134" s="41">
        <v>1</v>
      </c>
    </row>
    <row r="135" spans="9:12" x14ac:dyDescent="0.3">
      <c r="I135" s="36"/>
      <c r="K135" s="47">
        <f t="shared" si="1"/>
        <v>0.5</v>
      </c>
      <c r="L135" s="41">
        <v>1</v>
      </c>
    </row>
    <row r="136" spans="9:12" x14ac:dyDescent="0.3">
      <c r="I136" s="36"/>
      <c r="K136" s="47">
        <f t="shared" si="1"/>
        <v>0.5</v>
      </c>
      <c r="L136" s="41">
        <v>1</v>
      </c>
    </row>
    <row r="137" spans="9:12" x14ac:dyDescent="0.3">
      <c r="I137" s="36"/>
      <c r="K137" s="47">
        <f t="shared" si="1"/>
        <v>0.5</v>
      </c>
      <c r="L137" s="41">
        <v>1</v>
      </c>
    </row>
    <row r="138" spans="9:12" x14ac:dyDescent="0.3">
      <c r="I138" s="36"/>
      <c r="K138" s="47">
        <f t="shared" si="1"/>
        <v>0.5</v>
      </c>
      <c r="L138" s="41">
        <v>1</v>
      </c>
    </row>
    <row r="139" spans="9:12" x14ac:dyDescent="0.3">
      <c r="I139" s="36"/>
      <c r="K139" s="47">
        <f t="shared" si="1"/>
        <v>0.5</v>
      </c>
      <c r="L139" s="41">
        <v>1</v>
      </c>
    </row>
    <row r="140" spans="9:12" x14ac:dyDescent="0.3">
      <c r="I140" s="36"/>
      <c r="K140" s="47">
        <f t="shared" ref="K140:K203" si="2">IF(D140&lt;=5,0.5,IF(D140&lt;7.5,0.1*D140,0.75))</f>
        <v>0.5</v>
      </c>
      <c r="L140" s="41">
        <v>1</v>
      </c>
    </row>
    <row r="141" spans="9:12" x14ac:dyDescent="0.3">
      <c r="I141" s="36"/>
      <c r="K141" s="47">
        <f t="shared" si="2"/>
        <v>0.5</v>
      </c>
      <c r="L141" s="41">
        <v>1</v>
      </c>
    </row>
    <row r="142" spans="9:12" x14ac:dyDescent="0.3">
      <c r="I142" s="36"/>
      <c r="K142" s="47">
        <f t="shared" si="2"/>
        <v>0.5</v>
      </c>
      <c r="L142" s="41">
        <v>1</v>
      </c>
    </row>
    <row r="143" spans="9:12" x14ac:dyDescent="0.3">
      <c r="I143" s="36"/>
      <c r="K143" s="47">
        <f t="shared" si="2"/>
        <v>0.5</v>
      </c>
      <c r="L143" s="41">
        <v>1</v>
      </c>
    </row>
    <row r="144" spans="9:12" x14ac:dyDescent="0.3">
      <c r="I144" s="36"/>
      <c r="K144" s="47">
        <f t="shared" si="2"/>
        <v>0.5</v>
      </c>
      <c r="L144" s="41">
        <v>1</v>
      </c>
    </row>
    <row r="145" spans="9:12" x14ac:dyDescent="0.3">
      <c r="I145" s="36"/>
      <c r="K145" s="47">
        <f t="shared" si="2"/>
        <v>0.5</v>
      </c>
      <c r="L145" s="41">
        <v>1</v>
      </c>
    </row>
    <row r="146" spans="9:12" x14ac:dyDescent="0.3">
      <c r="I146" s="36"/>
      <c r="K146" s="47">
        <f t="shared" si="2"/>
        <v>0.5</v>
      </c>
      <c r="L146" s="41">
        <v>1</v>
      </c>
    </row>
    <row r="147" spans="9:12" x14ac:dyDescent="0.3">
      <c r="I147" s="36"/>
      <c r="K147" s="47">
        <f t="shared" si="2"/>
        <v>0.5</v>
      </c>
      <c r="L147" s="41">
        <v>1</v>
      </c>
    </row>
    <row r="148" spans="9:12" x14ac:dyDescent="0.3">
      <c r="I148" s="36"/>
      <c r="K148" s="47">
        <f t="shared" si="2"/>
        <v>0.5</v>
      </c>
      <c r="L148" s="41">
        <v>1</v>
      </c>
    </row>
    <row r="149" spans="9:12" x14ac:dyDescent="0.3">
      <c r="I149" s="36"/>
      <c r="K149" s="47">
        <f t="shared" si="2"/>
        <v>0.5</v>
      </c>
      <c r="L149" s="41">
        <v>1</v>
      </c>
    </row>
    <row r="150" spans="9:12" x14ac:dyDescent="0.3">
      <c r="I150" s="36"/>
      <c r="K150" s="47">
        <f t="shared" si="2"/>
        <v>0.5</v>
      </c>
      <c r="L150" s="41">
        <v>1</v>
      </c>
    </row>
    <row r="151" spans="9:12" x14ac:dyDescent="0.3">
      <c r="I151" s="36"/>
      <c r="K151" s="47">
        <f t="shared" si="2"/>
        <v>0.5</v>
      </c>
      <c r="L151" s="41">
        <v>1</v>
      </c>
    </row>
    <row r="152" spans="9:12" x14ac:dyDescent="0.3">
      <c r="I152" s="36"/>
      <c r="K152" s="47">
        <f t="shared" si="2"/>
        <v>0.5</v>
      </c>
      <c r="L152" s="41">
        <v>1</v>
      </c>
    </row>
    <row r="153" spans="9:12" x14ac:dyDescent="0.3">
      <c r="I153" s="36"/>
      <c r="K153" s="47">
        <f t="shared" si="2"/>
        <v>0.5</v>
      </c>
      <c r="L153" s="41">
        <v>1</v>
      </c>
    </row>
    <row r="154" spans="9:12" x14ac:dyDescent="0.3">
      <c r="I154" s="36"/>
      <c r="K154" s="47">
        <f t="shared" si="2"/>
        <v>0.5</v>
      </c>
      <c r="L154" s="41">
        <v>1</v>
      </c>
    </row>
    <row r="155" spans="9:12" x14ac:dyDescent="0.3">
      <c r="I155" s="36"/>
      <c r="K155" s="47">
        <f t="shared" si="2"/>
        <v>0.5</v>
      </c>
      <c r="L155" s="41">
        <v>1</v>
      </c>
    </row>
    <row r="156" spans="9:12" x14ac:dyDescent="0.3">
      <c r="I156" s="36"/>
      <c r="K156" s="47">
        <f t="shared" si="2"/>
        <v>0.5</v>
      </c>
      <c r="L156" s="41">
        <v>1</v>
      </c>
    </row>
    <row r="157" spans="9:12" x14ac:dyDescent="0.3">
      <c r="I157" s="36"/>
      <c r="K157" s="47">
        <f t="shared" si="2"/>
        <v>0.5</v>
      </c>
      <c r="L157" s="41">
        <v>1</v>
      </c>
    </row>
    <row r="158" spans="9:12" x14ac:dyDescent="0.3">
      <c r="I158" s="36"/>
      <c r="K158" s="47">
        <f t="shared" si="2"/>
        <v>0.5</v>
      </c>
      <c r="L158" s="41">
        <v>1</v>
      </c>
    </row>
    <row r="159" spans="9:12" x14ac:dyDescent="0.3">
      <c r="I159" s="36"/>
      <c r="K159" s="47">
        <f t="shared" si="2"/>
        <v>0.5</v>
      </c>
      <c r="L159" s="41">
        <v>1</v>
      </c>
    </row>
    <row r="160" spans="9:12" x14ac:dyDescent="0.3">
      <c r="I160" s="36"/>
      <c r="K160" s="47">
        <f t="shared" si="2"/>
        <v>0.5</v>
      </c>
      <c r="L160" s="41">
        <v>1</v>
      </c>
    </row>
    <row r="161" spans="9:12" x14ac:dyDescent="0.3">
      <c r="I161" s="36"/>
      <c r="K161" s="47">
        <f t="shared" si="2"/>
        <v>0.5</v>
      </c>
      <c r="L161" s="41">
        <v>1</v>
      </c>
    </row>
    <row r="162" spans="9:12" x14ac:dyDescent="0.3">
      <c r="I162" s="36"/>
      <c r="K162" s="47">
        <f t="shared" si="2"/>
        <v>0.5</v>
      </c>
      <c r="L162" s="41">
        <v>1</v>
      </c>
    </row>
    <row r="163" spans="9:12" x14ac:dyDescent="0.3">
      <c r="I163" s="36"/>
      <c r="K163" s="47">
        <f t="shared" si="2"/>
        <v>0.5</v>
      </c>
      <c r="L163" s="41">
        <v>1</v>
      </c>
    </row>
    <row r="164" spans="9:12" x14ac:dyDescent="0.3">
      <c r="I164" s="36"/>
      <c r="K164" s="47">
        <f t="shared" si="2"/>
        <v>0.5</v>
      </c>
      <c r="L164" s="41">
        <v>1</v>
      </c>
    </row>
    <row r="165" spans="9:12" x14ac:dyDescent="0.3">
      <c r="I165" s="36"/>
      <c r="K165" s="47">
        <f t="shared" si="2"/>
        <v>0.5</v>
      </c>
      <c r="L165" s="41">
        <v>1</v>
      </c>
    </row>
    <row r="166" spans="9:12" x14ac:dyDescent="0.3">
      <c r="I166" s="36"/>
      <c r="K166" s="47">
        <f t="shared" si="2"/>
        <v>0.5</v>
      </c>
      <c r="L166" s="41">
        <v>1</v>
      </c>
    </row>
    <row r="167" spans="9:12" x14ac:dyDescent="0.3">
      <c r="I167" s="36"/>
      <c r="K167" s="47">
        <f t="shared" si="2"/>
        <v>0.5</v>
      </c>
      <c r="L167" s="41">
        <v>1</v>
      </c>
    </row>
    <row r="168" spans="9:12" x14ac:dyDescent="0.3">
      <c r="I168" s="36"/>
      <c r="K168" s="47">
        <f t="shared" si="2"/>
        <v>0.5</v>
      </c>
      <c r="L168" s="41">
        <v>1</v>
      </c>
    </row>
    <row r="169" spans="9:12" x14ac:dyDescent="0.3">
      <c r="I169" s="36"/>
      <c r="K169" s="47">
        <f t="shared" si="2"/>
        <v>0.5</v>
      </c>
      <c r="L169" s="41">
        <v>1</v>
      </c>
    </row>
    <row r="170" spans="9:12" x14ac:dyDescent="0.3">
      <c r="I170" s="36"/>
      <c r="K170" s="47">
        <f t="shared" si="2"/>
        <v>0.5</v>
      </c>
      <c r="L170" s="41">
        <v>1</v>
      </c>
    </row>
    <row r="171" spans="9:12" x14ac:dyDescent="0.3">
      <c r="I171" s="36"/>
      <c r="K171" s="47">
        <f t="shared" si="2"/>
        <v>0.5</v>
      </c>
      <c r="L171" s="41">
        <v>1</v>
      </c>
    </row>
    <row r="172" spans="9:12" x14ac:dyDescent="0.3">
      <c r="I172" s="36"/>
      <c r="K172" s="47">
        <f t="shared" si="2"/>
        <v>0.5</v>
      </c>
      <c r="L172" s="41">
        <v>1</v>
      </c>
    </row>
    <row r="173" spans="9:12" x14ac:dyDescent="0.3">
      <c r="I173" s="36"/>
      <c r="K173" s="47">
        <f t="shared" si="2"/>
        <v>0.5</v>
      </c>
      <c r="L173" s="41">
        <v>1</v>
      </c>
    </row>
    <row r="174" spans="9:12" x14ac:dyDescent="0.3">
      <c r="I174" s="36"/>
      <c r="K174" s="47">
        <f t="shared" si="2"/>
        <v>0.5</v>
      </c>
      <c r="L174" s="41">
        <v>1</v>
      </c>
    </row>
    <row r="175" spans="9:12" x14ac:dyDescent="0.3">
      <c r="I175" s="36"/>
      <c r="K175" s="47">
        <f t="shared" si="2"/>
        <v>0.5</v>
      </c>
      <c r="L175" s="41">
        <v>1</v>
      </c>
    </row>
    <row r="176" spans="9:12" x14ac:dyDescent="0.3">
      <c r="I176" s="36"/>
      <c r="K176" s="47">
        <f t="shared" si="2"/>
        <v>0.5</v>
      </c>
      <c r="L176" s="41">
        <v>1</v>
      </c>
    </row>
    <row r="177" spans="9:12" x14ac:dyDescent="0.3">
      <c r="I177" s="36"/>
      <c r="K177" s="47">
        <f t="shared" si="2"/>
        <v>0.5</v>
      </c>
      <c r="L177" s="41">
        <v>1</v>
      </c>
    </row>
    <row r="178" spans="9:12" x14ac:dyDescent="0.3">
      <c r="I178" s="36"/>
      <c r="K178" s="47">
        <f t="shared" si="2"/>
        <v>0.5</v>
      </c>
      <c r="L178" s="41">
        <v>1</v>
      </c>
    </row>
    <row r="179" spans="9:12" x14ac:dyDescent="0.3">
      <c r="I179" s="36"/>
      <c r="K179" s="47">
        <f t="shared" si="2"/>
        <v>0.5</v>
      </c>
      <c r="L179" s="41">
        <v>1</v>
      </c>
    </row>
    <row r="180" spans="9:12" x14ac:dyDescent="0.3">
      <c r="I180" s="36"/>
      <c r="K180" s="47">
        <f t="shared" si="2"/>
        <v>0.5</v>
      </c>
      <c r="L180" s="41">
        <v>1</v>
      </c>
    </row>
    <row r="181" spans="9:12" x14ac:dyDescent="0.3">
      <c r="I181" s="36"/>
      <c r="K181" s="47">
        <f t="shared" si="2"/>
        <v>0.5</v>
      </c>
      <c r="L181" s="41">
        <v>1</v>
      </c>
    </row>
    <row r="182" spans="9:12" x14ac:dyDescent="0.3">
      <c r="I182" s="36"/>
      <c r="K182" s="47">
        <f t="shared" si="2"/>
        <v>0.5</v>
      </c>
      <c r="L182" s="41">
        <v>1</v>
      </c>
    </row>
    <row r="183" spans="9:12" x14ac:dyDescent="0.3">
      <c r="I183" s="36"/>
      <c r="K183" s="47">
        <f t="shared" si="2"/>
        <v>0.5</v>
      </c>
      <c r="L183" s="41">
        <v>1</v>
      </c>
    </row>
    <row r="184" spans="9:12" x14ac:dyDescent="0.3">
      <c r="I184" s="36"/>
      <c r="K184" s="47">
        <f t="shared" si="2"/>
        <v>0.5</v>
      </c>
      <c r="L184" s="41">
        <v>1</v>
      </c>
    </row>
    <row r="185" spans="9:12" x14ac:dyDescent="0.3">
      <c r="I185" s="36"/>
      <c r="K185" s="47">
        <f t="shared" si="2"/>
        <v>0.5</v>
      </c>
      <c r="L185" s="41">
        <v>1</v>
      </c>
    </row>
    <row r="186" spans="9:12" x14ac:dyDescent="0.3">
      <c r="I186" s="36"/>
      <c r="K186" s="47">
        <f t="shared" si="2"/>
        <v>0.5</v>
      </c>
      <c r="L186" s="41">
        <v>1</v>
      </c>
    </row>
    <row r="187" spans="9:12" x14ac:dyDescent="0.3">
      <c r="I187" s="36"/>
      <c r="K187" s="47">
        <f t="shared" si="2"/>
        <v>0.5</v>
      </c>
      <c r="L187" s="41">
        <v>1</v>
      </c>
    </row>
    <row r="188" spans="9:12" x14ac:dyDescent="0.3">
      <c r="I188" s="36"/>
      <c r="K188" s="47">
        <f t="shared" si="2"/>
        <v>0.5</v>
      </c>
      <c r="L188" s="41">
        <v>1</v>
      </c>
    </row>
    <row r="189" spans="9:12" x14ac:dyDescent="0.3">
      <c r="I189" s="36"/>
      <c r="K189" s="47">
        <f t="shared" si="2"/>
        <v>0.5</v>
      </c>
      <c r="L189" s="41">
        <v>1</v>
      </c>
    </row>
    <row r="190" spans="9:12" x14ac:dyDescent="0.3">
      <c r="I190" s="36"/>
      <c r="K190" s="47">
        <f t="shared" si="2"/>
        <v>0.5</v>
      </c>
      <c r="L190" s="41">
        <v>1</v>
      </c>
    </row>
    <row r="191" spans="9:12" x14ac:dyDescent="0.3">
      <c r="I191" s="36"/>
      <c r="K191" s="47">
        <f t="shared" si="2"/>
        <v>0.5</v>
      </c>
      <c r="L191" s="41">
        <v>1</v>
      </c>
    </row>
    <row r="192" spans="9:12" x14ac:dyDescent="0.3">
      <c r="I192" s="36"/>
      <c r="K192" s="47">
        <f t="shared" si="2"/>
        <v>0.5</v>
      </c>
      <c r="L192" s="41">
        <v>1</v>
      </c>
    </row>
    <row r="193" spans="9:12" x14ac:dyDescent="0.3">
      <c r="I193" s="36"/>
      <c r="K193" s="47">
        <f t="shared" si="2"/>
        <v>0.5</v>
      </c>
      <c r="L193" s="41">
        <v>1</v>
      </c>
    </row>
    <row r="194" spans="9:12" x14ac:dyDescent="0.3">
      <c r="I194" s="36"/>
      <c r="K194" s="47">
        <f t="shared" si="2"/>
        <v>0.5</v>
      </c>
      <c r="L194" s="41">
        <v>1</v>
      </c>
    </row>
    <row r="195" spans="9:12" x14ac:dyDescent="0.3">
      <c r="I195" s="36"/>
      <c r="K195" s="47">
        <f t="shared" si="2"/>
        <v>0.5</v>
      </c>
      <c r="L195" s="41">
        <v>1</v>
      </c>
    </row>
    <row r="196" spans="9:12" x14ac:dyDescent="0.3">
      <c r="I196" s="36"/>
      <c r="K196" s="47">
        <f t="shared" si="2"/>
        <v>0.5</v>
      </c>
      <c r="L196" s="41">
        <v>1</v>
      </c>
    </row>
    <row r="197" spans="9:12" x14ac:dyDescent="0.3">
      <c r="I197" s="36"/>
      <c r="K197" s="47">
        <f t="shared" si="2"/>
        <v>0.5</v>
      </c>
      <c r="L197" s="41">
        <v>1</v>
      </c>
    </row>
    <row r="198" spans="9:12" x14ac:dyDescent="0.3">
      <c r="I198" s="36"/>
      <c r="K198" s="47">
        <f t="shared" si="2"/>
        <v>0.5</v>
      </c>
      <c r="L198" s="41">
        <v>1</v>
      </c>
    </row>
    <row r="199" spans="9:12" x14ac:dyDescent="0.3">
      <c r="I199" s="36"/>
      <c r="K199" s="47">
        <f t="shared" si="2"/>
        <v>0.5</v>
      </c>
      <c r="L199" s="41">
        <v>1</v>
      </c>
    </row>
    <row r="200" spans="9:12" x14ac:dyDescent="0.3">
      <c r="I200" s="36"/>
      <c r="K200" s="47">
        <f t="shared" si="2"/>
        <v>0.5</v>
      </c>
      <c r="L200" s="41">
        <v>1</v>
      </c>
    </row>
    <row r="201" spans="9:12" x14ac:dyDescent="0.3">
      <c r="I201" s="36"/>
      <c r="K201" s="47">
        <f t="shared" si="2"/>
        <v>0.5</v>
      </c>
      <c r="L201" s="41">
        <v>1</v>
      </c>
    </row>
    <row r="202" spans="9:12" x14ac:dyDescent="0.3">
      <c r="I202" s="36"/>
      <c r="K202" s="47">
        <f t="shared" si="2"/>
        <v>0.5</v>
      </c>
      <c r="L202" s="41">
        <v>1</v>
      </c>
    </row>
    <row r="203" spans="9:12" x14ac:dyDescent="0.3">
      <c r="I203" s="36"/>
      <c r="K203" s="47">
        <f t="shared" si="2"/>
        <v>0.5</v>
      </c>
      <c r="L203" s="41">
        <v>1</v>
      </c>
    </row>
    <row r="204" spans="9:12" x14ac:dyDescent="0.3">
      <c r="I204" s="36"/>
      <c r="K204" s="47">
        <f t="shared" ref="K204:K267" si="3">IF(D204&lt;=5,0.5,IF(D204&lt;7.5,0.1*D204,0.75))</f>
        <v>0.5</v>
      </c>
      <c r="L204" s="41">
        <v>1</v>
      </c>
    </row>
    <row r="205" spans="9:12" x14ac:dyDescent="0.3">
      <c r="I205" s="36"/>
      <c r="K205" s="47">
        <f t="shared" si="3"/>
        <v>0.5</v>
      </c>
      <c r="L205" s="41">
        <v>1</v>
      </c>
    </row>
    <row r="206" spans="9:12" x14ac:dyDescent="0.3">
      <c r="I206" s="36"/>
      <c r="K206" s="47">
        <f t="shared" si="3"/>
        <v>0.5</v>
      </c>
      <c r="L206" s="41">
        <v>1</v>
      </c>
    </row>
    <row r="207" spans="9:12" x14ac:dyDescent="0.3">
      <c r="I207" s="36"/>
      <c r="K207" s="47">
        <f t="shared" si="3"/>
        <v>0.5</v>
      </c>
      <c r="L207" s="41">
        <v>1</v>
      </c>
    </row>
    <row r="208" spans="9:12" x14ac:dyDescent="0.3">
      <c r="I208" s="36"/>
      <c r="K208" s="47">
        <f t="shared" si="3"/>
        <v>0.5</v>
      </c>
      <c r="L208" s="41">
        <v>1</v>
      </c>
    </row>
    <row r="209" spans="9:12" x14ac:dyDescent="0.3">
      <c r="I209" s="36"/>
      <c r="K209" s="47">
        <f t="shared" si="3"/>
        <v>0.5</v>
      </c>
      <c r="L209" s="41">
        <v>1</v>
      </c>
    </row>
    <row r="210" spans="9:12" x14ac:dyDescent="0.3">
      <c r="I210" s="36"/>
      <c r="K210" s="47">
        <f t="shared" si="3"/>
        <v>0.5</v>
      </c>
      <c r="L210" s="41">
        <v>1</v>
      </c>
    </row>
    <row r="211" spans="9:12" x14ac:dyDescent="0.3">
      <c r="I211" s="36"/>
      <c r="K211" s="47">
        <f t="shared" si="3"/>
        <v>0.5</v>
      </c>
      <c r="L211" s="41">
        <v>1</v>
      </c>
    </row>
    <row r="212" spans="9:12" x14ac:dyDescent="0.3">
      <c r="I212" s="36"/>
      <c r="K212" s="47">
        <f t="shared" si="3"/>
        <v>0.5</v>
      </c>
      <c r="L212" s="41">
        <v>1</v>
      </c>
    </row>
    <row r="213" spans="9:12" x14ac:dyDescent="0.3">
      <c r="I213" s="36"/>
      <c r="K213" s="47">
        <f t="shared" si="3"/>
        <v>0.5</v>
      </c>
      <c r="L213" s="41">
        <v>1</v>
      </c>
    </row>
    <row r="214" spans="9:12" x14ac:dyDescent="0.3">
      <c r="I214" s="36"/>
      <c r="K214" s="47">
        <f t="shared" si="3"/>
        <v>0.5</v>
      </c>
      <c r="L214" s="41">
        <v>1</v>
      </c>
    </row>
    <row r="215" spans="9:12" x14ac:dyDescent="0.3">
      <c r="I215" s="36"/>
      <c r="K215" s="47">
        <f t="shared" si="3"/>
        <v>0.5</v>
      </c>
      <c r="L215" s="41">
        <v>1</v>
      </c>
    </row>
    <row r="216" spans="9:12" x14ac:dyDescent="0.3">
      <c r="I216" s="36"/>
      <c r="K216" s="47">
        <f t="shared" si="3"/>
        <v>0.5</v>
      </c>
      <c r="L216" s="41">
        <v>1</v>
      </c>
    </row>
    <row r="217" spans="9:12" x14ac:dyDescent="0.3">
      <c r="I217" s="36"/>
      <c r="K217" s="47">
        <f t="shared" si="3"/>
        <v>0.5</v>
      </c>
      <c r="L217" s="41">
        <v>1</v>
      </c>
    </row>
    <row r="218" spans="9:12" x14ac:dyDescent="0.3">
      <c r="I218" s="36"/>
      <c r="K218" s="47">
        <f t="shared" si="3"/>
        <v>0.5</v>
      </c>
      <c r="L218" s="41">
        <v>1</v>
      </c>
    </row>
    <row r="219" spans="9:12" x14ac:dyDescent="0.3">
      <c r="I219" s="36"/>
      <c r="K219" s="47">
        <f t="shared" si="3"/>
        <v>0.5</v>
      </c>
      <c r="L219" s="41">
        <v>1</v>
      </c>
    </row>
    <row r="220" spans="9:12" x14ac:dyDescent="0.3">
      <c r="I220" s="36"/>
      <c r="K220" s="47">
        <f t="shared" si="3"/>
        <v>0.5</v>
      </c>
      <c r="L220" s="41">
        <v>1</v>
      </c>
    </row>
    <row r="221" spans="9:12" x14ac:dyDescent="0.3">
      <c r="I221" s="36"/>
      <c r="K221" s="47">
        <f t="shared" si="3"/>
        <v>0.5</v>
      </c>
      <c r="L221" s="41">
        <v>1</v>
      </c>
    </row>
    <row r="222" spans="9:12" x14ac:dyDescent="0.3">
      <c r="I222" s="36"/>
      <c r="K222" s="47">
        <f t="shared" si="3"/>
        <v>0.5</v>
      </c>
      <c r="L222" s="41">
        <v>1</v>
      </c>
    </row>
    <row r="223" spans="9:12" x14ac:dyDescent="0.3">
      <c r="I223" s="36"/>
      <c r="K223" s="47">
        <f t="shared" si="3"/>
        <v>0.5</v>
      </c>
      <c r="L223" s="41">
        <v>1</v>
      </c>
    </row>
    <row r="224" spans="9:12" x14ac:dyDescent="0.3">
      <c r="I224" s="36"/>
      <c r="K224" s="47">
        <f t="shared" si="3"/>
        <v>0.5</v>
      </c>
      <c r="L224" s="41">
        <v>1</v>
      </c>
    </row>
    <row r="225" spans="9:12" x14ac:dyDescent="0.3">
      <c r="I225" s="36"/>
      <c r="K225" s="47">
        <f t="shared" si="3"/>
        <v>0.5</v>
      </c>
      <c r="L225" s="41">
        <v>1</v>
      </c>
    </row>
    <row r="226" spans="9:12" x14ac:dyDescent="0.3">
      <c r="I226" s="36"/>
      <c r="K226" s="47">
        <f t="shared" si="3"/>
        <v>0.5</v>
      </c>
      <c r="L226" s="41">
        <v>1</v>
      </c>
    </row>
    <row r="227" spans="9:12" x14ac:dyDescent="0.3">
      <c r="I227" s="36"/>
      <c r="K227" s="47">
        <f t="shared" si="3"/>
        <v>0.5</v>
      </c>
      <c r="L227" s="41">
        <v>1</v>
      </c>
    </row>
    <row r="228" spans="9:12" x14ac:dyDescent="0.3">
      <c r="I228" s="36"/>
      <c r="K228" s="47">
        <f t="shared" si="3"/>
        <v>0.5</v>
      </c>
      <c r="L228" s="41">
        <v>1</v>
      </c>
    </row>
    <row r="229" spans="9:12" x14ac:dyDescent="0.3">
      <c r="I229" s="36"/>
      <c r="K229" s="47">
        <f t="shared" si="3"/>
        <v>0.5</v>
      </c>
      <c r="L229" s="41">
        <v>1</v>
      </c>
    </row>
    <row r="230" spans="9:12" x14ac:dyDescent="0.3">
      <c r="I230" s="36"/>
      <c r="K230" s="47">
        <f t="shared" si="3"/>
        <v>0.5</v>
      </c>
      <c r="L230" s="41">
        <v>1</v>
      </c>
    </row>
    <row r="231" spans="9:12" x14ac:dyDescent="0.3">
      <c r="I231" s="36"/>
      <c r="K231" s="47">
        <f t="shared" si="3"/>
        <v>0.5</v>
      </c>
      <c r="L231" s="41">
        <v>1</v>
      </c>
    </row>
    <row r="232" spans="9:12" x14ac:dyDescent="0.3">
      <c r="I232" s="36"/>
      <c r="K232" s="47">
        <f t="shared" si="3"/>
        <v>0.5</v>
      </c>
      <c r="L232" s="41">
        <v>1</v>
      </c>
    </row>
    <row r="233" spans="9:12" x14ac:dyDescent="0.3">
      <c r="I233" s="36"/>
      <c r="K233" s="47">
        <f t="shared" si="3"/>
        <v>0.5</v>
      </c>
      <c r="L233" s="41">
        <v>1</v>
      </c>
    </row>
    <row r="234" spans="9:12" x14ac:dyDescent="0.3">
      <c r="I234" s="36"/>
      <c r="K234" s="47">
        <f t="shared" si="3"/>
        <v>0.5</v>
      </c>
      <c r="L234" s="41">
        <v>1</v>
      </c>
    </row>
    <row r="235" spans="9:12" x14ac:dyDescent="0.3">
      <c r="I235" s="36"/>
      <c r="K235" s="47">
        <f t="shared" si="3"/>
        <v>0.5</v>
      </c>
      <c r="L235" s="41">
        <v>1</v>
      </c>
    </row>
    <row r="236" spans="9:12" x14ac:dyDescent="0.3">
      <c r="I236" s="36"/>
      <c r="K236" s="47">
        <f t="shared" si="3"/>
        <v>0.5</v>
      </c>
      <c r="L236" s="41">
        <v>1</v>
      </c>
    </row>
    <row r="237" spans="9:12" x14ac:dyDescent="0.3">
      <c r="I237" s="36"/>
      <c r="K237" s="47">
        <f t="shared" si="3"/>
        <v>0.5</v>
      </c>
      <c r="L237" s="41">
        <v>1</v>
      </c>
    </row>
    <row r="238" spans="9:12" x14ac:dyDescent="0.3">
      <c r="I238" s="36"/>
      <c r="K238" s="47">
        <f t="shared" si="3"/>
        <v>0.5</v>
      </c>
      <c r="L238" s="41">
        <v>1</v>
      </c>
    </row>
    <row r="239" spans="9:12" x14ac:dyDescent="0.3">
      <c r="I239" s="36"/>
      <c r="K239" s="47">
        <f t="shared" si="3"/>
        <v>0.5</v>
      </c>
      <c r="L239" s="41">
        <v>1</v>
      </c>
    </row>
    <row r="240" spans="9:12" x14ac:dyDescent="0.3">
      <c r="I240" s="36"/>
      <c r="K240" s="47">
        <f t="shared" si="3"/>
        <v>0.5</v>
      </c>
      <c r="L240" s="41">
        <v>1</v>
      </c>
    </row>
    <row r="241" spans="9:12" x14ac:dyDescent="0.3">
      <c r="I241" s="36"/>
      <c r="K241" s="47">
        <f t="shared" si="3"/>
        <v>0.5</v>
      </c>
      <c r="L241" s="41">
        <v>1</v>
      </c>
    </row>
    <row r="242" spans="9:12" x14ac:dyDescent="0.3">
      <c r="I242" s="36"/>
      <c r="K242" s="47">
        <f t="shared" si="3"/>
        <v>0.5</v>
      </c>
      <c r="L242" s="41">
        <v>1</v>
      </c>
    </row>
    <row r="243" spans="9:12" x14ac:dyDescent="0.3">
      <c r="I243" s="36"/>
      <c r="K243" s="47">
        <f t="shared" si="3"/>
        <v>0.5</v>
      </c>
      <c r="L243" s="41">
        <v>1</v>
      </c>
    </row>
    <row r="244" spans="9:12" x14ac:dyDescent="0.3">
      <c r="I244" s="36"/>
      <c r="K244" s="47">
        <f t="shared" si="3"/>
        <v>0.5</v>
      </c>
      <c r="L244" s="41">
        <v>1</v>
      </c>
    </row>
    <row r="245" spans="9:12" x14ac:dyDescent="0.3">
      <c r="I245" s="36"/>
      <c r="K245" s="47">
        <f t="shared" si="3"/>
        <v>0.5</v>
      </c>
      <c r="L245" s="41">
        <v>1</v>
      </c>
    </row>
    <row r="246" spans="9:12" x14ac:dyDescent="0.3">
      <c r="I246" s="36"/>
      <c r="K246" s="47">
        <f t="shared" si="3"/>
        <v>0.5</v>
      </c>
      <c r="L246" s="41">
        <v>1</v>
      </c>
    </row>
    <row r="247" spans="9:12" x14ac:dyDescent="0.3">
      <c r="I247" s="36"/>
      <c r="K247" s="47">
        <f t="shared" si="3"/>
        <v>0.5</v>
      </c>
      <c r="L247" s="41">
        <v>1</v>
      </c>
    </row>
    <row r="248" spans="9:12" x14ac:dyDescent="0.3">
      <c r="I248" s="36"/>
      <c r="K248" s="47">
        <f t="shared" si="3"/>
        <v>0.5</v>
      </c>
      <c r="L248" s="41">
        <v>1</v>
      </c>
    </row>
    <row r="249" spans="9:12" x14ac:dyDescent="0.3">
      <c r="I249" s="36"/>
      <c r="K249" s="47">
        <f t="shared" si="3"/>
        <v>0.5</v>
      </c>
      <c r="L249" s="41">
        <v>1</v>
      </c>
    </row>
    <row r="250" spans="9:12" x14ac:dyDescent="0.3">
      <c r="I250" s="36"/>
      <c r="K250" s="47">
        <f t="shared" si="3"/>
        <v>0.5</v>
      </c>
      <c r="L250" s="41">
        <v>1</v>
      </c>
    </row>
    <row r="251" spans="9:12" x14ac:dyDescent="0.3">
      <c r="I251" s="36"/>
      <c r="K251" s="47">
        <f t="shared" si="3"/>
        <v>0.5</v>
      </c>
      <c r="L251" s="41">
        <v>1</v>
      </c>
    </row>
    <row r="252" spans="9:12" x14ac:dyDescent="0.3">
      <c r="I252" s="36"/>
      <c r="K252" s="47">
        <f t="shared" si="3"/>
        <v>0.5</v>
      </c>
      <c r="L252" s="41">
        <v>1</v>
      </c>
    </row>
    <row r="253" spans="9:12" x14ac:dyDescent="0.3">
      <c r="I253" s="36"/>
      <c r="K253" s="47">
        <f t="shared" si="3"/>
        <v>0.5</v>
      </c>
      <c r="L253" s="41">
        <v>1</v>
      </c>
    </row>
    <row r="254" spans="9:12" x14ac:dyDescent="0.3">
      <c r="I254" s="36"/>
      <c r="K254" s="47">
        <f t="shared" si="3"/>
        <v>0.5</v>
      </c>
      <c r="L254" s="41">
        <v>1</v>
      </c>
    </row>
    <row r="255" spans="9:12" x14ac:dyDescent="0.3">
      <c r="I255" s="36"/>
      <c r="K255" s="47">
        <f t="shared" si="3"/>
        <v>0.5</v>
      </c>
      <c r="L255" s="41">
        <v>1</v>
      </c>
    </row>
    <row r="256" spans="9:12" x14ac:dyDescent="0.3">
      <c r="I256" s="36"/>
      <c r="K256" s="47">
        <f t="shared" si="3"/>
        <v>0.5</v>
      </c>
      <c r="L256" s="41">
        <v>1</v>
      </c>
    </row>
    <row r="257" spans="9:12" x14ac:dyDescent="0.3">
      <c r="I257" s="36"/>
      <c r="K257" s="47">
        <f t="shared" si="3"/>
        <v>0.5</v>
      </c>
      <c r="L257" s="41">
        <v>1</v>
      </c>
    </row>
    <row r="258" spans="9:12" x14ac:dyDescent="0.3">
      <c r="I258" s="36"/>
      <c r="K258" s="47">
        <f t="shared" si="3"/>
        <v>0.5</v>
      </c>
      <c r="L258" s="41">
        <v>1</v>
      </c>
    </row>
    <row r="259" spans="9:12" x14ac:dyDescent="0.3">
      <c r="I259" s="36"/>
      <c r="K259" s="47">
        <f t="shared" si="3"/>
        <v>0.5</v>
      </c>
      <c r="L259" s="41">
        <v>1</v>
      </c>
    </row>
    <row r="260" spans="9:12" x14ac:dyDescent="0.3">
      <c r="I260" s="36"/>
      <c r="K260" s="47">
        <f t="shared" si="3"/>
        <v>0.5</v>
      </c>
      <c r="L260" s="41">
        <v>1</v>
      </c>
    </row>
    <row r="261" spans="9:12" x14ac:dyDescent="0.3">
      <c r="I261" s="36"/>
      <c r="K261" s="47">
        <f t="shared" si="3"/>
        <v>0.5</v>
      </c>
      <c r="L261" s="41">
        <v>1</v>
      </c>
    </row>
    <row r="262" spans="9:12" x14ac:dyDescent="0.3">
      <c r="I262" s="36"/>
      <c r="K262" s="47">
        <f t="shared" si="3"/>
        <v>0.5</v>
      </c>
      <c r="L262" s="41">
        <v>1</v>
      </c>
    </row>
    <row r="263" spans="9:12" x14ac:dyDescent="0.3">
      <c r="I263" s="36"/>
      <c r="K263" s="47">
        <f t="shared" si="3"/>
        <v>0.5</v>
      </c>
      <c r="L263" s="41">
        <v>1</v>
      </c>
    </row>
    <row r="264" spans="9:12" x14ac:dyDescent="0.3">
      <c r="I264" s="36"/>
      <c r="K264" s="47">
        <f t="shared" si="3"/>
        <v>0.5</v>
      </c>
      <c r="L264" s="41">
        <v>1</v>
      </c>
    </row>
    <row r="265" spans="9:12" x14ac:dyDescent="0.3">
      <c r="I265" s="36"/>
      <c r="K265" s="47">
        <f t="shared" si="3"/>
        <v>0.5</v>
      </c>
      <c r="L265" s="41">
        <v>1</v>
      </c>
    </row>
    <row r="266" spans="9:12" x14ac:dyDescent="0.3">
      <c r="I266" s="36"/>
      <c r="K266" s="47">
        <f t="shared" si="3"/>
        <v>0.5</v>
      </c>
      <c r="L266" s="41">
        <v>1</v>
      </c>
    </row>
    <row r="267" spans="9:12" x14ac:dyDescent="0.3">
      <c r="I267" s="36"/>
      <c r="K267" s="47">
        <f t="shared" si="3"/>
        <v>0.5</v>
      </c>
      <c r="L267" s="41">
        <v>1</v>
      </c>
    </row>
    <row r="268" spans="9:12" x14ac:dyDescent="0.3">
      <c r="I268" s="36"/>
      <c r="K268" s="47">
        <f t="shared" ref="K268:K331" si="4">IF(D268&lt;=5,0.5,IF(D268&lt;7.5,0.1*D268,0.75))</f>
        <v>0.5</v>
      </c>
      <c r="L268" s="41">
        <v>1</v>
      </c>
    </row>
    <row r="269" spans="9:12" x14ac:dyDescent="0.3">
      <c r="I269" s="36"/>
      <c r="K269" s="47">
        <f t="shared" si="4"/>
        <v>0.5</v>
      </c>
      <c r="L269" s="41">
        <v>1</v>
      </c>
    </row>
    <row r="270" spans="9:12" x14ac:dyDescent="0.3">
      <c r="I270" s="36"/>
      <c r="K270" s="47">
        <f t="shared" si="4"/>
        <v>0.5</v>
      </c>
      <c r="L270" s="41">
        <v>1</v>
      </c>
    </row>
    <row r="271" spans="9:12" x14ac:dyDescent="0.3">
      <c r="I271" s="36"/>
      <c r="K271" s="47">
        <f t="shared" si="4"/>
        <v>0.5</v>
      </c>
      <c r="L271" s="41">
        <v>1</v>
      </c>
    </row>
    <row r="272" spans="9:12" x14ac:dyDescent="0.3">
      <c r="I272" s="36"/>
      <c r="K272" s="47">
        <f t="shared" si="4"/>
        <v>0.5</v>
      </c>
      <c r="L272" s="41">
        <v>1</v>
      </c>
    </row>
    <row r="273" spans="9:12" x14ac:dyDescent="0.3">
      <c r="I273" s="36"/>
      <c r="K273" s="47">
        <f t="shared" si="4"/>
        <v>0.5</v>
      </c>
      <c r="L273" s="41">
        <v>1</v>
      </c>
    </row>
    <row r="274" spans="9:12" x14ac:dyDescent="0.3">
      <c r="I274" s="36"/>
      <c r="K274" s="47">
        <f t="shared" si="4"/>
        <v>0.5</v>
      </c>
      <c r="L274" s="41">
        <v>1</v>
      </c>
    </row>
    <row r="275" spans="9:12" x14ac:dyDescent="0.3">
      <c r="I275" s="36"/>
      <c r="K275" s="47">
        <f t="shared" si="4"/>
        <v>0.5</v>
      </c>
      <c r="L275" s="41">
        <v>1</v>
      </c>
    </row>
    <row r="276" spans="9:12" x14ac:dyDescent="0.3">
      <c r="I276" s="36"/>
      <c r="K276" s="47">
        <f t="shared" si="4"/>
        <v>0.5</v>
      </c>
      <c r="L276" s="41">
        <v>1</v>
      </c>
    </row>
    <row r="277" spans="9:12" x14ac:dyDescent="0.3">
      <c r="I277" s="36"/>
      <c r="K277" s="47">
        <f t="shared" si="4"/>
        <v>0.5</v>
      </c>
      <c r="L277" s="41">
        <v>1</v>
      </c>
    </row>
    <row r="278" spans="9:12" x14ac:dyDescent="0.3">
      <c r="I278" s="36"/>
      <c r="K278" s="47">
        <f t="shared" si="4"/>
        <v>0.5</v>
      </c>
      <c r="L278" s="41">
        <v>1</v>
      </c>
    </row>
    <row r="279" spans="9:12" x14ac:dyDescent="0.3">
      <c r="I279" s="36"/>
      <c r="K279" s="47">
        <f t="shared" si="4"/>
        <v>0.5</v>
      </c>
      <c r="L279" s="41">
        <v>1</v>
      </c>
    </row>
    <row r="280" spans="9:12" x14ac:dyDescent="0.3">
      <c r="I280" s="36"/>
      <c r="K280" s="47">
        <f t="shared" si="4"/>
        <v>0.5</v>
      </c>
      <c r="L280" s="41">
        <v>1</v>
      </c>
    </row>
    <row r="281" spans="9:12" x14ac:dyDescent="0.3">
      <c r="I281" s="36"/>
      <c r="K281" s="47">
        <f t="shared" si="4"/>
        <v>0.5</v>
      </c>
      <c r="L281" s="41">
        <v>1</v>
      </c>
    </row>
    <row r="282" spans="9:12" x14ac:dyDescent="0.3">
      <c r="I282" s="36"/>
      <c r="K282" s="47">
        <f t="shared" si="4"/>
        <v>0.5</v>
      </c>
      <c r="L282" s="41">
        <v>1</v>
      </c>
    </row>
    <row r="283" spans="9:12" x14ac:dyDescent="0.3">
      <c r="I283" s="36"/>
      <c r="K283" s="47">
        <f t="shared" si="4"/>
        <v>0.5</v>
      </c>
      <c r="L283" s="41">
        <v>1</v>
      </c>
    </row>
    <row r="284" spans="9:12" x14ac:dyDescent="0.3">
      <c r="I284" s="36"/>
      <c r="K284" s="47">
        <f t="shared" si="4"/>
        <v>0.5</v>
      </c>
      <c r="L284" s="41">
        <v>1</v>
      </c>
    </row>
    <row r="285" spans="9:12" x14ac:dyDescent="0.3">
      <c r="I285" s="36"/>
      <c r="K285" s="47">
        <f t="shared" si="4"/>
        <v>0.5</v>
      </c>
      <c r="L285" s="41">
        <v>1</v>
      </c>
    </row>
    <row r="286" spans="9:12" x14ac:dyDescent="0.3">
      <c r="I286" s="36"/>
      <c r="K286" s="47">
        <f t="shared" si="4"/>
        <v>0.5</v>
      </c>
      <c r="L286" s="41">
        <v>1</v>
      </c>
    </row>
    <row r="287" spans="9:12" x14ac:dyDescent="0.3">
      <c r="I287" s="36"/>
      <c r="K287" s="47">
        <f t="shared" si="4"/>
        <v>0.5</v>
      </c>
      <c r="L287" s="41">
        <v>1</v>
      </c>
    </row>
    <row r="288" spans="9:12" x14ac:dyDescent="0.3">
      <c r="I288" s="36"/>
      <c r="K288" s="47">
        <f t="shared" si="4"/>
        <v>0.5</v>
      </c>
      <c r="L288" s="41">
        <v>1</v>
      </c>
    </row>
    <row r="289" spans="9:12" x14ac:dyDescent="0.3">
      <c r="I289" s="36"/>
      <c r="K289" s="47">
        <f t="shared" si="4"/>
        <v>0.5</v>
      </c>
      <c r="L289" s="41">
        <v>1</v>
      </c>
    </row>
    <row r="290" spans="9:12" x14ac:dyDescent="0.3">
      <c r="I290" s="36"/>
      <c r="K290" s="47">
        <f t="shared" si="4"/>
        <v>0.5</v>
      </c>
      <c r="L290" s="41">
        <v>1</v>
      </c>
    </row>
    <row r="291" spans="9:12" x14ac:dyDescent="0.3">
      <c r="I291" s="36"/>
      <c r="K291" s="47">
        <f t="shared" si="4"/>
        <v>0.5</v>
      </c>
      <c r="L291" s="41">
        <v>1</v>
      </c>
    </row>
    <row r="292" spans="9:12" x14ac:dyDescent="0.3">
      <c r="I292" s="36"/>
      <c r="K292" s="47">
        <f t="shared" si="4"/>
        <v>0.5</v>
      </c>
      <c r="L292" s="41">
        <v>1</v>
      </c>
    </row>
    <row r="293" spans="9:12" x14ac:dyDescent="0.3">
      <c r="I293" s="36"/>
      <c r="K293" s="47">
        <f t="shared" si="4"/>
        <v>0.5</v>
      </c>
      <c r="L293" s="41">
        <v>1</v>
      </c>
    </row>
    <row r="294" spans="9:12" x14ac:dyDescent="0.3">
      <c r="I294" s="36"/>
      <c r="K294" s="47">
        <f t="shared" si="4"/>
        <v>0.5</v>
      </c>
      <c r="L294" s="41">
        <v>1</v>
      </c>
    </row>
    <row r="295" spans="9:12" x14ac:dyDescent="0.3">
      <c r="I295" s="36"/>
      <c r="K295" s="47">
        <f t="shared" si="4"/>
        <v>0.5</v>
      </c>
      <c r="L295" s="41">
        <v>1</v>
      </c>
    </row>
    <row r="296" spans="9:12" x14ac:dyDescent="0.3">
      <c r="I296" s="36"/>
      <c r="K296" s="47">
        <f t="shared" si="4"/>
        <v>0.5</v>
      </c>
      <c r="L296" s="41">
        <v>1</v>
      </c>
    </row>
    <row r="297" spans="9:12" x14ac:dyDescent="0.3">
      <c r="I297" s="36"/>
      <c r="K297" s="47">
        <f t="shared" si="4"/>
        <v>0.5</v>
      </c>
      <c r="L297" s="41">
        <v>1</v>
      </c>
    </row>
    <row r="298" spans="9:12" x14ac:dyDescent="0.3">
      <c r="I298" s="36"/>
      <c r="K298" s="47">
        <f t="shared" si="4"/>
        <v>0.5</v>
      </c>
      <c r="L298" s="41">
        <v>1</v>
      </c>
    </row>
    <row r="299" spans="9:12" x14ac:dyDescent="0.3">
      <c r="I299" s="36"/>
      <c r="K299" s="47">
        <f t="shared" si="4"/>
        <v>0.5</v>
      </c>
      <c r="L299" s="41">
        <v>1</v>
      </c>
    </row>
    <row r="300" spans="9:12" x14ac:dyDescent="0.3">
      <c r="I300" s="36"/>
      <c r="K300" s="47">
        <f t="shared" si="4"/>
        <v>0.5</v>
      </c>
      <c r="L300" s="41">
        <v>1</v>
      </c>
    </row>
    <row r="301" spans="9:12" x14ac:dyDescent="0.3">
      <c r="I301" s="36"/>
      <c r="K301" s="47">
        <f t="shared" si="4"/>
        <v>0.5</v>
      </c>
      <c r="L301" s="41">
        <v>1</v>
      </c>
    </row>
    <row r="302" spans="9:12" x14ac:dyDescent="0.3">
      <c r="I302" s="36"/>
      <c r="K302" s="47">
        <f t="shared" si="4"/>
        <v>0.5</v>
      </c>
      <c r="L302" s="41">
        <v>1</v>
      </c>
    </row>
    <row r="303" spans="9:12" x14ac:dyDescent="0.3">
      <c r="I303" s="36"/>
      <c r="K303" s="47">
        <f t="shared" si="4"/>
        <v>0.5</v>
      </c>
      <c r="L303" s="41">
        <v>1</v>
      </c>
    </row>
    <row r="304" spans="9:12" x14ac:dyDescent="0.3">
      <c r="I304" s="36"/>
      <c r="K304" s="47">
        <f t="shared" si="4"/>
        <v>0.5</v>
      </c>
      <c r="L304" s="41">
        <v>1</v>
      </c>
    </row>
    <row r="305" spans="9:12" x14ac:dyDescent="0.3">
      <c r="I305" s="36"/>
      <c r="K305" s="47">
        <f t="shared" si="4"/>
        <v>0.5</v>
      </c>
      <c r="L305" s="41">
        <v>1</v>
      </c>
    </row>
    <row r="306" spans="9:12" x14ac:dyDescent="0.3">
      <c r="I306" s="36"/>
      <c r="K306" s="47">
        <f t="shared" si="4"/>
        <v>0.5</v>
      </c>
      <c r="L306" s="41">
        <v>1</v>
      </c>
    </row>
    <row r="307" spans="9:12" x14ac:dyDescent="0.3">
      <c r="I307" s="36"/>
      <c r="K307" s="47">
        <f t="shared" si="4"/>
        <v>0.5</v>
      </c>
      <c r="L307" s="41">
        <v>1</v>
      </c>
    </row>
    <row r="308" spans="9:12" x14ac:dyDescent="0.3">
      <c r="I308" s="36"/>
      <c r="K308" s="47">
        <f t="shared" si="4"/>
        <v>0.5</v>
      </c>
      <c r="L308" s="41">
        <v>1</v>
      </c>
    </row>
    <row r="309" spans="9:12" x14ac:dyDescent="0.3">
      <c r="I309" s="36"/>
      <c r="K309" s="47">
        <f t="shared" si="4"/>
        <v>0.5</v>
      </c>
      <c r="L309" s="41">
        <v>1</v>
      </c>
    </row>
    <row r="310" spans="9:12" x14ac:dyDescent="0.3">
      <c r="I310" s="36"/>
      <c r="K310" s="47">
        <f t="shared" si="4"/>
        <v>0.5</v>
      </c>
      <c r="L310" s="41">
        <v>1</v>
      </c>
    </row>
    <row r="311" spans="9:12" x14ac:dyDescent="0.3">
      <c r="I311" s="36"/>
      <c r="K311" s="47">
        <f t="shared" si="4"/>
        <v>0.5</v>
      </c>
      <c r="L311" s="41">
        <v>1</v>
      </c>
    </row>
    <row r="312" spans="9:12" x14ac:dyDescent="0.3">
      <c r="I312" s="36"/>
      <c r="K312" s="47">
        <f t="shared" si="4"/>
        <v>0.5</v>
      </c>
      <c r="L312" s="41">
        <v>1</v>
      </c>
    </row>
    <row r="313" spans="9:12" x14ac:dyDescent="0.3">
      <c r="I313" s="36"/>
      <c r="K313" s="47">
        <f t="shared" si="4"/>
        <v>0.5</v>
      </c>
      <c r="L313" s="41">
        <v>1</v>
      </c>
    </row>
    <row r="314" spans="9:12" x14ac:dyDescent="0.3">
      <c r="I314" s="36"/>
      <c r="K314" s="47">
        <f t="shared" si="4"/>
        <v>0.5</v>
      </c>
      <c r="L314" s="41">
        <v>1</v>
      </c>
    </row>
    <row r="315" spans="9:12" x14ac:dyDescent="0.3">
      <c r="I315" s="36"/>
      <c r="K315" s="47">
        <f t="shared" si="4"/>
        <v>0.5</v>
      </c>
      <c r="L315" s="41">
        <v>1</v>
      </c>
    </row>
    <row r="316" spans="9:12" x14ac:dyDescent="0.3">
      <c r="I316" s="36"/>
      <c r="K316" s="47">
        <f t="shared" si="4"/>
        <v>0.5</v>
      </c>
      <c r="L316" s="41">
        <v>1</v>
      </c>
    </row>
    <row r="317" spans="9:12" x14ac:dyDescent="0.3">
      <c r="I317" s="36"/>
      <c r="K317" s="47">
        <f t="shared" si="4"/>
        <v>0.5</v>
      </c>
      <c r="L317" s="41">
        <v>1</v>
      </c>
    </row>
    <row r="318" spans="9:12" x14ac:dyDescent="0.3">
      <c r="I318" s="36"/>
      <c r="K318" s="47">
        <f t="shared" si="4"/>
        <v>0.5</v>
      </c>
      <c r="L318" s="41">
        <v>1</v>
      </c>
    </row>
    <row r="319" spans="9:12" x14ac:dyDescent="0.3">
      <c r="I319" s="36"/>
      <c r="K319" s="47">
        <f t="shared" si="4"/>
        <v>0.5</v>
      </c>
      <c r="L319" s="41">
        <v>1</v>
      </c>
    </row>
    <row r="320" spans="9:12" x14ac:dyDescent="0.3">
      <c r="I320" s="36"/>
      <c r="K320" s="47">
        <f t="shared" si="4"/>
        <v>0.5</v>
      </c>
      <c r="L320" s="41">
        <v>1</v>
      </c>
    </row>
    <row r="321" spans="9:12" x14ac:dyDescent="0.3">
      <c r="I321" s="36"/>
      <c r="K321" s="47">
        <f t="shared" si="4"/>
        <v>0.5</v>
      </c>
      <c r="L321" s="41">
        <v>1</v>
      </c>
    </row>
    <row r="322" spans="9:12" x14ac:dyDescent="0.3">
      <c r="I322" s="36"/>
      <c r="K322" s="47">
        <f t="shared" si="4"/>
        <v>0.5</v>
      </c>
      <c r="L322" s="41">
        <v>1</v>
      </c>
    </row>
    <row r="323" spans="9:12" x14ac:dyDescent="0.3">
      <c r="I323" s="36"/>
      <c r="K323" s="47">
        <f t="shared" si="4"/>
        <v>0.5</v>
      </c>
      <c r="L323" s="41">
        <v>1</v>
      </c>
    </row>
    <row r="324" spans="9:12" x14ac:dyDescent="0.3">
      <c r="I324" s="36"/>
      <c r="K324" s="47">
        <f t="shared" si="4"/>
        <v>0.5</v>
      </c>
      <c r="L324" s="41">
        <v>1</v>
      </c>
    </row>
    <row r="325" spans="9:12" x14ac:dyDescent="0.3">
      <c r="I325" s="36"/>
      <c r="K325" s="47">
        <f t="shared" si="4"/>
        <v>0.5</v>
      </c>
      <c r="L325" s="41">
        <v>1</v>
      </c>
    </row>
    <row r="326" spans="9:12" x14ac:dyDescent="0.3">
      <c r="I326" s="36"/>
      <c r="K326" s="47">
        <f t="shared" si="4"/>
        <v>0.5</v>
      </c>
      <c r="L326" s="41">
        <v>1</v>
      </c>
    </row>
    <row r="327" spans="9:12" x14ac:dyDescent="0.3">
      <c r="I327" s="36"/>
      <c r="K327" s="47">
        <f t="shared" si="4"/>
        <v>0.5</v>
      </c>
      <c r="L327" s="41">
        <v>1</v>
      </c>
    </row>
    <row r="328" spans="9:12" x14ac:dyDescent="0.3">
      <c r="I328" s="36"/>
      <c r="K328" s="47">
        <f t="shared" si="4"/>
        <v>0.5</v>
      </c>
      <c r="L328" s="41">
        <v>1</v>
      </c>
    </row>
    <row r="329" spans="9:12" x14ac:dyDescent="0.3">
      <c r="I329" s="36"/>
      <c r="K329" s="47">
        <f t="shared" si="4"/>
        <v>0.5</v>
      </c>
      <c r="L329" s="41">
        <v>1</v>
      </c>
    </row>
    <row r="330" spans="9:12" x14ac:dyDescent="0.3">
      <c r="I330" s="36"/>
      <c r="K330" s="47">
        <f t="shared" si="4"/>
        <v>0.5</v>
      </c>
      <c r="L330" s="41">
        <v>1</v>
      </c>
    </row>
    <row r="331" spans="9:12" x14ac:dyDescent="0.3">
      <c r="I331" s="36"/>
      <c r="K331" s="47">
        <f t="shared" si="4"/>
        <v>0.5</v>
      </c>
      <c r="L331" s="41">
        <v>1</v>
      </c>
    </row>
    <row r="332" spans="9:12" x14ac:dyDescent="0.3">
      <c r="I332" s="36"/>
      <c r="K332" s="47">
        <f t="shared" ref="K332:K395" si="5">IF(D332&lt;=5,0.5,IF(D332&lt;7.5,0.1*D332,0.75))</f>
        <v>0.5</v>
      </c>
      <c r="L332" s="41">
        <v>1</v>
      </c>
    </row>
    <row r="333" spans="9:12" x14ac:dyDescent="0.3">
      <c r="I333" s="36"/>
      <c r="K333" s="47">
        <f t="shared" si="5"/>
        <v>0.5</v>
      </c>
      <c r="L333" s="41">
        <v>1</v>
      </c>
    </row>
    <row r="334" spans="9:12" x14ac:dyDescent="0.3">
      <c r="I334" s="36"/>
      <c r="K334" s="47">
        <f t="shared" si="5"/>
        <v>0.5</v>
      </c>
      <c r="L334" s="41">
        <v>1</v>
      </c>
    </row>
    <row r="335" spans="9:12" x14ac:dyDescent="0.3">
      <c r="I335" s="36"/>
      <c r="K335" s="47">
        <f t="shared" si="5"/>
        <v>0.5</v>
      </c>
      <c r="L335" s="41">
        <v>1</v>
      </c>
    </row>
    <row r="336" spans="9:12" x14ac:dyDescent="0.3">
      <c r="I336" s="36"/>
      <c r="K336" s="47">
        <f t="shared" si="5"/>
        <v>0.5</v>
      </c>
      <c r="L336" s="41">
        <v>1</v>
      </c>
    </row>
    <row r="337" spans="9:12" x14ac:dyDescent="0.3">
      <c r="I337" s="36"/>
      <c r="K337" s="47">
        <f t="shared" si="5"/>
        <v>0.5</v>
      </c>
      <c r="L337" s="41">
        <v>1</v>
      </c>
    </row>
    <row r="338" spans="9:12" x14ac:dyDescent="0.3">
      <c r="I338" s="36"/>
      <c r="K338" s="47">
        <f t="shared" si="5"/>
        <v>0.5</v>
      </c>
      <c r="L338" s="41">
        <v>1</v>
      </c>
    </row>
    <row r="339" spans="9:12" x14ac:dyDescent="0.3">
      <c r="I339" s="36"/>
      <c r="K339" s="47">
        <f t="shared" si="5"/>
        <v>0.5</v>
      </c>
      <c r="L339" s="41">
        <v>1</v>
      </c>
    </row>
    <row r="340" spans="9:12" x14ac:dyDescent="0.3">
      <c r="I340" s="36"/>
      <c r="K340" s="47">
        <f t="shared" si="5"/>
        <v>0.5</v>
      </c>
      <c r="L340" s="41">
        <v>1</v>
      </c>
    </row>
    <row r="341" spans="9:12" x14ac:dyDescent="0.3">
      <c r="I341" s="36"/>
      <c r="K341" s="47">
        <f t="shared" si="5"/>
        <v>0.5</v>
      </c>
      <c r="L341" s="41">
        <v>1</v>
      </c>
    </row>
    <row r="342" spans="9:12" x14ac:dyDescent="0.3">
      <c r="I342" s="36"/>
      <c r="K342" s="47">
        <f t="shared" si="5"/>
        <v>0.5</v>
      </c>
      <c r="L342" s="41">
        <v>1</v>
      </c>
    </row>
    <row r="343" spans="9:12" x14ac:dyDescent="0.3">
      <c r="I343" s="36"/>
      <c r="K343" s="47">
        <f t="shared" si="5"/>
        <v>0.5</v>
      </c>
      <c r="L343" s="41">
        <v>1</v>
      </c>
    </row>
    <row r="344" spans="9:12" x14ac:dyDescent="0.3">
      <c r="I344" s="36"/>
      <c r="K344" s="47">
        <f t="shared" si="5"/>
        <v>0.5</v>
      </c>
      <c r="L344" s="41">
        <v>1</v>
      </c>
    </row>
    <row r="345" spans="9:12" x14ac:dyDescent="0.3">
      <c r="I345" s="36"/>
      <c r="K345" s="47">
        <f t="shared" si="5"/>
        <v>0.5</v>
      </c>
      <c r="L345" s="41">
        <v>1</v>
      </c>
    </row>
    <row r="346" spans="9:12" x14ac:dyDescent="0.3">
      <c r="I346" s="36"/>
      <c r="K346" s="47">
        <f t="shared" si="5"/>
        <v>0.5</v>
      </c>
      <c r="L346" s="41">
        <v>1</v>
      </c>
    </row>
    <row r="347" spans="9:12" x14ac:dyDescent="0.3">
      <c r="I347" s="36"/>
      <c r="K347" s="47">
        <f t="shared" si="5"/>
        <v>0.5</v>
      </c>
      <c r="L347" s="41">
        <v>1</v>
      </c>
    </row>
    <row r="348" spans="9:12" x14ac:dyDescent="0.3">
      <c r="I348" s="36"/>
      <c r="K348" s="47">
        <f t="shared" si="5"/>
        <v>0.5</v>
      </c>
      <c r="L348" s="41">
        <v>1</v>
      </c>
    </row>
    <row r="349" spans="9:12" x14ac:dyDescent="0.3">
      <c r="I349" s="36"/>
      <c r="K349" s="47">
        <f t="shared" si="5"/>
        <v>0.5</v>
      </c>
      <c r="L349" s="41">
        <v>1</v>
      </c>
    </row>
    <row r="350" spans="9:12" x14ac:dyDescent="0.3">
      <c r="I350" s="36"/>
      <c r="K350" s="47">
        <f t="shared" si="5"/>
        <v>0.5</v>
      </c>
      <c r="L350" s="41">
        <v>1</v>
      </c>
    </row>
    <row r="351" spans="9:12" x14ac:dyDescent="0.3">
      <c r="I351" s="36"/>
      <c r="K351" s="47">
        <f t="shared" si="5"/>
        <v>0.5</v>
      </c>
      <c r="L351" s="41">
        <v>1</v>
      </c>
    </row>
    <row r="352" spans="9:12" x14ac:dyDescent="0.3">
      <c r="I352" s="36"/>
      <c r="K352" s="47">
        <f t="shared" si="5"/>
        <v>0.5</v>
      </c>
      <c r="L352" s="41">
        <v>1</v>
      </c>
    </row>
    <row r="353" spans="9:12" x14ac:dyDescent="0.3">
      <c r="I353" s="36"/>
      <c r="K353" s="47">
        <f t="shared" si="5"/>
        <v>0.5</v>
      </c>
      <c r="L353" s="41">
        <v>1</v>
      </c>
    </row>
    <row r="354" spans="9:12" x14ac:dyDescent="0.3">
      <c r="I354" s="36"/>
      <c r="K354" s="47">
        <f t="shared" si="5"/>
        <v>0.5</v>
      </c>
      <c r="L354" s="41">
        <v>1</v>
      </c>
    </row>
    <row r="355" spans="9:12" x14ac:dyDescent="0.3">
      <c r="I355" s="36"/>
      <c r="K355" s="47">
        <f t="shared" si="5"/>
        <v>0.5</v>
      </c>
      <c r="L355" s="41">
        <v>1</v>
      </c>
    </row>
    <row r="356" spans="9:12" x14ac:dyDescent="0.3">
      <c r="I356" s="36"/>
      <c r="K356" s="47">
        <f t="shared" si="5"/>
        <v>0.5</v>
      </c>
      <c r="L356" s="41">
        <v>1</v>
      </c>
    </row>
    <row r="357" spans="9:12" x14ac:dyDescent="0.3">
      <c r="I357" s="36"/>
      <c r="K357" s="47">
        <f t="shared" si="5"/>
        <v>0.5</v>
      </c>
      <c r="L357" s="41">
        <v>1</v>
      </c>
    </row>
    <row r="358" spans="9:12" x14ac:dyDescent="0.3">
      <c r="I358" s="36"/>
      <c r="K358" s="47">
        <f t="shared" si="5"/>
        <v>0.5</v>
      </c>
      <c r="L358" s="41">
        <v>1</v>
      </c>
    </row>
    <row r="359" spans="9:12" x14ac:dyDescent="0.3">
      <c r="I359" s="36"/>
      <c r="K359" s="47">
        <f t="shared" si="5"/>
        <v>0.5</v>
      </c>
      <c r="L359" s="41">
        <v>1</v>
      </c>
    </row>
    <row r="360" spans="9:12" x14ac:dyDescent="0.3">
      <c r="I360" s="36"/>
      <c r="K360" s="47">
        <f t="shared" si="5"/>
        <v>0.5</v>
      </c>
      <c r="L360" s="41">
        <v>1</v>
      </c>
    </row>
    <row r="361" spans="9:12" x14ac:dyDescent="0.3">
      <c r="I361" s="36"/>
      <c r="K361" s="47">
        <f t="shared" si="5"/>
        <v>0.5</v>
      </c>
      <c r="L361" s="41">
        <v>1</v>
      </c>
    </row>
    <row r="362" spans="9:12" x14ac:dyDescent="0.3">
      <c r="I362" s="36"/>
      <c r="K362" s="47">
        <f t="shared" si="5"/>
        <v>0.5</v>
      </c>
      <c r="L362" s="41">
        <v>1</v>
      </c>
    </row>
    <row r="363" spans="9:12" x14ac:dyDescent="0.3">
      <c r="I363" s="36"/>
      <c r="K363" s="47">
        <f t="shared" si="5"/>
        <v>0.5</v>
      </c>
      <c r="L363" s="41">
        <v>1</v>
      </c>
    </row>
    <row r="364" spans="9:12" x14ac:dyDescent="0.3">
      <c r="I364" s="36"/>
      <c r="K364" s="47">
        <f t="shared" si="5"/>
        <v>0.5</v>
      </c>
      <c r="L364" s="41">
        <v>1</v>
      </c>
    </row>
    <row r="365" spans="9:12" x14ac:dyDescent="0.3">
      <c r="I365" s="36"/>
      <c r="K365" s="47">
        <f t="shared" si="5"/>
        <v>0.5</v>
      </c>
      <c r="L365" s="41">
        <v>1</v>
      </c>
    </row>
    <row r="366" spans="9:12" x14ac:dyDescent="0.3">
      <c r="I366" s="36"/>
      <c r="K366" s="47">
        <f t="shared" si="5"/>
        <v>0.5</v>
      </c>
      <c r="L366" s="41">
        <v>1</v>
      </c>
    </row>
    <row r="367" spans="9:12" x14ac:dyDescent="0.3">
      <c r="I367" s="36"/>
      <c r="K367" s="47">
        <f t="shared" si="5"/>
        <v>0.5</v>
      </c>
      <c r="L367" s="41">
        <v>1</v>
      </c>
    </row>
    <row r="368" spans="9:12" x14ac:dyDescent="0.3">
      <c r="I368" s="36"/>
      <c r="K368" s="47">
        <f t="shared" si="5"/>
        <v>0.5</v>
      </c>
      <c r="L368" s="41">
        <v>1</v>
      </c>
    </row>
    <row r="369" spans="9:12" x14ac:dyDescent="0.3">
      <c r="I369" s="36"/>
      <c r="K369" s="47">
        <f t="shared" si="5"/>
        <v>0.5</v>
      </c>
      <c r="L369" s="41">
        <v>1</v>
      </c>
    </row>
    <row r="370" spans="9:12" x14ac:dyDescent="0.3">
      <c r="I370" s="36"/>
      <c r="K370" s="47">
        <f t="shared" si="5"/>
        <v>0.5</v>
      </c>
      <c r="L370" s="41">
        <v>1</v>
      </c>
    </row>
    <row r="371" spans="9:12" x14ac:dyDescent="0.3">
      <c r="I371" s="36"/>
      <c r="K371" s="47">
        <f t="shared" si="5"/>
        <v>0.5</v>
      </c>
      <c r="L371" s="41">
        <v>1</v>
      </c>
    </row>
    <row r="372" spans="9:12" x14ac:dyDescent="0.3">
      <c r="I372" s="36"/>
      <c r="K372" s="47">
        <f t="shared" si="5"/>
        <v>0.5</v>
      </c>
      <c r="L372" s="41">
        <v>1</v>
      </c>
    </row>
    <row r="373" spans="9:12" x14ac:dyDescent="0.3">
      <c r="I373" s="36"/>
      <c r="K373" s="47">
        <f t="shared" si="5"/>
        <v>0.5</v>
      </c>
      <c r="L373" s="41">
        <v>1</v>
      </c>
    </row>
    <row r="374" spans="9:12" x14ac:dyDescent="0.3">
      <c r="I374" s="36"/>
      <c r="K374" s="47">
        <f t="shared" si="5"/>
        <v>0.5</v>
      </c>
      <c r="L374" s="41">
        <v>1</v>
      </c>
    </row>
    <row r="375" spans="9:12" x14ac:dyDescent="0.3">
      <c r="I375" s="36"/>
      <c r="K375" s="47">
        <f t="shared" si="5"/>
        <v>0.5</v>
      </c>
      <c r="L375" s="41">
        <v>1</v>
      </c>
    </row>
    <row r="376" spans="9:12" x14ac:dyDescent="0.3">
      <c r="I376" s="36"/>
      <c r="K376" s="47">
        <f t="shared" si="5"/>
        <v>0.5</v>
      </c>
      <c r="L376" s="41">
        <v>1</v>
      </c>
    </row>
    <row r="377" spans="9:12" x14ac:dyDescent="0.3">
      <c r="I377" s="36"/>
      <c r="K377" s="47">
        <f t="shared" si="5"/>
        <v>0.5</v>
      </c>
      <c r="L377" s="41">
        <v>1</v>
      </c>
    </row>
    <row r="378" spans="9:12" x14ac:dyDescent="0.3">
      <c r="I378" s="36"/>
      <c r="K378" s="47">
        <f t="shared" si="5"/>
        <v>0.5</v>
      </c>
      <c r="L378" s="41">
        <v>1</v>
      </c>
    </row>
    <row r="379" spans="9:12" x14ac:dyDescent="0.3">
      <c r="I379" s="36"/>
      <c r="K379" s="47">
        <f t="shared" si="5"/>
        <v>0.5</v>
      </c>
      <c r="L379" s="41">
        <v>1</v>
      </c>
    </row>
    <row r="380" spans="9:12" x14ac:dyDescent="0.3">
      <c r="I380" s="36"/>
      <c r="K380" s="47">
        <f t="shared" si="5"/>
        <v>0.5</v>
      </c>
      <c r="L380" s="41">
        <v>1</v>
      </c>
    </row>
    <row r="381" spans="9:12" x14ac:dyDescent="0.3">
      <c r="I381" s="36"/>
      <c r="K381" s="47">
        <f t="shared" si="5"/>
        <v>0.5</v>
      </c>
      <c r="L381" s="41">
        <v>1</v>
      </c>
    </row>
    <row r="382" spans="9:12" x14ac:dyDescent="0.3">
      <c r="I382" s="36"/>
      <c r="K382" s="47">
        <f t="shared" si="5"/>
        <v>0.5</v>
      </c>
      <c r="L382" s="41">
        <v>1</v>
      </c>
    </row>
    <row r="383" spans="9:12" x14ac:dyDescent="0.3">
      <c r="I383" s="36"/>
      <c r="K383" s="47">
        <f t="shared" si="5"/>
        <v>0.5</v>
      </c>
      <c r="L383" s="41">
        <v>1</v>
      </c>
    </row>
    <row r="384" spans="9:12" x14ac:dyDescent="0.3">
      <c r="I384" s="36"/>
      <c r="K384" s="47">
        <f t="shared" si="5"/>
        <v>0.5</v>
      </c>
      <c r="L384" s="41">
        <v>1</v>
      </c>
    </row>
    <row r="385" spans="9:12" x14ac:dyDescent="0.3">
      <c r="I385" s="36"/>
      <c r="K385" s="47">
        <f t="shared" si="5"/>
        <v>0.5</v>
      </c>
      <c r="L385" s="41">
        <v>1</v>
      </c>
    </row>
    <row r="386" spans="9:12" x14ac:dyDescent="0.3">
      <c r="I386" s="36"/>
      <c r="K386" s="47">
        <f t="shared" si="5"/>
        <v>0.5</v>
      </c>
      <c r="L386" s="41">
        <v>1</v>
      </c>
    </row>
    <row r="387" spans="9:12" x14ac:dyDescent="0.3">
      <c r="I387" s="36"/>
      <c r="K387" s="47">
        <f t="shared" si="5"/>
        <v>0.5</v>
      </c>
      <c r="L387" s="41">
        <v>1</v>
      </c>
    </row>
    <row r="388" spans="9:12" x14ac:dyDescent="0.3">
      <c r="I388" s="36"/>
      <c r="K388" s="47">
        <f t="shared" si="5"/>
        <v>0.5</v>
      </c>
      <c r="L388" s="41">
        <v>1</v>
      </c>
    </row>
    <row r="389" spans="9:12" x14ac:dyDescent="0.3">
      <c r="I389" s="36"/>
      <c r="K389" s="47">
        <f t="shared" si="5"/>
        <v>0.5</v>
      </c>
      <c r="L389" s="41">
        <v>1</v>
      </c>
    </row>
    <row r="390" spans="9:12" x14ac:dyDescent="0.3">
      <c r="I390" s="36"/>
      <c r="K390" s="47">
        <f t="shared" si="5"/>
        <v>0.5</v>
      </c>
      <c r="L390" s="41">
        <v>1</v>
      </c>
    </row>
    <row r="391" spans="9:12" x14ac:dyDescent="0.3">
      <c r="I391" s="36"/>
      <c r="K391" s="47">
        <f t="shared" si="5"/>
        <v>0.5</v>
      </c>
      <c r="L391" s="41">
        <v>1</v>
      </c>
    </row>
    <row r="392" spans="9:12" x14ac:dyDescent="0.3">
      <c r="I392" s="36"/>
      <c r="K392" s="47">
        <f t="shared" si="5"/>
        <v>0.5</v>
      </c>
      <c r="L392" s="41">
        <v>1</v>
      </c>
    </row>
    <row r="393" spans="9:12" x14ac:dyDescent="0.3">
      <c r="I393" s="36"/>
      <c r="K393" s="47">
        <f t="shared" si="5"/>
        <v>0.5</v>
      </c>
      <c r="L393" s="41">
        <v>1</v>
      </c>
    </row>
    <row r="394" spans="9:12" x14ac:dyDescent="0.3">
      <c r="I394" s="36"/>
      <c r="K394" s="47">
        <f t="shared" si="5"/>
        <v>0.5</v>
      </c>
      <c r="L394" s="41">
        <v>1</v>
      </c>
    </row>
    <row r="395" spans="9:12" x14ac:dyDescent="0.3">
      <c r="I395" s="36"/>
      <c r="K395" s="47">
        <f t="shared" si="5"/>
        <v>0.5</v>
      </c>
      <c r="L395" s="41">
        <v>1</v>
      </c>
    </row>
    <row r="396" spans="9:12" x14ac:dyDescent="0.3">
      <c r="I396" s="36"/>
      <c r="K396" s="47">
        <f t="shared" ref="K396:K459" si="6">IF(D396&lt;=5,0.5,IF(D396&lt;7.5,0.1*D396,0.75))</f>
        <v>0.5</v>
      </c>
      <c r="L396" s="41">
        <v>1</v>
      </c>
    </row>
    <row r="397" spans="9:12" x14ac:dyDescent="0.3">
      <c r="I397" s="36"/>
      <c r="K397" s="47">
        <f t="shared" si="6"/>
        <v>0.5</v>
      </c>
      <c r="L397" s="41">
        <v>1</v>
      </c>
    </row>
    <row r="398" spans="9:12" x14ac:dyDescent="0.3">
      <c r="I398" s="36"/>
      <c r="K398" s="47">
        <f t="shared" si="6"/>
        <v>0.5</v>
      </c>
      <c r="L398" s="41">
        <v>1</v>
      </c>
    </row>
    <row r="399" spans="9:12" x14ac:dyDescent="0.3">
      <c r="I399" s="36"/>
      <c r="K399" s="47">
        <f t="shared" si="6"/>
        <v>0.5</v>
      </c>
      <c r="L399" s="41">
        <v>1</v>
      </c>
    </row>
    <row r="400" spans="9:12" x14ac:dyDescent="0.3">
      <c r="I400" s="36"/>
      <c r="K400" s="47">
        <f t="shared" si="6"/>
        <v>0.5</v>
      </c>
      <c r="L400" s="41">
        <v>1</v>
      </c>
    </row>
    <row r="401" spans="9:12" x14ac:dyDescent="0.3">
      <c r="I401" s="36"/>
      <c r="K401" s="47">
        <f t="shared" si="6"/>
        <v>0.5</v>
      </c>
      <c r="L401" s="41">
        <v>1</v>
      </c>
    </row>
    <row r="402" spans="9:12" x14ac:dyDescent="0.3">
      <c r="I402" s="36"/>
      <c r="K402" s="47">
        <f t="shared" si="6"/>
        <v>0.5</v>
      </c>
      <c r="L402" s="41">
        <v>1</v>
      </c>
    </row>
    <row r="403" spans="9:12" x14ac:dyDescent="0.3">
      <c r="I403" s="36"/>
      <c r="K403" s="47">
        <f t="shared" si="6"/>
        <v>0.5</v>
      </c>
      <c r="L403" s="41">
        <v>1</v>
      </c>
    </row>
    <row r="404" spans="9:12" x14ac:dyDescent="0.3">
      <c r="I404" s="36"/>
      <c r="K404" s="47">
        <f t="shared" si="6"/>
        <v>0.5</v>
      </c>
      <c r="L404" s="41">
        <v>1</v>
      </c>
    </row>
    <row r="405" spans="9:12" x14ac:dyDescent="0.3">
      <c r="I405" s="36"/>
      <c r="K405" s="47">
        <f t="shared" si="6"/>
        <v>0.5</v>
      </c>
      <c r="L405" s="41">
        <v>1</v>
      </c>
    </row>
    <row r="406" spans="9:12" x14ac:dyDescent="0.3">
      <c r="I406" s="36"/>
      <c r="K406" s="47">
        <f t="shared" si="6"/>
        <v>0.5</v>
      </c>
      <c r="L406" s="41">
        <v>1</v>
      </c>
    </row>
    <row r="407" spans="9:12" x14ac:dyDescent="0.3">
      <c r="I407" s="36"/>
      <c r="K407" s="47">
        <f t="shared" si="6"/>
        <v>0.5</v>
      </c>
      <c r="L407" s="41">
        <v>1</v>
      </c>
    </row>
    <row r="408" spans="9:12" x14ac:dyDescent="0.3">
      <c r="I408" s="36"/>
      <c r="K408" s="47">
        <f t="shared" si="6"/>
        <v>0.5</v>
      </c>
      <c r="L408" s="41">
        <v>1</v>
      </c>
    </row>
    <row r="409" spans="9:12" x14ac:dyDescent="0.3">
      <c r="I409" s="36"/>
      <c r="K409" s="47">
        <f t="shared" si="6"/>
        <v>0.5</v>
      </c>
      <c r="L409" s="41">
        <v>1</v>
      </c>
    </row>
    <row r="410" spans="9:12" x14ac:dyDescent="0.3">
      <c r="I410" s="36"/>
      <c r="K410" s="47">
        <f t="shared" si="6"/>
        <v>0.5</v>
      </c>
      <c r="L410" s="41">
        <v>1</v>
      </c>
    </row>
    <row r="411" spans="9:12" x14ac:dyDescent="0.3">
      <c r="I411" s="36"/>
      <c r="K411" s="47">
        <f t="shared" si="6"/>
        <v>0.5</v>
      </c>
      <c r="L411" s="41">
        <v>1</v>
      </c>
    </row>
    <row r="412" spans="9:12" x14ac:dyDescent="0.3">
      <c r="I412" s="36"/>
      <c r="K412" s="47">
        <f t="shared" si="6"/>
        <v>0.5</v>
      </c>
      <c r="L412" s="41">
        <v>1</v>
      </c>
    </row>
    <row r="413" spans="9:12" x14ac:dyDescent="0.3">
      <c r="I413" s="36"/>
      <c r="K413" s="47">
        <f t="shared" si="6"/>
        <v>0.5</v>
      </c>
      <c r="L413" s="41">
        <v>1</v>
      </c>
    </row>
    <row r="414" spans="9:12" x14ac:dyDescent="0.3">
      <c r="I414" s="36"/>
      <c r="K414" s="47">
        <f t="shared" si="6"/>
        <v>0.5</v>
      </c>
      <c r="L414" s="41">
        <v>1</v>
      </c>
    </row>
    <row r="415" spans="9:12" x14ac:dyDescent="0.3">
      <c r="I415" s="36"/>
      <c r="K415" s="47">
        <f t="shared" si="6"/>
        <v>0.5</v>
      </c>
      <c r="L415" s="41">
        <v>1</v>
      </c>
    </row>
    <row r="416" spans="9:12" x14ac:dyDescent="0.3">
      <c r="I416" s="36"/>
      <c r="K416" s="47">
        <f t="shared" si="6"/>
        <v>0.5</v>
      </c>
      <c r="L416" s="41">
        <v>1</v>
      </c>
    </row>
    <row r="417" spans="9:12" x14ac:dyDescent="0.3">
      <c r="I417" s="36"/>
      <c r="K417" s="47">
        <f t="shared" si="6"/>
        <v>0.5</v>
      </c>
      <c r="L417" s="41">
        <v>1</v>
      </c>
    </row>
    <row r="418" spans="9:12" x14ac:dyDescent="0.3">
      <c r="I418" s="36"/>
      <c r="K418" s="47">
        <f t="shared" si="6"/>
        <v>0.5</v>
      </c>
      <c r="L418" s="41">
        <v>1</v>
      </c>
    </row>
    <row r="419" spans="9:12" x14ac:dyDescent="0.3">
      <c r="I419" s="36"/>
      <c r="K419" s="47">
        <f t="shared" si="6"/>
        <v>0.5</v>
      </c>
      <c r="L419" s="41">
        <v>1</v>
      </c>
    </row>
    <row r="420" spans="9:12" x14ac:dyDescent="0.3">
      <c r="I420" s="36"/>
      <c r="K420" s="47">
        <f t="shared" si="6"/>
        <v>0.5</v>
      </c>
      <c r="L420" s="41">
        <v>1</v>
      </c>
    </row>
    <row r="421" spans="9:12" x14ac:dyDescent="0.3">
      <c r="I421" s="36"/>
      <c r="K421" s="47">
        <f t="shared" si="6"/>
        <v>0.5</v>
      </c>
      <c r="L421" s="41">
        <v>1</v>
      </c>
    </row>
    <row r="422" spans="9:12" x14ac:dyDescent="0.3">
      <c r="I422" s="36"/>
      <c r="K422" s="47">
        <f t="shared" si="6"/>
        <v>0.5</v>
      </c>
      <c r="L422" s="41">
        <v>1</v>
      </c>
    </row>
    <row r="423" spans="9:12" x14ac:dyDescent="0.3">
      <c r="I423" s="36"/>
      <c r="K423" s="47">
        <f t="shared" si="6"/>
        <v>0.5</v>
      </c>
      <c r="L423" s="41">
        <v>1</v>
      </c>
    </row>
    <row r="424" spans="9:12" x14ac:dyDescent="0.3">
      <c r="I424" s="36"/>
      <c r="K424" s="47">
        <f t="shared" si="6"/>
        <v>0.5</v>
      </c>
      <c r="L424" s="41">
        <v>1</v>
      </c>
    </row>
    <row r="425" spans="9:12" x14ac:dyDescent="0.3">
      <c r="I425" s="36"/>
      <c r="K425" s="47">
        <f t="shared" si="6"/>
        <v>0.5</v>
      </c>
      <c r="L425" s="41">
        <v>1</v>
      </c>
    </row>
    <row r="426" spans="9:12" x14ac:dyDescent="0.3">
      <c r="I426" s="36"/>
      <c r="K426" s="47">
        <f t="shared" si="6"/>
        <v>0.5</v>
      </c>
      <c r="L426" s="41">
        <v>1</v>
      </c>
    </row>
    <row r="427" spans="9:12" x14ac:dyDescent="0.3">
      <c r="I427" s="36"/>
      <c r="K427" s="47">
        <f t="shared" si="6"/>
        <v>0.5</v>
      </c>
      <c r="L427" s="41">
        <v>1</v>
      </c>
    </row>
    <row r="428" spans="9:12" x14ac:dyDescent="0.3">
      <c r="I428" s="36"/>
      <c r="K428" s="47">
        <f t="shared" si="6"/>
        <v>0.5</v>
      </c>
      <c r="L428" s="41">
        <v>1</v>
      </c>
    </row>
    <row r="429" spans="9:12" x14ac:dyDescent="0.3">
      <c r="I429" s="36"/>
      <c r="K429" s="47">
        <f t="shared" si="6"/>
        <v>0.5</v>
      </c>
      <c r="L429" s="41">
        <v>1</v>
      </c>
    </row>
    <row r="430" spans="9:12" x14ac:dyDescent="0.3">
      <c r="I430" s="36"/>
      <c r="K430" s="47">
        <f t="shared" si="6"/>
        <v>0.5</v>
      </c>
      <c r="L430" s="41">
        <v>1</v>
      </c>
    </row>
    <row r="431" spans="9:12" x14ac:dyDescent="0.3">
      <c r="I431" s="36"/>
      <c r="K431" s="47">
        <f t="shared" si="6"/>
        <v>0.5</v>
      </c>
      <c r="L431" s="41">
        <v>1</v>
      </c>
    </row>
    <row r="432" spans="9:12" x14ac:dyDescent="0.3">
      <c r="I432" s="36"/>
      <c r="K432" s="47">
        <f t="shared" si="6"/>
        <v>0.5</v>
      </c>
      <c r="L432" s="41">
        <v>1</v>
      </c>
    </row>
    <row r="433" spans="9:12" x14ac:dyDescent="0.3">
      <c r="I433" s="36"/>
      <c r="K433" s="47">
        <f t="shared" si="6"/>
        <v>0.5</v>
      </c>
      <c r="L433" s="41">
        <v>1</v>
      </c>
    </row>
    <row r="434" spans="9:12" x14ac:dyDescent="0.3">
      <c r="I434" s="36"/>
      <c r="K434" s="47">
        <f t="shared" si="6"/>
        <v>0.5</v>
      </c>
      <c r="L434" s="41">
        <v>1</v>
      </c>
    </row>
    <row r="435" spans="9:12" x14ac:dyDescent="0.3">
      <c r="I435" s="36"/>
      <c r="K435" s="47">
        <f t="shared" si="6"/>
        <v>0.5</v>
      </c>
      <c r="L435" s="41">
        <v>1</v>
      </c>
    </row>
    <row r="436" spans="9:12" x14ac:dyDescent="0.3">
      <c r="I436" s="36"/>
      <c r="K436" s="47">
        <f t="shared" si="6"/>
        <v>0.5</v>
      </c>
      <c r="L436" s="41">
        <v>1</v>
      </c>
    </row>
    <row r="437" spans="9:12" x14ac:dyDescent="0.3">
      <c r="I437" s="36"/>
      <c r="K437" s="47">
        <f t="shared" si="6"/>
        <v>0.5</v>
      </c>
      <c r="L437" s="41">
        <v>1</v>
      </c>
    </row>
    <row r="438" spans="9:12" x14ac:dyDescent="0.3">
      <c r="I438" s="36"/>
      <c r="K438" s="47">
        <f t="shared" si="6"/>
        <v>0.5</v>
      </c>
      <c r="L438" s="41">
        <v>1</v>
      </c>
    </row>
    <row r="439" spans="9:12" x14ac:dyDescent="0.3">
      <c r="I439" s="36"/>
      <c r="K439" s="47">
        <f t="shared" si="6"/>
        <v>0.5</v>
      </c>
      <c r="L439" s="41">
        <v>1</v>
      </c>
    </row>
    <row r="440" spans="9:12" x14ac:dyDescent="0.3">
      <c r="I440" s="36"/>
      <c r="K440" s="47">
        <f t="shared" si="6"/>
        <v>0.5</v>
      </c>
      <c r="L440" s="41">
        <v>1</v>
      </c>
    </row>
    <row r="441" spans="9:12" x14ac:dyDescent="0.3">
      <c r="I441" s="36"/>
      <c r="K441" s="47">
        <f t="shared" si="6"/>
        <v>0.5</v>
      </c>
      <c r="L441" s="41">
        <v>1</v>
      </c>
    </row>
    <row r="442" spans="9:12" x14ac:dyDescent="0.3">
      <c r="I442" s="36"/>
      <c r="K442" s="47">
        <f t="shared" si="6"/>
        <v>0.5</v>
      </c>
      <c r="L442" s="41">
        <v>1</v>
      </c>
    </row>
    <row r="443" spans="9:12" x14ac:dyDescent="0.3">
      <c r="I443" s="36"/>
      <c r="K443" s="47">
        <f t="shared" si="6"/>
        <v>0.5</v>
      </c>
      <c r="L443" s="41">
        <v>1</v>
      </c>
    </row>
    <row r="444" spans="9:12" x14ac:dyDescent="0.3">
      <c r="I444" s="36"/>
      <c r="K444" s="47">
        <f t="shared" si="6"/>
        <v>0.5</v>
      </c>
      <c r="L444" s="41">
        <v>1</v>
      </c>
    </row>
    <row r="445" spans="9:12" x14ac:dyDescent="0.3">
      <c r="I445" s="36"/>
      <c r="K445" s="47">
        <f t="shared" si="6"/>
        <v>0.5</v>
      </c>
      <c r="L445" s="41">
        <v>1</v>
      </c>
    </row>
    <row r="446" spans="9:12" x14ac:dyDescent="0.3">
      <c r="I446" s="36"/>
      <c r="K446" s="47">
        <f t="shared" si="6"/>
        <v>0.5</v>
      </c>
      <c r="L446" s="41">
        <v>1</v>
      </c>
    </row>
    <row r="447" spans="9:12" x14ac:dyDescent="0.3">
      <c r="I447" s="36"/>
      <c r="K447" s="47">
        <f t="shared" si="6"/>
        <v>0.5</v>
      </c>
      <c r="L447" s="41">
        <v>1</v>
      </c>
    </row>
    <row r="448" spans="9:12" x14ac:dyDescent="0.3">
      <c r="I448" s="36"/>
      <c r="K448" s="47">
        <f t="shared" si="6"/>
        <v>0.5</v>
      </c>
      <c r="L448" s="41">
        <v>1</v>
      </c>
    </row>
    <row r="449" spans="9:12" x14ac:dyDescent="0.3">
      <c r="I449" s="36"/>
      <c r="K449" s="47">
        <f t="shared" si="6"/>
        <v>0.5</v>
      </c>
      <c r="L449" s="41">
        <v>1</v>
      </c>
    </row>
    <row r="450" spans="9:12" x14ac:dyDescent="0.3">
      <c r="I450" s="36"/>
      <c r="K450" s="47">
        <f t="shared" si="6"/>
        <v>0.5</v>
      </c>
      <c r="L450" s="41">
        <v>1</v>
      </c>
    </row>
    <row r="451" spans="9:12" x14ac:dyDescent="0.3">
      <c r="I451" s="36"/>
      <c r="K451" s="47">
        <f t="shared" si="6"/>
        <v>0.5</v>
      </c>
      <c r="L451" s="41">
        <v>1</v>
      </c>
    </row>
    <row r="452" spans="9:12" x14ac:dyDescent="0.3">
      <c r="I452" s="36"/>
      <c r="K452" s="47">
        <f t="shared" si="6"/>
        <v>0.5</v>
      </c>
      <c r="L452" s="41">
        <v>1</v>
      </c>
    </row>
    <row r="453" spans="9:12" x14ac:dyDescent="0.3">
      <c r="I453" s="36"/>
      <c r="K453" s="47">
        <f t="shared" si="6"/>
        <v>0.5</v>
      </c>
      <c r="L453" s="41">
        <v>1</v>
      </c>
    </row>
    <row r="454" spans="9:12" x14ac:dyDescent="0.3">
      <c r="I454" s="36"/>
      <c r="K454" s="47">
        <f t="shared" si="6"/>
        <v>0.5</v>
      </c>
      <c r="L454" s="41">
        <v>1</v>
      </c>
    </row>
    <row r="455" spans="9:12" x14ac:dyDescent="0.3">
      <c r="I455" s="36"/>
      <c r="K455" s="47">
        <f t="shared" si="6"/>
        <v>0.5</v>
      </c>
      <c r="L455" s="41">
        <v>1</v>
      </c>
    </row>
    <row r="456" spans="9:12" x14ac:dyDescent="0.3">
      <c r="I456" s="36"/>
      <c r="K456" s="47">
        <f t="shared" si="6"/>
        <v>0.5</v>
      </c>
      <c r="L456" s="41">
        <v>1</v>
      </c>
    </row>
    <row r="457" spans="9:12" x14ac:dyDescent="0.3">
      <c r="I457" s="36"/>
      <c r="K457" s="47">
        <f t="shared" si="6"/>
        <v>0.5</v>
      </c>
      <c r="L457" s="41">
        <v>1</v>
      </c>
    </row>
    <row r="458" spans="9:12" x14ac:dyDescent="0.3">
      <c r="I458" s="36"/>
      <c r="K458" s="47">
        <f t="shared" si="6"/>
        <v>0.5</v>
      </c>
      <c r="L458" s="41">
        <v>1</v>
      </c>
    </row>
    <row r="459" spans="9:12" x14ac:dyDescent="0.3">
      <c r="I459" s="36"/>
      <c r="K459" s="47">
        <f t="shared" si="6"/>
        <v>0.5</v>
      </c>
      <c r="L459" s="41">
        <v>1</v>
      </c>
    </row>
    <row r="460" spans="9:12" x14ac:dyDescent="0.3">
      <c r="I460" s="36"/>
      <c r="K460" s="47">
        <f t="shared" ref="K460:K523" si="7">IF(D460&lt;=5,0.5,IF(D460&lt;7.5,0.1*D460,0.75))</f>
        <v>0.5</v>
      </c>
      <c r="L460" s="41">
        <v>1</v>
      </c>
    </row>
    <row r="461" spans="9:12" x14ac:dyDescent="0.3">
      <c r="I461" s="36"/>
      <c r="K461" s="47">
        <f t="shared" si="7"/>
        <v>0.5</v>
      </c>
      <c r="L461" s="41">
        <v>1</v>
      </c>
    </row>
    <row r="462" spans="9:12" x14ac:dyDescent="0.3">
      <c r="I462" s="36"/>
      <c r="K462" s="47">
        <f t="shared" si="7"/>
        <v>0.5</v>
      </c>
      <c r="L462" s="41">
        <v>1</v>
      </c>
    </row>
    <row r="463" spans="9:12" x14ac:dyDescent="0.3">
      <c r="I463" s="36"/>
      <c r="K463" s="47">
        <f t="shared" si="7"/>
        <v>0.5</v>
      </c>
      <c r="L463" s="41">
        <v>1</v>
      </c>
    </row>
    <row r="464" spans="9:12" x14ac:dyDescent="0.3">
      <c r="I464" s="36"/>
      <c r="K464" s="47">
        <f t="shared" si="7"/>
        <v>0.5</v>
      </c>
      <c r="L464" s="41">
        <v>1</v>
      </c>
    </row>
    <row r="465" spans="9:12" x14ac:dyDescent="0.3">
      <c r="I465" s="36"/>
      <c r="K465" s="47">
        <f t="shared" si="7"/>
        <v>0.5</v>
      </c>
      <c r="L465" s="41">
        <v>1</v>
      </c>
    </row>
    <row r="466" spans="9:12" x14ac:dyDescent="0.3">
      <c r="I466" s="36"/>
      <c r="K466" s="47">
        <f t="shared" si="7"/>
        <v>0.5</v>
      </c>
      <c r="L466" s="41">
        <v>1</v>
      </c>
    </row>
    <row r="467" spans="9:12" x14ac:dyDescent="0.3">
      <c r="I467" s="36"/>
      <c r="K467" s="47">
        <f t="shared" si="7"/>
        <v>0.5</v>
      </c>
      <c r="L467" s="41">
        <v>1</v>
      </c>
    </row>
    <row r="468" spans="9:12" x14ac:dyDescent="0.3">
      <c r="I468" s="36"/>
      <c r="K468" s="47">
        <f t="shared" si="7"/>
        <v>0.5</v>
      </c>
      <c r="L468" s="41">
        <v>1</v>
      </c>
    </row>
    <row r="469" spans="9:12" x14ac:dyDescent="0.3">
      <c r="I469" s="36"/>
      <c r="K469" s="47">
        <f t="shared" si="7"/>
        <v>0.5</v>
      </c>
      <c r="L469" s="41">
        <v>1</v>
      </c>
    </row>
    <row r="470" spans="9:12" x14ac:dyDescent="0.3">
      <c r="I470" s="36"/>
      <c r="K470" s="47">
        <f t="shared" si="7"/>
        <v>0.5</v>
      </c>
      <c r="L470" s="41">
        <v>1</v>
      </c>
    </row>
    <row r="471" spans="9:12" x14ac:dyDescent="0.3">
      <c r="I471" s="36"/>
      <c r="K471" s="47">
        <f t="shared" si="7"/>
        <v>0.5</v>
      </c>
      <c r="L471" s="41">
        <v>1</v>
      </c>
    </row>
    <row r="472" spans="9:12" x14ac:dyDescent="0.3">
      <c r="I472" s="36"/>
      <c r="K472" s="47">
        <f t="shared" si="7"/>
        <v>0.5</v>
      </c>
      <c r="L472" s="41">
        <v>1</v>
      </c>
    </row>
    <row r="473" spans="9:12" x14ac:dyDescent="0.3">
      <c r="I473" s="36"/>
      <c r="K473" s="47">
        <f t="shared" si="7"/>
        <v>0.5</v>
      </c>
      <c r="L473" s="41">
        <v>1</v>
      </c>
    </row>
    <row r="474" spans="9:12" x14ac:dyDescent="0.3">
      <c r="I474" s="36"/>
      <c r="K474" s="47">
        <f t="shared" si="7"/>
        <v>0.5</v>
      </c>
      <c r="L474" s="41">
        <v>1</v>
      </c>
    </row>
    <row r="475" spans="9:12" x14ac:dyDescent="0.3">
      <c r="I475" s="36"/>
      <c r="K475" s="47">
        <f t="shared" si="7"/>
        <v>0.5</v>
      </c>
      <c r="L475" s="41">
        <v>1</v>
      </c>
    </row>
    <row r="476" spans="9:12" x14ac:dyDescent="0.3">
      <c r="I476" s="36"/>
      <c r="K476" s="47">
        <f t="shared" si="7"/>
        <v>0.5</v>
      </c>
      <c r="L476" s="41">
        <v>1</v>
      </c>
    </row>
    <row r="477" spans="9:12" x14ac:dyDescent="0.3">
      <c r="I477" s="36"/>
      <c r="K477" s="47">
        <f t="shared" si="7"/>
        <v>0.5</v>
      </c>
      <c r="L477" s="41">
        <v>1</v>
      </c>
    </row>
    <row r="478" spans="9:12" x14ac:dyDescent="0.3">
      <c r="I478" s="36"/>
      <c r="K478" s="47">
        <f t="shared" si="7"/>
        <v>0.5</v>
      </c>
      <c r="L478" s="41">
        <v>1</v>
      </c>
    </row>
    <row r="479" spans="9:12" x14ac:dyDescent="0.3">
      <c r="I479" s="36"/>
      <c r="K479" s="47">
        <f t="shared" si="7"/>
        <v>0.5</v>
      </c>
      <c r="L479" s="41">
        <v>1</v>
      </c>
    </row>
    <row r="480" spans="9:12" x14ac:dyDescent="0.3">
      <c r="I480" s="36"/>
      <c r="K480" s="47">
        <f t="shared" si="7"/>
        <v>0.5</v>
      </c>
      <c r="L480" s="41">
        <v>1</v>
      </c>
    </row>
    <row r="481" spans="9:12" x14ac:dyDescent="0.3">
      <c r="I481" s="36"/>
      <c r="K481" s="47">
        <f t="shared" si="7"/>
        <v>0.5</v>
      </c>
      <c r="L481" s="41">
        <v>1</v>
      </c>
    </row>
    <row r="482" spans="9:12" x14ac:dyDescent="0.3">
      <c r="I482" s="36"/>
      <c r="K482" s="47">
        <f t="shared" si="7"/>
        <v>0.5</v>
      </c>
      <c r="L482" s="41">
        <v>1</v>
      </c>
    </row>
    <row r="483" spans="9:12" x14ac:dyDescent="0.3">
      <c r="I483" s="36"/>
      <c r="K483" s="47">
        <f t="shared" si="7"/>
        <v>0.5</v>
      </c>
      <c r="L483" s="41">
        <v>1</v>
      </c>
    </row>
    <row r="484" spans="9:12" x14ac:dyDescent="0.3">
      <c r="I484" s="36"/>
      <c r="K484" s="47">
        <f t="shared" si="7"/>
        <v>0.5</v>
      </c>
      <c r="L484" s="41">
        <v>1</v>
      </c>
    </row>
    <row r="485" spans="9:12" x14ac:dyDescent="0.3">
      <c r="I485" s="36"/>
      <c r="K485" s="47">
        <f t="shared" si="7"/>
        <v>0.5</v>
      </c>
      <c r="L485" s="41">
        <v>1</v>
      </c>
    </row>
    <row r="486" spans="9:12" x14ac:dyDescent="0.3">
      <c r="I486" s="36"/>
      <c r="K486" s="47">
        <f t="shared" si="7"/>
        <v>0.5</v>
      </c>
      <c r="L486" s="41">
        <v>1</v>
      </c>
    </row>
    <row r="487" spans="9:12" x14ac:dyDescent="0.3">
      <c r="I487" s="36"/>
      <c r="K487" s="47">
        <f t="shared" si="7"/>
        <v>0.5</v>
      </c>
      <c r="L487" s="41">
        <v>1</v>
      </c>
    </row>
    <row r="488" spans="9:12" x14ac:dyDescent="0.3">
      <c r="I488" s="36"/>
      <c r="K488" s="47">
        <f t="shared" si="7"/>
        <v>0.5</v>
      </c>
      <c r="L488" s="41">
        <v>1</v>
      </c>
    </row>
    <row r="489" spans="9:12" x14ac:dyDescent="0.3">
      <c r="I489" s="36"/>
      <c r="K489" s="47">
        <f t="shared" si="7"/>
        <v>0.5</v>
      </c>
      <c r="L489" s="41">
        <v>1</v>
      </c>
    </row>
    <row r="490" spans="9:12" x14ac:dyDescent="0.3">
      <c r="I490" s="36"/>
      <c r="K490" s="47">
        <f t="shared" si="7"/>
        <v>0.5</v>
      </c>
      <c r="L490" s="41">
        <v>1</v>
      </c>
    </row>
    <row r="491" spans="9:12" x14ac:dyDescent="0.3">
      <c r="I491" s="36"/>
      <c r="K491" s="47">
        <f t="shared" si="7"/>
        <v>0.5</v>
      </c>
      <c r="L491" s="41">
        <v>1</v>
      </c>
    </row>
    <row r="492" spans="9:12" x14ac:dyDescent="0.3">
      <c r="I492" s="36"/>
      <c r="K492" s="47">
        <f t="shared" si="7"/>
        <v>0.5</v>
      </c>
      <c r="L492" s="41">
        <v>1</v>
      </c>
    </row>
    <row r="493" spans="9:12" x14ac:dyDescent="0.3">
      <c r="I493" s="36"/>
      <c r="K493" s="47">
        <f t="shared" si="7"/>
        <v>0.5</v>
      </c>
      <c r="L493" s="41">
        <v>1</v>
      </c>
    </row>
    <row r="494" spans="9:12" x14ac:dyDescent="0.3">
      <c r="I494" s="36"/>
      <c r="K494" s="47">
        <f t="shared" si="7"/>
        <v>0.5</v>
      </c>
      <c r="L494" s="41">
        <v>1</v>
      </c>
    </row>
    <row r="495" spans="9:12" x14ac:dyDescent="0.3">
      <c r="I495" s="36"/>
      <c r="K495" s="47">
        <f t="shared" si="7"/>
        <v>0.5</v>
      </c>
      <c r="L495" s="41">
        <v>1</v>
      </c>
    </row>
    <row r="496" spans="9:12" x14ac:dyDescent="0.3">
      <c r="I496" s="36"/>
      <c r="K496" s="47">
        <f t="shared" si="7"/>
        <v>0.5</v>
      </c>
      <c r="L496" s="41">
        <v>1</v>
      </c>
    </row>
    <row r="497" spans="9:12" x14ac:dyDescent="0.3">
      <c r="I497" s="36"/>
      <c r="K497" s="47">
        <f t="shared" si="7"/>
        <v>0.5</v>
      </c>
      <c r="L497" s="41">
        <v>1</v>
      </c>
    </row>
    <row r="498" spans="9:12" x14ac:dyDescent="0.3">
      <c r="I498" s="36"/>
      <c r="K498" s="47">
        <f t="shared" si="7"/>
        <v>0.5</v>
      </c>
      <c r="L498" s="41">
        <v>1</v>
      </c>
    </row>
    <row r="499" spans="9:12" x14ac:dyDescent="0.3">
      <c r="I499" s="36"/>
      <c r="K499" s="47">
        <f t="shared" si="7"/>
        <v>0.5</v>
      </c>
      <c r="L499" s="41">
        <v>1</v>
      </c>
    </row>
    <row r="500" spans="9:12" x14ac:dyDescent="0.3">
      <c r="I500" s="36"/>
      <c r="K500" s="47">
        <f t="shared" si="7"/>
        <v>0.5</v>
      </c>
      <c r="L500" s="41">
        <v>1</v>
      </c>
    </row>
    <row r="501" spans="9:12" x14ac:dyDescent="0.3">
      <c r="I501" s="36"/>
      <c r="K501" s="47">
        <f t="shared" si="7"/>
        <v>0.5</v>
      </c>
      <c r="L501" s="41">
        <v>1</v>
      </c>
    </row>
    <row r="502" spans="9:12" x14ac:dyDescent="0.3">
      <c r="I502" s="36"/>
      <c r="K502" s="47">
        <f t="shared" si="7"/>
        <v>0.5</v>
      </c>
      <c r="L502" s="41">
        <v>1</v>
      </c>
    </row>
    <row r="503" spans="9:12" x14ac:dyDescent="0.3">
      <c r="I503" s="36"/>
      <c r="K503" s="47">
        <f t="shared" si="7"/>
        <v>0.5</v>
      </c>
      <c r="L503" s="41">
        <v>1</v>
      </c>
    </row>
    <row r="504" spans="9:12" x14ac:dyDescent="0.3">
      <c r="I504" s="36"/>
      <c r="K504" s="47">
        <f t="shared" si="7"/>
        <v>0.5</v>
      </c>
      <c r="L504" s="41">
        <v>1</v>
      </c>
    </row>
    <row r="505" spans="9:12" x14ac:dyDescent="0.3">
      <c r="I505" s="36"/>
      <c r="K505" s="47">
        <f t="shared" si="7"/>
        <v>0.5</v>
      </c>
      <c r="L505" s="41">
        <v>1</v>
      </c>
    </row>
    <row r="506" spans="9:12" x14ac:dyDescent="0.3">
      <c r="I506" s="36"/>
      <c r="K506" s="47">
        <f t="shared" si="7"/>
        <v>0.5</v>
      </c>
      <c r="L506" s="41">
        <v>1</v>
      </c>
    </row>
    <row r="507" spans="9:12" x14ac:dyDescent="0.3">
      <c r="I507" s="36"/>
      <c r="K507" s="47">
        <f t="shared" si="7"/>
        <v>0.5</v>
      </c>
      <c r="L507" s="41">
        <v>1</v>
      </c>
    </row>
    <row r="508" spans="9:12" x14ac:dyDescent="0.3">
      <c r="I508" s="36"/>
      <c r="K508" s="47">
        <f t="shared" si="7"/>
        <v>0.5</v>
      </c>
      <c r="L508" s="41">
        <v>1</v>
      </c>
    </row>
    <row r="509" spans="9:12" x14ac:dyDescent="0.3">
      <c r="I509" s="36"/>
      <c r="K509" s="47">
        <f t="shared" si="7"/>
        <v>0.5</v>
      </c>
      <c r="L509" s="41">
        <v>1</v>
      </c>
    </row>
    <row r="510" spans="9:12" x14ac:dyDescent="0.3">
      <c r="I510" s="36"/>
      <c r="K510" s="47">
        <f t="shared" si="7"/>
        <v>0.5</v>
      </c>
      <c r="L510" s="41">
        <v>1</v>
      </c>
    </row>
    <row r="511" spans="9:12" x14ac:dyDescent="0.3">
      <c r="I511" s="36"/>
      <c r="K511" s="47">
        <f t="shared" si="7"/>
        <v>0.5</v>
      </c>
      <c r="L511" s="41">
        <v>1</v>
      </c>
    </row>
    <row r="512" spans="9:12" x14ac:dyDescent="0.3">
      <c r="I512" s="36"/>
      <c r="K512" s="47">
        <f t="shared" si="7"/>
        <v>0.5</v>
      </c>
      <c r="L512" s="41">
        <v>1</v>
      </c>
    </row>
    <row r="513" spans="9:12" x14ac:dyDescent="0.3">
      <c r="I513" s="36"/>
      <c r="K513" s="47">
        <f t="shared" si="7"/>
        <v>0.5</v>
      </c>
      <c r="L513" s="41">
        <v>1</v>
      </c>
    </row>
    <row r="514" spans="9:12" x14ac:dyDescent="0.3">
      <c r="I514" s="36"/>
      <c r="K514" s="47">
        <f t="shared" si="7"/>
        <v>0.5</v>
      </c>
      <c r="L514" s="41">
        <v>1</v>
      </c>
    </row>
    <row r="515" spans="9:12" x14ac:dyDescent="0.3">
      <c r="I515" s="36"/>
      <c r="K515" s="47">
        <f t="shared" si="7"/>
        <v>0.5</v>
      </c>
      <c r="L515" s="41">
        <v>1</v>
      </c>
    </row>
    <row r="516" spans="9:12" x14ac:dyDescent="0.3">
      <c r="I516" s="36"/>
      <c r="K516" s="47">
        <f t="shared" si="7"/>
        <v>0.5</v>
      </c>
      <c r="L516" s="41">
        <v>1</v>
      </c>
    </row>
    <row r="517" spans="9:12" x14ac:dyDescent="0.3">
      <c r="I517" s="36"/>
      <c r="K517" s="47">
        <f t="shared" si="7"/>
        <v>0.5</v>
      </c>
      <c r="L517" s="41">
        <v>1</v>
      </c>
    </row>
    <row r="518" spans="9:12" x14ac:dyDescent="0.3">
      <c r="I518" s="36"/>
      <c r="K518" s="47">
        <f t="shared" si="7"/>
        <v>0.5</v>
      </c>
      <c r="L518" s="41">
        <v>1</v>
      </c>
    </row>
    <row r="519" spans="9:12" x14ac:dyDescent="0.3">
      <c r="I519" s="36"/>
      <c r="K519" s="47">
        <f t="shared" si="7"/>
        <v>0.5</v>
      </c>
      <c r="L519" s="41">
        <v>1</v>
      </c>
    </row>
    <row r="520" spans="9:12" x14ac:dyDescent="0.3">
      <c r="I520" s="36"/>
      <c r="K520" s="47">
        <f t="shared" si="7"/>
        <v>0.5</v>
      </c>
      <c r="L520" s="41">
        <v>1</v>
      </c>
    </row>
    <row r="521" spans="9:12" x14ac:dyDescent="0.3">
      <c r="I521" s="36"/>
      <c r="K521" s="47">
        <f t="shared" si="7"/>
        <v>0.5</v>
      </c>
      <c r="L521" s="41">
        <v>1</v>
      </c>
    </row>
    <row r="522" spans="9:12" x14ac:dyDescent="0.3">
      <c r="I522" s="36"/>
      <c r="K522" s="47">
        <f t="shared" si="7"/>
        <v>0.5</v>
      </c>
      <c r="L522" s="41">
        <v>1</v>
      </c>
    </row>
    <row r="523" spans="9:12" x14ac:dyDescent="0.3">
      <c r="I523" s="36"/>
      <c r="K523" s="47">
        <f t="shared" si="7"/>
        <v>0.5</v>
      </c>
      <c r="L523" s="41">
        <v>1</v>
      </c>
    </row>
    <row r="524" spans="9:12" x14ac:dyDescent="0.3">
      <c r="I524" s="36"/>
      <c r="K524" s="47">
        <f t="shared" ref="K524:K587" si="8">IF(D524&lt;=5,0.5,IF(D524&lt;7.5,0.1*D524,0.75))</f>
        <v>0.5</v>
      </c>
      <c r="L524" s="41">
        <v>1</v>
      </c>
    </row>
    <row r="525" spans="9:12" x14ac:dyDescent="0.3">
      <c r="I525" s="36"/>
      <c r="K525" s="47">
        <f t="shared" si="8"/>
        <v>0.5</v>
      </c>
      <c r="L525" s="41">
        <v>1</v>
      </c>
    </row>
    <row r="526" spans="9:12" x14ac:dyDescent="0.3">
      <c r="I526" s="36"/>
      <c r="K526" s="47">
        <f t="shared" si="8"/>
        <v>0.5</v>
      </c>
      <c r="L526" s="41">
        <v>1</v>
      </c>
    </row>
    <row r="527" spans="9:12" x14ac:dyDescent="0.3">
      <c r="I527" s="36"/>
      <c r="K527" s="47">
        <f t="shared" si="8"/>
        <v>0.5</v>
      </c>
      <c r="L527" s="41">
        <v>1</v>
      </c>
    </row>
    <row r="528" spans="9:12" x14ac:dyDescent="0.3">
      <c r="I528" s="36"/>
      <c r="K528" s="47">
        <f t="shared" si="8"/>
        <v>0.5</v>
      </c>
      <c r="L528" s="41">
        <v>1</v>
      </c>
    </row>
    <row r="529" spans="9:12" x14ac:dyDescent="0.3">
      <c r="I529" s="36"/>
      <c r="K529" s="47">
        <f t="shared" si="8"/>
        <v>0.5</v>
      </c>
      <c r="L529" s="41">
        <v>1</v>
      </c>
    </row>
    <row r="530" spans="9:12" x14ac:dyDescent="0.3">
      <c r="I530" s="36"/>
      <c r="K530" s="47">
        <f t="shared" si="8"/>
        <v>0.5</v>
      </c>
      <c r="L530" s="41">
        <v>1</v>
      </c>
    </row>
    <row r="531" spans="9:12" x14ac:dyDescent="0.3">
      <c r="I531" s="36"/>
      <c r="K531" s="47">
        <f t="shared" si="8"/>
        <v>0.5</v>
      </c>
      <c r="L531" s="41">
        <v>1</v>
      </c>
    </row>
    <row r="532" spans="9:12" x14ac:dyDescent="0.3">
      <c r="I532" s="36"/>
      <c r="K532" s="47">
        <f t="shared" si="8"/>
        <v>0.5</v>
      </c>
      <c r="L532" s="41">
        <v>1</v>
      </c>
    </row>
    <row r="533" spans="9:12" x14ac:dyDescent="0.3">
      <c r="I533" s="36"/>
      <c r="K533" s="47">
        <f t="shared" si="8"/>
        <v>0.5</v>
      </c>
      <c r="L533" s="41">
        <v>1</v>
      </c>
    </row>
    <row r="534" spans="9:12" x14ac:dyDescent="0.3">
      <c r="I534" s="36"/>
      <c r="K534" s="47">
        <f t="shared" si="8"/>
        <v>0.5</v>
      </c>
      <c r="L534" s="41">
        <v>1</v>
      </c>
    </row>
    <row r="535" spans="9:12" x14ac:dyDescent="0.3">
      <c r="I535" s="36"/>
      <c r="K535" s="47">
        <f t="shared" si="8"/>
        <v>0.5</v>
      </c>
      <c r="L535" s="41">
        <v>1</v>
      </c>
    </row>
    <row r="536" spans="9:12" x14ac:dyDescent="0.3">
      <c r="I536" s="36"/>
      <c r="K536" s="47">
        <f t="shared" si="8"/>
        <v>0.5</v>
      </c>
      <c r="L536" s="41">
        <v>1</v>
      </c>
    </row>
    <row r="537" spans="9:12" x14ac:dyDescent="0.3">
      <c r="I537" s="36"/>
      <c r="K537" s="47">
        <f t="shared" si="8"/>
        <v>0.5</v>
      </c>
      <c r="L537" s="41">
        <v>1</v>
      </c>
    </row>
    <row r="538" spans="9:12" x14ac:dyDescent="0.3">
      <c r="I538" s="36"/>
      <c r="K538" s="47">
        <f t="shared" si="8"/>
        <v>0.5</v>
      </c>
      <c r="L538" s="41">
        <v>1</v>
      </c>
    </row>
    <row r="539" spans="9:12" x14ac:dyDescent="0.3">
      <c r="I539" s="36"/>
      <c r="K539" s="47">
        <f t="shared" si="8"/>
        <v>0.5</v>
      </c>
      <c r="L539" s="41">
        <v>1</v>
      </c>
    </row>
    <row r="540" spans="9:12" x14ac:dyDescent="0.3">
      <c r="I540" s="36"/>
      <c r="K540" s="47">
        <f t="shared" si="8"/>
        <v>0.5</v>
      </c>
      <c r="L540" s="41">
        <v>1</v>
      </c>
    </row>
    <row r="541" spans="9:12" x14ac:dyDescent="0.3">
      <c r="I541" s="36"/>
      <c r="K541" s="47">
        <f t="shared" si="8"/>
        <v>0.5</v>
      </c>
      <c r="L541" s="41">
        <v>1</v>
      </c>
    </row>
    <row r="542" spans="9:12" x14ac:dyDescent="0.3">
      <c r="I542" s="36"/>
      <c r="K542" s="47">
        <f t="shared" si="8"/>
        <v>0.5</v>
      </c>
      <c r="L542" s="41">
        <v>1</v>
      </c>
    </row>
    <row r="543" spans="9:12" x14ac:dyDescent="0.3">
      <c r="I543" s="36"/>
      <c r="K543" s="47">
        <f t="shared" si="8"/>
        <v>0.5</v>
      </c>
      <c r="L543" s="41">
        <v>1</v>
      </c>
    </row>
    <row r="544" spans="9:12" x14ac:dyDescent="0.3">
      <c r="I544" s="36"/>
      <c r="K544" s="47">
        <f t="shared" si="8"/>
        <v>0.5</v>
      </c>
      <c r="L544" s="41">
        <v>1</v>
      </c>
    </row>
    <row r="545" spans="9:12" x14ac:dyDescent="0.3">
      <c r="I545" s="36"/>
      <c r="K545" s="47">
        <f t="shared" si="8"/>
        <v>0.5</v>
      </c>
      <c r="L545" s="41">
        <v>1</v>
      </c>
    </row>
    <row r="546" spans="9:12" x14ac:dyDescent="0.3">
      <c r="I546" s="36"/>
      <c r="K546" s="47">
        <f t="shared" si="8"/>
        <v>0.5</v>
      </c>
      <c r="L546" s="41">
        <v>1</v>
      </c>
    </row>
    <row r="547" spans="9:12" x14ac:dyDescent="0.3">
      <c r="I547" s="36"/>
      <c r="K547" s="47">
        <f t="shared" si="8"/>
        <v>0.5</v>
      </c>
      <c r="L547" s="41">
        <v>1</v>
      </c>
    </row>
    <row r="548" spans="9:12" x14ac:dyDescent="0.3">
      <c r="I548" s="36"/>
      <c r="K548" s="47">
        <f t="shared" si="8"/>
        <v>0.5</v>
      </c>
      <c r="L548" s="41">
        <v>1</v>
      </c>
    </row>
    <row r="549" spans="9:12" x14ac:dyDescent="0.3">
      <c r="I549" s="36"/>
      <c r="K549" s="47">
        <f t="shared" si="8"/>
        <v>0.5</v>
      </c>
      <c r="L549" s="41">
        <v>1</v>
      </c>
    </row>
    <row r="550" spans="9:12" x14ac:dyDescent="0.3">
      <c r="I550" s="36"/>
      <c r="K550" s="47">
        <f t="shared" si="8"/>
        <v>0.5</v>
      </c>
      <c r="L550" s="41">
        <v>1</v>
      </c>
    </row>
    <row r="551" spans="9:12" x14ac:dyDescent="0.3">
      <c r="I551" s="36"/>
      <c r="K551" s="47">
        <f t="shared" si="8"/>
        <v>0.5</v>
      </c>
      <c r="L551" s="41">
        <v>1</v>
      </c>
    </row>
    <row r="552" spans="9:12" x14ac:dyDescent="0.3">
      <c r="I552" s="36"/>
      <c r="K552" s="47">
        <f t="shared" si="8"/>
        <v>0.5</v>
      </c>
      <c r="L552" s="41">
        <v>1</v>
      </c>
    </row>
    <row r="553" spans="9:12" x14ac:dyDescent="0.3">
      <c r="I553" s="36"/>
      <c r="K553" s="47">
        <f t="shared" si="8"/>
        <v>0.5</v>
      </c>
      <c r="L553" s="41">
        <v>1</v>
      </c>
    </row>
    <row r="554" spans="9:12" x14ac:dyDescent="0.3">
      <c r="I554" s="36"/>
      <c r="K554" s="47">
        <f t="shared" si="8"/>
        <v>0.5</v>
      </c>
      <c r="L554" s="41">
        <v>1</v>
      </c>
    </row>
    <row r="555" spans="9:12" x14ac:dyDescent="0.3">
      <c r="I555" s="36"/>
      <c r="K555" s="47">
        <f t="shared" si="8"/>
        <v>0.5</v>
      </c>
      <c r="L555" s="41">
        <v>1</v>
      </c>
    </row>
    <row r="556" spans="9:12" x14ac:dyDescent="0.3">
      <c r="I556" s="36"/>
      <c r="K556" s="47">
        <f t="shared" si="8"/>
        <v>0.5</v>
      </c>
      <c r="L556" s="41">
        <v>1</v>
      </c>
    </row>
    <row r="557" spans="9:12" x14ac:dyDescent="0.3">
      <c r="I557" s="36"/>
      <c r="K557" s="47">
        <f t="shared" si="8"/>
        <v>0.5</v>
      </c>
      <c r="L557" s="41">
        <v>1</v>
      </c>
    </row>
    <row r="558" spans="9:12" x14ac:dyDescent="0.3">
      <c r="I558" s="36"/>
      <c r="K558" s="47">
        <f t="shared" si="8"/>
        <v>0.5</v>
      </c>
      <c r="L558" s="41">
        <v>1</v>
      </c>
    </row>
    <row r="559" spans="9:12" x14ac:dyDescent="0.3">
      <c r="I559" s="36"/>
      <c r="K559" s="47">
        <f t="shared" si="8"/>
        <v>0.5</v>
      </c>
      <c r="L559" s="41">
        <v>1</v>
      </c>
    </row>
    <row r="560" spans="9:12" x14ac:dyDescent="0.3">
      <c r="I560" s="36"/>
      <c r="K560" s="47">
        <f t="shared" si="8"/>
        <v>0.5</v>
      </c>
      <c r="L560" s="41">
        <v>1</v>
      </c>
    </row>
    <row r="561" spans="9:12" x14ac:dyDescent="0.3">
      <c r="I561" s="36"/>
      <c r="K561" s="47">
        <f t="shared" si="8"/>
        <v>0.5</v>
      </c>
      <c r="L561" s="41">
        <v>1</v>
      </c>
    </row>
    <row r="562" spans="9:12" x14ac:dyDescent="0.3">
      <c r="I562" s="36"/>
      <c r="K562" s="47">
        <f t="shared" si="8"/>
        <v>0.5</v>
      </c>
      <c r="L562" s="41">
        <v>1</v>
      </c>
    </row>
    <row r="563" spans="9:12" x14ac:dyDescent="0.3">
      <c r="I563" s="36"/>
      <c r="K563" s="47">
        <f t="shared" si="8"/>
        <v>0.5</v>
      </c>
      <c r="L563" s="41">
        <v>1</v>
      </c>
    </row>
    <row r="564" spans="9:12" x14ac:dyDescent="0.3">
      <c r="I564" s="36"/>
      <c r="K564" s="47">
        <f t="shared" si="8"/>
        <v>0.5</v>
      </c>
      <c r="L564" s="41">
        <v>1</v>
      </c>
    </row>
    <row r="565" spans="9:12" x14ac:dyDescent="0.3">
      <c r="I565" s="36"/>
      <c r="K565" s="47">
        <f t="shared" si="8"/>
        <v>0.5</v>
      </c>
      <c r="L565" s="41">
        <v>1</v>
      </c>
    </row>
    <row r="566" spans="9:12" x14ac:dyDescent="0.3">
      <c r="I566" s="36"/>
      <c r="K566" s="47">
        <f t="shared" si="8"/>
        <v>0.5</v>
      </c>
      <c r="L566" s="41">
        <v>1</v>
      </c>
    </row>
    <row r="567" spans="9:12" x14ac:dyDescent="0.3">
      <c r="I567" s="36"/>
      <c r="K567" s="47">
        <f t="shared" si="8"/>
        <v>0.5</v>
      </c>
      <c r="L567" s="41">
        <v>1</v>
      </c>
    </row>
    <row r="568" spans="9:12" x14ac:dyDescent="0.3">
      <c r="I568" s="36"/>
      <c r="K568" s="47">
        <f t="shared" si="8"/>
        <v>0.5</v>
      </c>
      <c r="L568" s="41">
        <v>1</v>
      </c>
    </row>
    <row r="569" spans="9:12" x14ac:dyDescent="0.3">
      <c r="I569" s="36"/>
      <c r="K569" s="47">
        <f t="shared" si="8"/>
        <v>0.5</v>
      </c>
      <c r="L569" s="41">
        <v>1</v>
      </c>
    </row>
    <row r="570" spans="9:12" x14ac:dyDescent="0.3">
      <c r="I570" s="36"/>
      <c r="K570" s="47">
        <f t="shared" si="8"/>
        <v>0.5</v>
      </c>
      <c r="L570" s="41">
        <v>1</v>
      </c>
    </row>
    <row r="571" spans="9:12" x14ac:dyDescent="0.3">
      <c r="I571" s="36"/>
      <c r="K571" s="47">
        <f t="shared" si="8"/>
        <v>0.5</v>
      </c>
      <c r="L571" s="41">
        <v>1</v>
      </c>
    </row>
    <row r="572" spans="9:12" x14ac:dyDescent="0.3">
      <c r="I572" s="36"/>
      <c r="K572" s="47">
        <f t="shared" si="8"/>
        <v>0.5</v>
      </c>
      <c r="L572" s="41">
        <v>1</v>
      </c>
    </row>
    <row r="573" spans="9:12" x14ac:dyDescent="0.3">
      <c r="I573" s="36"/>
      <c r="K573" s="47">
        <f t="shared" si="8"/>
        <v>0.5</v>
      </c>
      <c r="L573" s="41">
        <v>1</v>
      </c>
    </row>
    <row r="574" spans="9:12" x14ac:dyDescent="0.3">
      <c r="I574" s="36"/>
      <c r="K574" s="47">
        <f t="shared" si="8"/>
        <v>0.5</v>
      </c>
      <c r="L574" s="41">
        <v>1</v>
      </c>
    </row>
    <row r="575" spans="9:12" x14ac:dyDescent="0.3">
      <c r="I575" s="36"/>
      <c r="K575" s="47">
        <f t="shared" si="8"/>
        <v>0.5</v>
      </c>
      <c r="L575" s="41">
        <v>1</v>
      </c>
    </row>
    <row r="576" spans="9:12" x14ac:dyDescent="0.3">
      <c r="I576" s="36"/>
      <c r="K576" s="47">
        <f t="shared" si="8"/>
        <v>0.5</v>
      </c>
      <c r="L576" s="41">
        <v>1</v>
      </c>
    </row>
    <row r="577" spans="9:12" x14ac:dyDescent="0.3">
      <c r="I577" s="36"/>
      <c r="K577" s="47">
        <f t="shared" si="8"/>
        <v>0.5</v>
      </c>
      <c r="L577" s="41">
        <v>1</v>
      </c>
    </row>
    <row r="578" spans="9:12" x14ac:dyDescent="0.3">
      <c r="I578" s="36"/>
      <c r="K578" s="47">
        <f t="shared" si="8"/>
        <v>0.5</v>
      </c>
      <c r="L578" s="41">
        <v>1</v>
      </c>
    </row>
    <row r="579" spans="9:12" x14ac:dyDescent="0.3">
      <c r="I579" s="36"/>
      <c r="K579" s="47">
        <f t="shared" si="8"/>
        <v>0.5</v>
      </c>
      <c r="L579" s="41">
        <v>1</v>
      </c>
    </row>
    <row r="580" spans="9:12" x14ac:dyDescent="0.3">
      <c r="I580" s="36"/>
      <c r="K580" s="47">
        <f t="shared" si="8"/>
        <v>0.5</v>
      </c>
      <c r="L580" s="41">
        <v>1</v>
      </c>
    </row>
    <row r="581" spans="9:12" x14ac:dyDescent="0.3">
      <c r="I581" s="36"/>
      <c r="K581" s="47">
        <f t="shared" si="8"/>
        <v>0.5</v>
      </c>
      <c r="L581" s="41">
        <v>1</v>
      </c>
    </row>
    <row r="582" spans="9:12" x14ac:dyDescent="0.3">
      <c r="I582" s="36"/>
      <c r="K582" s="47">
        <f t="shared" si="8"/>
        <v>0.5</v>
      </c>
      <c r="L582" s="41">
        <v>1</v>
      </c>
    </row>
    <row r="583" spans="9:12" x14ac:dyDescent="0.3">
      <c r="I583" s="36"/>
      <c r="K583" s="47">
        <f t="shared" si="8"/>
        <v>0.5</v>
      </c>
      <c r="L583" s="41">
        <v>1</v>
      </c>
    </row>
    <row r="584" spans="9:12" x14ac:dyDescent="0.3">
      <c r="I584" s="36"/>
      <c r="K584" s="47">
        <f t="shared" si="8"/>
        <v>0.5</v>
      </c>
      <c r="L584" s="41">
        <v>1</v>
      </c>
    </row>
    <row r="585" spans="9:12" x14ac:dyDescent="0.3">
      <c r="I585" s="36"/>
      <c r="K585" s="47">
        <f t="shared" si="8"/>
        <v>0.5</v>
      </c>
      <c r="L585" s="41">
        <v>1</v>
      </c>
    </row>
    <row r="586" spans="9:12" x14ac:dyDescent="0.3">
      <c r="I586" s="36"/>
      <c r="K586" s="47">
        <f t="shared" si="8"/>
        <v>0.5</v>
      </c>
      <c r="L586" s="41">
        <v>1</v>
      </c>
    </row>
    <row r="587" spans="9:12" x14ac:dyDescent="0.3">
      <c r="I587" s="36"/>
      <c r="K587" s="47">
        <f t="shared" si="8"/>
        <v>0.5</v>
      </c>
      <c r="L587" s="41">
        <v>1</v>
      </c>
    </row>
    <row r="588" spans="9:12" x14ac:dyDescent="0.3">
      <c r="I588" s="36"/>
      <c r="K588" s="47">
        <f t="shared" ref="K588:K651" si="9">IF(D588&lt;=5,0.5,IF(D588&lt;7.5,0.1*D588,0.75))</f>
        <v>0.5</v>
      </c>
      <c r="L588" s="41">
        <v>1</v>
      </c>
    </row>
    <row r="589" spans="9:12" x14ac:dyDescent="0.3">
      <c r="I589" s="36"/>
      <c r="K589" s="47">
        <f t="shared" si="9"/>
        <v>0.5</v>
      </c>
      <c r="L589" s="41">
        <v>1</v>
      </c>
    </row>
    <row r="590" spans="9:12" x14ac:dyDescent="0.3">
      <c r="I590" s="36"/>
      <c r="K590" s="47">
        <f t="shared" si="9"/>
        <v>0.5</v>
      </c>
      <c r="L590" s="41">
        <v>1</v>
      </c>
    </row>
    <row r="591" spans="9:12" x14ac:dyDescent="0.3">
      <c r="I591" s="36"/>
      <c r="K591" s="47">
        <f t="shared" si="9"/>
        <v>0.5</v>
      </c>
      <c r="L591" s="41">
        <v>1</v>
      </c>
    </row>
    <row r="592" spans="9:12" x14ac:dyDescent="0.3">
      <c r="I592" s="36"/>
      <c r="K592" s="47">
        <f t="shared" si="9"/>
        <v>0.5</v>
      </c>
      <c r="L592" s="41">
        <v>1</v>
      </c>
    </row>
    <row r="593" spans="9:12" x14ac:dyDescent="0.3">
      <c r="I593" s="36"/>
      <c r="K593" s="47">
        <f t="shared" si="9"/>
        <v>0.5</v>
      </c>
      <c r="L593" s="41">
        <v>1</v>
      </c>
    </row>
    <row r="594" spans="9:12" x14ac:dyDescent="0.3">
      <c r="I594" s="36"/>
      <c r="K594" s="47">
        <f t="shared" si="9"/>
        <v>0.5</v>
      </c>
      <c r="L594" s="41">
        <v>1</v>
      </c>
    </row>
    <row r="595" spans="9:12" x14ac:dyDescent="0.3">
      <c r="I595" s="36"/>
      <c r="K595" s="47">
        <f t="shared" si="9"/>
        <v>0.5</v>
      </c>
      <c r="L595" s="41">
        <v>1</v>
      </c>
    </row>
    <row r="596" spans="9:12" x14ac:dyDescent="0.3">
      <c r="I596" s="36"/>
      <c r="K596" s="47">
        <f t="shared" si="9"/>
        <v>0.5</v>
      </c>
      <c r="L596" s="41">
        <v>1</v>
      </c>
    </row>
    <row r="597" spans="9:12" x14ac:dyDescent="0.3">
      <c r="I597" s="36"/>
      <c r="K597" s="47">
        <f t="shared" si="9"/>
        <v>0.5</v>
      </c>
      <c r="L597" s="41">
        <v>1</v>
      </c>
    </row>
    <row r="598" spans="9:12" x14ac:dyDescent="0.3">
      <c r="I598" s="36"/>
      <c r="K598" s="47">
        <f t="shared" si="9"/>
        <v>0.5</v>
      </c>
      <c r="L598" s="41">
        <v>1</v>
      </c>
    </row>
    <row r="599" spans="9:12" x14ac:dyDescent="0.3">
      <c r="I599" s="36"/>
      <c r="K599" s="47">
        <f t="shared" si="9"/>
        <v>0.5</v>
      </c>
      <c r="L599" s="41">
        <v>1</v>
      </c>
    </row>
    <row r="600" spans="9:12" x14ac:dyDescent="0.3">
      <c r="I600" s="36"/>
      <c r="K600" s="47">
        <f t="shared" si="9"/>
        <v>0.5</v>
      </c>
      <c r="L600" s="41">
        <v>1</v>
      </c>
    </row>
    <row r="601" spans="9:12" x14ac:dyDescent="0.3">
      <c r="I601" s="36"/>
      <c r="K601" s="47">
        <f t="shared" si="9"/>
        <v>0.5</v>
      </c>
      <c r="L601" s="41">
        <v>1</v>
      </c>
    </row>
    <row r="602" spans="9:12" x14ac:dyDescent="0.3">
      <c r="I602" s="36"/>
      <c r="K602" s="47">
        <f t="shared" si="9"/>
        <v>0.5</v>
      </c>
      <c r="L602" s="41">
        <v>1</v>
      </c>
    </row>
    <row r="603" spans="9:12" x14ac:dyDescent="0.3">
      <c r="I603" s="36"/>
      <c r="K603" s="47">
        <f t="shared" si="9"/>
        <v>0.5</v>
      </c>
      <c r="L603" s="41">
        <v>1</v>
      </c>
    </row>
    <row r="604" spans="9:12" x14ac:dyDescent="0.3">
      <c r="I604" s="36"/>
      <c r="K604" s="47">
        <f t="shared" si="9"/>
        <v>0.5</v>
      </c>
      <c r="L604" s="41">
        <v>1</v>
      </c>
    </row>
    <row r="605" spans="9:12" x14ac:dyDescent="0.3">
      <c r="I605" s="36"/>
      <c r="K605" s="47">
        <f t="shared" si="9"/>
        <v>0.5</v>
      </c>
      <c r="L605" s="41">
        <v>1</v>
      </c>
    </row>
    <row r="606" spans="9:12" x14ac:dyDescent="0.3">
      <c r="I606" s="36"/>
      <c r="K606" s="47">
        <f t="shared" si="9"/>
        <v>0.5</v>
      </c>
      <c r="L606" s="41">
        <v>1</v>
      </c>
    </row>
    <row r="607" spans="9:12" x14ac:dyDescent="0.3">
      <c r="I607" s="36"/>
      <c r="K607" s="47">
        <f t="shared" si="9"/>
        <v>0.5</v>
      </c>
      <c r="L607" s="41">
        <v>1</v>
      </c>
    </row>
    <row r="608" spans="9:12" x14ac:dyDescent="0.3">
      <c r="I608" s="36"/>
      <c r="K608" s="47">
        <f t="shared" si="9"/>
        <v>0.5</v>
      </c>
      <c r="L608" s="41">
        <v>1</v>
      </c>
    </row>
    <row r="609" spans="9:12" x14ac:dyDescent="0.3">
      <c r="I609" s="36"/>
      <c r="K609" s="47">
        <f t="shared" si="9"/>
        <v>0.5</v>
      </c>
      <c r="L609" s="41">
        <v>1</v>
      </c>
    </row>
    <row r="610" spans="9:12" x14ac:dyDescent="0.3">
      <c r="I610" s="36"/>
      <c r="K610" s="47">
        <f t="shared" si="9"/>
        <v>0.5</v>
      </c>
      <c r="L610" s="41">
        <v>1</v>
      </c>
    </row>
    <row r="611" spans="9:12" x14ac:dyDescent="0.3">
      <c r="I611" s="36"/>
      <c r="K611" s="47">
        <f t="shared" si="9"/>
        <v>0.5</v>
      </c>
      <c r="L611" s="41">
        <v>1</v>
      </c>
    </row>
    <row r="612" spans="9:12" x14ac:dyDescent="0.3">
      <c r="I612" s="36"/>
      <c r="K612" s="47">
        <f t="shared" si="9"/>
        <v>0.5</v>
      </c>
      <c r="L612" s="41">
        <v>1</v>
      </c>
    </row>
    <row r="613" spans="9:12" x14ac:dyDescent="0.3">
      <c r="I613" s="36"/>
      <c r="K613" s="47">
        <f t="shared" si="9"/>
        <v>0.5</v>
      </c>
      <c r="L613" s="41">
        <v>1</v>
      </c>
    </row>
    <row r="614" spans="9:12" x14ac:dyDescent="0.3">
      <c r="I614" s="36"/>
      <c r="K614" s="47">
        <f t="shared" si="9"/>
        <v>0.5</v>
      </c>
      <c r="L614" s="41">
        <v>1</v>
      </c>
    </row>
    <row r="615" spans="9:12" x14ac:dyDescent="0.3">
      <c r="I615" s="36"/>
      <c r="K615" s="47">
        <f t="shared" si="9"/>
        <v>0.5</v>
      </c>
      <c r="L615" s="41">
        <v>1</v>
      </c>
    </row>
    <row r="616" spans="9:12" x14ac:dyDescent="0.3">
      <c r="I616" s="36"/>
      <c r="K616" s="47">
        <f t="shared" si="9"/>
        <v>0.5</v>
      </c>
      <c r="L616" s="41">
        <v>1</v>
      </c>
    </row>
    <row r="617" spans="9:12" x14ac:dyDescent="0.3">
      <c r="I617" s="36"/>
      <c r="K617" s="47">
        <f t="shared" si="9"/>
        <v>0.5</v>
      </c>
      <c r="L617" s="41">
        <v>1</v>
      </c>
    </row>
    <row r="618" spans="9:12" x14ac:dyDescent="0.3">
      <c r="I618" s="36"/>
      <c r="K618" s="47">
        <f t="shared" si="9"/>
        <v>0.5</v>
      </c>
      <c r="L618" s="41">
        <v>1</v>
      </c>
    </row>
    <row r="619" spans="9:12" x14ac:dyDescent="0.3">
      <c r="I619" s="36"/>
      <c r="K619" s="47">
        <f t="shared" si="9"/>
        <v>0.5</v>
      </c>
      <c r="L619" s="41">
        <v>1</v>
      </c>
    </row>
    <row r="620" spans="9:12" x14ac:dyDescent="0.3">
      <c r="I620" s="36"/>
      <c r="K620" s="47">
        <f t="shared" si="9"/>
        <v>0.5</v>
      </c>
      <c r="L620" s="41">
        <v>1</v>
      </c>
    </row>
    <row r="621" spans="9:12" x14ac:dyDescent="0.3">
      <c r="I621" s="36"/>
      <c r="K621" s="47">
        <f t="shared" si="9"/>
        <v>0.5</v>
      </c>
      <c r="L621" s="41">
        <v>1</v>
      </c>
    </row>
    <row r="622" spans="9:12" x14ac:dyDescent="0.3">
      <c r="I622" s="36"/>
      <c r="K622" s="47">
        <f t="shared" si="9"/>
        <v>0.5</v>
      </c>
      <c r="L622" s="41">
        <v>1</v>
      </c>
    </row>
    <row r="623" spans="9:12" x14ac:dyDescent="0.3">
      <c r="I623" s="36"/>
      <c r="K623" s="47">
        <f t="shared" si="9"/>
        <v>0.5</v>
      </c>
      <c r="L623" s="41">
        <v>1</v>
      </c>
    </row>
    <row r="624" spans="9:12" x14ac:dyDescent="0.3">
      <c r="I624" s="36"/>
      <c r="K624" s="47">
        <f t="shared" si="9"/>
        <v>0.5</v>
      </c>
      <c r="L624" s="41">
        <v>1</v>
      </c>
    </row>
    <row r="625" spans="9:12" x14ac:dyDescent="0.3">
      <c r="I625" s="36"/>
      <c r="K625" s="47">
        <f t="shared" si="9"/>
        <v>0.5</v>
      </c>
      <c r="L625" s="41">
        <v>1</v>
      </c>
    </row>
    <row r="626" spans="9:12" x14ac:dyDescent="0.3">
      <c r="I626" s="36"/>
      <c r="K626" s="47">
        <f t="shared" si="9"/>
        <v>0.5</v>
      </c>
      <c r="L626" s="41">
        <v>1</v>
      </c>
    </row>
    <row r="627" spans="9:12" x14ac:dyDescent="0.3">
      <c r="I627" s="36"/>
      <c r="K627" s="47">
        <f t="shared" si="9"/>
        <v>0.5</v>
      </c>
      <c r="L627" s="41">
        <v>1</v>
      </c>
    </row>
    <row r="628" spans="9:12" x14ac:dyDescent="0.3">
      <c r="I628" s="36"/>
      <c r="K628" s="47">
        <f t="shared" si="9"/>
        <v>0.5</v>
      </c>
      <c r="L628" s="41">
        <v>1</v>
      </c>
    </row>
    <row r="629" spans="9:12" x14ac:dyDescent="0.3">
      <c r="I629" s="36"/>
      <c r="K629" s="47">
        <f t="shared" si="9"/>
        <v>0.5</v>
      </c>
      <c r="L629" s="41">
        <v>1</v>
      </c>
    </row>
    <row r="630" spans="9:12" x14ac:dyDescent="0.3">
      <c r="I630" s="36"/>
      <c r="K630" s="47">
        <f t="shared" si="9"/>
        <v>0.5</v>
      </c>
      <c r="L630" s="41">
        <v>1</v>
      </c>
    </row>
    <row r="631" spans="9:12" x14ac:dyDescent="0.3">
      <c r="I631" s="36"/>
      <c r="K631" s="47">
        <f t="shared" si="9"/>
        <v>0.5</v>
      </c>
      <c r="L631" s="41">
        <v>1</v>
      </c>
    </row>
    <row r="632" spans="9:12" x14ac:dyDescent="0.3">
      <c r="I632" s="36"/>
      <c r="K632" s="47">
        <f t="shared" si="9"/>
        <v>0.5</v>
      </c>
      <c r="L632" s="41">
        <v>1</v>
      </c>
    </row>
    <row r="633" spans="9:12" x14ac:dyDescent="0.3">
      <c r="I633" s="36"/>
      <c r="K633" s="47">
        <f t="shared" si="9"/>
        <v>0.5</v>
      </c>
      <c r="L633" s="41">
        <v>1</v>
      </c>
    </row>
    <row r="634" spans="9:12" x14ac:dyDescent="0.3">
      <c r="I634" s="36"/>
      <c r="K634" s="47">
        <f t="shared" si="9"/>
        <v>0.5</v>
      </c>
      <c r="L634" s="41">
        <v>1</v>
      </c>
    </row>
    <row r="635" spans="9:12" x14ac:dyDescent="0.3">
      <c r="I635" s="36"/>
      <c r="K635" s="47">
        <f t="shared" si="9"/>
        <v>0.5</v>
      </c>
      <c r="L635" s="41">
        <v>1</v>
      </c>
    </row>
    <row r="636" spans="9:12" x14ac:dyDescent="0.3">
      <c r="I636" s="36"/>
      <c r="K636" s="47">
        <f t="shared" si="9"/>
        <v>0.5</v>
      </c>
      <c r="L636" s="41">
        <v>1</v>
      </c>
    </row>
    <row r="637" spans="9:12" x14ac:dyDescent="0.3">
      <c r="I637" s="36"/>
      <c r="K637" s="47">
        <f t="shared" si="9"/>
        <v>0.5</v>
      </c>
      <c r="L637" s="41">
        <v>1</v>
      </c>
    </row>
    <row r="638" spans="9:12" x14ac:dyDescent="0.3">
      <c r="I638" s="36"/>
      <c r="K638" s="47">
        <f t="shared" si="9"/>
        <v>0.5</v>
      </c>
      <c r="L638" s="41">
        <v>1</v>
      </c>
    </row>
    <row r="639" spans="9:12" x14ac:dyDescent="0.3">
      <c r="I639" s="36"/>
      <c r="K639" s="47">
        <f t="shared" si="9"/>
        <v>0.5</v>
      </c>
      <c r="L639" s="41">
        <v>1</v>
      </c>
    </row>
    <row r="640" spans="9:12" x14ac:dyDescent="0.3">
      <c r="I640" s="36"/>
      <c r="K640" s="47">
        <f t="shared" si="9"/>
        <v>0.5</v>
      </c>
      <c r="L640" s="41">
        <v>1</v>
      </c>
    </row>
    <row r="641" spans="9:12" x14ac:dyDescent="0.3">
      <c r="I641" s="36"/>
      <c r="K641" s="47">
        <f t="shared" si="9"/>
        <v>0.5</v>
      </c>
      <c r="L641" s="41">
        <v>1</v>
      </c>
    </row>
    <row r="642" spans="9:12" x14ac:dyDescent="0.3">
      <c r="I642" s="36"/>
      <c r="K642" s="47">
        <f t="shared" si="9"/>
        <v>0.5</v>
      </c>
      <c r="L642" s="41">
        <v>1</v>
      </c>
    </row>
    <row r="643" spans="9:12" x14ac:dyDescent="0.3">
      <c r="I643" s="36"/>
      <c r="K643" s="47">
        <f t="shared" si="9"/>
        <v>0.5</v>
      </c>
      <c r="L643" s="41">
        <v>1</v>
      </c>
    </row>
    <row r="644" spans="9:12" x14ac:dyDescent="0.3">
      <c r="I644" s="36"/>
      <c r="K644" s="47">
        <f t="shared" si="9"/>
        <v>0.5</v>
      </c>
      <c r="L644" s="41">
        <v>1</v>
      </c>
    </row>
    <row r="645" spans="9:12" x14ac:dyDescent="0.3">
      <c r="I645" s="36"/>
      <c r="K645" s="47">
        <f t="shared" si="9"/>
        <v>0.5</v>
      </c>
      <c r="L645" s="41">
        <v>1</v>
      </c>
    </row>
    <row r="646" spans="9:12" x14ac:dyDescent="0.3">
      <c r="I646" s="36"/>
      <c r="K646" s="47">
        <f t="shared" si="9"/>
        <v>0.5</v>
      </c>
      <c r="L646" s="41">
        <v>1</v>
      </c>
    </row>
    <row r="647" spans="9:12" x14ac:dyDescent="0.3">
      <c r="I647" s="36"/>
      <c r="K647" s="47">
        <f t="shared" si="9"/>
        <v>0.5</v>
      </c>
      <c r="L647" s="41">
        <v>1</v>
      </c>
    </row>
    <row r="648" spans="9:12" x14ac:dyDescent="0.3">
      <c r="I648" s="36"/>
      <c r="K648" s="47">
        <f t="shared" si="9"/>
        <v>0.5</v>
      </c>
      <c r="L648" s="41">
        <v>1</v>
      </c>
    </row>
    <row r="649" spans="9:12" x14ac:dyDescent="0.3">
      <c r="I649" s="36"/>
      <c r="K649" s="47">
        <f t="shared" si="9"/>
        <v>0.5</v>
      </c>
      <c r="L649" s="41">
        <v>1</v>
      </c>
    </row>
    <row r="650" spans="9:12" x14ac:dyDescent="0.3">
      <c r="I650" s="36"/>
      <c r="K650" s="47">
        <f t="shared" si="9"/>
        <v>0.5</v>
      </c>
      <c r="L650" s="41">
        <v>1</v>
      </c>
    </row>
    <row r="651" spans="9:12" x14ac:dyDescent="0.3">
      <c r="I651" s="36"/>
      <c r="K651" s="47">
        <f t="shared" si="9"/>
        <v>0.5</v>
      </c>
      <c r="L651" s="41">
        <v>1</v>
      </c>
    </row>
    <row r="652" spans="9:12" x14ac:dyDescent="0.3">
      <c r="I652" s="36"/>
      <c r="K652" s="47">
        <f t="shared" ref="K652:K715" si="10">IF(D652&lt;=5,0.5,IF(D652&lt;7.5,0.1*D652,0.75))</f>
        <v>0.5</v>
      </c>
      <c r="L652" s="41">
        <v>1</v>
      </c>
    </row>
    <row r="653" spans="9:12" x14ac:dyDescent="0.3">
      <c r="I653" s="36"/>
      <c r="K653" s="47">
        <f t="shared" si="10"/>
        <v>0.5</v>
      </c>
      <c r="L653" s="41">
        <v>1</v>
      </c>
    </row>
    <row r="654" spans="9:12" x14ac:dyDescent="0.3">
      <c r="I654" s="36"/>
      <c r="K654" s="47">
        <f t="shared" si="10"/>
        <v>0.5</v>
      </c>
      <c r="L654" s="41">
        <v>1</v>
      </c>
    </row>
    <row r="655" spans="9:12" x14ac:dyDescent="0.3">
      <c r="I655" s="36"/>
      <c r="K655" s="47">
        <f t="shared" si="10"/>
        <v>0.5</v>
      </c>
      <c r="L655" s="41">
        <v>1</v>
      </c>
    </row>
    <row r="656" spans="9:12" x14ac:dyDescent="0.3">
      <c r="I656" s="36"/>
      <c r="K656" s="47">
        <f t="shared" si="10"/>
        <v>0.5</v>
      </c>
      <c r="L656" s="41">
        <v>1</v>
      </c>
    </row>
    <row r="657" spans="9:12" x14ac:dyDescent="0.3">
      <c r="I657" s="36"/>
      <c r="K657" s="47">
        <f t="shared" si="10"/>
        <v>0.5</v>
      </c>
      <c r="L657" s="41">
        <v>1</v>
      </c>
    </row>
    <row r="658" spans="9:12" x14ac:dyDescent="0.3">
      <c r="I658" s="36"/>
      <c r="K658" s="47">
        <f t="shared" si="10"/>
        <v>0.5</v>
      </c>
      <c r="L658" s="41">
        <v>1</v>
      </c>
    </row>
    <row r="659" spans="9:12" x14ac:dyDescent="0.3">
      <c r="I659" s="36"/>
      <c r="K659" s="47">
        <f t="shared" si="10"/>
        <v>0.5</v>
      </c>
      <c r="L659" s="41">
        <v>1</v>
      </c>
    </row>
    <row r="660" spans="9:12" x14ac:dyDescent="0.3">
      <c r="I660" s="36"/>
      <c r="K660" s="47">
        <f t="shared" si="10"/>
        <v>0.5</v>
      </c>
      <c r="L660" s="41">
        <v>1</v>
      </c>
    </row>
    <row r="661" spans="9:12" x14ac:dyDescent="0.3">
      <c r="I661" s="36"/>
      <c r="K661" s="47">
        <f t="shared" si="10"/>
        <v>0.5</v>
      </c>
      <c r="L661" s="41">
        <v>1</v>
      </c>
    </row>
    <row r="662" spans="9:12" x14ac:dyDescent="0.3">
      <c r="I662" s="36"/>
      <c r="K662" s="47">
        <f t="shared" si="10"/>
        <v>0.5</v>
      </c>
      <c r="L662" s="41">
        <v>1</v>
      </c>
    </row>
    <row r="663" spans="9:12" x14ac:dyDescent="0.3">
      <c r="I663" s="36"/>
      <c r="K663" s="47">
        <f t="shared" si="10"/>
        <v>0.5</v>
      </c>
      <c r="L663" s="41">
        <v>1</v>
      </c>
    </row>
    <row r="664" spans="9:12" x14ac:dyDescent="0.3">
      <c r="I664" s="36"/>
      <c r="K664" s="47">
        <f t="shared" si="10"/>
        <v>0.5</v>
      </c>
      <c r="L664" s="41">
        <v>1</v>
      </c>
    </row>
    <row r="665" spans="9:12" x14ac:dyDescent="0.3">
      <c r="I665" s="36"/>
      <c r="K665" s="47">
        <f t="shared" si="10"/>
        <v>0.5</v>
      </c>
      <c r="L665" s="41">
        <v>1</v>
      </c>
    </row>
    <row r="666" spans="9:12" x14ac:dyDescent="0.3">
      <c r="I666" s="36"/>
      <c r="K666" s="47">
        <f t="shared" si="10"/>
        <v>0.5</v>
      </c>
      <c r="L666" s="41">
        <v>1</v>
      </c>
    </row>
    <row r="667" spans="9:12" x14ac:dyDescent="0.3">
      <c r="I667" s="36"/>
      <c r="K667" s="47">
        <f t="shared" si="10"/>
        <v>0.5</v>
      </c>
      <c r="L667" s="41">
        <v>1</v>
      </c>
    </row>
    <row r="668" spans="9:12" x14ac:dyDescent="0.3">
      <c r="I668" s="36"/>
      <c r="K668" s="47">
        <f t="shared" si="10"/>
        <v>0.5</v>
      </c>
      <c r="L668" s="41">
        <v>1</v>
      </c>
    </row>
    <row r="669" spans="9:12" x14ac:dyDescent="0.3">
      <c r="I669" s="36"/>
      <c r="K669" s="47">
        <f t="shared" si="10"/>
        <v>0.5</v>
      </c>
      <c r="L669" s="41">
        <v>1</v>
      </c>
    </row>
    <row r="670" spans="9:12" x14ac:dyDescent="0.3">
      <c r="I670" s="36"/>
      <c r="K670" s="47">
        <f t="shared" si="10"/>
        <v>0.5</v>
      </c>
      <c r="L670" s="41">
        <v>1</v>
      </c>
    </row>
    <row r="671" spans="9:12" x14ac:dyDescent="0.3">
      <c r="I671" s="36"/>
      <c r="K671" s="47">
        <f t="shared" si="10"/>
        <v>0.5</v>
      </c>
      <c r="L671" s="41">
        <v>1</v>
      </c>
    </row>
    <row r="672" spans="9:12" x14ac:dyDescent="0.3">
      <c r="I672" s="36"/>
      <c r="K672" s="47">
        <f t="shared" si="10"/>
        <v>0.5</v>
      </c>
      <c r="L672" s="41">
        <v>1</v>
      </c>
    </row>
    <row r="673" spans="9:12" x14ac:dyDescent="0.3">
      <c r="I673" s="36"/>
      <c r="K673" s="47">
        <f t="shared" si="10"/>
        <v>0.5</v>
      </c>
      <c r="L673" s="41">
        <v>1</v>
      </c>
    </row>
    <row r="674" spans="9:12" x14ac:dyDescent="0.3">
      <c r="I674" s="36"/>
      <c r="K674" s="47">
        <f t="shared" si="10"/>
        <v>0.5</v>
      </c>
      <c r="L674" s="41">
        <v>1</v>
      </c>
    </row>
    <row r="675" spans="9:12" x14ac:dyDescent="0.3">
      <c r="I675" s="36"/>
      <c r="K675" s="47">
        <f t="shared" si="10"/>
        <v>0.5</v>
      </c>
      <c r="L675" s="41">
        <v>1</v>
      </c>
    </row>
    <row r="676" spans="9:12" x14ac:dyDescent="0.3">
      <c r="I676" s="36"/>
      <c r="K676" s="47">
        <f t="shared" si="10"/>
        <v>0.5</v>
      </c>
      <c r="L676" s="41">
        <v>1</v>
      </c>
    </row>
    <row r="677" spans="9:12" x14ac:dyDescent="0.3">
      <c r="I677" s="36"/>
      <c r="K677" s="47">
        <f t="shared" si="10"/>
        <v>0.5</v>
      </c>
      <c r="L677" s="41">
        <v>1</v>
      </c>
    </row>
    <row r="678" spans="9:12" x14ac:dyDescent="0.3">
      <c r="I678" s="36"/>
      <c r="K678" s="47">
        <f t="shared" si="10"/>
        <v>0.5</v>
      </c>
      <c r="L678" s="41">
        <v>1</v>
      </c>
    </row>
    <row r="679" spans="9:12" x14ac:dyDescent="0.3">
      <c r="I679" s="36"/>
      <c r="K679" s="47">
        <f t="shared" si="10"/>
        <v>0.5</v>
      </c>
      <c r="L679" s="41">
        <v>1</v>
      </c>
    </row>
    <row r="680" spans="9:12" x14ac:dyDescent="0.3">
      <c r="I680" s="36"/>
      <c r="K680" s="47">
        <f t="shared" si="10"/>
        <v>0.5</v>
      </c>
      <c r="L680" s="41">
        <v>1</v>
      </c>
    </row>
    <row r="681" spans="9:12" x14ac:dyDescent="0.3">
      <c r="I681" s="36"/>
      <c r="K681" s="47">
        <f t="shared" si="10"/>
        <v>0.5</v>
      </c>
      <c r="L681" s="41">
        <v>1</v>
      </c>
    </row>
    <row r="682" spans="9:12" x14ac:dyDescent="0.3">
      <c r="I682" s="36"/>
      <c r="K682" s="47">
        <f t="shared" si="10"/>
        <v>0.5</v>
      </c>
      <c r="L682" s="41">
        <v>1</v>
      </c>
    </row>
    <row r="683" spans="9:12" x14ac:dyDescent="0.3">
      <c r="I683" s="36"/>
      <c r="K683" s="47">
        <f t="shared" si="10"/>
        <v>0.5</v>
      </c>
      <c r="L683" s="41">
        <v>1</v>
      </c>
    </row>
    <row r="684" spans="9:12" x14ac:dyDescent="0.3">
      <c r="I684" s="36"/>
      <c r="K684" s="47">
        <f t="shared" si="10"/>
        <v>0.5</v>
      </c>
      <c r="L684" s="41">
        <v>1</v>
      </c>
    </row>
    <row r="685" spans="9:12" x14ac:dyDescent="0.3">
      <c r="I685" s="36"/>
      <c r="K685" s="47">
        <f t="shared" si="10"/>
        <v>0.5</v>
      </c>
      <c r="L685" s="41">
        <v>1</v>
      </c>
    </row>
    <row r="686" spans="9:12" x14ac:dyDescent="0.3">
      <c r="I686" s="36"/>
      <c r="K686" s="47">
        <f t="shared" si="10"/>
        <v>0.5</v>
      </c>
      <c r="L686" s="41">
        <v>1</v>
      </c>
    </row>
    <row r="687" spans="9:12" x14ac:dyDescent="0.3">
      <c r="I687" s="36"/>
      <c r="K687" s="47">
        <f t="shared" si="10"/>
        <v>0.5</v>
      </c>
      <c r="L687" s="41">
        <v>1</v>
      </c>
    </row>
    <row r="688" spans="9:12" x14ac:dyDescent="0.3">
      <c r="I688" s="36"/>
      <c r="K688" s="47">
        <f t="shared" si="10"/>
        <v>0.5</v>
      </c>
      <c r="L688" s="41">
        <v>1</v>
      </c>
    </row>
    <row r="689" spans="9:12" x14ac:dyDescent="0.3">
      <c r="I689" s="36"/>
      <c r="K689" s="47">
        <f t="shared" si="10"/>
        <v>0.5</v>
      </c>
      <c r="L689" s="41">
        <v>1</v>
      </c>
    </row>
    <row r="690" spans="9:12" x14ac:dyDescent="0.3">
      <c r="I690" s="36"/>
      <c r="K690" s="47">
        <f t="shared" si="10"/>
        <v>0.5</v>
      </c>
      <c r="L690" s="41">
        <v>1</v>
      </c>
    </row>
    <row r="691" spans="9:12" x14ac:dyDescent="0.3">
      <c r="I691" s="36"/>
      <c r="K691" s="47">
        <f t="shared" si="10"/>
        <v>0.5</v>
      </c>
      <c r="L691" s="41">
        <v>1</v>
      </c>
    </row>
    <row r="692" spans="9:12" x14ac:dyDescent="0.3">
      <c r="I692" s="36"/>
      <c r="K692" s="47">
        <f t="shared" si="10"/>
        <v>0.5</v>
      </c>
      <c r="L692" s="41">
        <v>1</v>
      </c>
    </row>
    <row r="693" spans="9:12" x14ac:dyDescent="0.3">
      <c r="I693" s="36"/>
      <c r="K693" s="47">
        <f t="shared" si="10"/>
        <v>0.5</v>
      </c>
      <c r="L693" s="41">
        <v>1</v>
      </c>
    </row>
    <row r="694" spans="9:12" x14ac:dyDescent="0.3">
      <c r="I694" s="36"/>
      <c r="K694" s="47">
        <f t="shared" si="10"/>
        <v>0.5</v>
      </c>
      <c r="L694" s="41">
        <v>1</v>
      </c>
    </row>
    <row r="695" spans="9:12" x14ac:dyDescent="0.3">
      <c r="I695" s="36"/>
      <c r="K695" s="47">
        <f t="shared" si="10"/>
        <v>0.5</v>
      </c>
      <c r="L695" s="41">
        <v>1</v>
      </c>
    </row>
    <row r="696" spans="9:12" x14ac:dyDescent="0.3">
      <c r="I696" s="36"/>
      <c r="K696" s="47">
        <f t="shared" si="10"/>
        <v>0.5</v>
      </c>
      <c r="L696" s="41">
        <v>1</v>
      </c>
    </row>
    <row r="697" spans="9:12" x14ac:dyDescent="0.3">
      <c r="I697" s="36"/>
      <c r="K697" s="47">
        <f t="shared" si="10"/>
        <v>0.5</v>
      </c>
      <c r="L697" s="41">
        <v>1</v>
      </c>
    </row>
    <row r="698" spans="9:12" x14ac:dyDescent="0.3">
      <c r="I698" s="36"/>
      <c r="K698" s="47">
        <f t="shared" si="10"/>
        <v>0.5</v>
      </c>
      <c r="L698" s="41">
        <v>1</v>
      </c>
    </row>
    <row r="699" spans="9:12" x14ac:dyDescent="0.3">
      <c r="I699" s="36"/>
      <c r="K699" s="47">
        <f t="shared" si="10"/>
        <v>0.5</v>
      </c>
      <c r="L699" s="41">
        <v>1</v>
      </c>
    </row>
    <row r="700" spans="9:12" x14ac:dyDescent="0.3">
      <c r="I700" s="36"/>
      <c r="K700" s="47">
        <f t="shared" si="10"/>
        <v>0.5</v>
      </c>
      <c r="L700" s="41">
        <v>1</v>
      </c>
    </row>
    <row r="701" spans="9:12" x14ac:dyDescent="0.3">
      <c r="I701" s="36"/>
      <c r="K701" s="47">
        <f t="shared" si="10"/>
        <v>0.5</v>
      </c>
      <c r="L701" s="41">
        <v>1</v>
      </c>
    </row>
    <row r="702" spans="9:12" x14ac:dyDescent="0.3">
      <c r="I702" s="36"/>
      <c r="K702" s="47">
        <f t="shared" si="10"/>
        <v>0.5</v>
      </c>
      <c r="L702" s="41">
        <v>1</v>
      </c>
    </row>
    <row r="703" spans="9:12" x14ac:dyDescent="0.3">
      <c r="I703" s="36"/>
      <c r="K703" s="47">
        <f t="shared" si="10"/>
        <v>0.5</v>
      </c>
      <c r="L703" s="41">
        <v>1</v>
      </c>
    </row>
    <row r="704" spans="9:12" x14ac:dyDescent="0.3">
      <c r="I704" s="36"/>
      <c r="K704" s="47">
        <f t="shared" si="10"/>
        <v>0.5</v>
      </c>
      <c r="L704" s="41">
        <v>1</v>
      </c>
    </row>
    <row r="705" spans="9:12" x14ac:dyDescent="0.3">
      <c r="I705" s="36"/>
      <c r="K705" s="47">
        <f t="shared" si="10"/>
        <v>0.5</v>
      </c>
      <c r="L705" s="41">
        <v>1</v>
      </c>
    </row>
    <row r="706" spans="9:12" x14ac:dyDescent="0.3">
      <c r="I706" s="36"/>
      <c r="K706" s="47">
        <f t="shared" si="10"/>
        <v>0.5</v>
      </c>
      <c r="L706" s="41">
        <v>1</v>
      </c>
    </row>
    <row r="707" spans="9:12" x14ac:dyDescent="0.3">
      <c r="I707" s="36"/>
      <c r="K707" s="47">
        <f t="shared" si="10"/>
        <v>0.5</v>
      </c>
      <c r="L707" s="41">
        <v>1</v>
      </c>
    </row>
    <row r="708" spans="9:12" x14ac:dyDescent="0.3">
      <c r="I708" s="36"/>
      <c r="K708" s="47">
        <f t="shared" si="10"/>
        <v>0.5</v>
      </c>
      <c r="L708" s="41">
        <v>1</v>
      </c>
    </row>
    <row r="709" spans="9:12" x14ac:dyDescent="0.3">
      <c r="I709" s="36"/>
      <c r="K709" s="47">
        <f t="shared" si="10"/>
        <v>0.5</v>
      </c>
      <c r="L709" s="41">
        <v>1</v>
      </c>
    </row>
    <row r="710" spans="9:12" x14ac:dyDescent="0.3">
      <c r="I710" s="36"/>
      <c r="K710" s="47">
        <f t="shared" si="10"/>
        <v>0.5</v>
      </c>
      <c r="L710" s="41">
        <v>1</v>
      </c>
    </row>
    <row r="711" spans="9:12" x14ac:dyDescent="0.3">
      <c r="I711" s="36"/>
      <c r="K711" s="47">
        <f t="shared" si="10"/>
        <v>0.5</v>
      </c>
      <c r="L711" s="41">
        <v>1</v>
      </c>
    </row>
    <row r="712" spans="9:12" x14ac:dyDescent="0.3">
      <c r="I712" s="36"/>
      <c r="K712" s="47">
        <f t="shared" si="10"/>
        <v>0.5</v>
      </c>
      <c r="L712" s="41">
        <v>1</v>
      </c>
    </row>
    <row r="713" spans="9:12" x14ac:dyDescent="0.3">
      <c r="I713" s="36"/>
      <c r="K713" s="47">
        <f t="shared" si="10"/>
        <v>0.5</v>
      </c>
      <c r="L713" s="41">
        <v>1</v>
      </c>
    </row>
    <row r="714" spans="9:12" x14ac:dyDescent="0.3">
      <c r="I714" s="36"/>
      <c r="K714" s="47">
        <f t="shared" si="10"/>
        <v>0.5</v>
      </c>
      <c r="L714" s="41">
        <v>1</v>
      </c>
    </row>
    <row r="715" spans="9:12" x14ac:dyDescent="0.3">
      <c r="I715" s="36"/>
      <c r="K715" s="47">
        <f t="shared" si="10"/>
        <v>0.5</v>
      </c>
      <c r="L715" s="41">
        <v>1</v>
      </c>
    </row>
    <row r="716" spans="9:12" x14ac:dyDescent="0.3">
      <c r="I716" s="36"/>
      <c r="K716" s="47">
        <f t="shared" ref="K716:K779" si="11">IF(D716&lt;=5,0.5,IF(D716&lt;7.5,0.1*D716,0.75))</f>
        <v>0.5</v>
      </c>
      <c r="L716" s="41">
        <v>1</v>
      </c>
    </row>
    <row r="717" spans="9:12" x14ac:dyDescent="0.3">
      <c r="I717" s="36"/>
      <c r="K717" s="47">
        <f t="shared" si="11"/>
        <v>0.5</v>
      </c>
      <c r="L717" s="41">
        <v>1</v>
      </c>
    </row>
    <row r="718" spans="9:12" x14ac:dyDescent="0.3">
      <c r="I718" s="36"/>
      <c r="K718" s="47">
        <f t="shared" si="11"/>
        <v>0.5</v>
      </c>
      <c r="L718" s="41">
        <v>1</v>
      </c>
    </row>
    <row r="719" spans="9:12" x14ac:dyDescent="0.3">
      <c r="I719" s="36"/>
      <c r="K719" s="47">
        <f t="shared" si="11"/>
        <v>0.5</v>
      </c>
      <c r="L719" s="41">
        <v>1</v>
      </c>
    </row>
    <row r="720" spans="9:12" x14ac:dyDescent="0.3">
      <c r="I720" s="36"/>
      <c r="K720" s="47">
        <f t="shared" si="11"/>
        <v>0.5</v>
      </c>
      <c r="L720" s="41">
        <v>1</v>
      </c>
    </row>
    <row r="721" spans="9:12" x14ac:dyDescent="0.3">
      <c r="I721" s="36"/>
      <c r="K721" s="47">
        <f t="shared" si="11"/>
        <v>0.5</v>
      </c>
      <c r="L721" s="41">
        <v>1</v>
      </c>
    </row>
    <row r="722" spans="9:12" x14ac:dyDescent="0.3">
      <c r="I722" s="36"/>
      <c r="K722" s="47">
        <f t="shared" si="11"/>
        <v>0.5</v>
      </c>
      <c r="L722" s="41">
        <v>1</v>
      </c>
    </row>
    <row r="723" spans="9:12" x14ac:dyDescent="0.3">
      <c r="I723" s="36"/>
      <c r="K723" s="47">
        <f t="shared" si="11"/>
        <v>0.5</v>
      </c>
      <c r="L723" s="41">
        <v>1</v>
      </c>
    </row>
    <row r="724" spans="9:12" x14ac:dyDescent="0.3">
      <c r="I724" s="36"/>
      <c r="K724" s="47">
        <f t="shared" si="11"/>
        <v>0.5</v>
      </c>
      <c r="L724" s="41">
        <v>1</v>
      </c>
    </row>
    <row r="725" spans="9:12" x14ac:dyDescent="0.3">
      <c r="I725" s="36"/>
      <c r="K725" s="47">
        <f t="shared" si="11"/>
        <v>0.5</v>
      </c>
      <c r="L725" s="41">
        <v>1</v>
      </c>
    </row>
    <row r="726" spans="9:12" x14ac:dyDescent="0.3">
      <c r="I726" s="36"/>
      <c r="K726" s="47">
        <f t="shared" si="11"/>
        <v>0.5</v>
      </c>
      <c r="L726" s="41">
        <v>1</v>
      </c>
    </row>
    <row r="727" spans="9:12" x14ac:dyDescent="0.3">
      <c r="I727" s="36"/>
      <c r="K727" s="47">
        <f t="shared" si="11"/>
        <v>0.5</v>
      </c>
      <c r="L727" s="41">
        <v>1</v>
      </c>
    </row>
    <row r="728" spans="9:12" x14ac:dyDescent="0.3">
      <c r="I728" s="36"/>
      <c r="K728" s="47">
        <f t="shared" si="11"/>
        <v>0.5</v>
      </c>
      <c r="L728" s="41">
        <v>1</v>
      </c>
    </row>
    <row r="729" spans="9:12" x14ac:dyDescent="0.3">
      <c r="I729" s="36"/>
      <c r="K729" s="47">
        <f t="shared" si="11"/>
        <v>0.5</v>
      </c>
      <c r="L729" s="41">
        <v>1</v>
      </c>
    </row>
    <row r="730" spans="9:12" x14ac:dyDescent="0.3">
      <c r="I730" s="36"/>
      <c r="K730" s="47">
        <f t="shared" si="11"/>
        <v>0.5</v>
      </c>
      <c r="L730" s="41">
        <v>1</v>
      </c>
    </row>
    <row r="731" spans="9:12" x14ac:dyDescent="0.3">
      <c r="I731" s="36"/>
      <c r="K731" s="47">
        <f t="shared" si="11"/>
        <v>0.5</v>
      </c>
      <c r="L731" s="41">
        <v>1</v>
      </c>
    </row>
    <row r="732" spans="9:12" x14ac:dyDescent="0.3">
      <c r="I732" s="36"/>
      <c r="K732" s="47">
        <f t="shared" si="11"/>
        <v>0.5</v>
      </c>
      <c r="L732" s="41">
        <v>1</v>
      </c>
    </row>
    <row r="733" spans="9:12" x14ac:dyDescent="0.3">
      <c r="I733" s="36"/>
      <c r="K733" s="47">
        <f t="shared" si="11"/>
        <v>0.5</v>
      </c>
      <c r="L733" s="41">
        <v>1</v>
      </c>
    </row>
    <row r="734" spans="9:12" x14ac:dyDescent="0.3">
      <c r="I734" s="36"/>
      <c r="K734" s="47">
        <f t="shared" si="11"/>
        <v>0.5</v>
      </c>
      <c r="L734" s="41">
        <v>1</v>
      </c>
    </row>
    <row r="735" spans="9:12" x14ac:dyDescent="0.3">
      <c r="I735" s="36"/>
      <c r="K735" s="47">
        <f t="shared" si="11"/>
        <v>0.5</v>
      </c>
      <c r="L735" s="41">
        <v>1</v>
      </c>
    </row>
    <row r="736" spans="9:12" x14ac:dyDescent="0.3">
      <c r="I736" s="36"/>
      <c r="K736" s="47">
        <f t="shared" si="11"/>
        <v>0.5</v>
      </c>
      <c r="L736" s="41">
        <v>1</v>
      </c>
    </row>
    <row r="737" spans="9:12" x14ac:dyDescent="0.3">
      <c r="I737" s="36"/>
      <c r="K737" s="47">
        <f t="shared" si="11"/>
        <v>0.5</v>
      </c>
      <c r="L737" s="41">
        <v>1</v>
      </c>
    </row>
    <row r="738" spans="9:12" x14ac:dyDescent="0.3">
      <c r="I738" s="36"/>
      <c r="K738" s="47">
        <f t="shared" si="11"/>
        <v>0.5</v>
      </c>
      <c r="L738" s="41">
        <v>1</v>
      </c>
    </row>
    <row r="739" spans="9:12" x14ac:dyDescent="0.3">
      <c r="I739" s="36"/>
      <c r="K739" s="47">
        <f t="shared" si="11"/>
        <v>0.5</v>
      </c>
      <c r="L739" s="41">
        <v>1</v>
      </c>
    </row>
    <row r="740" spans="9:12" x14ac:dyDescent="0.3">
      <c r="I740" s="36"/>
      <c r="K740" s="47">
        <f t="shared" si="11"/>
        <v>0.5</v>
      </c>
      <c r="L740" s="41">
        <v>1</v>
      </c>
    </row>
    <row r="741" spans="9:12" x14ac:dyDescent="0.3">
      <c r="I741" s="36"/>
      <c r="K741" s="47">
        <f t="shared" si="11"/>
        <v>0.5</v>
      </c>
      <c r="L741" s="41">
        <v>1</v>
      </c>
    </row>
    <row r="742" spans="9:12" x14ac:dyDescent="0.3">
      <c r="I742" s="36"/>
      <c r="K742" s="47">
        <f t="shared" si="11"/>
        <v>0.5</v>
      </c>
      <c r="L742" s="41">
        <v>1</v>
      </c>
    </row>
    <row r="743" spans="9:12" x14ac:dyDescent="0.3">
      <c r="I743" s="36"/>
      <c r="K743" s="47">
        <f t="shared" si="11"/>
        <v>0.5</v>
      </c>
      <c r="L743" s="41">
        <v>1</v>
      </c>
    </row>
    <row r="744" spans="9:12" x14ac:dyDescent="0.3">
      <c r="I744" s="36"/>
      <c r="K744" s="47">
        <f t="shared" si="11"/>
        <v>0.5</v>
      </c>
      <c r="L744" s="41">
        <v>1</v>
      </c>
    </row>
    <row r="745" spans="9:12" x14ac:dyDescent="0.3">
      <c r="I745" s="36"/>
      <c r="K745" s="47">
        <f t="shared" si="11"/>
        <v>0.5</v>
      </c>
      <c r="L745" s="41">
        <v>1</v>
      </c>
    </row>
    <row r="746" spans="9:12" x14ac:dyDescent="0.3">
      <c r="I746" s="36"/>
      <c r="K746" s="47">
        <f t="shared" si="11"/>
        <v>0.5</v>
      </c>
      <c r="L746" s="41">
        <v>1</v>
      </c>
    </row>
    <row r="747" spans="9:12" x14ac:dyDescent="0.3">
      <c r="I747" s="36"/>
      <c r="K747" s="47">
        <f t="shared" si="11"/>
        <v>0.5</v>
      </c>
      <c r="L747" s="41">
        <v>1</v>
      </c>
    </row>
    <row r="748" spans="9:12" x14ac:dyDescent="0.3">
      <c r="I748" s="36"/>
      <c r="K748" s="47">
        <f t="shared" si="11"/>
        <v>0.5</v>
      </c>
      <c r="L748" s="41">
        <v>1</v>
      </c>
    </row>
    <row r="749" spans="9:12" x14ac:dyDescent="0.3">
      <c r="I749" s="36"/>
      <c r="K749" s="47">
        <f t="shared" si="11"/>
        <v>0.5</v>
      </c>
      <c r="L749" s="41">
        <v>1</v>
      </c>
    </row>
    <row r="750" spans="9:12" x14ac:dyDescent="0.3">
      <c r="I750" s="36"/>
      <c r="K750" s="47">
        <f t="shared" si="11"/>
        <v>0.5</v>
      </c>
      <c r="L750" s="41">
        <v>1</v>
      </c>
    </row>
    <row r="751" spans="9:12" x14ac:dyDescent="0.3">
      <c r="I751" s="36"/>
      <c r="K751" s="47">
        <f t="shared" si="11"/>
        <v>0.5</v>
      </c>
      <c r="L751" s="41">
        <v>1</v>
      </c>
    </row>
    <row r="752" spans="9:12" x14ac:dyDescent="0.3">
      <c r="I752" s="36"/>
      <c r="K752" s="47">
        <f t="shared" si="11"/>
        <v>0.5</v>
      </c>
      <c r="L752" s="41">
        <v>1</v>
      </c>
    </row>
    <row r="753" spans="9:12" x14ac:dyDescent="0.3">
      <c r="I753" s="36"/>
      <c r="K753" s="47">
        <f t="shared" si="11"/>
        <v>0.5</v>
      </c>
      <c r="L753" s="41">
        <v>1</v>
      </c>
    </row>
    <row r="754" spans="9:12" x14ac:dyDescent="0.3">
      <c r="I754" s="36"/>
      <c r="K754" s="47">
        <f t="shared" si="11"/>
        <v>0.5</v>
      </c>
      <c r="L754" s="41">
        <v>1</v>
      </c>
    </row>
    <row r="755" spans="9:12" x14ac:dyDescent="0.3">
      <c r="I755" s="36"/>
      <c r="K755" s="47">
        <f t="shared" si="11"/>
        <v>0.5</v>
      </c>
      <c r="L755" s="41">
        <v>1</v>
      </c>
    </row>
    <row r="756" spans="9:12" x14ac:dyDescent="0.3">
      <c r="I756" s="36"/>
      <c r="K756" s="47">
        <f t="shared" si="11"/>
        <v>0.5</v>
      </c>
      <c r="L756" s="41">
        <v>1</v>
      </c>
    </row>
    <row r="757" spans="9:12" x14ac:dyDescent="0.3">
      <c r="I757" s="36"/>
      <c r="K757" s="47">
        <f t="shared" si="11"/>
        <v>0.5</v>
      </c>
      <c r="L757" s="41">
        <v>1</v>
      </c>
    </row>
    <row r="758" spans="9:12" x14ac:dyDescent="0.3">
      <c r="I758" s="36"/>
      <c r="K758" s="47">
        <f t="shared" si="11"/>
        <v>0.5</v>
      </c>
      <c r="L758" s="41">
        <v>1</v>
      </c>
    </row>
    <row r="759" spans="9:12" x14ac:dyDescent="0.3">
      <c r="I759" s="36"/>
      <c r="K759" s="47">
        <f t="shared" si="11"/>
        <v>0.5</v>
      </c>
      <c r="L759" s="41">
        <v>1</v>
      </c>
    </row>
    <row r="760" spans="9:12" x14ac:dyDescent="0.3">
      <c r="I760" s="36"/>
      <c r="K760" s="47">
        <f t="shared" si="11"/>
        <v>0.5</v>
      </c>
      <c r="L760" s="41">
        <v>1</v>
      </c>
    </row>
    <row r="761" spans="9:12" x14ac:dyDescent="0.3">
      <c r="I761" s="36"/>
      <c r="K761" s="47">
        <f t="shared" si="11"/>
        <v>0.5</v>
      </c>
      <c r="L761" s="41">
        <v>1</v>
      </c>
    </row>
    <row r="762" spans="9:12" x14ac:dyDescent="0.3">
      <c r="I762" s="36"/>
      <c r="K762" s="47">
        <f t="shared" si="11"/>
        <v>0.5</v>
      </c>
      <c r="L762" s="41">
        <v>1</v>
      </c>
    </row>
    <row r="763" spans="9:12" x14ac:dyDescent="0.3">
      <c r="I763" s="36"/>
      <c r="K763" s="47">
        <f t="shared" si="11"/>
        <v>0.5</v>
      </c>
      <c r="L763" s="41">
        <v>1</v>
      </c>
    </row>
    <row r="764" spans="9:12" x14ac:dyDescent="0.3">
      <c r="I764" s="36"/>
      <c r="K764" s="47">
        <f t="shared" si="11"/>
        <v>0.5</v>
      </c>
      <c r="L764" s="41">
        <v>1</v>
      </c>
    </row>
    <row r="765" spans="9:12" x14ac:dyDescent="0.3">
      <c r="I765" s="36"/>
      <c r="K765" s="47">
        <f t="shared" si="11"/>
        <v>0.5</v>
      </c>
      <c r="L765" s="41">
        <v>1</v>
      </c>
    </row>
    <row r="766" spans="9:12" x14ac:dyDescent="0.3">
      <c r="I766" s="36"/>
      <c r="K766" s="47">
        <f t="shared" si="11"/>
        <v>0.5</v>
      </c>
      <c r="L766" s="41">
        <v>1</v>
      </c>
    </row>
    <row r="767" spans="9:12" x14ac:dyDescent="0.3">
      <c r="I767" s="36"/>
      <c r="K767" s="47">
        <f t="shared" si="11"/>
        <v>0.5</v>
      </c>
      <c r="L767" s="41">
        <v>1</v>
      </c>
    </row>
    <row r="768" spans="9:12" x14ac:dyDescent="0.3">
      <c r="I768" s="36"/>
      <c r="K768" s="47">
        <f t="shared" si="11"/>
        <v>0.5</v>
      </c>
      <c r="L768" s="41">
        <v>1</v>
      </c>
    </row>
    <row r="769" spans="9:12" x14ac:dyDescent="0.3">
      <c r="I769" s="36"/>
      <c r="K769" s="47">
        <f t="shared" si="11"/>
        <v>0.5</v>
      </c>
      <c r="L769" s="41">
        <v>1</v>
      </c>
    </row>
    <row r="770" spans="9:12" x14ac:dyDescent="0.3">
      <c r="I770" s="36"/>
      <c r="K770" s="47">
        <f t="shared" si="11"/>
        <v>0.5</v>
      </c>
      <c r="L770" s="41">
        <v>1</v>
      </c>
    </row>
    <row r="771" spans="9:12" x14ac:dyDescent="0.3">
      <c r="I771" s="36"/>
      <c r="K771" s="47">
        <f t="shared" si="11"/>
        <v>0.5</v>
      </c>
      <c r="L771" s="41">
        <v>1</v>
      </c>
    </row>
    <row r="772" spans="9:12" x14ac:dyDescent="0.3">
      <c r="I772" s="36"/>
      <c r="K772" s="47">
        <f t="shared" si="11"/>
        <v>0.5</v>
      </c>
      <c r="L772" s="41">
        <v>1</v>
      </c>
    </row>
    <row r="773" spans="9:12" x14ac:dyDescent="0.3">
      <c r="I773" s="36"/>
      <c r="K773" s="47">
        <f t="shared" si="11"/>
        <v>0.5</v>
      </c>
      <c r="L773" s="41">
        <v>1</v>
      </c>
    </row>
    <row r="774" spans="9:12" x14ac:dyDescent="0.3">
      <c r="I774" s="36"/>
      <c r="K774" s="47">
        <f t="shared" si="11"/>
        <v>0.5</v>
      </c>
      <c r="L774" s="41">
        <v>1</v>
      </c>
    </row>
    <row r="775" spans="9:12" x14ac:dyDescent="0.3">
      <c r="I775" s="36"/>
      <c r="K775" s="47">
        <f t="shared" si="11"/>
        <v>0.5</v>
      </c>
      <c r="L775" s="41">
        <v>1</v>
      </c>
    </row>
    <row r="776" spans="9:12" x14ac:dyDescent="0.3">
      <c r="I776" s="36"/>
      <c r="K776" s="47">
        <f t="shared" si="11"/>
        <v>0.5</v>
      </c>
      <c r="L776" s="41">
        <v>1</v>
      </c>
    </row>
    <row r="777" spans="9:12" x14ac:dyDescent="0.3">
      <c r="I777" s="36"/>
      <c r="K777" s="47">
        <f t="shared" si="11"/>
        <v>0.5</v>
      </c>
      <c r="L777" s="41">
        <v>1</v>
      </c>
    </row>
    <row r="778" spans="9:12" x14ac:dyDescent="0.3">
      <c r="I778" s="36"/>
      <c r="K778" s="47">
        <f t="shared" si="11"/>
        <v>0.5</v>
      </c>
      <c r="L778" s="41">
        <v>1</v>
      </c>
    </row>
    <row r="779" spans="9:12" x14ac:dyDescent="0.3">
      <c r="I779" s="36"/>
      <c r="K779" s="47">
        <f t="shared" si="11"/>
        <v>0.5</v>
      </c>
      <c r="L779" s="41">
        <v>1</v>
      </c>
    </row>
    <row r="780" spans="9:12" x14ac:dyDescent="0.3">
      <c r="I780" s="36"/>
      <c r="K780" s="47">
        <f t="shared" ref="K780:K843" si="12">IF(D780&lt;=5,0.5,IF(D780&lt;7.5,0.1*D780,0.75))</f>
        <v>0.5</v>
      </c>
      <c r="L780" s="41">
        <v>1</v>
      </c>
    </row>
    <row r="781" spans="9:12" x14ac:dyDescent="0.3">
      <c r="I781" s="36"/>
      <c r="K781" s="47">
        <f t="shared" si="12"/>
        <v>0.5</v>
      </c>
      <c r="L781" s="41">
        <v>1</v>
      </c>
    </row>
    <row r="782" spans="9:12" x14ac:dyDescent="0.3">
      <c r="I782" s="36"/>
      <c r="K782" s="47">
        <f t="shared" si="12"/>
        <v>0.5</v>
      </c>
      <c r="L782" s="41">
        <v>1</v>
      </c>
    </row>
    <row r="783" spans="9:12" x14ac:dyDescent="0.3">
      <c r="I783" s="36"/>
      <c r="K783" s="47">
        <f t="shared" si="12"/>
        <v>0.5</v>
      </c>
      <c r="L783" s="41">
        <v>1</v>
      </c>
    </row>
    <row r="784" spans="9:12" x14ac:dyDescent="0.3">
      <c r="I784" s="36"/>
      <c r="K784" s="47">
        <f t="shared" si="12"/>
        <v>0.5</v>
      </c>
      <c r="L784" s="41">
        <v>1</v>
      </c>
    </row>
    <row r="785" spans="9:12" x14ac:dyDescent="0.3">
      <c r="I785" s="36"/>
      <c r="K785" s="47">
        <f t="shared" si="12"/>
        <v>0.5</v>
      </c>
      <c r="L785" s="41">
        <v>1</v>
      </c>
    </row>
    <row r="786" spans="9:12" x14ac:dyDescent="0.3">
      <c r="I786" s="36"/>
      <c r="K786" s="47">
        <f t="shared" si="12"/>
        <v>0.5</v>
      </c>
      <c r="L786" s="41">
        <v>1</v>
      </c>
    </row>
    <row r="787" spans="9:12" x14ac:dyDescent="0.3">
      <c r="I787" s="36"/>
      <c r="K787" s="47">
        <f t="shared" si="12"/>
        <v>0.5</v>
      </c>
      <c r="L787" s="41">
        <v>1</v>
      </c>
    </row>
    <row r="788" spans="9:12" x14ac:dyDescent="0.3">
      <c r="I788" s="36"/>
      <c r="K788" s="47">
        <f t="shared" si="12"/>
        <v>0.5</v>
      </c>
      <c r="L788" s="41">
        <v>1</v>
      </c>
    </row>
    <row r="789" spans="9:12" x14ac:dyDescent="0.3">
      <c r="I789" s="36"/>
      <c r="K789" s="47">
        <f t="shared" si="12"/>
        <v>0.5</v>
      </c>
      <c r="L789" s="41">
        <v>1</v>
      </c>
    </row>
    <row r="790" spans="9:12" x14ac:dyDescent="0.3">
      <c r="I790" s="36"/>
      <c r="K790" s="47">
        <f t="shared" si="12"/>
        <v>0.5</v>
      </c>
      <c r="L790" s="41">
        <v>1</v>
      </c>
    </row>
    <row r="791" spans="9:12" x14ac:dyDescent="0.3">
      <c r="I791" s="36"/>
      <c r="K791" s="47">
        <f t="shared" si="12"/>
        <v>0.5</v>
      </c>
      <c r="L791" s="41">
        <v>1</v>
      </c>
    </row>
    <row r="792" spans="9:12" x14ac:dyDescent="0.3">
      <c r="I792" s="36"/>
      <c r="K792" s="47">
        <f t="shared" si="12"/>
        <v>0.5</v>
      </c>
      <c r="L792" s="41">
        <v>1</v>
      </c>
    </row>
    <row r="793" spans="9:12" x14ac:dyDescent="0.3">
      <c r="I793" s="36"/>
      <c r="K793" s="47">
        <f t="shared" si="12"/>
        <v>0.5</v>
      </c>
      <c r="L793" s="41">
        <v>1</v>
      </c>
    </row>
    <row r="794" spans="9:12" x14ac:dyDescent="0.3">
      <c r="I794" s="36"/>
      <c r="K794" s="47">
        <f t="shared" si="12"/>
        <v>0.5</v>
      </c>
      <c r="L794" s="41">
        <v>1</v>
      </c>
    </row>
    <row r="795" spans="9:12" x14ac:dyDescent="0.3">
      <c r="I795" s="36"/>
      <c r="K795" s="47">
        <f t="shared" si="12"/>
        <v>0.5</v>
      </c>
      <c r="L795" s="41">
        <v>1</v>
      </c>
    </row>
    <row r="796" spans="9:12" x14ac:dyDescent="0.3">
      <c r="I796" s="36"/>
      <c r="K796" s="47">
        <f t="shared" si="12"/>
        <v>0.5</v>
      </c>
      <c r="L796" s="41">
        <v>1</v>
      </c>
    </row>
    <row r="797" spans="9:12" x14ac:dyDescent="0.3">
      <c r="I797" s="36"/>
      <c r="K797" s="47">
        <f t="shared" si="12"/>
        <v>0.5</v>
      </c>
      <c r="L797" s="41">
        <v>1</v>
      </c>
    </row>
    <row r="798" spans="9:12" x14ac:dyDescent="0.3">
      <c r="I798" s="36"/>
      <c r="K798" s="47">
        <f t="shared" si="12"/>
        <v>0.5</v>
      </c>
      <c r="L798" s="41">
        <v>1</v>
      </c>
    </row>
    <row r="799" spans="9:12" x14ac:dyDescent="0.3">
      <c r="I799" s="36"/>
      <c r="K799" s="47">
        <f t="shared" si="12"/>
        <v>0.5</v>
      </c>
      <c r="L799" s="41">
        <v>1</v>
      </c>
    </row>
    <row r="800" spans="9:12" x14ac:dyDescent="0.3">
      <c r="I800" s="36"/>
      <c r="K800" s="47">
        <f t="shared" si="12"/>
        <v>0.5</v>
      </c>
      <c r="L800" s="41">
        <v>1</v>
      </c>
    </row>
    <row r="801" spans="9:12" x14ac:dyDescent="0.3">
      <c r="I801" s="36"/>
      <c r="K801" s="47">
        <f t="shared" si="12"/>
        <v>0.5</v>
      </c>
      <c r="L801" s="41">
        <v>1</v>
      </c>
    </row>
    <row r="802" spans="9:12" x14ac:dyDescent="0.3">
      <c r="I802" s="36"/>
      <c r="K802" s="47">
        <f t="shared" si="12"/>
        <v>0.5</v>
      </c>
      <c r="L802" s="41">
        <v>1</v>
      </c>
    </row>
    <row r="803" spans="9:12" x14ac:dyDescent="0.3">
      <c r="I803" s="36"/>
      <c r="K803" s="47">
        <f t="shared" si="12"/>
        <v>0.5</v>
      </c>
      <c r="L803" s="41">
        <v>1</v>
      </c>
    </row>
    <row r="804" spans="9:12" x14ac:dyDescent="0.3">
      <c r="I804" s="36"/>
      <c r="K804" s="47">
        <f t="shared" si="12"/>
        <v>0.5</v>
      </c>
      <c r="L804" s="41">
        <v>1</v>
      </c>
    </row>
    <row r="805" spans="9:12" x14ac:dyDescent="0.3">
      <c r="I805" s="36"/>
      <c r="K805" s="47">
        <f t="shared" si="12"/>
        <v>0.5</v>
      </c>
      <c r="L805" s="41">
        <v>1</v>
      </c>
    </row>
    <row r="806" spans="9:12" x14ac:dyDescent="0.3">
      <c r="I806" s="36"/>
      <c r="K806" s="47">
        <f t="shared" si="12"/>
        <v>0.5</v>
      </c>
      <c r="L806" s="41">
        <v>1</v>
      </c>
    </row>
    <row r="807" spans="9:12" x14ac:dyDescent="0.3">
      <c r="I807" s="36"/>
      <c r="K807" s="47">
        <f t="shared" si="12"/>
        <v>0.5</v>
      </c>
      <c r="L807" s="41">
        <v>1</v>
      </c>
    </row>
    <row r="808" spans="9:12" x14ac:dyDescent="0.3">
      <c r="I808" s="36"/>
      <c r="K808" s="47">
        <f t="shared" si="12"/>
        <v>0.5</v>
      </c>
      <c r="L808" s="41">
        <v>1</v>
      </c>
    </row>
    <row r="809" spans="9:12" x14ac:dyDescent="0.3">
      <c r="I809" s="36"/>
      <c r="K809" s="47">
        <f t="shared" si="12"/>
        <v>0.5</v>
      </c>
      <c r="L809" s="41">
        <v>1</v>
      </c>
    </row>
    <row r="810" spans="9:12" x14ac:dyDescent="0.3">
      <c r="I810" s="36"/>
      <c r="K810" s="47">
        <f t="shared" si="12"/>
        <v>0.5</v>
      </c>
      <c r="L810" s="41">
        <v>1</v>
      </c>
    </row>
    <row r="811" spans="9:12" x14ac:dyDescent="0.3">
      <c r="I811" s="36"/>
      <c r="K811" s="47">
        <f t="shared" si="12"/>
        <v>0.5</v>
      </c>
      <c r="L811" s="41">
        <v>1</v>
      </c>
    </row>
    <row r="812" spans="9:12" x14ac:dyDescent="0.3">
      <c r="I812" s="36"/>
      <c r="K812" s="47">
        <f t="shared" si="12"/>
        <v>0.5</v>
      </c>
      <c r="L812" s="41">
        <v>1</v>
      </c>
    </row>
    <row r="813" spans="9:12" x14ac:dyDescent="0.3">
      <c r="I813" s="36"/>
      <c r="K813" s="47">
        <f t="shared" si="12"/>
        <v>0.5</v>
      </c>
      <c r="L813" s="41">
        <v>1</v>
      </c>
    </row>
    <row r="814" spans="9:12" x14ac:dyDescent="0.3">
      <c r="I814" s="36"/>
      <c r="K814" s="47">
        <f t="shared" si="12"/>
        <v>0.5</v>
      </c>
      <c r="L814" s="41">
        <v>1</v>
      </c>
    </row>
    <row r="815" spans="9:12" x14ac:dyDescent="0.3">
      <c r="I815" s="36"/>
      <c r="K815" s="47">
        <f t="shared" si="12"/>
        <v>0.5</v>
      </c>
      <c r="L815" s="41">
        <v>1</v>
      </c>
    </row>
    <row r="816" spans="9:12" x14ac:dyDescent="0.3">
      <c r="I816" s="36"/>
      <c r="K816" s="47">
        <f t="shared" si="12"/>
        <v>0.5</v>
      </c>
      <c r="L816" s="41">
        <v>1</v>
      </c>
    </row>
    <row r="817" spans="9:12" x14ac:dyDescent="0.3">
      <c r="I817" s="36"/>
      <c r="K817" s="47">
        <f t="shared" si="12"/>
        <v>0.5</v>
      </c>
      <c r="L817" s="41">
        <v>1</v>
      </c>
    </row>
    <row r="818" spans="9:12" x14ac:dyDescent="0.3">
      <c r="I818" s="36"/>
      <c r="K818" s="47">
        <f t="shared" si="12"/>
        <v>0.5</v>
      </c>
      <c r="L818" s="41">
        <v>1</v>
      </c>
    </row>
    <row r="819" spans="9:12" x14ac:dyDescent="0.3">
      <c r="I819" s="36"/>
      <c r="K819" s="47">
        <f t="shared" si="12"/>
        <v>0.5</v>
      </c>
      <c r="L819" s="41">
        <v>1</v>
      </c>
    </row>
    <row r="820" spans="9:12" x14ac:dyDescent="0.3">
      <c r="I820" s="36"/>
      <c r="K820" s="47">
        <f t="shared" si="12"/>
        <v>0.5</v>
      </c>
      <c r="L820" s="41">
        <v>1</v>
      </c>
    </row>
    <row r="821" spans="9:12" x14ac:dyDescent="0.3">
      <c r="I821" s="36"/>
      <c r="K821" s="47">
        <f t="shared" si="12"/>
        <v>0.5</v>
      </c>
      <c r="L821" s="41">
        <v>1</v>
      </c>
    </row>
    <row r="822" spans="9:12" x14ac:dyDescent="0.3">
      <c r="I822" s="36"/>
      <c r="K822" s="47">
        <f t="shared" si="12"/>
        <v>0.5</v>
      </c>
      <c r="L822" s="41">
        <v>1</v>
      </c>
    </row>
    <row r="823" spans="9:12" x14ac:dyDescent="0.3">
      <c r="I823" s="36"/>
      <c r="K823" s="47">
        <f t="shared" si="12"/>
        <v>0.5</v>
      </c>
      <c r="L823" s="41">
        <v>1</v>
      </c>
    </row>
    <row r="824" spans="9:12" x14ac:dyDescent="0.3">
      <c r="I824" s="36"/>
      <c r="K824" s="47">
        <f t="shared" si="12"/>
        <v>0.5</v>
      </c>
      <c r="L824" s="41">
        <v>1</v>
      </c>
    </row>
    <row r="825" spans="9:12" x14ac:dyDescent="0.3">
      <c r="I825" s="36"/>
      <c r="K825" s="47">
        <f t="shared" si="12"/>
        <v>0.5</v>
      </c>
      <c r="L825" s="41">
        <v>1</v>
      </c>
    </row>
    <row r="826" spans="9:12" x14ac:dyDescent="0.3">
      <c r="I826" s="36"/>
      <c r="K826" s="47">
        <f t="shared" si="12"/>
        <v>0.5</v>
      </c>
      <c r="L826" s="41">
        <v>1</v>
      </c>
    </row>
    <row r="827" spans="9:12" x14ac:dyDescent="0.3">
      <c r="I827" s="36"/>
      <c r="K827" s="47">
        <f t="shared" si="12"/>
        <v>0.5</v>
      </c>
      <c r="L827" s="41">
        <v>1</v>
      </c>
    </row>
    <row r="828" spans="9:12" x14ac:dyDescent="0.3">
      <c r="I828" s="36"/>
      <c r="K828" s="47">
        <f t="shared" si="12"/>
        <v>0.5</v>
      </c>
      <c r="L828" s="41">
        <v>1</v>
      </c>
    </row>
    <row r="829" spans="9:12" x14ac:dyDescent="0.3">
      <c r="I829" s="36"/>
      <c r="K829" s="47">
        <f t="shared" si="12"/>
        <v>0.5</v>
      </c>
      <c r="L829" s="41">
        <v>1</v>
      </c>
    </row>
    <row r="830" spans="9:12" x14ac:dyDescent="0.3">
      <c r="I830" s="36"/>
      <c r="K830" s="47">
        <f t="shared" si="12"/>
        <v>0.5</v>
      </c>
      <c r="L830" s="41">
        <v>1</v>
      </c>
    </row>
    <row r="831" spans="9:12" x14ac:dyDescent="0.3">
      <c r="I831" s="36"/>
      <c r="K831" s="47">
        <f t="shared" si="12"/>
        <v>0.5</v>
      </c>
      <c r="L831" s="41">
        <v>1</v>
      </c>
    </row>
    <row r="832" spans="9:12" x14ac:dyDescent="0.3">
      <c r="I832" s="36"/>
      <c r="K832" s="47">
        <f t="shared" si="12"/>
        <v>0.5</v>
      </c>
      <c r="L832" s="41">
        <v>1</v>
      </c>
    </row>
    <row r="833" spans="9:12" x14ac:dyDescent="0.3">
      <c r="I833" s="36"/>
      <c r="K833" s="47">
        <f t="shared" si="12"/>
        <v>0.5</v>
      </c>
      <c r="L833" s="41">
        <v>1</v>
      </c>
    </row>
    <row r="834" spans="9:12" x14ac:dyDescent="0.3">
      <c r="I834" s="36"/>
      <c r="K834" s="47">
        <f t="shared" si="12"/>
        <v>0.5</v>
      </c>
      <c r="L834" s="41">
        <v>1</v>
      </c>
    </row>
    <row r="835" spans="9:12" x14ac:dyDescent="0.3">
      <c r="I835" s="36"/>
      <c r="K835" s="47">
        <f t="shared" si="12"/>
        <v>0.5</v>
      </c>
      <c r="L835" s="41">
        <v>1</v>
      </c>
    </row>
    <row r="836" spans="9:12" x14ac:dyDescent="0.3">
      <c r="I836" s="36"/>
      <c r="K836" s="47">
        <f t="shared" si="12"/>
        <v>0.5</v>
      </c>
      <c r="L836" s="41">
        <v>1</v>
      </c>
    </row>
    <row r="837" spans="9:12" x14ac:dyDescent="0.3">
      <c r="I837" s="36"/>
      <c r="K837" s="47">
        <f t="shared" si="12"/>
        <v>0.5</v>
      </c>
      <c r="L837" s="41">
        <v>1</v>
      </c>
    </row>
    <row r="838" spans="9:12" x14ac:dyDescent="0.3">
      <c r="I838" s="36"/>
      <c r="K838" s="47">
        <f t="shared" si="12"/>
        <v>0.5</v>
      </c>
      <c r="L838" s="41">
        <v>1</v>
      </c>
    </row>
    <row r="839" spans="9:12" x14ac:dyDescent="0.3">
      <c r="I839" s="36"/>
      <c r="K839" s="47">
        <f t="shared" si="12"/>
        <v>0.5</v>
      </c>
      <c r="L839" s="41">
        <v>1</v>
      </c>
    </row>
    <row r="840" spans="9:12" x14ac:dyDescent="0.3">
      <c r="I840" s="36"/>
      <c r="K840" s="47">
        <f t="shared" si="12"/>
        <v>0.5</v>
      </c>
      <c r="L840" s="41">
        <v>1</v>
      </c>
    </row>
    <row r="841" spans="9:12" x14ac:dyDescent="0.3">
      <c r="I841" s="36"/>
      <c r="K841" s="47">
        <f t="shared" si="12"/>
        <v>0.5</v>
      </c>
      <c r="L841" s="41">
        <v>1</v>
      </c>
    </row>
    <row r="842" spans="9:12" x14ac:dyDescent="0.3">
      <c r="I842" s="36"/>
      <c r="K842" s="47">
        <f t="shared" si="12"/>
        <v>0.5</v>
      </c>
      <c r="L842" s="41">
        <v>1</v>
      </c>
    </row>
    <row r="843" spans="9:12" x14ac:dyDescent="0.3">
      <c r="I843" s="36"/>
      <c r="K843" s="47">
        <f t="shared" si="12"/>
        <v>0.5</v>
      </c>
      <c r="L843" s="41">
        <v>1</v>
      </c>
    </row>
    <row r="844" spans="9:12" x14ac:dyDescent="0.3">
      <c r="I844" s="36"/>
      <c r="K844" s="47">
        <f t="shared" ref="K844:K871" si="13">IF(D844&lt;=5,0.5,IF(D844&lt;7.5,0.1*D844,0.75))</f>
        <v>0.5</v>
      </c>
      <c r="L844" s="41">
        <v>1</v>
      </c>
    </row>
    <row r="845" spans="9:12" x14ac:dyDescent="0.3">
      <c r="I845" s="36"/>
      <c r="K845" s="47">
        <f t="shared" si="13"/>
        <v>0.5</v>
      </c>
      <c r="L845" s="41">
        <v>1</v>
      </c>
    </row>
    <row r="846" spans="9:12" x14ac:dyDescent="0.3">
      <c r="I846" s="36"/>
      <c r="K846" s="47">
        <f t="shared" si="13"/>
        <v>0.5</v>
      </c>
      <c r="L846" s="41">
        <v>1</v>
      </c>
    </row>
    <row r="847" spans="9:12" x14ac:dyDescent="0.3">
      <c r="I847" s="36"/>
      <c r="K847" s="47">
        <f t="shared" si="13"/>
        <v>0.5</v>
      </c>
      <c r="L847" s="41">
        <v>1</v>
      </c>
    </row>
    <row r="848" spans="9:12" x14ac:dyDescent="0.3">
      <c r="I848" s="36"/>
      <c r="K848" s="47">
        <f t="shared" si="13"/>
        <v>0.5</v>
      </c>
      <c r="L848" s="41">
        <v>1</v>
      </c>
    </row>
    <row r="849" spans="9:12" x14ac:dyDescent="0.3">
      <c r="I849" s="36"/>
      <c r="K849" s="47">
        <f t="shared" si="13"/>
        <v>0.5</v>
      </c>
      <c r="L849" s="41">
        <v>1</v>
      </c>
    </row>
    <row r="850" spans="9:12" x14ac:dyDescent="0.3">
      <c r="I850" s="36"/>
      <c r="K850" s="47">
        <f t="shared" si="13"/>
        <v>0.5</v>
      </c>
      <c r="L850" s="41">
        <v>1</v>
      </c>
    </row>
    <row r="851" spans="9:12" x14ac:dyDescent="0.3">
      <c r="I851" s="36"/>
      <c r="K851" s="47">
        <f t="shared" si="13"/>
        <v>0.5</v>
      </c>
      <c r="L851" s="41">
        <v>1</v>
      </c>
    </row>
    <row r="852" spans="9:12" x14ac:dyDescent="0.3">
      <c r="I852" s="36"/>
      <c r="K852" s="47">
        <f t="shared" si="13"/>
        <v>0.5</v>
      </c>
      <c r="L852" s="41">
        <v>1</v>
      </c>
    </row>
    <row r="853" spans="9:12" x14ac:dyDescent="0.3">
      <c r="I853" s="36"/>
      <c r="K853" s="47">
        <f t="shared" si="13"/>
        <v>0.5</v>
      </c>
      <c r="L853" s="41">
        <v>1</v>
      </c>
    </row>
    <row r="854" spans="9:12" x14ac:dyDescent="0.3">
      <c r="I854" s="36"/>
      <c r="K854" s="47">
        <f t="shared" si="13"/>
        <v>0.5</v>
      </c>
      <c r="L854" s="41">
        <v>1</v>
      </c>
    </row>
    <row r="855" spans="9:12" x14ac:dyDescent="0.3">
      <c r="I855" s="36"/>
      <c r="K855" s="47">
        <f t="shared" si="13"/>
        <v>0.5</v>
      </c>
      <c r="L855" s="41">
        <v>1</v>
      </c>
    </row>
    <row r="856" spans="9:12" x14ac:dyDescent="0.3">
      <c r="I856" s="36"/>
      <c r="K856" s="47">
        <f t="shared" si="13"/>
        <v>0.5</v>
      </c>
      <c r="L856" s="41">
        <v>1</v>
      </c>
    </row>
    <row r="857" spans="9:12" x14ac:dyDescent="0.3">
      <c r="I857" s="36"/>
      <c r="K857" s="47">
        <f t="shared" si="13"/>
        <v>0.5</v>
      </c>
      <c r="L857" s="41">
        <v>1</v>
      </c>
    </row>
    <row r="858" spans="9:12" x14ac:dyDescent="0.3">
      <c r="I858" s="36"/>
      <c r="K858" s="47">
        <f t="shared" si="13"/>
        <v>0.5</v>
      </c>
      <c r="L858" s="41">
        <v>1</v>
      </c>
    </row>
    <row r="859" spans="9:12" x14ac:dyDescent="0.3">
      <c r="I859" s="36"/>
      <c r="K859" s="47">
        <f t="shared" si="13"/>
        <v>0.5</v>
      </c>
      <c r="L859" s="41">
        <v>1</v>
      </c>
    </row>
    <row r="860" spans="9:12" x14ac:dyDescent="0.3">
      <c r="I860" s="36"/>
      <c r="K860" s="47">
        <f t="shared" si="13"/>
        <v>0.5</v>
      </c>
      <c r="L860" s="41">
        <v>1</v>
      </c>
    </row>
    <row r="861" spans="9:12" x14ac:dyDescent="0.3">
      <c r="I861" s="36"/>
      <c r="K861" s="47">
        <f t="shared" si="13"/>
        <v>0.5</v>
      </c>
      <c r="L861" s="41">
        <v>1</v>
      </c>
    </row>
    <row r="862" spans="9:12" x14ac:dyDescent="0.3">
      <c r="I862" s="36"/>
      <c r="K862" s="47">
        <f t="shared" si="13"/>
        <v>0.5</v>
      </c>
      <c r="L862" s="41">
        <v>1</v>
      </c>
    </row>
    <row r="863" spans="9:12" x14ac:dyDescent="0.3">
      <c r="I863" s="36"/>
      <c r="K863" s="47">
        <f t="shared" si="13"/>
        <v>0.5</v>
      </c>
      <c r="L863" s="41">
        <v>1</v>
      </c>
    </row>
    <row r="864" spans="9:12" x14ac:dyDescent="0.3">
      <c r="I864" s="36"/>
      <c r="K864" s="47">
        <f t="shared" si="13"/>
        <v>0.5</v>
      </c>
      <c r="L864" s="41">
        <v>1</v>
      </c>
    </row>
    <row r="865" spans="9:12" x14ac:dyDescent="0.3">
      <c r="I865" s="36"/>
      <c r="K865" s="47">
        <f t="shared" si="13"/>
        <v>0.5</v>
      </c>
      <c r="L865" s="41">
        <v>1</v>
      </c>
    </row>
    <row r="866" spans="9:12" x14ac:dyDescent="0.3">
      <c r="I866" s="36"/>
      <c r="K866" s="47">
        <f t="shared" si="13"/>
        <v>0.5</v>
      </c>
      <c r="L866" s="41">
        <v>1</v>
      </c>
    </row>
    <row r="867" spans="9:12" x14ac:dyDescent="0.3">
      <c r="I867" s="36"/>
      <c r="K867" s="47">
        <f t="shared" si="13"/>
        <v>0.5</v>
      </c>
      <c r="L867" s="41">
        <v>1</v>
      </c>
    </row>
    <row r="868" spans="9:12" x14ac:dyDescent="0.3">
      <c r="I868" s="36"/>
      <c r="K868" s="47">
        <f t="shared" si="13"/>
        <v>0.5</v>
      </c>
      <c r="L868" s="41">
        <v>1</v>
      </c>
    </row>
    <row r="869" spans="9:12" x14ac:dyDescent="0.3">
      <c r="I869" s="36"/>
      <c r="K869" s="47">
        <f t="shared" si="13"/>
        <v>0.5</v>
      </c>
      <c r="L869" s="41">
        <v>1</v>
      </c>
    </row>
    <row r="870" spans="9:12" x14ac:dyDescent="0.3">
      <c r="I870" s="36"/>
      <c r="K870" s="47">
        <f t="shared" si="13"/>
        <v>0.5</v>
      </c>
      <c r="L870" s="41">
        <v>1</v>
      </c>
    </row>
    <row r="871" spans="9:12" x14ac:dyDescent="0.3">
      <c r="I871" s="36"/>
      <c r="K871" s="47">
        <f t="shared" si="13"/>
        <v>0.5</v>
      </c>
      <c r="L871" s="41">
        <v>1</v>
      </c>
    </row>
  </sheetData>
  <mergeCells count="1">
    <mergeCell ref="C7:E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9"/>
  <sheetViews>
    <sheetView zoomScaleNormal="100" workbookViewId="0">
      <pane xSplit="5" ySplit="9" topLeftCell="AL10" activePane="bottomRight" state="frozen"/>
      <selection pane="topRight" activeCell="F1" sqref="F1"/>
      <selection pane="bottomLeft" activeCell="A10" sqref="A10"/>
      <selection pane="bottomRight" activeCell="E4" sqref="E4"/>
    </sheetView>
  </sheetViews>
  <sheetFormatPr baseColWidth="10" defaultColWidth="11.5546875" defaultRowHeight="14.4" x14ac:dyDescent="0.3"/>
  <cols>
    <col min="1" max="1" width="8" style="22" bestFit="1" customWidth="1"/>
    <col min="2" max="2" width="9.88671875" style="20" bestFit="1" customWidth="1"/>
    <col min="3" max="3" width="2.33203125" style="20" customWidth="1"/>
    <col min="4" max="4" width="22.44140625" style="20" bestFit="1" customWidth="1"/>
    <col min="5" max="5" width="14.33203125" style="20" bestFit="1" customWidth="1"/>
    <col min="6" max="9" width="1.6640625" style="20" customWidth="1"/>
    <col min="10" max="10" width="49" style="20" bestFit="1" customWidth="1"/>
    <col min="11" max="11" width="8" style="23" bestFit="1" customWidth="1"/>
    <col min="12" max="12" width="8.109375" style="20" bestFit="1" customWidth="1"/>
    <col min="13" max="13" width="7.6640625" style="20" bestFit="1" customWidth="1"/>
    <col min="14" max="14" width="11.6640625" style="24" bestFit="1" customWidth="1"/>
    <col min="15" max="15" width="15" style="23" bestFit="1" customWidth="1"/>
    <col min="16" max="16" width="13.33203125" style="20" bestFit="1" customWidth="1"/>
    <col min="17" max="17" width="15.109375" style="20" bestFit="1" customWidth="1"/>
    <col min="18" max="18" width="13.44140625" style="20" bestFit="1" customWidth="1"/>
    <col min="19" max="19" width="16.109375" style="20" bestFit="1" customWidth="1"/>
    <col min="20" max="20" width="14.33203125" style="24" bestFit="1" customWidth="1"/>
    <col min="21" max="21" width="13.6640625" style="23" bestFit="1" customWidth="1"/>
    <col min="22" max="22" width="13.88671875" style="20" bestFit="1" customWidth="1"/>
    <col min="23" max="23" width="14.6640625" style="24" bestFit="1" customWidth="1"/>
    <col min="24" max="24" width="14.6640625" style="20" bestFit="1" customWidth="1"/>
    <col min="25" max="25" width="13.6640625" style="20" bestFit="1" customWidth="1"/>
    <col min="26" max="26" width="3.33203125" style="21" customWidth="1"/>
    <col min="27" max="27" width="9.44140625" style="20" bestFit="1" customWidth="1"/>
    <col min="28" max="28" width="9.33203125" style="20" bestFit="1" customWidth="1"/>
    <col min="29" max="29" width="8.88671875" style="20" bestFit="1" customWidth="1"/>
    <col min="30" max="30" width="6.109375" style="20" bestFit="1" customWidth="1"/>
    <col min="31" max="31" width="6.33203125" style="20" bestFit="1" customWidth="1"/>
    <col min="32" max="32" width="5.33203125" style="20" bestFit="1" customWidth="1"/>
    <col min="33" max="33" width="3.33203125" style="21" customWidth="1"/>
    <col min="34" max="36" width="19" style="20" customWidth="1"/>
    <col min="37" max="37" width="3.6640625" style="21" customWidth="1"/>
    <col min="38" max="40" width="15.6640625" style="20" customWidth="1"/>
    <col min="41" max="42" width="11.5546875" style="20"/>
    <col min="43" max="43" width="2.6640625" style="21" customWidth="1"/>
    <col min="44" max="46" width="11.5546875" style="20"/>
    <col min="47" max="47" width="2.6640625" style="21" customWidth="1"/>
    <col min="48" max="16384" width="11.5546875" style="20"/>
  </cols>
  <sheetData>
    <row r="1" spans="1:49" x14ac:dyDescent="0.3">
      <c r="A1" s="30"/>
      <c r="K1" s="20"/>
      <c r="N1" s="20"/>
      <c r="O1" s="20"/>
      <c r="T1" s="20"/>
      <c r="U1" s="20"/>
      <c r="W1" s="20"/>
      <c r="Z1" s="20"/>
      <c r="AG1" s="20"/>
      <c r="AK1" s="20"/>
      <c r="AQ1" s="20"/>
      <c r="AU1" s="20"/>
    </row>
    <row r="2" spans="1:49" x14ac:dyDescent="0.3">
      <c r="A2" s="59" t="s">
        <v>3164</v>
      </c>
      <c r="B2" s="59"/>
      <c r="C2" s="59"/>
      <c r="K2" s="20"/>
      <c r="N2" s="20"/>
      <c r="O2" s="20"/>
      <c r="T2" s="20"/>
      <c r="U2" s="20"/>
      <c r="W2" s="20"/>
      <c r="Z2" s="20"/>
      <c r="AG2" s="20"/>
      <c r="AK2" s="20"/>
      <c r="AQ2" s="19"/>
      <c r="AU2" s="20"/>
    </row>
    <row r="3" spans="1:49" ht="14.4" customHeight="1" x14ac:dyDescent="0.3">
      <c r="A3" s="59"/>
      <c r="B3" s="59"/>
      <c r="C3" s="59"/>
      <c r="K3" s="20"/>
      <c r="N3" s="20"/>
      <c r="O3" s="20"/>
      <c r="T3" s="20"/>
      <c r="U3" s="20"/>
      <c r="W3" s="20"/>
      <c r="Z3" s="20"/>
      <c r="AG3" s="20"/>
      <c r="AK3" s="20"/>
      <c r="AQ3" s="19"/>
      <c r="AU3" s="20"/>
    </row>
    <row r="4" spans="1:49" x14ac:dyDescent="0.3">
      <c r="A4" s="59"/>
      <c r="B4" s="59"/>
      <c r="C4" s="59"/>
      <c r="K4" s="20"/>
      <c r="N4" s="20"/>
      <c r="O4" s="20"/>
      <c r="T4" s="20"/>
      <c r="U4" s="20"/>
      <c r="W4" s="20"/>
      <c r="Z4" s="20"/>
      <c r="AG4" s="20"/>
      <c r="AK4" s="20"/>
      <c r="AQ4" s="19"/>
      <c r="AU4" s="20"/>
    </row>
    <row r="5" spans="1:49" x14ac:dyDescent="0.3">
      <c r="A5" s="59"/>
      <c r="B5" s="59"/>
      <c r="C5" s="59"/>
      <c r="K5" s="20"/>
      <c r="N5" s="20"/>
      <c r="O5" s="20"/>
      <c r="T5" s="20"/>
      <c r="U5" s="20"/>
      <c r="W5" s="20"/>
      <c r="Z5" s="20"/>
      <c r="AG5" s="20"/>
      <c r="AK5" s="20"/>
      <c r="AQ5" s="20"/>
      <c r="AU5" s="20"/>
    </row>
    <row r="6" spans="1:49" x14ac:dyDescent="0.3">
      <c r="A6" s="59"/>
      <c r="B6" s="59"/>
      <c r="C6" s="59"/>
      <c r="K6" s="20"/>
      <c r="N6" s="20"/>
      <c r="O6" s="20"/>
      <c r="T6" s="20"/>
      <c r="U6" s="20"/>
      <c r="W6" s="20"/>
      <c r="Z6" s="20"/>
      <c r="AG6" s="20"/>
      <c r="AK6" s="20"/>
      <c r="AQ6" s="19"/>
      <c r="AR6" s="19"/>
      <c r="AS6" s="19"/>
      <c r="AU6" s="20"/>
    </row>
    <row r="7" spans="1:49" ht="15" thickBot="1" x14ac:dyDescent="0.35">
      <c r="A7" s="30"/>
      <c r="K7" s="20"/>
      <c r="N7" s="20"/>
      <c r="O7" s="20"/>
      <c r="T7" s="20"/>
      <c r="U7" s="20"/>
      <c r="W7" s="20"/>
      <c r="Z7" s="20"/>
      <c r="AG7" s="20"/>
      <c r="AK7" s="20"/>
      <c r="AQ7" s="19"/>
      <c r="AR7" s="19"/>
      <c r="AS7" s="19"/>
      <c r="AU7" s="20"/>
    </row>
    <row r="8" spans="1:49" ht="15" thickBot="1" x14ac:dyDescent="0.35">
      <c r="A8" s="30"/>
      <c r="C8" s="66" t="s">
        <v>3168</v>
      </c>
      <c r="D8" s="66"/>
      <c r="E8" s="66"/>
      <c r="F8" s="66"/>
      <c r="G8" s="66"/>
      <c r="H8" s="51"/>
      <c r="I8" s="51"/>
      <c r="J8" s="51"/>
      <c r="K8" s="60" t="s">
        <v>3165</v>
      </c>
      <c r="L8" s="61"/>
      <c r="M8" s="61"/>
      <c r="N8" s="62"/>
      <c r="O8" s="63" t="s">
        <v>3166</v>
      </c>
      <c r="P8" s="64"/>
      <c r="Q8" s="64"/>
      <c r="R8" s="64"/>
      <c r="S8" s="64"/>
      <c r="T8" s="65"/>
      <c r="U8" s="63" t="s">
        <v>3167</v>
      </c>
      <c r="V8" s="64"/>
      <c r="W8" s="65"/>
      <c r="Z8" s="20"/>
      <c r="AA8" s="56" t="s">
        <v>3158</v>
      </c>
      <c r="AB8" s="57"/>
      <c r="AC8" s="57"/>
      <c r="AD8" s="57"/>
      <c r="AE8" s="57"/>
      <c r="AF8" s="58"/>
      <c r="AG8" s="20"/>
      <c r="AK8" s="20"/>
      <c r="AQ8" s="19"/>
      <c r="AR8" s="19"/>
      <c r="AS8" s="19"/>
      <c r="AU8" s="20"/>
    </row>
    <row r="9" spans="1:49" s="26" customFormat="1" ht="15" thickBot="1" x14ac:dyDescent="0.35">
      <c r="A9" s="25" t="s">
        <v>3143</v>
      </c>
      <c r="B9" s="26" t="s">
        <v>0</v>
      </c>
      <c r="C9" s="26" t="s">
        <v>1</v>
      </c>
      <c r="D9" s="26" t="s">
        <v>2</v>
      </c>
      <c r="E9" s="26" t="s">
        <v>3</v>
      </c>
      <c r="F9" s="26" t="s">
        <v>4</v>
      </c>
      <c r="G9" s="26" t="s">
        <v>5</v>
      </c>
      <c r="H9" s="26" t="s">
        <v>6</v>
      </c>
      <c r="I9" s="26" t="s">
        <v>7</v>
      </c>
      <c r="J9" s="26" t="s">
        <v>10</v>
      </c>
      <c r="K9" s="27" t="s">
        <v>13</v>
      </c>
      <c r="L9" s="26" t="s">
        <v>14</v>
      </c>
      <c r="M9" s="26" t="s">
        <v>15</v>
      </c>
      <c r="N9" s="28" t="s">
        <v>16</v>
      </c>
      <c r="O9" s="27" t="s">
        <v>157</v>
      </c>
      <c r="P9" s="26" t="s">
        <v>158</v>
      </c>
      <c r="Q9" s="26" t="s">
        <v>159</v>
      </c>
      <c r="R9" s="26" t="s">
        <v>160</v>
      </c>
      <c r="S9" s="26" t="s">
        <v>161</v>
      </c>
      <c r="T9" s="28" t="s">
        <v>162</v>
      </c>
      <c r="U9" s="27" t="s">
        <v>163</v>
      </c>
      <c r="V9" s="26" t="s">
        <v>164</v>
      </c>
      <c r="W9" s="28" t="s">
        <v>165</v>
      </c>
      <c r="X9" s="26" t="s">
        <v>166</v>
      </c>
      <c r="Y9" s="26" t="s">
        <v>167</v>
      </c>
      <c r="Z9" s="29"/>
      <c r="AA9" s="26" t="s">
        <v>3144</v>
      </c>
      <c r="AB9" s="26" t="s">
        <v>3145</v>
      </c>
      <c r="AC9" s="26" t="s">
        <v>3146</v>
      </c>
      <c r="AD9" s="26" t="s">
        <v>3147</v>
      </c>
      <c r="AE9" s="26" t="s">
        <v>3148</v>
      </c>
      <c r="AF9" s="26" t="s">
        <v>3149</v>
      </c>
      <c r="AG9" s="29"/>
      <c r="AH9" s="27" t="s">
        <v>3150</v>
      </c>
      <c r="AI9" s="26" t="s">
        <v>3151</v>
      </c>
      <c r="AJ9" s="26" t="s">
        <v>3152</v>
      </c>
      <c r="AK9" s="29"/>
      <c r="AL9" s="33" t="s">
        <v>3153</v>
      </c>
      <c r="AM9" s="33" t="s">
        <v>3154</v>
      </c>
      <c r="AN9" s="33" t="s">
        <v>3157</v>
      </c>
      <c r="AO9" s="33" t="s">
        <v>3155</v>
      </c>
      <c r="AP9" s="33" t="s">
        <v>3156</v>
      </c>
      <c r="AQ9" s="29"/>
      <c r="AR9" s="33" t="s">
        <v>3169</v>
      </c>
      <c r="AS9" s="33" t="s">
        <v>3170</v>
      </c>
      <c r="AT9" s="33" t="s">
        <v>3171</v>
      </c>
      <c r="AU9" s="29"/>
    </row>
    <row r="10" spans="1:49" x14ac:dyDescent="0.3">
      <c r="A10" s="18">
        <v>159</v>
      </c>
      <c r="B10" s="20">
        <f>INDEX('01_FASTPPH'!$9:$1048576,MATCH($A10,'01_FASTPPH'!$A$9:$A$1048576,0),MATCH(B$9,'01_FASTPPH'!$8:$8,0))</f>
        <v>28</v>
      </c>
      <c r="C10" s="20">
        <f>INDEX('01_FASTPPH'!$9:$1048576,MATCH($A10,'01_FASTPPH'!$A$9:$A$1048576,0),MATCH(C$9,'01_FASTPPH'!$8:$8,0))</f>
        <v>1501578</v>
      </c>
      <c r="D10" s="20" t="str">
        <f>INDEX('01_FASTPPH'!$9:$1048576,MATCH($A10,'01_FASTPPH'!$A$9:$A$1048576,0),MATCH(D$9,'01_FASTPPH'!$8:$8,0))</f>
        <v>SkinRH</v>
      </c>
      <c r="E10" s="20">
        <f>INDEX('01_FASTPPH'!$9:$1048576,MATCH($A10,'01_FASTPPH'!$A$9:$A$1048576,0),MATCH(E$9,'01_FASTPPH'!$8:$8,0))</f>
        <v>2901020</v>
      </c>
      <c r="F10" s="20">
        <f>INDEX('01_FASTPPH'!$9:$1048576,MATCH($A10,'01_FASTPPH'!$A$9:$A$1048576,0),MATCH(F$9,'01_FASTPPH'!$8:$8,0))</f>
        <v>1901022</v>
      </c>
      <c r="G10" s="20">
        <f>INDEX('01_FASTPPH'!$9:$1048576,MATCH($A10,'01_FASTPPH'!$A$9:$A$1048576,0),MATCH(G$9,'01_FASTPPH'!$8:$8,0))</f>
        <v>3901020</v>
      </c>
      <c r="H10" s="20">
        <f>INDEX('01_FASTPPH'!$9:$1048576,MATCH($A10,'01_FASTPPH'!$A$9:$A$1048576,0),MATCH(H$9,'01_FASTPPH'!$8:$8,0))</f>
        <v>1901023</v>
      </c>
      <c r="I10" s="20">
        <f>INDEX('01_FASTPPH'!$9:$1048576,MATCH($A10,'01_FASTPPH'!$A$9:$A$1048576,0),MATCH(I$9,'01_FASTPPH'!$8:$8,0))</f>
        <v>57.914999999999999</v>
      </c>
      <c r="J10" s="20" t="str">
        <f>INDEX('01_FASTPPH'!$9:$1048576,MATCH($A10,'01_FASTPPH'!$A$9:$A$1048576,0),MATCH(J$9,'01_FASTPPH'!$8:$8,0))</f>
        <v xml:space="preserve">SUBCASE 101 = STLN ULT (INTACT) :STLN ULT (INTACT) </v>
      </c>
      <c r="K10" s="23">
        <f>INDEX('01_FASTPPH'!$9:$1048576,MATCH($A10,'01_FASTPPH'!$A$9:$A$1048576,0),MATCH(K$9,'01_FASTPPH'!$8:$8,0))</f>
        <v>1207.1400000000001</v>
      </c>
      <c r="L10" s="20">
        <f>INDEX('01_FASTPPH'!$9:$1048576,MATCH($A10,'01_FASTPPH'!$A$9:$A$1048576,0),MATCH(L$9,'01_FASTPPH'!$8:$8,0))</f>
        <v>432.86900000000003</v>
      </c>
      <c r="M10" s="20">
        <f>INDEX('01_FASTPPH'!$9:$1048576,MATCH($A10,'01_FASTPPH'!$A$9:$A$1048576,0),MATCH(M$9,'01_FASTPPH'!$8:$8,0))</f>
        <v>-560.02800000000002</v>
      </c>
      <c r="N10" s="24">
        <f>INDEX('01_FASTPPH'!$9:$1048576,MATCH($A10,'01_FASTPPH'!$A$9:$A$1048576,0),MATCH(N$9,'01_FASTPPH'!$8:$8,0))</f>
        <v>0</v>
      </c>
      <c r="O10" s="23">
        <f>INDEX('01_FASTPPH'!$9:$1048576,MATCH($A10,'01_FASTPPH'!$A$9:$A$1048576,0),MATCH(O$9,'01_FASTPPH'!$8:$8,0))</f>
        <v>230.92400000000001</v>
      </c>
      <c r="P10" s="20">
        <f>INDEX('01_FASTPPH'!$9:$1048576,MATCH($A10,'01_FASTPPH'!$A$9:$A$1048576,0),MATCH(P$9,'01_FASTPPH'!$8:$8,0))</f>
        <v>235.92500000000001</v>
      </c>
      <c r="Q10" s="20">
        <f>INDEX('01_FASTPPH'!$9:$1048576,MATCH($A10,'01_FASTPPH'!$A$9:$A$1048576,0),MATCH(Q$9,'01_FASTPPH'!$8:$8,0))</f>
        <v>261.39400000000001</v>
      </c>
      <c r="R10" s="20">
        <f>INDEX('01_FASTPPH'!$9:$1048576,MATCH($A10,'01_FASTPPH'!$A$9:$A$1048576,0),MATCH(R$9,'01_FASTPPH'!$8:$8,0))</f>
        <v>508.08199999999999</v>
      </c>
      <c r="S10" s="20">
        <f>INDEX('01_FASTPPH'!$9:$1048576,MATCH($A10,'01_FASTPPH'!$A$9:$A$1048576,0),MATCH(S$9,'01_FASTPPH'!$8:$8,0))</f>
        <v>-297.42700000000002</v>
      </c>
      <c r="T10" s="24">
        <f>INDEX('01_FASTPPH'!$9:$1048576,MATCH($A10,'01_FASTPPH'!$A$9:$A$1048576,0),MATCH(T$9,'01_FASTPPH'!$8:$8,0))</f>
        <v>-548.524</v>
      </c>
      <c r="U10" s="23">
        <f>INDEX('01_FASTPPH'!$9:$1048576,MATCH($A10,'01_FASTPPH'!$A$9:$A$1048576,0),MATCH(U$9,'01_FASTPPH'!$8:$8,0))</f>
        <v>5162.53</v>
      </c>
      <c r="V10" s="20">
        <f>INDEX('01_FASTPPH'!$9:$1048576,MATCH($A10,'01_FASTPPH'!$A$9:$A$1048576,0),MATCH(V$9,'01_FASTPPH'!$8:$8,0))</f>
        <v>1258.3399999999999</v>
      </c>
      <c r="W10" s="24">
        <f>INDEX('01_FASTPPH'!$9:$1048576,MATCH($A10,'01_FASTPPH'!$A$9:$A$1048576,0),MATCH(W$9,'01_FASTPPH'!$8:$8,0))</f>
        <v>-1429.51</v>
      </c>
      <c r="X10" s="20">
        <f>INDEX('01_FASTPPH'!$9:$1048576,MATCH($A10,'01_FASTPPH'!$A$9:$A$1048576,0),MATCH(X$9,'01_FASTPPH'!$8:$8,0))</f>
        <v>0</v>
      </c>
      <c r="Y10" s="20">
        <f>INDEX('01_FASTPPH'!$9:$1048576,MATCH($A10,'01_FASTPPH'!$A$9:$A$1048576,0),MATCH(Y$9,'01_FASTPPH'!$8:$8,0))</f>
        <v>0</v>
      </c>
      <c r="AA10" s="32">
        <f>INDEX('02_PROPERTIES'!$C$10:$I$1048576,MATCH('03_CALCULATIONS'!$D10,'02_PROPERTIES'!$C$10:$C$1048576,0),MATCH('03_CALCULATIONS'!AA$9,'02_PROPERTIES'!$C$10:$I$10,0))</f>
        <v>16.559999999999999</v>
      </c>
      <c r="AB10" s="20">
        <f>INDEX('02_PROPERTIES'!$C$10:$I$1048576,MATCH('03_CALCULATIONS'!$D10,'02_PROPERTIES'!$C$10:$C$1048576,0),MATCH('03_CALCULATIONS'!AB$9,'02_PROPERTIES'!$C$10:$I$10,0))</f>
        <v>79593.867056640505</v>
      </c>
      <c r="AC10" s="20">
        <f>INDEX('02_PROPERTIES'!$C$10:$I$1048576,MATCH('03_CALCULATIONS'!$D10,'02_PROPERTIES'!$C$10:$C$1048576,0),MATCH('03_CALCULATIONS'!AC$9,'02_PROPERTIES'!$C$10:$I$10,0))</f>
        <v>41017.370743551612</v>
      </c>
      <c r="AD10" s="20">
        <f>INDEX('02_PROPERTIES'!$C$10:$I$1048576,MATCH('03_CALCULATIONS'!$D10,'02_PROPERTIES'!$C$10:$C$1048576,0),MATCH('03_CALCULATIONS'!AD$9,'02_PROPERTIES'!$C$10:$I$10,0))</f>
        <v>19846.188560278148</v>
      </c>
      <c r="AE10" s="32">
        <f>INDEX('02_PROPERTIES'!$C$10:$I$1048576,MATCH('03_CALCULATIONS'!$D10,'02_PROPERTIES'!$C$10:$C$1048576,0),MATCH('03_CALCULATIONS'!AE$9,'02_PROPERTIES'!$C$10:$I$10,0))</f>
        <v>0.4142802271075095</v>
      </c>
      <c r="AF10" s="32">
        <f>INDEX('02_PROPERTIES'!$C$10:$I$1048576,MATCH('03_CALCULATIONS'!$D10,'02_PROPERTIES'!$C$10:$C$1048576,0),MATCH('03_CALCULATIONS'!AF$9,'02_PROPERTIES'!$C$10:$I$10,0))</f>
        <v>1</v>
      </c>
      <c r="AH10" s="20">
        <f>O10+SIGN(O10)*ABS(AF10*6*U10/AA10)</f>
        <v>2101.4058840579714</v>
      </c>
      <c r="AI10" s="20">
        <f>Q10+SIGN(Q10)*ABS(AF10*6*V10/AA10)</f>
        <v>717.3142898550725</v>
      </c>
      <c r="AJ10" s="20">
        <f>S10+SIGN(S10)*ABS(AF10*6*W10/AA10)</f>
        <v>-815.36540579710152</v>
      </c>
      <c r="AL10" s="20">
        <f>(AH10/(AB10*AA10)-AI10*AE10/(AB10*AA10))*1000000</f>
        <v>1368.8428396048339</v>
      </c>
      <c r="AM10" s="20">
        <f>(AI10/(AC10*AA10)-AH10*AE10/(AC10*AA10))*1000000</f>
        <v>-225.62700789775639</v>
      </c>
      <c r="AN10" s="20">
        <f>0.5*(AJ10/(AD10*AA10))*1000000</f>
        <v>-1240.4659278360293</v>
      </c>
      <c r="AO10" s="20">
        <f>0.5*(AL10+AM10+AN10)</f>
        <v>-48.625048064475891</v>
      </c>
      <c r="AP10" s="20">
        <f>0.5*(AL10+AM10-AN10)</f>
        <v>1191.8408797715533</v>
      </c>
      <c r="AR10" s="20">
        <f>0.5*(AL10+AM10)+SQRT(0.25*(AL10-AM10)^2+0.25*AN10^2)</f>
        <v>1581.693285106682</v>
      </c>
      <c r="AS10" s="20">
        <f>0.5*(AL10+AM10)-SQRT(0.25*(AL10-AM10)^2+0.25*AN10^2)</f>
        <v>-438.47745339960443</v>
      </c>
      <c r="AT10" s="20">
        <f>0.5*SQRT((AL10-AM10)^2+(2*AN10)^2)</f>
        <v>1474.5640853387263</v>
      </c>
    </row>
    <row r="11" spans="1:49" x14ac:dyDescent="0.3">
      <c r="A11" s="18">
        <v>165</v>
      </c>
      <c r="B11" s="20">
        <f>INDEX('01_FASTPPH'!$9:$1048576,MATCH($A11,'01_FASTPPH'!$A$9:$A$1048576,0),MATCH(B$9,'01_FASTPPH'!$8:$8,0))</f>
        <v>29</v>
      </c>
      <c r="C11" s="20">
        <f>INDEX('01_FASTPPH'!$9:$1048576,MATCH($A11,'01_FASTPPH'!$A$9:$A$1048576,0),MATCH(C$9,'01_FASTPPH'!$8:$8,0))</f>
        <v>1501264</v>
      </c>
      <c r="D11" s="20" t="str">
        <f>INDEX('01_FASTPPH'!$9:$1048576,MATCH($A11,'01_FASTPPH'!$A$9:$A$1048576,0),MATCH(D$9,'01_FASTPPH'!$8:$8,0))</f>
        <v>SkinRH</v>
      </c>
      <c r="E11" s="20">
        <f>INDEX('01_FASTPPH'!$9:$1048576,MATCH($A11,'01_FASTPPH'!$A$9:$A$1048576,0),MATCH(E$9,'01_FASTPPH'!$8:$8,0))</f>
        <v>2902020</v>
      </c>
      <c r="F11" s="20">
        <f>INDEX('01_FASTPPH'!$9:$1048576,MATCH($A11,'01_FASTPPH'!$A$9:$A$1048576,0),MATCH(F$9,'01_FASTPPH'!$8:$8,0))</f>
        <v>1902022</v>
      </c>
      <c r="G11" s="20">
        <f>INDEX('01_FASTPPH'!$9:$1048576,MATCH($A11,'01_FASTPPH'!$A$9:$A$1048576,0),MATCH(G$9,'01_FASTPPH'!$8:$8,0))</f>
        <v>3902020</v>
      </c>
      <c r="H11" s="20">
        <f>INDEX('01_FASTPPH'!$9:$1048576,MATCH($A11,'01_FASTPPH'!$A$9:$A$1048576,0),MATCH(H$9,'01_FASTPPH'!$8:$8,0))</f>
        <v>1902021</v>
      </c>
      <c r="I11" s="20">
        <f>INDEX('01_FASTPPH'!$9:$1048576,MATCH($A11,'01_FASTPPH'!$A$9:$A$1048576,0),MATCH(I$9,'01_FASTPPH'!$8:$8,0))</f>
        <v>57.914999999999999</v>
      </c>
      <c r="J11" s="20" t="str">
        <f>INDEX('01_FASTPPH'!$9:$1048576,MATCH($A11,'01_FASTPPH'!$A$9:$A$1048576,0),MATCH(J$9,'01_FASTPPH'!$8:$8,0))</f>
        <v xml:space="preserve">SUBCASE 101 = STLN ULT (INTACT) :STLN ULT (INTACT) </v>
      </c>
      <c r="K11" s="23">
        <f>INDEX('01_FASTPPH'!$9:$1048576,MATCH($A11,'01_FASTPPH'!$A$9:$A$1048576,0),MATCH(K$9,'01_FASTPPH'!$8:$8,0))</f>
        <v>-6819.26</v>
      </c>
      <c r="L11" s="20">
        <f>INDEX('01_FASTPPH'!$9:$1048576,MATCH($A11,'01_FASTPPH'!$A$9:$A$1048576,0),MATCH(L$9,'01_FASTPPH'!$8:$8,0))</f>
        <v>-575.68499999999995</v>
      </c>
      <c r="M11" s="20">
        <f>INDEX('01_FASTPPH'!$9:$1048576,MATCH($A11,'01_FASTPPH'!$A$9:$A$1048576,0),MATCH(M$9,'01_FASTPPH'!$8:$8,0))</f>
        <v>16161.7</v>
      </c>
      <c r="N11" s="24">
        <f>INDEX('01_FASTPPH'!$9:$1048576,MATCH($A11,'01_FASTPPH'!$A$9:$A$1048576,0),MATCH(N$9,'01_FASTPPH'!$8:$8,0))</f>
        <v>66780</v>
      </c>
      <c r="O11" s="23">
        <f>INDEX('01_FASTPPH'!$9:$1048576,MATCH($A11,'01_FASTPPH'!$A$9:$A$1048576,0),MATCH(O$9,'01_FASTPPH'!$8:$8,0))</f>
        <v>588.70500000000004</v>
      </c>
      <c r="P11" s="20">
        <f>INDEX('01_FASTPPH'!$9:$1048576,MATCH($A11,'01_FASTPPH'!$A$9:$A$1048576,0),MATCH(P$9,'01_FASTPPH'!$8:$8,0))</f>
        <v>751.86500000000001</v>
      </c>
      <c r="Q11" s="20">
        <f>INDEX('01_FASTPPH'!$9:$1048576,MATCH($A11,'01_FASTPPH'!$A$9:$A$1048576,0),MATCH(Q$9,'01_FASTPPH'!$8:$8,0))</f>
        <v>358.03399999999999</v>
      </c>
      <c r="R11" s="20">
        <f>INDEX('01_FASTPPH'!$9:$1048576,MATCH($A11,'01_FASTPPH'!$A$9:$A$1048576,0),MATCH(R$9,'01_FASTPPH'!$8:$8,0))</f>
        <v>383.52499999999998</v>
      </c>
      <c r="S11" s="20">
        <f>INDEX('01_FASTPPH'!$9:$1048576,MATCH($A11,'01_FASTPPH'!$A$9:$A$1048576,0),MATCH(S$9,'01_FASTPPH'!$8:$8,0))</f>
        <v>-572.33199999999999</v>
      </c>
      <c r="T11" s="24">
        <f>INDEX('01_FASTPPH'!$9:$1048576,MATCH($A11,'01_FASTPPH'!$A$9:$A$1048576,0),MATCH(T$9,'01_FASTPPH'!$8:$8,0))</f>
        <v>-641.39300000000003</v>
      </c>
      <c r="U11" s="23">
        <f>INDEX('01_FASTPPH'!$9:$1048576,MATCH($A11,'01_FASTPPH'!$A$9:$A$1048576,0),MATCH(U$9,'01_FASTPPH'!$8:$8,0))</f>
        <v>7285.52</v>
      </c>
      <c r="V11" s="20">
        <f>INDEX('01_FASTPPH'!$9:$1048576,MATCH($A11,'01_FASTPPH'!$A$9:$A$1048576,0),MATCH(V$9,'01_FASTPPH'!$8:$8,0))</f>
        <v>1584.83</v>
      </c>
      <c r="W11" s="24">
        <f>INDEX('01_FASTPPH'!$9:$1048576,MATCH($A11,'01_FASTPPH'!$A$9:$A$1048576,0),MATCH(W$9,'01_FASTPPH'!$8:$8,0))</f>
        <v>-1944.84</v>
      </c>
      <c r="X11" s="20">
        <f>INDEX('01_FASTPPH'!$9:$1048576,MATCH($A11,'01_FASTPPH'!$A$9:$A$1048576,0),MATCH(X$9,'01_FASTPPH'!$8:$8,0))</f>
        <v>0</v>
      </c>
      <c r="Y11" s="20" t="str">
        <f>INDEX('01_FASTPPH'!$9:$1048576,MATCH($A11,'01_FASTPPH'!$A$9:$A$1048576,0),MATCH(Y$9,'01_FASTPPH'!$8:$8,0))</f>
        <v>Pt6   modified</v>
      </c>
      <c r="AA11" s="32">
        <f>INDEX('02_PROPERTIES'!$C$10:$I$1048576,MATCH('03_CALCULATIONS'!$D11,'02_PROPERTIES'!$C$10:$C$1048576,0),MATCH('03_CALCULATIONS'!AA$9,'02_PROPERTIES'!$C$10:$I$10,0))</f>
        <v>16.559999999999999</v>
      </c>
      <c r="AB11" s="20">
        <f>INDEX('02_PROPERTIES'!$C$10:$I$1048576,MATCH('03_CALCULATIONS'!$D11,'02_PROPERTIES'!$C$10:$C$1048576,0),MATCH('03_CALCULATIONS'!AB$9,'02_PROPERTIES'!$C$10:$I$10,0))</f>
        <v>79593.867056640505</v>
      </c>
      <c r="AC11" s="20">
        <f>INDEX('02_PROPERTIES'!$C$10:$I$1048576,MATCH('03_CALCULATIONS'!$D11,'02_PROPERTIES'!$C$10:$C$1048576,0),MATCH('03_CALCULATIONS'!AC$9,'02_PROPERTIES'!$C$10:$I$10,0))</f>
        <v>41017.370743551612</v>
      </c>
      <c r="AD11" s="20">
        <f>INDEX('02_PROPERTIES'!$C$10:$I$1048576,MATCH('03_CALCULATIONS'!$D11,'02_PROPERTIES'!$C$10:$C$1048576,0),MATCH('03_CALCULATIONS'!AD$9,'02_PROPERTIES'!$C$10:$I$10,0))</f>
        <v>19846.188560278148</v>
      </c>
      <c r="AE11" s="32">
        <f>INDEX('02_PROPERTIES'!$C$10:$I$1048576,MATCH('03_CALCULATIONS'!$D11,'02_PROPERTIES'!$C$10:$C$1048576,0),MATCH('03_CALCULATIONS'!AE$9,'02_PROPERTIES'!$C$10:$I$10,0))</f>
        <v>0.4142802271075095</v>
      </c>
      <c r="AF11" s="32">
        <f>INDEX('02_PROPERTIES'!$C$10:$I$1048576,MATCH('03_CALCULATIONS'!$D11,'02_PROPERTIES'!$C$10:$C$1048576,0),MATCH('03_CALCULATIONS'!AF$9,'02_PROPERTIES'!$C$10:$I$10,0))</f>
        <v>1</v>
      </c>
      <c r="AH11" s="20">
        <f t="shared" ref="AH11:AH74" si="0">O11+SIGN(O11)*ABS(AF11*6*U11/AA11)</f>
        <v>3228.3861594202904</v>
      </c>
      <c r="AI11" s="20">
        <f t="shared" ref="AI11:AI74" si="1">Q11+SIGN(Q11)*ABS(AF11*6*V11/AA11)</f>
        <v>932.24776811594199</v>
      </c>
      <c r="AJ11" s="20">
        <f t="shared" ref="AJ11:AJ74" si="2">S11+SIGN(S11)*ABS(AF11*6*W11/AA11)</f>
        <v>-1276.9841739130434</v>
      </c>
      <c r="AL11" s="20">
        <f t="shared" ref="AL11:AL74" si="3">(AH11/(AB11*AA11)-AI11*AE11/(AB11*AA11))*1000000</f>
        <v>2156.3079135726566</v>
      </c>
      <c r="AM11" s="20">
        <f t="shared" ref="AM11:AM74" si="4">(AI11/(AC11*AA11)-AH11*AE11/(AC11*AA11))*1000000</f>
        <v>-596.55528808127315</v>
      </c>
      <c r="AN11" s="20">
        <f t="shared" ref="AN11:AN74" si="5">0.5*(AJ11/(AD11*AA11))*1000000</f>
        <v>-1942.7551707033681</v>
      </c>
      <c r="AO11" s="20">
        <f t="shared" ref="AO11:AO74" si="6">0.5*(AL11+AM11+AN11)</f>
        <v>-191.50127260599231</v>
      </c>
      <c r="AP11" s="20">
        <f t="shared" ref="AP11:AP74" si="7">0.5*(AL11+AM11-AN11)</f>
        <v>1751.2538980973759</v>
      </c>
      <c r="AR11" s="20">
        <f t="shared" ref="AR11:AR74" si="8">0.5*(AL11+AM11)+SQRT(0.25*(AL11-AM11)^2+0.25*AN11^2)</f>
        <v>2464.5538382913819</v>
      </c>
      <c r="AS11" s="20">
        <f t="shared" ref="AS11:AS74" si="9">0.5*(AL11+AM11)-SQRT(0.25*(AL11-AM11)^2+0.25*AN11^2)</f>
        <v>-904.80121279999832</v>
      </c>
      <c r="AT11" s="20">
        <f t="shared" ref="AT11:AT74" si="10">0.5*SQRT((AL11-AM11)^2+(2*AN11)^2)</f>
        <v>2380.9371274877785</v>
      </c>
    </row>
    <row r="12" spans="1:49" x14ac:dyDescent="0.3">
      <c r="A12" s="18">
        <v>241</v>
      </c>
      <c r="B12" s="20">
        <f>INDEX('01_FASTPPH'!$9:$1048576,MATCH($A12,'01_FASTPPH'!$A$9:$A$1048576,0),MATCH(B$9,'01_FASTPPH'!$8:$8,0))</f>
        <v>41</v>
      </c>
      <c r="C12" s="20">
        <f>INDEX('01_FASTPPH'!$9:$1048576,MATCH($A12,'01_FASTPPH'!$A$9:$A$1048576,0),MATCH(C$9,'01_FASTPPH'!$8:$8,0))</f>
        <v>1500794</v>
      </c>
      <c r="D12" s="20" t="str">
        <f>INDEX('01_FASTPPH'!$9:$1048576,MATCH($A12,'01_FASTPPH'!$A$9:$A$1048576,0),MATCH(D$9,'01_FASTPPH'!$8:$8,0))</f>
        <v>SkinRH</v>
      </c>
      <c r="E12" s="20">
        <f>INDEX('01_FASTPPH'!$9:$1048576,MATCH($A12,'01_FASTPPH'!$A$9:$A$1048576,0),MATCH(E$9,'01_FASTPPH'!$8:$8,0))</f>
        <v>3903020</v>
      </c>
      <c r="F12" s="20">
        <f>INDEX('01_FASTPPH'!$9:$1048576,MATCH($A12,'01_FASTPPH'!$A$9:$A$1048576,0),MATCH(F$9,'01_FASTPPH'!$8:$8,0))</f>
        <v>1903021</v>
      </c>
      <c r="G12" s="20">
        <f>INDEX('01_FASTPPH'!$9:$1048576,MATCH($A12,'01_FASTPPH'!$A$9:$A$1048576,0),MATCH(G$9,'01_FASTPPH'!$8:$8,0))</f>
        <v>0</v>
      </c>
      <c r="H12" s="20">
        <f>INDEX('01_FASTPPH'!$9:$1048576,MATCH($A12,'01_FASTPPH'!$A$9:$A$1048576,0),MATCH(H$9,'01_FASTPPH'!$8:$8,0))</f>
        <v>0</v>
      </c>
      <c r="I12" s="20">
        <f>INDEX('01_FASTPPH'!$9:$1048576,MATCH($A12,'01_FASTPPH'!$A$9:$A$1048576,0),MATCH(I$9,'01_FASTPPH'!$8:$8,0))</f>
        <v>57.914999999999999</v>
      </c>
      <c r="J12" s="20" t="str">
        <f>INDEX('01_FASTPPH'!$9:$1048576,MATCH($A12,'01_FASTPPH'!$A$9:$A$1048576,0),MATCH(J$9,'01_FASTPPH'!$8:$8,0))</f>
        <v xml:space="preserve">SUBCASE 101 = STLN ULT (INTACT) :STLN ULT (INTACT) </v>
      </c>
      <c r="K12" s="23">
        <f>INDEX('01_FASTPPH'!$9:$1048576,MATCH($A12,'01_FASTPPH'!$A$9:$A$1048576,0),MATCH(K$9,'01_FASTPPH'!$8:$8,0))</f>
        <v>12776.5</v>
      </c>
      <c r="L12" s="20">
        <f>INDEX('01_FASTPPH'!$9:$1048576,MATCH($A12,'01_FASTPPH'!$A$9:$A$1048576,0),MATCH(L$9,'01_FASTPPH'!$8:$8,0))</f>
        <v>2411.67</v>
      </c>
      <c r="M12" s="20">
        <f>INDEX('01_FASTPPH'!$9:$1048576,MATCH($A12,'01_FASTPPH'!$A$9:$A$1048576,0),MATCH(M$9,'01_FASTPPH'!$8:$8,0))</f>
        <v>14939.8</v>
      </c>
      <c r="N12" s="24">
        <f>INDEX('01_FASTPPH'!$9:$1048576,MATCH($A12,'01_FASTPPH'!$A$9:$A$1048576,0),MATCH(N$9,'01_FASTPPH'!$8:$8,0))</f>
        <v>0</v>
      </c>
      <c r="O12" s="23">
        <f>INDEX('01_FASTPPH'!$9:$1048576,MATCH($A12,'01_FASTPPH'!$A$9:$A$1048576,0),MATCH(O$9,'01_FASTPPH'!$8:$8,0))</f>
        <v>-434.45100000000002</v>
      </c>
      <c r="P12" s="20">
        <f>INDEX('01_FASTPPH'!$9:$1048576,MATCH($A12,'01_FASTPPH'!$A$9:$A$1048576,0),MATCH(P$9,'01_FASTPPH'!$8:$8,0))</f>
        <v>-462.80900000000003</v>
      </c>
      <c r="Q12" s="20">
        <f>INDEX('01_FASTPPH'!$9:$1048576,MATCH($A12,'01_FASTPPH'!$A$9:$A$1048576,0),MATCH(Q$9,'01_FASTPPH'!$8:$8,0))</f>
        <v>331.77499999999998</v>
      </c>
      <c r="R12" s="20">
        <f>INDEX('01_FASTPPH'!$9:$1048576,MATCH($A12,'01_FASTPPH'!$A$9:$A$1048576,0),MATCH(R$9,'01_FASTPPH'!$8:$8,0))</f>
        <v>363.84399999999999</v>
      </c>
      <c r="S12" s="20">
        <f>INDEX('01_FASTPPH'!$9:$1048576,MATCH($A12,'01_FASTPPH'!$A$9:$A$1048576,0),MATCH(S$9,'01_FASTPPH'!$8:$8,0))</f>
        <v>-425.23</v>
      </c>
      <c r="T12" s="24">
        <f>INDEX('01_FASTPPH'!$9:$1048576,MATCH($A12,'01_FASTPPH'!$A$9:$A$1048576,0),MATCH(T$9,'01_FASTPPH'!$8:$8,0))</f>
        <v>-545.75</v>
      </c>
      <c r="U12" s="23">
        <f>INDEX('01_FASTPPH'!$9:$1048576,MATCH($A12,'01_FASTPPH'!$A$9:$A$1048576,0),MATCH(U$9,'01_FASTPPH'!$8:$8,0))</f>
        <v>8857.09</v>
      </c>
      <c r="V12" s="20">
        <f>INDEX('01_FASTPPH'!$9:$1048576,MATCH($A12,'01_FASTPPH'!$A$9:$A$1048576,0),MATCH(V$9,'01_FASTPPH'!$8:$8,0))</f>
        <v>1776.21</v>
      </c>
      <c r="W12" s="24">
        <f>INDEX('01_FASTPPH'!$9:$1048576,MATCH($A12,'01_FASTPPH'!$A$9:$A$1048576,0),MATCH(W$9,'01_FASTPPH'!$8:$8,0))</f>
        <v>-1209.48</v>
      </c>
      <c r="X12" s="20">
        <f>INDEX('01_FASTPPH'!$9:$1048576,MATCH($A12,'01_FASTPPH'!$A$9:$A$1048576,0),MATCH(X$9,'01_FASTPPH'!$8:$8,0))</f>
        <v>0</v>
      </c>
      <c r="Y12" s="20">
        <f>INDEX('01_FASTPPH'!$9:$1048576,MATCH($A12,'01_FASTPPH'!$A$9:$A$1048576,0),MATCH(Y$9,'01_FASTPPH'!$8:$8,0))</f>
        <v>0</v>
      </c>
      <c r="AA12" s="32">
        <f>INDEX('02_PROPERTIES'!$C$10:$I$1048576,MATCH('03_CALCULATIONS'!$D12,'02_PROPERTIES'!$C$10:$C$1048576,0),MATCH('03_CALCULATIONS'!AA$9,'02_PROPERTIES'!$C$10:$I$10,0))</f>
        <v>16.559999999999999</v>
      </c>
      <c r="AB12" s="20">
        <f>INDEX('02_PROPERTIES'!$C$10:$I$1048576,MATCH('03_CALCULATIONS'!$D12,'02_PROPERTIES'!$C$10:$C$1048576,0),MATCH('03_CALCULATIONS'!AB$9,'02_PROPERTIES'!$C$10:$I$10,0))</f>
        <v>79593.867056640505</v>
      </c>
      <c r="AC12" s="20">
        <f>INDEX('02_PROPERTIES'!$C$10:$I$1048576,MATCH('03_CALCULATIONS'!$D12,'02_PROPERTIES'!$C$10:$C$1048576,0),MATCH('03_CALCULATIONS'!AC$9,'02_PROPERTIES'!$C$10:$I$10,0))</f>
        <v>41017.370743551612</v>
      </c>
      <c r="AD12" s="20">
        <f>INDEX('02_PROPERTIES'!$C$10:$I$1048576,MATCH('03_CALCULATIONS'!$D12,'02_PROPERTIES'!$C$10:$C$1048576,0),MATCH('03_CALCULATIONS'!AD$9,'02_PROPERTIES'!$C$10:$I$10,0))</f>
        <v>19846.188560278148</v>
      </c>
      <c r="AE12" s="32">
        <f>INDEX('02_PROPERTIES'!$C$10:$I$1048576,MATCH('03_CALCULATIONS'!$D12,'02_PROPERTIES'!$C$10:$C$1048576,0),MATCH('03_CALCULATIONS'!AE$9,'02_PROPERTIES'!$C$10:$I$10,0))</f>
        <v>0.4142802271075095</v>
      </c>
      <c r="AF12" s="32">
        <f>INDEX('02_PROPERTIES'!$C$10:$I$1048576,MATCH('03_CALCULATIONS'!$D12,'02_PROPERTIES'!$C$10:$C$1048576,0),MATCH('03_CALCULATIONS'!AF$9,'02_PROPERTIES'!$C$10:$I$10,0))</f>
        <v>1</v>
      </c>
      <c r="AH12" s="20">
        <f t="shared" si="0"/>
        <v>-3643.5415797101455</v>
      </c>
      <c r="AI12" s="20">
        <f t="shared" si="1"/>
        <v>975.32934782608697</v>
      </c>
      <c r="AJ12" s="20">
        <f t="shared" si="2"/>
        <v>-863.44739130434789</v>
      </c>
      <c r="AL12" s="20">
        <f t="shared" si="3"/>
        <v>-3070.8441991846071</v>
      </c>
      <c r="AM12" s="20">
        <f t="shared" si="4"/>
        <v>3658.1305009203634</v>
      </c>
      <c r="AN12" s="20">
        <f t="shared" si="5"/>
        <v>-1313.6160324889695</v>
      </c>
      <c r="AO12" s="20">
        <f t="shared" si="6"/>
        <v>-363.1648653766066</v>
      </c>
      <c r="AP12" s="20">
        <f t="shared" si="7"/>
        <v>950.4511671123629</v>
      </c>
      <c r="AR12" s="20">
        <f t="shared" si="8"/>
        <v>3721.6413858245724</v>
      </c>
      <c r="AS12" s="20">
        <f t="shared" si="9"/>
        <v>-3134.3550840888156</v>
      </c>
      <c r="AT12" s="20">
        <f t="shared" si="10"/>
        <v>3611.836404029847</v>
      </c>
    </row>
    <row r="13" spans="1:49" x14ac:dyDescent="0.3">
      <c r="A13" s="18">
        <v>173</v>
      </c>
      <c r="B13" s="20">
        <f>INDEX('01_FASTPPH'!$9:$1048576,MATCH($A13,'01_FASTPPH'!$A$9:$A$1048576,0),MATCH(B$9,'01_FASTPPH'!$8:$8,0))</f>
        <v>30</v>
      </c>
      <c r="C13" s="20">
        <f>INDEX('01_FASTPPH'!$9:$1048576,MATCH($A13,'01_FASTPPH'!$A$9:$A$1048576,0),MATCH(C$9,'01_FASTPPH'!$8:$8,0))</f>
        <v>1500869</v>
      </c>
      <c r="D13" s="20" t="str">
        <f>INDEX('01_FASTPPH'!$9:$1048576,MATCH($A13,'01_FASTPPH'!$A$9:$A$1048576,0),MATCH(D$9,'01_FASTPPH'!$8:$8,0))</f>
        <v>SkinRH</v>
      </c>
      <c r="E13" s="20">
        <f>INDEX('01_FASTPPH'!$9:$1048576,MATCH($A13,'01_FASTPPH'!$A$9:$A$1048576,0),MATCH(E$9,'01_FASTPPH'!$8:$8,0))</f>
        <v>2904020</v>
      </c>
      <c r="F13" s="20">
        <f>INDEX('01_FASTPPH'!$9:$1048576,MATCH($A13,'01_FASTPPH'!$A$9:$A$1048576,0),MATCH(F$9,'01_FASTPPH'!$8:$8,0))</f>
        <v>1904022</v>
      </c>
      <c r="G13" s="20">
        <f>INDEX('01_FASTPPH'!$9:$1048576,MATCH($A13,'01_FASTPPH'!$A$9:$A$1048576,0),MATCH(G$9,'01_FASTPPH'!$8:$8,0))</f>
        <v>3904020</v>
      </c>
      <c r="H13" s="20">
        <f>INDEX('01_FASTPPH'!$9:$1048576,MATCH($A13,'01_FASTPPH'!$A$9:$A$1048576,0),MATCH(H$9,'01_FASTPPH'!$8:$8,0))</f>
        <v>1904021</v>
      </c>
      <c r="I13" s="20">
        <f>INDEX('01_FASTPPH'!$9:$1048576,MATCH($A13,'01_FASTPPH'!$A$9:$A$1048576,0),MATCH(I$9,'01_FASTPPH'!$8:$8,0))</f>
        <v>57.914999999999999</v>
      </c>
      <c r="J13" s="20" t="str">
        <f>INDEX('01_FASTPPH'!$9:$1048576,MATCH($A13,'01_FASTPPH'!$A$9:$A$1048576,0),MATCH(J$9,'01_FASTPPH'!$8:$8,0))</f>
        <v xml:space="preserve">SUBCASE 101 = STLN ULT (INTACT) :STLN ULT (INTACT) </v>
      </c>
      <c r="K13" s="23">
        <f>INDEX('01_FASTPPH'!$9:$1048576,MATCH($A13,'01_FASTPPH'!$A$9:$A$1048576,0),MATCH(K$9,'01_FASTPPH'!$8:$8,0))</f>
        <v>4158.3999999999996</v>
      </c>
      <c r="L13" s="20">
        <f>INDEX('01_FASTPPH'!$9:$1048576,MATCH($A13,'01_FASTPPH'!$A$9:$A$1048576,0),MATCH(L$9,'01_FASTPPH'!$8:$8,0))</f>
        <v>5154.46</v>
      </c>
      <c r="M13" s="20">
        <f>INDEX('01_FASTPPH'!$9:$1048576,MATCH($A13,'01_FASTPPH'!$A$9:$A$1048576,0),MATCH(M$9,'01_FASTPPH'!$8:$8,0))</f>
        <v>18953</v>
      </c>
      <c r="N13" s="24">
        <f>INDEX('01_FASTPPH'!$9:$1048576,MATCH($A13,'01_FASTPPH'!$A$9:$A$1048576,0),MATCH(N$9,'01_FASTPPH'!$8:$8,0))</f>
        <v>17245.2</v>
      </c>
      <c r="O13" s="23">
        <f>INDEX('01_FASTPPH'!$9:$1048576,MATCH($A13,'01_FASTPPH'!$A$9:$A$1048576,0),MATCH(O$9,'01_FASTPPH'!$8:$8,0))</f>
        <v>-1601.98</v>
      </c>
      <c r="P13" s="20">
        <f>INDEX('01_FASTPPH'!$9:$1048576,MATCH($A13,'01_FASTPPH'!$A$9:$A$1048576,0),MATCH(P$9,'01_FASTPPH'!$8:$8,0))</f>
        <v>-1700.57</v>
      </c>
      <c r="Q13" s="20">
        <f>INDEX('01_FASTPPH'!$9:$1048576,MATCH($A13,'01_FASTPPH'!$A$9:$A$1048576,0),MATCH(Q$9,'01_FASTPPH'!$8:$8,0))</f>
        <v>290.803</v>
      </c>
      <c r="R13" s="20">
        <f>INDEX('01_FASTPPH'!$9:$1048576,MATCH($A13,'01_FASTPPH'!$A$9:$A$1048576,0),MATCH(R$9,'01_FASTPPH'!$8:$8,0))</f>
        <v>324.02999999999997</v>
      </c>
      <c r="S13" s="20">
        <f>INDEX('01_FASTPPH'!$9:$1048576,MATCH($A13,'01_FASTPPH'!$A$9:$A$1048576,0),MATCH(S$9,'01_FASTPPH'!$8:$8,0))</f>
        <v>-325.29599999999999</v>
      </c>
      <c r="T13" s="24">
        <f>INDEX('01_FASTPPH'!$9:$1048576,MATCH($A13,'01_FASTPPH'!$A$9:$A$1048576,0),MATCH(T$9,'01_FASTPPH'!$8:$8,0))</f>
        <v>-402.25299999999999</v>
      </c>
      <c r="U13" s="23">
        <f>INDEX('01_FASTPPH'!$9:$1048576,MATCH($A13,'01_FASTPPH'!$A$9:$A$1048576,0),MATCH(U$9,'01_FASTPPH'!$8:$8,0))</f>
        <v>10404.299999999999</v>
      </c>
      <c r="V13" s="20">
        <f>INDEX('01_FASTPPH'!$9:$1048576,MATCH($A13,'01_FASTPPH'!$A$9:$A$1048576,0),MATCH(V$9,'01_FASTPPH'!$8:$8,0))</f>
        <v>1582.11</v>
      </c>
      <c r="W13" s="24">
        <f>INDEX('01_FASTPPH'!$9:$1048576,MATCH($A13,'01_FASTPPH'!$A$9:$A$1048576,0),MATCH(W$9,'01_FASTPPH'!$8:$8,0))</f>
        <v>981.17600000000004</v>
      </c>
      <c r="X13" s="20">
        <f>INDEX('01_FASTPPH'!$9:$1048576,MATCH($A13,'01_FASTPPH'!$A$9:$A$1048576,0),MATCH(X$9,'01_FASTPPH'!$8:$8,0))</f>
        <v>0</v>
      </c>
      <c r="Y13" s="20">
        <f>INDEX('01_FASTPPH'!$9:$1048576,MATCH($A13,'01_FASTPPH'!$A$9:$A$1048576,0),MATCH(Y$9,'01_FASTPPH'!$8:$8,0))</f>
        <v>0</v>
      </c>
      <c r="AA13" s="32">
        <f>INDEX('02_PROPERTIES'!$C$10:$I$1048576,MATCH('03_CALCULATIONS'!$D13,'02_PROPERTIES'!$C$10:$C$1048576,0),MATCH('03_CALCULATIONS'!AA$9,'02_PROPERTIES'!$C$10:$I$10,0))</f>
        <v>16.559999999999999</v>
      </c>
      <c r="AB13" s="20">
        <f>INDEX('02_PROPERTIES'!$C$10:$I$1048576,MATCH('03_CALCULATIONS'!$D13,'02_PROPERTIES'!$C$10:$C$1048576,0),MATCH('03_CALCULATIONS'!AB$9,'02_PROPERTIES'!$C$10:$I$10,0))</f>
        <v>79593.867056640505</v>
      </c>
      <c r="AC13" s="20">
        <f>INDEX('02_PROPERTIES'!$C$10:$I$1048576,MATCH('03_CALCULATIONS'!$D13,'02_PROPERTIES'!$C$10:$C$1048576,0),MATCH('03_CALCULATIONS'!AC$9,'02_PROPERTIES'!$C$10:$I$10,0))</f>
        <v>41017.370743551612</v>
      </c>
      <c r="AD13" s="20">
        <f>INDEX('02_PROPERTIES'!$C$10:$I$1048576,MATCH('03_CALCULATIONS'!$D13,'02_PROPERTIES'!$C$10:$C$1048576,0),MATCH('03_CALCULATIONS'!AD$9,'02_PROPERTIES'!$C$10:$I$10,0))</f>
        <v>19846.188560278148</v>
      </c>
      <c r="AE13" s="32">
        <f>INDEX('02_PROPERTIES'!$C$10:$I$1048576,MATCH('03_CALCULATIONS'!$D13,'02_PROPERTIES'!$C$10:$C$1048576,0),MATCH('03_CALCULATIONS'!AE$9,'02_PROPERTIES'!$C$10:$I$10,0))</f>
        <v>0.4142802271075095</v>
      </c>
      <c r="AF13" s="32">
        <f>INDEX('02_PROPERTIES'!$C$10:$I$1048576,MATCH('03_CALCULATIONS'!$D13,'02_PROPERTIES'!$C$10:$C$1048576,0),MATCH('03_CALCULATIONS'!AF$9,'02_PROPERTIES'!$C$10:$I$10,0))</f>
        <v>1</v>
      </c>
      <c r="AH13" s="20">
        <f t="shared" si="0"/>
        <v>-5371.6539130434785</v>
      </c>
      <c r="AI13" s="20">
        <f t="shared" si="1"/>
        <v>864.03126086956524</v>
      </c>
      <c r="AJ13" s="20">
        <f t="shared" si="2"/>
        <v>-680.7945507246377</v>
      </c>
      <c r="AL13" s="20">
        <f t="shared" si="3"/>
        <v>-4346.9509861124779</v>
      </c>
      <c r="AM13" s="20">
        <f t="shared" si="4"/>
        <v>4548.2692809308919</v>
      </c>
      <c r="AN13" s="20">
        <f t="shared" si="5"/>
        <v>-1035.7349453706154</v>
      </c>
      <c r="AO13" s="20">
        <f t="shared" si="6"/>
        <v>-417.20832527610071</v>
      </c>
      <c r="AP13" s="20">
        <f t="shared" si="7"/>
        <v>618.52662009451467</v>
      </c>
      <c r="AR13" s="20">
        <f t="shared" si="8"/>
        <v>4578.3173097827312</v>
      </c>
      <c r="AS13" s="20">
        <f t="shared" si="9"/>
        <v>-4376.9990149643163</v>
      </c>
      <c r="AT13" s="20">
        <f t="shared" si="10"/>
        <v>4566.6161188418982</v>
      </c>
    </row>
    <row r="14" spans="1:49" x14ac:dyDescent="0.3">
      <c r="A14" s="18">
        <v>101</v>
      </c>
      <c r="B14" s="20">
        <f>INDEX('01_FASTPPH'!$9:$1048576,MATCH($A14,'01_FASTPPH'!$A$9:$A$1048576,0),MATCH(B$9,'01_FASTPPH'!$8:$8,0))</f>
        <v>17</v>
      </c>
      <c r="C14" s="20">
        <f>INDEX('01_FASTPPH'!$9:$1048576,MATCH($A14,'01_FASTPPH'!$A$9:$A$1048576,0),MATCH(C$9,'01_FASTPPH'!$8:$8,0))</f>
        <v>1500412</v>
      </c>
      <c r="D14" s="20" t="str">
        <f>INDEX('01_FASTPPH'!$9:$1048576,MATCH($A14,'01_FASTPPH'!$A$9:$A$1048576,0),MATCH(D$9,'01_FASTPPH'!$8:$8,0))</f>
        <v>SkinRH</v>
      </c>
      <c r="E14" s="20">
        <f>INDEX('01_FASTPPH'!$9:$1048576,MATCH($A14,'01_FASTPPH'!$A$9:$A$1048576,0),MATCH(E$9,'01_FASTPPH'!$8:$8,0))</f>
        <v>2905020</v>
      </c>
      <c r="F14" s="20">
        <f>INDEX('01_FASTPPH'!$9:$1048576,MATCH($A14,'01_FASTPPH'!$A$9:$A$1048576,0),MATCH(F$9,'01_FASTPPH'!$8:$8,0))</f>
        <v>1905022</v>
      </c>
      <c r="G14" s="20">
        <f>INDEX('01_FASTPPH'!$9:$1048576,MATCH($A14,'01_FASTPPH'!$A$9:$A$1048576,0),MATCH(G$9,'01_FASTPPH'!$8:$8,0))</f>
        <v>3905020</v>
      </c>
      <c r="H14" s="20">
        <f>INDEX('01_FASTPPH'!$9:$1048576,MATCH($A14,'01_FASTPPH'!$A$9:$A$1048576,0),MATCH(H$9,'01_FASTPPH'!$8:$8,0))</f>
        <v>1905021</v>
      </c>
      <c r="I14" s="20">
        <f>INDEX('01_FASTPPH'!$9:$1048576,MATCH($A14,'01_FASTPPH'!$A$9:$A$1048576,0),MATCH(I$9,'01_FASTPPH'!$8:$8,0))</f>
        <v>57.914999999999999</v>
      </c>
      <c r="J14" s="20" t="str">
        <f>INDEX('01_FASTPPH'!$9:$1048576,MATCH($A14,'01_FASTPPH'!$A$9:$A$1048576,0),MATCH(J$9,'01_FASTPPH'!$8:$8,0))</f>
        <v xml:space="preserve">SUBCASE 101 = STLN ULT (INTACT) :STLN ULT (INTACT) </v>
      </c>
      <c r="K14" s="23">
        <f>INDEX('01_FASTPPH'!$9:$1048576,MATCH($A14,'01_FASTPPH'!$A$9:$A$1048576,0),MATCH(K$9,'01_FASTPPH'!$8:$8,0))</f>
        <v>-4838.58</v>
      </c>
      <c r="L14" s="20">
        <f>INDEX('01_FASTPPH'!$9:$1048576,MATCH($A14,'01_FASTPPH'!$A$9:$A$1048576,0),MATCH(L$9,'01_FASTPPH'!$8:$8,0))</f>
        <v>8090.1</v>
      </c>
      <c r="M14" s="20">
        <f>INDEX('01_FASTPPH'!$9:$1048576,MATCH($A14,'01_FASTPPH'!$A$9:$A$1048576,0),MATCH(M$9,'01_FASTPPH'!$8:$8,0))</f>
        <v>22203.8</v>
      </c>
      <c r="N14" s="24">
        <f>INDEX('01_FASTPPH'!$9:$1048576,MATCH($A14,'01_FASTPPH'!$A$9:$A$1048576,0),MATCH(N$9,'01_FASTPPH'!$8:$8,0))</f>
        <v>20539.099999999999</v>
      </c>
      <c r="O14" s="23">
        <f>INDEX('01_FASTPPH'!$9:$1048576,MATCH($A14,'01_FASTPPH'!$A$9:$A$1048576,0),MATCH(O$9,'01_FASTPPH'!$8:$8,0))</f>
        <v>-2478.83</v>
      </c>
      <c r="P14" s="20">
        <f>INDEX('01_FASTPPH'!$9:$1048576,MATCH($A14,'01_FASTPPH'!$A$9:$A$1048576,0),MATCH(P$9,'01_FASTPPH'!$8:$8,0))</f>
        <v>-2637.17</v>
      </c>
      <c r="Q14" s="20">
        <f>INDEX('01_FASTPPH'!$9:$1048576,MATCH($A14,'01_FASTPPH'!$A$9:$A$1048576,0),MATCH(Q$9,'01_FASTPPH'!$8:$8,0))</f>
        <v>90.9696</v>
      </c>
      <c r="R14" s="20">
        <f>INDEX('01_FASTPPH'!$9:$1048576,MATCH($A14,'01_FASTPPH'!$A$9:$A$1048576,0),MATCH(R$9,'01_FASTPPH'!$8:$8,0))</f>
        <v>265.911</v>
      </c>
      <c r="S14" s="20">
        <f>INDEX('01_FASTPPH'!$9:$1048576,MATCH($A14,'01_FASTPPH'!$A$9:$A$1048576,0),MATCH(S$9,'01_FASTPPH'!$8:$8,0))</f>
        <v>-445.24</v>
      </c>
      <c r="T14" s="24">
        <f>INDEX('01_FASTPPH'!$9:$1048576,MATCH($A14,'01_FASTPPH'!$A$9:$A$1048576,0),MATCH(T$9,'01_FASTPPH'!$8:$8,0))</f>
        <v>-758.87800000000004</v>
      </c>
      <c r="U14" s="23">
        <f>INDEX('01_FASTPPH'!$9:$1048576,MATCH($A14,'01_FASTPPH'!$A$9:$A$1048576,0),MATCH(U$9,'01_FASTPPH'!$8:$8,0))</f>
        <v>8950.25</v>
      </c>
      <c r="V14" s="20">
        <f>INDEX('01_FASTPPH'!$9:$1048576,MATCH($A14,'01_FASTPPH'!$A$9:$A$1048576,0),MATCH(V$9,'01_FASTPPH'!$8:$8,0))</f>
        <v>911.34900000000005</v>
      </c>
      <c r="W14" s="24">
        <f>INDEX('01_FASTPPH'!$9:$1048576,MATCH($A14,'01_FASTPPH'!$A$9:$A$1048576,0),MATCH(W$9,'01_FASTPPH'!$8:$8,0))</f>
        <v>999.77</v>
      </c>
      <c r="X14" s="20">
        <f>INDEX('01_FASTPPH'!$9:$1048576,MATCH($A14,'01_FASTPPH'!$A$9:$A$1048576,0),MATCH(X$9,'01_FASTPPH'!$8:$8,0))</f>
        <v>0.30175800000000003</v>
      </c>
      <c r="Y14" s="20">
        <f>INDEX('01_FASTPPH'!$9:$1048576,MATCH($A14,'01_FASTPPH'!$A$9:$A$1048576,0),MATCH(Y$9,'01_FASTPPH'!$8:$8,0))</f>
        <v>0</v>
      </c>
      <c r="AA14" s="32">
        <f>INDEX('02_PROPERTIES'!$C$10:$I$1048576,MATCH('03_CALCULATIONS'!$D14,'02_PROPERTIES'!$C$10:$C$1048576,0),MATCH('03_CALCULATIONS'!AA$9,'02_PROPERTIES'!$C$10:$I$10,0))</f>
        <v>16.559999999999999</v>
      </c>
      <c r="AB14" s="20">
        <f>INDEX('02_PROPERTIES'!$C$10:$I$1048576,MATCH('03_CALCULATIONS'!$D14,'02_PROPERTIES'!$C$10:$C$1048576,0),MATCH('03_CALCULATIONS'!AB$9,'02_PROPERTIES'!$C$10:$I$10,0))</f>
        <v>79593.867056640505</v>
      </c>
      <c r="AC14" s="20">
        <f>INDEX('02_PROPERTIES'!$C$10:$I$1048576,MATCH('03_CALCULATIONS'!$D14,'02_PROPERTIES'!$C$10:$C$1048576,0),MATCH('03_CALCULATIONS'!AC$9,'02_PROPERTIES'!$C$10:$I$10,0))</f>
        <v>41017.370743551612</v>
      </c>
      <c r="AD14" s="20">
        <f>INDEX('02_PROPERTIES'!$C$10:$I$1048576,MATCH('03_CALCULATIONS'!$D14,'02_PROPERTIES'!$C$10:$C$1048576,0),MATCH('03_CALCULATIONS'!AD$9,'02_PROPERTIES'!$C$10:$I$10,0))</f>
        <v>19846.188560278148</v>
      </c>
      <c r="AE14" s="32">
        <f>INDEX('02_PROPERTIES'!$C$10:$I$1048576,MATCH('03_CALCULATIONS'!$D14,'02_PROPERTIES'!$C$10:$C$1048576,0),MATCH('03_CALCULATIONS'!AE$9,'02_PROPERTIES'!$C$10:$I$10,0))</f>
        <v>0.4142802271075095</v>
      </c>
      <c r="AF14" s="32">
        <f>INDEX('02_PROPERTIES'!$C$10:$I$1048576,MATCH('03_CALCULATIONS'!$D14,'02_PROPERTIES'!$C$10:$C$1048576,0),MATCH('03_CALCULATIONS'!AF$9,'02_PROPERTIES'!$C$10:$I$10,0))</f>
        <v>1</v>
      </c>
      <c r="AH14" s="20">
        <f t="shared" si="0"/>
        <v>-5721.6742028985509</v>
      </c>
      <c r="AI14" s="20">
        <f t="shared" si="1"/>
        <v>421.1685130434783</v>
      </c>
      <c r="AJ14" s="20">
        <f t="shared" si="2"/>
        <v>-807.47550724637676</v>
      </c>
      <c r="AL14" s="20">
        <f t="shared" si="3"/>
        <v>-4473.3103215556839</v>
      </c>
      <c r="AM14" s="20">
        <f t="shared" si="4"/>
        <v>4109.7602062494252</v>
      </c>
      <c r="AN14" s="20">
        <f t="shared" si="5"/>
        <v>-1228.4625361582957</v>
      </c>
      <c r="AO14" s="20">
        <f t="shared" si="6"/>
        <v>-796.00632573227722</v>
      </c>
      <c r="AP14" s="20">
        <f t="shared" si="7"/>
        <v>432.45621042601852</v>
      </c>
      <c r="AR14" s="20">
        <f t="shared" si="8"/>
        <v>4153.4936735797219</v>
      </c>
      <c r="AS14" s="20">
        <f t="shared" si="9"/>
        <v>-4517.0437888859797</v>
      </c>
      <c r="AT14" s="20">
        <f t="shared" si="10"/>
        <v>4463.8990942967839</v>
      </c>
      <c r="AU14" s="53"/>
      <c r="AV14" s="52"/>
      <c r="AW14" s="52"/>
    </row>
    <row r="15" spans="1:49" x14ac:dyDescent="0.3">
      <c r="A15" s="18">
        <v>247</v>
      </c>
      <c r="B15" s="20">
        <f>INDEX('01_FASTPPH'!$9:$1048576,MATCH($A15,'01_FASTPPH'!$A$9:$A$1048576,0),MATCH(B$9,'01_FASTPPH'!$8:$8,0))</f>
        <v>42</v>
      </c>
      <c r="C15" s="20">
        <f>INDEX('01_FASTPPH'!$9:$1048576,MATCH($A15,'01_FASTPPH'!$A$9:$A$1048576,0),MATCH(C$9,'01_FASTPPH'!$8:$8,0))</f>
        <v>1500504</v>
      </c>
      <c r="D15" s="20" t="str">
        <f>INDEX('01_FASTPPH'!$9:$1048576,MATCH($A15,'01_FASTPPH'!$A$9:$A$1048576,0),MATCH(D$9,'01_FASTPPH'!$8:$8,0))</f>
        <v>SkinRH</v>
      </c>
      <c r="E15" s="20">
        <f>INDEX('01_FASTPPH'!$9:$1048576,MATCH($A15,'01_FASTPPH'!$A$9:$A$1048576,0),MATCH(E$9,'01_FASTPPH'!$8:$8,0))</f>
        <v>3906020</v>
      </c>
      <c r="F15" s="20">
        <f>INDEX('01_FASTPPH'!$9:$1048576,MATCH($A15,'01_FASTPPH'!$A$9:$A$1048576,0),MATCH(F$9,'01_FASTPPH'!$8:$8,0))</f>
        <v>1906021</v>
      </c>
      <c r="G15" s="20">
        <f>INDEX('01_FASTPPH'!$9:$1048576,MATCH($A15,'01_FASTPPH'!$A$9:$A$1048576,0),MATCH(G$9,'01_FASTPPH'!$8:$8,0))</f>
        <v>0</v>
      </c>
      <c r="H15" s="20">
        <f>INDEX('01_FASTPPH'!$9:$1048576,MATCH($A15,'01_FASTPPH'!$A$9:$A$1048576,0),MATCH(H$9,'01_FASTPPH'!$8:$8,0))</f>
        <v>0</v>
      </c>
      <c r="I15" s="20">
        <f>INDEX('01_FASTPPH'!$9:$1048576,MATCH($A15,'01_FASTPPH'!$A$9:$A$1048576,0),MATCH(I$9,'01_FASTPPH'!$8:$8,0))</f>
        <v>57.914999999999999</v>
      </c>
      <c r="J15" s="20" t="str">
        <f>INDEX('01_FASTPPH'!$9:$1048576,MATCH($A15,'01_FASTPPH'!$A$9:$A$1048576,0),MATCH(J$9,'01_FASTPPH'!$8:$8,0))</f>
        <v xml:space="preserve">SUBCASE 101 = STLN ULT (INTACT) :STLN ULT (INTACT) </v>
      </c>
      <c r="K15" s="23">
        <f>INDEX('01_FASTPPH'!$9:$1048576,MATCH($A15,'01_FASTPPH'!$A$9:$A$1048576,0),MATCH(K$9,'01_FASTPPH'!$8:$8,0))</f>
        <v>-8883.89</v>
      </c>
      <c r="L15" s="20">
        <f>INDEX('01_FASTPPH'!$9:$1048576,MATCH($A15,'01_FASTPPH'!$A$9:$A$1048576,0),MATCH(L$9,'01_FASTPPH'!$8:$8,0))</f>
        <v>15619.8</v>
      </c>
      <c r="M15" s="20">
        <f>INDEX('01_FASTPPH'!$9:$1048576,MATCH($A15,'01_FASTPPH'!$A$9:$A$1048576,0),MATCH(M$9,'01_FASTPPH'!$8:$8,0))</f>
        <v>10059.5</v>
      </c>
      <c r="N15" s="24">
        <f>INDEX('01_FASTPPH'!$9:$1048576,MATCH($A15,'01_FASTPPH'!$A$9:$A$1048576,0),MATCH(N$9,'01_FASTPPH'!$8:$8,0))</f>
        <v>8902.5400000000009</v>
      </c>
      <c r="O15" s="23">
        <f>INDEX('01_FASTPPH'!$9:$1048576,MATCH($A15,'01_FASTPPH'!$A$9:$A$1048576,0),MATCH(O$9,'01_FASTPPH'!$8:$8,0))</f>
        <v>-1368.98</v>
      </c>
      <c r="P15" s="20">
        <f>INDEX('01_FASTPPH'!$9:$1048576,MATCH($A15,'01_FASTPPH'!$A$9:$A$1048576,0),MATCH(P$9,'01_FASTPPH'!$8:$8,0))</f>
        <v>-2007.36</v>
      </c>
      <c r="Q15" s="20">
        <f>INDEX('01_FASTPPH'!$9:$1048576,MATCH($A15,'01_FASTPPH'!$A$9:$A$1048576,0),MATCH(Q$9,'01_FASTPPH'!$8:$8,0))</f>
        <v>-17.375299999999999</v>
      </c>
      <c r="R15" s="20">
        <f>INDEX('01_FASTPPH'!$9:$1048576,MATCH($A15,'01_FASTPPH'!$A$9:$A$1048576,0),MATCH(R$9,'01_FASTPPH'!$8:$8,0))</f>
        <v>-25.213200000000001</v>
      </c>
      <c r="S15" s="20">
        <f>INDEX('01_FASTPPH'!$9:$1048576,MATCH($A15,'01_FASTPPH'!$A$9:$A$1048576,0),MATCH(S$9,'01_FASTPPH'!$8:$8,0))</f>
        <v>-318.74299999999999</v>
      </c>
      <c r="T15" s="24">
        <f>INDEX('01_FASTPPH'!$9:$1048576,MATCH($A15,'01_FASTPPH'!$A$9:$A$1048576,0),MATCH(T$9,'01_FASTPPH'!$8:$8,0))</f>
        <v>-758.33799999999997</v>
      </c>
      <c r="U15" s="23">
        <f>INDEX('01_FASTPPH'!$9:$1048576,MATCH($A15,'01_FASTPPH'!$A$9:$A$1048576,0),MATCH(U$9,'01_FASTPPH'!$8:$8,0))</f>
        <v>9251.2199999999993</v>
      </c>
      <c r="V15" s="20">
        <f>INDEX('01_FASTPPH'!$9:$1048576,MATCH($A15,'01_FASTPPH'!$A$9:$A$1048576,0),MATCH(V$9,'01_FASTPPH'!$8:$8,0))</f>
        <v>142.494</v>
      </c>
      <c r="W15" s="24">
        <f>INDEX('01_FASTPPH'!$9:$1048576,MATCH($A15,'01_FASTPPH'!$A$9:$A$1048576,0),MATCH(W$9,'01_FASTPPH'!$8:$8,0))</f>
        <v>426.26799999999997</v>
      </c>
      <c r="X15" s="20">
        <f>INDEX('01_FASTPPH'!$9:$1048576,MATCH($A15,'01_FASTPPH'!$A$9:$A$1048576,0),MATCH(X$9,'01_FASTPPH'!$8:$8,0))</f>
        <v>0</v>
      </c>
      <c r="Y15" s="20">
        <f>INDEX('01_FASTPPH'!$9:$1048576,MATCH($A15,'01_FASTPPH'!$A$9:$A$1048576,0),MATCH(Y$9,'01_FASTPPH'!$8:$8,0))</f>
        <v>0</v>
      </c>
      <c r="AA15" s="32">
        <f>INDEX('02_PROPERTIES'!$C$10:$I$1048576,MATCH('03_CALCULATIONS'!$D15,'02_PROPERTIES'!$C$10:$C$1048576,0),MATCH('03_CALCULATIONS'!AA$9,'02_PROPERTIES'!$C$10:$I$10,0))</f>
        <v>16.559999999999999</v>
      </c>
      <c r="AB15" s="20">
        <f>INDEX('02_PROPERTIES'!$C$10:$I$1048576,MATCH('03_CALCULATIONS'!$D15,'02_PROPERTIES'!$C$10:$C$1048576,0),MATCH('03_CALCULATIONS'!AB$9,'02_PROPERTIES'!$C$10:$I$10,0))</f>
        <v>79593.867056640505</v>
      </c>
      <c r="AC15" s="20">
        <f>INDEX('02_PROPERTIES'!$C$10:$I$1048576,MATCH('03_CALCULATIONS'!$D15,'02_PROPERTIES'!$C$10:$C$1048576,0),MATCH('03_CALCULATIONS'!AC$9,'02_PROPERTIES'!$C$10:$I$10,0))</f>
        <v>41017.370743551612</v>
      </c>
      <c r="AD15" s="20">
        <f>INDEX('02_PROPERTIES'!$C$10:$I$1048576,MATCH('03_CALCULATIONS'!$D15,'02_PROPERTIES'!$C$10:$C$1048576,0),MATCH('03_CALCULATIONS'!AD$9,'02_PROPERTIES'!$C$10:$I$10,0))</f>
        <v>19846.188560278148</v>
      </c>
      <c r="AE15" s="32">
        <f>INDEX('02_PROPERTIES'!$C$10:$I$1048576,MATCH('03_CALCULATIONS'!$D15,'02_PROPERTIES'!$C$10:$C$1048576,0),MATCH('03_CALCULATIONS'!AE$9,'02_PROPERTIES'!$C$10:$I$10,0))</f>
        <v>0.4142802271075095</v>
      </c>
      <c r="AF15" s="32">
        <f>INDEX('02_PROPERTIES'!$C$10:$I$1048576,MATCH('03_CALCULATIONS'!$D15,'02_PROPERTIES'!$C$10:$C$1048576,0),MATCH('03_CALCULATIONS'!AF$9,'02_PROPERTIES'!$C$10:$I$10,0))</f>
        <v>1</v>
      </c>
      <c r="AH15" s="20">
        <f t="shared" si="0"/>
        <v>-4720.8713043478256</v>
      </c>
      <c r="AI15" s="20">
        <f t="shared" si="1"/>
        <v>-69.00356086956522</v>
      </c>
      <c r="AJ15" s="20">
        <f t="shared" si="2"/>
        <v>-473.18792753623188</v>
      </c>
      <c r="AL15" s="20">
        <f t="shared" si="3"/>
        <v>-3559.9540940715938</v>
      </c>
      <c r="AM15" s="20">
        <f t="shared" si="4"/>
        <v>2777.7203922839135</v>
      </c>
      <c r="AN15" s="20">
        <f t="shared" si="5"/>
        <v>-719.8901221449471</v>
      </c>
      <c r="AO15" s="20">
        <f t="shared" si="6"/>
        <v>-751.06191196631369</v>
      </c>
      <c r="AP15" s="20">
        <f t="shared" si="7"/>
        <v>-31.171789821366588</v>
      </c>
      <c r="AR15" s="20">
        <f t="shared" si="8"/>
        <v>2798.0977735459846</v>
      </c>
      <c r="AS15" s="20">
        <f t="shared" si="9"/>
        <v>-3580.3314753336645</v>
      </c>
      <c r="AT15" s="20">
        <f t="shared" si="10"/>
        <v>3249.5801669926918</v>
      </c>
      <c r="AU15" s="53"/>
      <c r="AV15" s="52"/>
      <c r="AW15" s="52"/>
    </row>
    <row r="16" spans="1:49" x14ac:dyDescent="0.3">
      <c r="A16" s="18">
        <v>253</v>
      </c>
      <c r="B16" s="20">
        <f>INDEX('01_FASTPPH'!$9:$1048576,MATCH($A16,'01_FASTPPH'!$A$9:$A$1048576,0),MATCH(B$9,'01_FASTPPH'!$8:$8,0))</f>
        <v>43</v>
      </c>
      <c r="C16" s="20">
        <f>INDEX('01_FASTPPH'!$9:$1048576,MATCH($A16,'01_FASTPPH'!$A$9:$A$1048576,0),MATCH(C$9,'01_FASTPPH'!$8:$8,0))</f>
        <v>1501149</v>
      </c>
      <c r="D16" s="20" t="str">
        <f>INDEX('01_FASTPPH'!$9:$1048576,MATCH($A16,'01_FASTPPH'!$A$9:$A$1048576,0),MATCH(D$9,'01_FASTPPH'!$8:$8,0))</f>
        <v>SkinRH</v>
      </c>
      <c r="E16" s="20">
        <f>INDEX('01_FASTPPH'!$9:$1048576,MATCH($A16,'01_FASTPPH'!$A$9:$A$1048576,0),MATCH(E$9,'01_FASTPPH'!$8:$8,0))</f>
        <v>3907020</v>
      </c>
      <c r="F16" s="20">
        <f>INDEX('01_FASTPPH'!$9:$1048576,MATCH($A16,'01_FASTPPH'!$A$9:$A$1048576,0),MATCH(F$9,'01_FASTPPH'!$8:$8,0))</f>
        <v>1907021</v>
      </c>
      <c r="G16" s="20">
        <f>INDEX('01_FASTPPH'!$9:$1048576,MATCH($A16,'01_FASTPPH'!$A$9:$A$1048576,0),MATCH(G$9,'01_FASTPPH'!$8:$8,0))</f>
        <v>0</v>
      </c>
      <c r="H16" s="20">
        <f>INDEX('01_FASTPPH'!$9:$1048576,MATCH($A16,'01_FASTPPH'!$A$9:$A$1048576,0),MATCH(H$9,'01_FASTPPH'!$8:$8,0))</f>
        <v>0</v>
      </c>
      <c r="I16" s="20">
        <f>INDEX('01_FASTPPH'!$9:$1048576,MATCH($A16,'01_FASTPPH'!$A$9:$A$1048576,0),MATCH(I$9,'01_FASTPPH'!$8:$8,0))</f>
        <v>57.914999999999999</v>
      </c>
      <c r="J16" s="20" t="str">
        <f>INDEX('01_FASTPPH'!$9:$1048576,MATCH($A16,'01_FASTPPH'!$A$9:$A$1048576,0),MATCH(J$9,'01_FASTPPH'!$8:$8,0))</f>
        <v xml:space="preserve">SUBCASE 101 = STLN ULT (INTACT) :STLN ULT (INTACT) </v>
      </c>
      <c r="K16" s="23">
        <f>INDEX('01_FASTPPH'!$9:$1048576,MATCH($A16,'01_FASTPPH'!$A$9:$A$1048576,0),MATCH(K$9,'01_FASTPPH'!$8:$8,0))</f>
        <v>-1314.49</v>
      </c>
      <c r="L16" s="20">
        <f>INDEX('01_FASTPPH'!$9:$1048576,MATCH($A16,'01_FASTPPH'!$A$9:$A$1048576,0),MATCH(L$9,'01_FASTPPH'!$8:$8,0))</f>
        <v>-317.03699999999998</v>
      </c>
      <c r="M16" s="20">
        <f>INDEX('01_FASTPPH'!$9:$1048576,MATCH($A16,'01_FASTPPH'!$A$9:$A$1048576,0),MATCH(M$9,'01_FASTPPH'!$8:$8,0))</f>
        <v>-171.77199999999999</v>
      </c>
      <c r="N16" s="24">
        <f>INDEX('01_FASTPPH'!$9:$1048576,MATCH($A16,'01_FASTPPH'!$A$9:$A$1048576,0),MATCH(N$9,'01_FASTPPH'!$8:$8,0))</f>
        <v>37713.800000000003</v>
      </c>
      <c r="O16" s="23">
        <f>INDEX('01_FASTPPH'!$9:$1048576,MATCH($A16,'01_FASTPPH'!$A$9:$A$1048576,0),MATCH(O$9,'01_FASTPPH'!$8:$8,0))</f>
        <v>922.43799999999999</v>
      </c>
      <c r="P16" s="20">
        <f>INDEX('01_FASTPPH'!$9:$1048576,MATCH($A16,'01_FASTPPH'!$A$9:$A$1048576,0),MATCH(P$9,'01_FASTPPH'!$8:$8,0))</f>
        <v>1058.5899999999999</v>
      </c>
      <c r="Q16" s="20">
        <f>INDEX('01_FASTPPH'!$9:$1048576,MATCH($A16,'01_FASTPPH'!$A$9:$A$1048576,0),MATCH(Q$9,'01_FASTPPH'!$8:$8,0))</f>
        <v>399.20699999999999</v>
      </c>
      <c r="R16" s="20">
        <f>INDEX('01_FASTPPH'!$9:$1048576,MATCH($A16,'01_FASTPPH'!$A$9:$A$1048576,0),MATCH(R$9,'01_FASTPPH'!$8:$8,0))</f>
        <v>401.80500000000001</v>
      </c>
      <c r="S16" s="20">
        <f>INDEX('01_FASTPPH'!$9:$1048576,MATCH($A16,'01_FASTPPH'!$A$9:$A$1048576,0),MATCH(S$9,'01_FASTPPH'!$8:$8,0))</f>
        <v>-615.91300000000001</v>
      </c>
      <c r="T16" s="24">
        <f>INDEX('01_FASTPPH'!$9:$1048576,MATCH($A16,'01_FASTPPH'!$A$9:$A$1048576,0),MATCH(T$9,'01_FASTPPH'!$8:$8,0))</f>
        <v>-761.62400000000002</v>
      </c>
      <c r="U16" s="23">
        <f>INDEX('01_FASTPPH'!$9:$1048576,MATCH($A16,'01_FASTPPH'!$A$9:$A$1048576,0),MATCH(U$9,'01_FASTPPH'!$8:$8,0))</f>
        <v>3636.62</v>
      </c>
      <c r="V16" s="20">
        <f>INDEX('01_FASTPPH'!$9:$1048576,MATCH($A16,'01_FASTPPH'!$A$9:$A$1048576,0),MATCH(V$9,'01_FASTPPH'!$8:$8,0))</f>
        <v>1035.94</v>
      </c>
      <c r="W16" s="24">
        <f>INDEX('01_FASTPPH'!$9:$1048576,MATCH($A16,'01_FASTPPH'!$A$9:$A$1048576,0),MATCH(W$9,'01_FASTPPH'!$8:$8,0))</f>
        <v>-982.43899999999996</v>
      </c>
      <c r="X16" s="20">
        <f>INDEX('01_FASTPPH'!$9:$1048576,MATCH($A16,'01_FASTPPH'!$A$9:$A$1048576,0),MATCH(X$9,'01_FASTPPH'!$8:$8,0))</f>
        <v>0</v>
      </c>
      <c r="Y16" s="20" t="str">
        <f>INDEX('01_FASTPPH'!$9:$1048576,MATCH($A16,'01_FASTPPH'!$A$9:$A$1048576,0),MATCH(Y$9,'01_FASTPPH'!$8:$8,0))</f>
        <v>Pt11   modified</v>
      </c>
      <c r="AA16" s="32">
        <f>INDEX('02_PROPERTIES'!$C$10:$I$1048576,MATCH('03_CALCULATIONS'!$D16,'02_PROPERTIES'!$C$10:$C$1048576,0),MATCH('03_CALCULATIONS'!AA$9,'02_PROPERTIES'!$C$10:$I$10,0))</f>
        <v>16.559999999999999</v>
      </c>
      <c r="AB16" s="20">
        <f>INDEX('02_PROPERTIES'!$C$10:$I$1048576,MATCH('03_CALCULATIONS'!$D16,'02_PROPERTIES'!$C$10:$C$1048576,0),MATCH('03_CALCULATIONS'!AB$9,'02_PROPERTIES'!$C$10:$I$10,0))</f>
        <v>79593.867056640505</v>
      </c>
      <c r="AC16" s="20">
        <f>INDEX('02_PROPERTIES'!$C$10:$I$1048576,MATCH('03_CALCULATIONS'!$D16,'02_PROPERTIES'!$C$10:$C$1048576,0),MATCH('03_CALCULATIONS'!AC$9,'02_PROPERTIES'!$C$10:$I$10,0))</f>
        <v>41017.370743551612</v>
      </c>
      <c r="AD16" s="20">
        <f>INDEX('02_PROPERTIES'!$C$10:$I$1048576,MATCH('03_CALCULATIONS'!$D16,'02_PROPERTIES'!$C$10:$C$1048576,0),MATCH('03_CALCULATIONS'!AD$9,'02_PROPERTIES'!$C$10:$I$10,0))</f>
        <v>19846.188560278148</v>
      </c>
      <c r="AE16" s="32">
        <f>INDEX('02_PROPERTIES'!$C$10:$I$1048576,MATCH('03_CALCULATIONS'!$D16,'02_PROPERTIES'!$C$10:$C$1048576,0),MATCH('03_CALCULATIONS'!AE$9,'02_PROPERTIES'!$C$10:$I$10,0))</f>
        <v>0.4142802271075095</v>
      </c>
      <c r="AF16" s="32">
        <f>INDEX('02_PROPERTIES'!$C$10:$I$1048576,MATCH('03_CALCULATIONS'!$D16,'02_PROPERTIES'!$C$10:$C$1048576,0),MATCH('03_CALCULATIONS'!AF$9,'02_PROPERTIES'!$C$10:$I$10,0))</f>
        <v>1</v>
      </c>
      <c r="AH16" s="20">
        <f t="shared" si="0"/>
        <v>2240.0539420289856</v>
      </c>
      <c r="AI16" s="20">
        <f t="shared" si="1"/>
        <v>774.54757971014499</v>
      </c>
      <c r="AJ16" s="20">
        <f t="shared" si="2"/>
        <v>-971.86915942028986</v>
      </c>
      <c r="AL16" s="20">
        <f t="shared" si="3"/>
        <v>1456.0438612604937</v>
      </c>
      <c r="AM16" s="20">
        <f t="shared" si="4"/>
        <v>-225.9300771631286</v>
      </c>
      <c r="AN16" s="20">
        <f t="shared" si="5"/>
        <v>-1478.5647882582725</v>
      </c>
      <c r="AO16" s="20">
        <f t="shared" si="6"/>
        <v>-124.22550208045368</v>
      </c>
      <c r="AP16" s="20">
        <f t="shared" si="7"/>
        <v>1354.3392861778188</v>
      </c>
      <c r="AR16" s="20">
        <f t="shared" si="8"/>
        <v>1734.7879046822416</v>
      </c>
      <c r="AS16" s="20">
        <f t="shared" si="9"/>
        <v>-504.67412058487639</v>
      </c>
      <c r="AT16" s="20">
        <f t="shared" si="10"/>
        <v>1701.0035024835481</v>
      </c>
      <c r="AU16" s="53"/>
      <c r="AV16" s="52"/>
      <c r="AW16" s="52"/>
    </row>
    <row r="17" spans="1:46" x14ac:dyDescent="0.3">
      <c r="A17" s="18">
        <v>3</v>
      </c>
      <c r="B17" s="20">
        <f>INDEX('01_FASTPPH'!$9:$1048576,MATCH($A17,'01_FASTPPH'!$A$9:$A$1048576,0),MATCH(B$9,'01_FASTPPH'!$8:$8,0))</f>
        <v>1</v>
      </c>
      <c r="C17" s="20">
        <f>INDEX('01_FASTPPH'!$9:$1048576,MATCH($A17,'01_FASTPPH'!$A$9:$A$1048576,0),MATCH(C$9,'01_FASTPPH'!$8:$8,0))</f>
        <v>1500994</v>
      </c>
      <c r="D17" s="20" t="str">
        <f>INDEX('01_FASTPPH'!$9:$1048576,MATCH($A17,'01_FASTPPH'!$A$9:$A$1048576,0),MATCH(D$9,'01_FASTPPH'!$8:$8,0))</f>
        <v>SkinRH</v>
      </c>
      <c r="E17" s="20">
        <f>INDEX('01_FASTPPH'!$9:$1048576,MATCH($A17,'01_FASTPPH'!$A$9:$A$1048576,0),MATCH(E$9,'01_FASTPPH'!$8:$8,0))</f>
        <v>2908020</v>
      </c>
      <c r="F17" s="20">
        <f>INDEX('01_FASTPPH'!$9:$1048576,MATCH($A17,'01_FASTPPH'!$A$9:$A$1048576,0),MATCH(F$9,'01_FASTPPH'!$8:$8,0))</f>
        <v>1908022</v>
      </c>
      <c r="G17" s="20">
        <f>INDEX('01_FASTPPH'!$9:$1048576,MATCH($A17,'01_FASTPPH'!$A$9:$A$1048576,0),MATCH(G$9,'01_FASTPPH'!$8:$8,0))</f>
        <v>3908020</v>
      </c>
      <c r="H17" s="20">
        <f>INDEX('01_FASTPPH'!$9:$1048576,MATCH($A17,'01_FASTPPH'!$A$9:$A$1048576,0),MATCH(H$9,'01_FASTPPH'!$8:$8,0))</f>
        <v>1908023</v>
      </c>
      <c r="I17" s="20">
        <f>INDEX('01_FASTPPH'!$9:$1048576,MATCH($A17,'01_FASTPPH'!$A$9:$A$1048576,0),MATCH(I$9,'01_FASTPPH'!$8:$8,0))</f>
        <v>57.914999999999999</v>
      </c>
      <c r="J17" s="20" t="str">
        <f>INDEX('01_FASTPPH'!$9:$1048576,MATCH($A17,'01_FASTPPH'!$A$9:$A$1048576,0),MATCH(J$9,'01_FASTPPH'!$8:$8,0))</f>
        <v xml:space="preserve">SUBCASE 101 = STLN ULT (INTACT) :STLN ULT (INTACT) </v>
      </c>
      <c r="K17" s="23">
        <f>INDEX('01_FASTPPH'!$9:$1048576,MATCH($A17,'01_FASTPPH'!$A$9:$A$1048576,0),MATCH(K$9,'01_FASTPPH'!$8:$8,0))</f>
        <v>917.80200000000002</v>
      </c>
      <c r="L17" s="20">
        <f>INDEX('01_FASTPPH'!$9:$1048576,MATCH($A17,'01_FASTPPH'!$A$9:$A$1048576,0),MATCH(L$9,'01_FASTPPH'!$8:$8,0))</f>
        <v>-3276.95</v>
      </c>
      <c r="M17" s="20">
        <f>INDEX('01_FASTPPH'!$9:$1048576,MATCH($A17,'01_FASTPPH'!$A$9:$A$1048576,0),MATCH(M$9,'01_FASTPPH'!$8:$8,0))</f>
        <v>757.35400000000004</v>
      </c>
      <c r="N17" s="24">
        <f>INDEX('01_FASTPPH'!$9:$1048576,MATCH($A17,'01_FASTPPH'!$A$9:$A$1048576,0),MATCH(N$9,'01_FASTPPH'!$8:$8,0))</f>
        <v>8901.5400000000009</v>
      </c>
      <c r="O17" s="23">
        <f>INDEX('01_FASTPPH'!$9:$1048576,MATCH($A17,'01_FASTPPH'!$A$9:$A$1048576,0),MATCH(O$9,'01_FASTPPH'!$8:$8,0))</f>
        <v>-32.272500000000001</v>
      </c>
      <c r="P17" s="20">
        <f>INDEX('01_FASTPPH'!$9:$1048576,MATCH($A17,'01_FASTPPH'!$A$9:$A$1048576,0),MATCH(P$9,'01_FASTPPH'!$8:$8,0))</f>
        <v>-160.983</v>
      </c>
      <c r="Q17" s="20">
        <f>INDEX('01_FASTPPH'!$9:$1048576,MATCH($A17,'01_FASTPPH'!$A$9:$A$1048576,0),MATCH(Q$9,'01_FASTPPH'!$8:$8,0))</f>
        <v>279.28899999999999</v>
      </c>
      <c r="R17" s="20">
        <f>INDEX('01_FASTPPH'!$9:$1048576,MATCH($A17,'01_FASTPPH'!$A$9:$A$1048576,0),MATCH(R$9,'01_FASTPPH'!$8:$8,0))</f>
        <v>389.19499999999999</v>
      </c>
      <c r="S17" s="20">
        <f>INDEX('01_FASTPPH'!$9:$1048576,MATCH($A17,'01_FASTPPH'!$A$9:$A$1048576,0),MATCH(S$9,'01_FASTPPH'!$8:$8,0))</f>
        <v>-437.43900000000002</v>
      </c>
      <c r="T17" s="24">
        <f>INDEX('01_FASTPPH'!$9:$1048576,MATCH($A17,'01_FASTPPH'!$A$9:$A$1048576,0),MATCH(T$9,'01_FASTPPH'!$8:$8,0))</f>
        <v>-572.47699999999998</v>
      </c>
      <c r="U17" s="23">
        <f>INDEX('01_FASTPPH'!$9:$1048576,MATCH($A17,'01_FASTPPH'!$A$9:$A$1048576,0),MATCH(U$9,'01_FASTPPH'!$8:$8,0))</f>
        <v>7508.27</v>
      </c>
      <c r="V17" s="20">
        <f>INDEX('01_FASTPPH'!$9:$1048576,MATCH($A17,'01_FASTPPH'!$A$9:$A$1048576,0),MATCH(V$9,'01_FASTPPH'!$8:$8,0))</f>
        <v>2722.8</v>
      </c>
      <c r="W17" s="24">
        <f>INDEX('01_FASTPPH'!$9:$1048576,MATCH($A17,'01_FASTPPH'!$A$9:$A$1048576,0),MATCH(W$9,'01_FASTPPH'!$8:$8,0))</f>
        <v>-677.88699999999994</v>
      </c>
      <c r="X17" s="20">
        <f>INDEX('01_FASTPPH'!$9:$1048576,MATCH($A17,'01_FASTPPH'!$A$9:$A$1048576,0),MATCH(X$9,'01_FASTPPH'!$8:$8,0))</f>
        <v>0.365124</v>
      </c>
      <c r="Y17" s="20">
        <f>INDEX('01_FASTPPH'!$9:$1048576,MATCH($A17,'01_FASTPPH'!$A$9:$A$1048576,0),MATCH(Y$9,'01_FASTPPH'!$8:$8,0))</f>
        <v>0</v>
      </c>
      <c r="AA17" s="32">
        <f>INDEX('02_PROPERTIES'!$C$10:$I$1048576,MATCH('03_CALCULATIONS'!$D17,'02_PROPERTIES'!$C$10:$C$1048576,0),MATCH('03_CALCULATIONS'!AA$9,'02_PROPERTIES'!$C$10:$I$10,0))</f>
        <v>16.559999999999999</v>
      </c>
      <c r="AB17" s="20">
        <f>INDEX('02_PROPERTIES'!$C$10:$I$1048576,MATCH('03_CALCULATIONS'!$D17,'02_PROPERTIES'!$C$10:$C$1048576,0),MATCH('03_CALCULATIONS'!AB$9,'02_PROPERTIES'!$C$10:$I$10,0))</f>
        <v>79593.867056640505</v>
      </c>
      <c r="AC17" s="20">
        <f>INDEX('02_PROPERTIES'!$C$10:$I$1048576,MATCH('03_CALCULATIONS'!$D17,'02_PROPERTIES'!$C$10:$C$1048576,0),MATCH('03_CALCULATIONS'!AC$9,'02_PROPERTIES'!$C$10:$I$10,0))</f>
        <v>41017.370743551612</v>
      </c>
      <c r="AD17" s="20">
        <f>INDEX('02_PROPERTIES'!$C$10:$I$1048576,MATCH('03_CALCULATIONS'!$D17,'02_PROPERTIES'!$C$10:$C$1048576,0),MATCH('03_CALCULATIONS'!AD$9,'02_PROPERTIES'!$C$10:$I$10,0))</f>
        <v>19846.188560278148</v>
      </c>
      <c r="AE17" s="32">
        <f>INDEX('02_PROPERTIES'!$C$10:$I$1048576,MATCH('03_CALCULATIONS'!$D17,'02_PROPERTIES'!$C$10:$C$1048576,0),MATCH('03_CALCULATIONS'!AE$9,'02_PROPERTIES'!$C$10:$I$10,0))</f>
        <v>0.4142802271075095</v>
      </c>
      <c r="AF17" s="32">
        <f>INDEX('02_PROPERTIES'!$C$10:$I$1048576,MATCH('03_CALCULATIONS'!$D17,'02_PROPERTIES'!$C$10:$C$1048576,0),MATCH('03_CALCULATIONS'!AF$9,'02_PROPERTIES'!$C$10:$I$10,0))</f>
        <v>1</v>
      </c>
      <c r="AH17" s="20">
        <f t="shared" si="0"/>
        <v>-2752.6601811594205</v>
      </c>
      <c r="AI17" s="20">
        <f t="shared" si="1"/>
        <v>1265.810739130435</v>
      </c>
      <c r="AJ17" s="20">
        <f t="shared" si="2"/>
        <v>-683.05023188405801</v>
      </c>
      <c r="AL17" s="20">
        <f t="shared" si="3"/>
        <v>-2486.2484591351149</v>
      </c>
      <c r="AM17" s="20">
        <f t="shared" si="4"/>
        <v>3542.4243137699705</v>
      </c>
      <c r="AN17" s="20">
        <f t="shared" si="5"/>
        <v>-1039.1666529245888</v>
      </c>
      <c r="AO17" s="20">
        <f t="shared" si="6"/>
        <v>8.5046008551333898</v>
      </c>
      <c r="AP17" s="20">
        <f t="shared" si="7"/>
        <v>1047.6712537797221</v>
      </c>
      <c r="AR17" s="20">
        <f t="shared" si="8"/>
        <v>3586.8770151476751</v>
      </c>
      <c r="AS17" s="20">
        <f t="shared" si="9"/>
        <v>-2530.7011605128196</v>
      </c>
      <c r="AT17" s="20">
        <f t="shared" si="10"/>
        <v>3188.4308340063244</v>
      </c>
    </row>
    <row r="18" spans="1:46" x14ac:dyDescent="0.3">
      <c r="A18" s="18">
        <v>189</v>
      </c>
      <c r="B18" s="20">
        <f>INDEX('01_FASTPPH'!$9:$1048576,MATCH($A18,'01_FASTPPH'!$A$9:$A$1048576,0),MATCH(B$9,'01_FASTPPH'!$8:$8,0))</f>
        <v>32</v>
      </c>
      <c r="C18" s="20">
        <f>INDEX('01_FASTPPH'!$9:$1048576,MATCH($A18,'01_FASTPPH'!$A$9:$A$1048576,0),MATCH(C$9,'01_FASTPPH'!$8:$8,0))</f>
        <v>1500944</v>
      </c>
      <c r="D18" s="20" t="str">
        <f>INDEX('01_FASTPPH'!$9:$1048576,MATCH($A18,'01_FASTPPH'!$A$9:$A$1048576,0),MATCH(D$9,'01_FASTPPH'!$8:$8,0))</f>
        <v>SkinRH</v>
      </c>
      <c r="E18" s="20">
        <f>INDEX('01_FASTPPH'!$9:$1048576,MATCH($A18,'01_FASTPPH'!$A$9:$A$1048576,0),MATCH(E$9,'01_FASTPPH'!$8:$8,0))</f>
        <v>2909020</v>
      </c>
      <c r="F18" s="20">
        <f>INDEX('01_FASTPPH'!$9:$1048576,MATCH($A18,'01_FASTPPH'!$A$9:$A$1048576,0),MATCH(F$9,'01_FASTPPH'!$8:$8,0))</f>
        <v>1909022</v>
      </c>
      <c r="G18" s="20">
        <f>INDEX('01_FASTPPH'!$9:$1048576,MATCH($A18,'01_FASTPPH'!$A$9:$A$1048576,0),MATCH(G$9,'01_FASTPPH'!$8:$8,0))</f>
        <v>3909020</v>
      </c>
      <c r="H18" s="20">
        <f>INDEX('01_FASTPPH'!$9:$1048576,MATCH($A18,'01_FASTPPH'!$A$9:$A$1048576,0),MATCH(H$9,'01_FASTPPH'!$8:$8,0))</f>
        <v>1909023</v>
      </c>
      <c r="I18" s="20">
        <f>INDEX('01_FASTPPH'!$9:$1048576,MATCH($A18,'01_FASTPPH'!$A$9:$A$1048576,0),MATCH(I$9,'01_FASTPPH'!$8:$8,0))</f>
        <v>57.914999999999999</v>
      </c>
      <c r="J18" s="20" t="str">
        <f>INDEX('01_FASTPPH'!$9:$1048576,MATCH($A18,'01_FASTPPH'!$A$9:$A$1048576,0),MATCH(J$9,'01_FASTPPH'!$8:$8,0))</f>
        <v xml:space="preserve">SUBCASE 101 = STLN ULT (INTACT) :STLN ULT (INTACT) </v>
      </c>
      <c r="K18" s="23">
        <f>INDEX('01_FASTPPH'!$9:$1048576,MATCH($A18,'01_FASTPPH'!$A$9:$A$1048576,0),MATCH(K$9,'01_FASTPPH'!$8:$8,0))</f>
        <v>2499.67</v>
      </c>
      <c r="L18" s="20">
        <f>INDEX('01_FASTPPH'!$9:$1048576,MATCH($A18,'01_FASTPPH'!$A$9:$A$1048576,0),MATCH(L$9,'01_FASTPPH'!$8:$8,0))</f>
        <v>-6636.8</v>
      </c>
      <c r="M18" s="20">
        <f>INDEX('01_FASTPPH'!$9:$1048576,MATCH($A18,'01_FASTPPH'!$A$9:$A$1048576,0),MATCH(M$9,'01_FASTPPH'!$8:$8,0))</f>
        <v>236.042</v>
      </c>
      <c r="N18" s="24">
        <f>INDEX('01_FASTPPH'!$9:$1048576,MATCH($A18,'01_FASTPPH'!$A$9:$A$1048576,0),MATCH(N$9,'01_FASTPPH'!$8:$8,0))</f>
        <v>8868.9</v>
      </c>
      <c r="O18" s="23">
        <f>INDEX('01_FASTPPH'!$9:$1048576,MATCH($A18,'01_FASTPPH'!$A$9:$A$1048576,0),MATCH(O$9,'01_FASTPPH'!$8:$8,0))</f>
        <v>98.953500000000005</v>
      </c>
      <c r="P18" s="20">
        <f>INDEX('01_FASTPPH'!$9:$1048576,MATCH($A18,'01_FASTPPH'!$A$9:$A$1048576,0),MATCH(P$9,'01_FASTPPH'!$8:$8,0))</f>
        <v>243.89599999999999</v>
      </c>
      <c r="Q18" s="20">
        <f>INDEX('01_FASTPPH'!$9:$1048576,MATCH($A18,'01_FASTPPH'!$A$9:$A$1048576,0),MATCH(Q$9,'01_FASTPPH'!$8:$8,0))</f>
        <v>332.31799999999998</v>
      </c>
      <c r="R18" s="20">
        <f>INDEX('01_FASTPPH'!$9:$1048576,MATCH($A18,'01_FASTPPH'!$A$9:$A$1048576,0),MATCH(R$9,'01_FASTPPH'!$8:$8,0))</f>
        <v>469.30900000000003</v>
      </c>
      <c r="S18" s="20">
        <f>INDEX('01_FASTPPH'!$9:$1048576,MATCH($A18,'01_FASTPPH'!$A$9:$A$1048576,0),MATCH(S$9,'01_FASTPPH'!$8:$8,0))</f>
        <v>-458.29500000000002</v>
      </c>
      <c r="T18" s="24">
        <f>INDEX('01_FASTPPH'!$9:$1048576,MATCH($A18,'01_FASTPPH'!$A$9:$A$1048576,0),MATCH(T$9,'01_FASTPPH'!$8:$8,0))</f>
        <v>-634.64300000000003</v>
      </c>
      <c r="U18" s="23">
        <f>INDEX('01_FASTPPH'!$9:$1048576,MATCH($A18,'01_FASTPPH'!$A$9:$A$1048576,0),MATCH(U$9,'01_FASTPPH'!$8:$8,0))</f>
        <v>3519.6</v>
      </c>
      <c r="V18" s="20">
        <f>INDEX('01_FASTPPH'!$9:$1048576,MATCH($A18,'01_FASTPPH'!$A$9:$A$1048576,0),MATCH(V$9,'01_FASTPPH'!$8:$8,0))</f>
        <v>1705.61</v>
      </c>
      <c r="W18" s="24">
        <f>INDEX('01_FASTPPH'!$9:$1048576,MATCH($A18,'01_FASTPPH'!$A$9:$A$1048576,0),MATCH(W$9,'01_FASTPPH'!$8:$8,0))</f>
        <v>17.863</v>
      </c>
      <c r="X18" s="20">
        <f>INDEX('01_FASTPPH'!$9:$1048576,MATCH($A18,'01_FASTPPH'!$A$9:$A$1048576,0),MATCH(X$9,'01_FASTPPH'!$8:$8,0))</f>
        <v>0.20738200000000001</v>
      </c>
      <c r="Y18" s="20">
        <f>INDEX('01_FASTPPH'!$9:$1048576,MATCH($A18,'01_FASTPPH'!$A$9:$A$1048576,0),MATCH(Y$9,'01_FASTPPH'!$8:$8,0))</f>
        <v>0</v>
      </c>
      <c r="AA18" s="32">
        <f>INDEX('02_PROPERTIES'!$C$10:$I$1048576,MATCH('03_CALCULATIONS'!$D18,'02_PROPERTIES'!$C$10:$C$1048576,0),MATCH('03_CALCULATIONS'!AA$9,'02_PROPERTIES'!$C$10:$I$10,0))</f>
        <v>16.559999999999999</v>
      </c>
      <c r="AB18" s="20">
        <f>INDEX('02_PROPERTIES'!$C$10:$I$1048576,MATCH('03_CALCULATIONS'!$D18,'02_PROPERTIES'!$C$10:$C$1048576,0),MATCH('03_CALCULATIONS'!AB$9,'02_PROPERTIES'!$C$10:$I$10,0))</f>
        <v>79593.867056640505</v>
      </c>
      <c r="AC18" s="20">
        <f>INDEX('02_PROPERTIES'!$C$10:$I$1048576,MATCH('03_CALCULATIONS'!$D18,'02_PROPERTIES'!$C$10:$C$1048576,0),MATCH('03_CALCULATIONS'!AC$9,'02_PROPERTIES'!$C$10:$I$10,0))</f>
        <v>41017.370743551612</v>
      </c>
      <c r="AD18" s="20">
        <f>INDEX('02_PROPERTIES'!$C$10:$I$1048576,MATCH('03_CALCULATIONS'!$D18,'02_PROPERTIES'!$C$10:$C$1048576,0),MATCH('03_CALCULATIONS'!AD$9,'02_PROPERTIES'!$C$10:$I$10,0))</f>
        <v>19846.188560278148</v>
      </c>
      <c r="AE18" s="32">
        <f>INDEX('02_PROPERTIES'!$C$10:$I$1048576,MATCH('03_CALCULATIONS'!$D18,'02_PROPERTIES'!$C$10:$C$1048576,0),MATCH('03_CALCULATIONS'!AE$9,'02_PROPERTIES'!$C$10:$I$10,0))</f>
        <v>0.4142802271075095</v>
      </c>
      <c r="AF18" s="32">
        <f>INDEX('02_PROPERTIES'!$C$10:$I$1048576,MATCH('03_CALCULATIONS'!$D18,'02_PROPERTIES'!$C$10:$C$1048576,0),MATCH('03_CALCULATIONS'!AF$9,'02_PROPERTIES'!$C$10:$I$10,0))</f>
        <v>1</v>
      </c>
      <c r="AH18" s="20">
        <f t="shared" si="0"/>
        <v>1374.1708913043478</v>
      </c>
      <c r="AI18" s="20">
        <f t="shared" si="1"/>
        <v>950.29263768115948</v>
      </c>
      <c r="AJ18" s="20">
        <f t="shared" si="2"/>
        <v>-464.7671014492754</v>
      </c>
      <c r="AL18" s="20">
        <f t="shared" si="3"/>
        <v>743.87562108729139</v>
      </c>
      <c r="AM18" s="20">
        <f t="shared" si="4"/>
        <v>560.91589483004066</v>
      </c>
      <c r="AN18" s="20">
        <f t="shared" si="5"/>
        <v>-707.07899749968385</v>
      </c>
      <c r="AO18" s="20">
        <f t="shared" si="6"/>
        <v>298.85625920882416</v>
      </c>
      <c r="AP18" s="20">
        <f t="shared" si="7"/>
        <v>1005.9352567085079</v>
      </c>
      <c r="AR18" s="20">
        <f t="shared" si="8"/>
        <v>1017.5789209526922</v>
      </c>
      <c r="AS18" s="20">
        <f t="shared" si="9"/>
        <v>287.21259496463989</v>
      </c>
      <c r="AT18" s="20">
        <f t="shared" si="10"/>
        <v>712.9721411550313</v>
      </c>
    </row>
    <row r="19" spans="1:46" x14ac:dyDescent="0.3">
      <c r="A19" s="18">
        <v>195</v>
      </c>
      <c r="B19" s="20">
        <f>INDEX('01_FASTPPH'!$9:$1048576,MATCH($A19,'01_FASTPPH'!$A$9:$A$1048576,0),MATCH(B$9,'01_FASTPPH'!$8:$8,0))</f>
        <v>33</v>
      </c>
      <c r="C19" s="20">
        <f>INDEX('01_FASTPPH'!$9:$1048576,MATCH($A19,'01_FASTPPH'!$A$9:$A$1048576,0),MATCH(C$9,'01_FASTPPH'!$8:$8,0))</f>
        <v>1501042</v>
      </c>
      <c r="D19" s="20" t="str">
        <f>INDEX('01_FASTPPH'!$9:$1048576,MATCH($A19,'01_FASTPPH'!$A$9:$A$1048576,0),MATCH(D$9,'01_FASTPPH'!$8:$8,0))</f>
        <v>SkinRH</v>
      </c>
      <c r="E19" s="20">
        <f>INDEX('01_FASTPPH'!$9:$1048576,MATCH($A19,'01_FASTPPH'!$A$9:$A$1048576,0),MATCH(E$9,'01_FASTPPH'!$8:$8,0))</f>
        <v>2910020</v>
      </c>
      <c r="F19" s="20">
        <f>INDEX('01_FASTPPH'!$9:$1048576,MATCH($A19,'01_FASTPPH'!$A$9:$A$1048576,0),MATCH(F$9,'01_FASTPPH'!$8:$8,0))</f>
        <v>1910022</v>
      </c>
      <c r="G19" s="20">
        <f>INDEX('01_FASTPPH'!$9:$1048576,MATCH($A19,'01_FASTPPH'!$A$9:$A$1048576,0),MATCH(G$9,'01_FASTPPH'!$8:$8,0))</f>
        <v>3910020</v>
      </c>
      <c r="H19" s="20">
        <f>INDEX('01_FASTPPH'!$9:$1048576,MATCH($A19,'01_FASTPPH'!$A$9:$A$1048576,0),MATCH(H$9,'01_FASTPPH'!$8:$8,0))</f>
        <v>1910023</v>
      </c>
      <c r="I19" s="20">
        <f>INDEX('01_FASTPPH'!$9:$1048576,MATCH($A19,'01_FASTPPH'!$A$9:$A$1048576,0),MATCH(I$9,'01_FASTPPH'!$8:$8,0))</f>
        <v>57.914999999999999</v>
      </c>
      <c r="J19" s="20" t="str">
        <f>INDEX('01_FASTPPH'!$9:$1048576,MATCH($A19,'01_FASTPPH'!$A$9:$A$1048576,0),MATCH(J$9,'01_FASTPPH'!$8:$8,0))</f>
        <v xml:space="preserve">SUBCASE 101 = STLN ULT (INTACT) :STLN ULT (INTACT) </v>
      </c>
      <c r="K19" s="23">
        <f>INDEX('01_FASTPPH'!$9:$1048576,MATCH($A19,'01_FASTPPH'!$A$9:$A$1048576,0),MATCH(K$9,'01_FASTPPH'!$8:$8,0))</f>
        <v>-1795.47</v>
      </c>
      <c r="L19" s="20">
        <f>INDEX('01_FASTPPH'!$9:$1048576,MATCH($A19,'01_FASTPPH'!$A$9:$A$1048576,0),MATCH(L$9,'01_FASTPPH'!$8:$8,0))</f>
        <v>-3619.9</v>
      </c>
      <c r="M19" s="20">
        <f>INDEX('01_FASTPPH'!$9:$1048576,MATCH($A19,'01_FASTPPH'!$A$9:$A$1048576,0),MATCH(M$9,'01_FASTPPH'!$8:$8,0))</f>
        <v>-182.249</v>
      </c>
      <c r="N19" s="24">
        <f>INDEX('01_FASTPPH'!$9:$1048576,MATCH($A19,'01_FASTPPH'!$A$9:$A$1048576,0),MATCH(N$9,'01_FASTPPH'!$8:$8,0))</f>
        <v>16204.2</v>
      </c>
      <c r="O19" s="23">
        <f>INDEX('01_FASTPPH'!$9:$1048576,MATCH($A19,'01_FASTPPH'!$A$9:$A$1048576,0),MATCH(O$9,'01_FASTPPH'!$8:$8,0))</f>
        <v>-605.63499999999999</v>
      </c>
      <c r="P19" s="20">
        <f>INDEX('01_FASTPPH'!$9:$1048576,MATCH($A19,'01_FASTPPH'!$A$9:$A$1048576,0),MATCH(P$9,'01_FASTPPH'!$8:$8,0))</f>
        <v>-738.59799999999996</v>
      </c>
      <c r="Q19" s="20">
        <f>INDEX('01_FASTPPH'!$9:$1048576,MATCH($A19,'01_FASTPPH'!$A$9:$A$1048576,0),MATCH(Q$9,'01_FASTPPH'!$8:$8,0))</f>
        <v>251.244</v>
      </c>
      <c r="R19" s="20">
        <f>INDEX('01_FASTPPH'!$9:$1048576,MATCH($A19,'01_FASTPPH'!$A$9:$A$1048576,0),MATCH(R$9,'01_FASTPPH'!$8:$8,0))</f>
        <v>329.53100000000001</v>
      </c>
      <c r="S19" s="20">
        <f>INDEX('01_FASTPPH'!$9:$1048576,MATCH($A19,'01_FASTPPH'!$A$9:$A$1048576,0),MATCH(S$9,'01_FASTPPH'!$8:$8,0))</f>
        <v>-344.98899999999998</v>
      </c>
      <c r="T19" s="24">
        <f>INDEX('01_FASTPPH'!$9:$1048576,MATCH($A19,'01_FASTPPH'!$A$9:$A$1048576,0),MATCH(T$9,'01_FASTPPH'!$8:$8,0))</f>
        <v>-441.66</v>
      </c>
      <c r="U19" s="23">
        <f>INDEX('01_FASTPPH'!$9:$1048576,MATCH($A19,'01_FASTPPH'!$A$9:$A$1048576,0),MATCH(U$9,'01_FASTPPH'!$8:$8,0))</f>
        <v>4920.04</v>
      </c>
      <c r="V19" s="20">
        <f>INDEX('01_FASTPPH'!$9:$1048576,MATCH($A19,'01_FASTPPH'!$A$9:$A$1048576,0),MATCH(V$9,'01_FASTPPH'!$8:$8,0))</f>
        <v>2697.26</v>
      </c>
      <c r="W19" s="24">
        <f>INDEX('01_FASTPPH'!$9:$1048576,MATCH($A19,'01_FASTPPH'!$A$9:$A$1048576,0),MATCH(W$9,'01_FASTPPH'!$8:$8,0))</f>
        <v>225.779</v>
      </c>
      <c r="X19" s="20">
        <f>INDEX('01_FASTPPH'!$9:$1048576,MATCH($A19,'01_FASTPPH'!$A$9:$A$1048576,0),MATCH(X$9,'01_FASTPPH'!$8:$8,0))</f>
        <v>0</v>
      </c>
      <c r="Y19" s="20">
        <f>INDEX('01_FASTPPH'!$9:$1048576,MATCH($A19,'01_FASTPPH'!$A$9:$A$1048576,0),MATCH(Y$9,'01_FASTPPH'!$8:$8,0))</f>
        <v>0</v>
      </c>
      <c r="AA19" s="32">
        <f>INDEX('02_PROPERTIES'!$C$10:$I$1048576,MATCH('03_CALCULATIONS'!$D19,'02_PROPERTIES'!$C$10:$C$1048576,0),MATCH('03_CALCULATIONS'!AA$9,'02_PROPERTIES'!$C$10:$I$10,0))</f>
        <v>16.559999999999999</v>
      </c>
      <c r="AB19" s="20">
        <f>INDEX('02_PROPERTIES'!$C$10:$I$1048576,MATCH('03_CALCULATIONS'!$D19,'02_PROPERTIES'!$C$10:$C$1048576,0),MATCH('03_CALCULATIONS'!AB$9,'02_PROPERTIES'!$C$10:$I$10,0))</f>
        <v>79593.867056640505</v>
      </c>
      <c r="AC19" s="20">
        <f>INDEX('02_PROPERTIES'!$C$10:$I$1048576,MATCH('03_CALCULATIONS'!$D19,'02_PROPERTIES'!$C$10:$C$1048576,0),MATCH('03_CALCULATIONS'!AC$9,'02_PROPERTIES'!$C$10:$I$10,0))</f>
        <v>41017.370743551612</v>
      </c>
      <c r="AD19" s="20">
        <f>INDEX('02_PROPERTIES'!$C$10:$I$1048576,MATCH('03_CALCULATIONS'!$D19,'02_PROPERTIES'!$C$10:$C$1048576,0),MATCH('03_CALCULATIONS'!AD$9,'02_PROPERTIES'!$C$10:$I$10,0))</f>
        <v>19846.188560278148</v>
      </c>
      <c r="AE19" s="32">
        <f>INDEX('02_PROPERTIES'!$C$10:$I$1048576,MATCH('03_CALCULATIONS'!$D19,'02_PROPERTIES'!$C$10:$C$1048576,0),MATCH('03_CALCULATIONS'!AE$9,'02_PROPERTIES'!$C$10:$I$10,0))</f>
        <v>0.4142802271075095</v>
      </c>
      <c r="AF19" s="32">
        <f>INDEX('02_PROPERTIES'!$C$10:$I$1048576,MATCH('03_CALCULATIONS'!$D19,'02_PROPERTIES'!$C$10:$C$1048576,0),MATCH('03_CALCULATIONS'!AF$9,'02_PROPERTIES'!$C$10:$I$10,0))</f>
        <v>1</v>
      </c>
      <c r="AH19" s="20">
        <f t="shared" si="0"/>
        <v>-2388.2581884057972</v>
      </c>
      <c r="AI19" s="20">
        <f t="shared" si="1"/>
        <v>1228.5121159420291</v>
      </c>
      <c r="AJ19" s="20">
        <f t="shared" si="2"/>
        <v>-426.79298550724639</v>
      </c>
      <c r="AL19" s="20">
        <f t="shared" si="3"/>
        <v>-2198.0598229278075</v>
      </c>
      <c r="AM19" s="20">
        <f t="shared" si="4"/>
        <v>3265.2600705545792</v>
      </c>
      <c r="AN19" s="20">
        <f t="shared" si="5"/>
        <v>-649.30662129771406</v>
      </c>
      <c r="AO19" s="20">
        <f t="shared" si="6"/>
        <v>208.94681316452881</v>
      </c>
      <c r="AP19" s="20">
        <f t="shared" si="7"/>
        <v>858.25343446224292</v>
      </c>
      <c r="AR19" s="20">
        <f t="shared" si="8"/>
        <v>3284.4846791419736</v>
      </c>
      <c r="AS19" s="20">
        <f t="shared" si="9"/>
        <v>-2217.284431515202</v>
      </c>
      <c r="AT19" s="20">
        <f t="shared" si="10"/>
        <v>2807.7687143158983</v>
      </c>
    </row>
    <row r="20" spans="1:46" x14ac:dyDescent="0.3">
      <c r="A20" s="18">
        <v>127</v>
      </c>
      <c r="B20" s="20">
        <f>INDEX('01_FASTPPH'!$9:$1048576,MATCH($A20,'01_FASTPPH'!$A$9:$A$1048576,0),MATCH(B$9,'01_FASTPPH'!$8:$8,0))</f>
        <v>22</v>
      </c>
      <c r="C20" s="20">
        <f>INDEX('01_FASTPPH'!$9:$1048576,MATCH($A20,'01_FASTPPH'!$A$9:$A$1048576,0),MATCH(C$9,'01_FASTPPH'!$8:$8,0))</f>
        <v>1501012</v>
      </c>
      <c r="D20" s="20" t="str">
        <f>INDEX('01_FASTPPH'!$9:$1048576,MATCH($A20,'01_FASTPPH'!$A$9:$A$1048576,0),MATCH(D$9,'01_FASTPPH'!$8:$8,0))</f>
        <v>SkinRH</v>
      </c>
      <c r="E20" s="20">
        <f>INDEX('01_FASTPPH'!$9:$1048576,MATCH($A20,'01_FASTPPH'!$A$9:$A$1048576,0),MATCH(E$9,'01_FASTPPH'!$8:$8,0))</f>
        <v>2911020</v>
      </c>
      <c r="F20" s="20">
        <f>INDEX('01_FASTPPH'!$9:$1048576,MATCH($A20,'01_FASTPPH'!$A$9:$A$1048576,0),MATCH(F$9,'01_FASTPPH'!$8:$8,0))</f>
        <v>1911022</v>
      </c>
      <c r="G20" s="20">
        <f>INDEX('01_FASTPPH'!$9:$1048576,MATCH($A20,'01_FASTPPH'!$A$9:$A$1048576,0),MATCH(G$9,'01_FASTPPH'!$8:$8,0))</f>
        <v>3911020</v>
      </c>
      <c r="H20" s="20">
        <f>INDEX('01_FASTPPH'!$9:$1048576,MATCH($A20,'01_FASTPPH'!$A$9:$A$1048576,0),MATCH(H$9,'01_FASTPPH'!$8:$8,0))</f>
        <v>1911021</v>
      </c>
      <c r="I20" s="20">
        <f>INDEX('01_FASTPPH'!$9:$1048576,MATCH($A20,'01_FASTPPH'!$A$9:$A$1048576,0),MATCH(I$9,'01_FASTPPH'!$8:$8,0))</f>
        <v>57.914999999999999</v>
      </c>
      <c r="J20" s="20" t="str">
        <f>INDEX('01_FASTPPH'!$9:$1048576,MATCH($A20,'01_FASTPPH'!$A$9:$A$1048576,0),MATCH(J$9,'01_FASTPPH'!$8:$8,0))</f>
        <v xml:space="preserve">SUBCASE 101 = STLN ULT (INTACT) :STLN ULT (INTACT) </v>
      </c>
      <c r="K20" s="23">
        <f>INDEX('01_FASTPPH'!$9:$1048576,MATCH($A20,'01_FASTPPH'!$A$9:$A$1048576,0),MATCH(K$9,'01_FASTPPH'!$8:$8,0))</f>
        <v>2006.85</v>
      </c>
      <c r="L20" s="20">
        <f>INDEX('01_FASTPPH'!$9:$1048576,MATCH($A20,'01_FASTPPH'!$A$9:$A$1048576,0),MATCH(L$9,'01_FASTPPH'!$8:$8,0))</f>
        <v>1506.63</v>
      </c>
      <c r="M20" s="20">
        <f>INDEX('01_FASTPPH'!$9:$1048576,MATCH($A20,'01_FASTPPH'!$A$9:$A$1048576,0),MATCH(M$9,'01_FASTPPH'!$8:$8,0))</f>
        <v>-2077.92</v>
      </c>
      <c r="N20" s="24">
        <f>INDEX('01_FASTPPH'!$9:$1048576,MATCH($A20,'01_FASTPPH'!$A$9:$A$1048576,0),MATCH(N$9,'01_FASTPPH'!$8:$8,0))</f>
        <v>20059.099999999999</v>
      </c>
      <c r="O20" s="23">
        <f>INDEX('01_FASTPPH'!$9:$1048576,MATCH($A20,'01_FASTPPH'!$A$9:$A$1048576,0),MATCH(O$9,'01_FASTPPH'!$8:$8,0))</f>
        <v>-1628.65</v>
      </c>
      <c r="P20" s="20">
        <f>INDEX('01_FASTPPH'!$9:$1048576,MATCH($A20,'01_FASTPPH'!$A$9:$A$1048576,0),MATCH(P$9,'01_FASTPPH'!$8:$8,0))</f>
        <v>-1649.62</v>
      </c>
      <c r="Q20" s="20">
        <f>INDEX('01_FASTPPH'!$9:$1048576,MATCH($A20,'01_FASTPPH'!$A$9:$A$1048576,0),MATCH(Q$9,'01_FASTPPH'!$8:$8,0))</f>
        <v>243.12</v>
      </c>
      <c r="R20" s="20">
        <f>INDEX('01_FASTPPH'!$9:$1048576,MATCH($A20,'01_FASTPPH'!$A$9:$A$1048576,0),MATCH(R$9,'01_FASTPPH'!$8:$8,0))</f>
        <v>247.767</v>
      </c>
      <c r="S20" s="20">
        <f>INDEX('01_FASTPPH'!$9:$1048576,MATCH($A20,'01_FASTPPH'!$A$9:$A$1048576,0),MATCH(S$9,'01_FASTPPH'!$8:$8,0))</f>
        <v>-284.35000000000002</v>
      </c>
      <c r="T20" s="24">
        <f>INDEX('01_FASTPPH'!$9:$1048576,MATCH($A20,'01_FASTPPH'!$A$9:$A$1048576,0),MATCH(T$9,'01_FASTPPH'!$8:$8,0))</f>
        <v>-331.99700000000001</v>
      </c>
      <c r="U20" s="23">
        <f>INDEX('01_FASTPPH'!$9:$1048576,MATCH($A20,'01_FASTPPH'!$A$9:$A$1048576,0),MATCH(U$9,'01_FASTPPH'!$8:$8,0))</f>
        <v>5045.24</v>
      </c>
      <c r="V20" s="20">
        <f>INDEX('01_FASTPPH'!$9:$1048576,MATCH($A20,'01_FASTPPH'!$A$9:$A$1048576,0),MATCH(V$9,'01_FASTPPH'!$8:$8,0))</f>
        <v>1674.93</v>
      </c>
      <c r="W20" s="24">
        <f>INDEX('01_FASTPPH'!$9:$1048576,MATCH($A20,'01_FASTPPH'!$A$9:$A$1048576,0),MATCH(W$9,'01_FASTPPH'!$8:$8,0))</f>
        <v>693.47699999999998</v>
      </c>
      <c r="X20" s="20">
        <f>INDEX('01_FASTPPH'!$9:$1048576,MATCH($A20,'01_FASTPPH'!$A$9:$A$1048576,0),MATCH(X$9,'01_FASTPPH'!$8:$8,0))</f>
        <v>0</v>
      </c>
      <c r="Y20" s="20">
        <f>INDEX('01_FASTPPH'!$9:$1048576,MATCH($A20,'01_FASTPPH'!$A$9:$A$1048576,0),MATCH(Y$9,'01_FASTPPH'!$8:$8,0))</f>
        <v>0</v>
      </c>
      <c r="AA20" s="32">
        <f>INDEX('02_PROPERTIES'!$C$10:$I$1048576,MATCH('03_CALCULATIONS'!$D20,'02_PROPERTIES'!$C$10:$C$1048576,0),MATCH('03_CALCULATIONS'!AA$9,'02_PROPERTIES'!$C$10:$I$10,0))</f>
        <v>16.559999999999999</v>
      </c>
      <c r="AB20" s="20">
        <f>INDEX('02_PROPERTIES'!$C$10:$I$1048576,MATCH('03_CALCULATIONS'!$D20,'02_PROPERTIES'!$C$10:$C$1048576,0),MATCH('03_CALCULATIONS'!AB$9,'02_PROPERTIES'!$C$10:$I$10,0))</f>
        <v>79593.867056640505</v>
      </c>
      <c r="AC20" s="20">
        <f>INDEX('02_PROPERTIES'!$C$10:$I$1048576,MATCH('03_CALCULATIONS'!$D20,'02_PROPERTIES'!$C$10:$C$1048576,0),MATCH('03_CALCULATIONS'!AC$9,'02_PROPERTIES'!$C$10:$I$10,0))</f>
        <v>41017.370743551612</v>
      </c>
      <c r="AD20" s="20">
        <f>INDEX('02_PROPERTIES'!$C$10:$I$1048576,MATCH('03_CALCULATIONS'!$D20,'02_PROPERTIES'!$C$10:$C$1048576,0),MATCH('03_CALCULATIONS'!AD$9,'02_PROPERTIES'!$C$10:$I$10,0))</f>
        <v>19846.188560278148</v>
      </c>
      <c r="AE20" s="32">
        <f>INDEX('02_PROPERTIES'!$C$10:$I$1048576,MATCH('03_CALCULATIONS'!$D20,'02_PROPERTIES'!$C$10:$C$1048576,0),MATCH('03_CALCULATIONS'!AE$9,'02_PROPERTIES'!$C$10:$I$10,0))</f>
        <v>0.4142802271075095</v>
      </c>
      <c r="AF20" s="32">
        <f>INDEX('02_PROPERTIES'!$C$10:$I$1048576,MATCH('03_CALCULATIONS'!$D20,'02_PROPERTIES'!$C$10:$C$1048576,0),MATCH('03_CALCULATIONS'!AF$9,'02_PROPERTIES'!$C$10:$I$10,0))</f>
        <v>1</v>
      </c>
      <c r="AH20" s="20">
        <f t="shared" si="0"/>
        <v>-3456.6355072463771</v>
      </c>
      <c r="AI20" s="20">
        <f t="shared" si="1"/>
        <v>849.978695652174</v>
      </c>
      <c r="AJ20" s="20">
        <f t="shared" si="2"/>
        <v>-535.6097826086957</v>
      </c>
      <c r="AL20" s="20">
        <f t="shared" si="3"/>
        <v>-2889.6432274140984</v>
      </c>
      <c r="AM20" s="20">
        <f t="shared" si="4"/>
        <v>3359.5911692319769</v>
      </c>
      <c r="AN20" s="20">
        <f t="shared" si="5"/>
        <v>-814.8563591463959</v>
      </c>
      <c r="AO20" s="20">
        <f t="shared" si="6"/>
        <v>-172.45420866425872</v>
      </c>
      <c r="AP20" s="20">
        <f t="shared" si="7"/>
        <v>642.40215048213713</v>
      </c>
      <c r="AR20" s="20">
        <f t="shared" si="8"/>
        <v>3386.0421005383896</v>
      </c>
      <c r="AS20" s="20">
        <f t="shared" si="9"/>
        <v>-2916.0941587205107</v>
      </c>
      <c r="AT20" s="20">
        <f t="shared" si="10"/>
        <v>3229.1211686924094</v>
      </c>
    </row>
    <row r="21" spans="1:46" x14ac:dyDescent="0.3">
      <c r="A21" s="18">
        <v>183</v>
      </c>
      <c r="B21" s="20">
        <f>INDEX('01_FASTPPH'!$9:$1048576,MATCH($A21,'01_FASTPPH'!$A$9:$A$1048576,0),MATCH(B$9,'01_FASTPPH'!$8:$8,0))</f>
        <v>31</v>
      </c>
      <c r="C21" s="20">
        <f>INDEX('01_FASTPPH'!$9:$1048576,MATCH($A21,'01_FASTPPH'!$A$9:$A$1048576,0),MATCH(C$9,'01_FASTPPH'!$8:$8,0))</f>
        <v>1500570</v>
      </c>
      <c r="D21" s="20" t="str">
        <f>INDEX('01_FASTPPH'!$9:$1048576,MATCH($A21,'01_FASTPPH'!$A$9:$A$1048576,0),MATCH(D$9,'01_FASTPPH'!$8:$8,0))</f>
        <v>SkinRH</v>
      </c>
      <c r="E21" s="20">
        <f>INDEX('01_FASTPPH'!$9:$1048576,MATCH($A21,'01_FASTPPH'!$A$9:$A$1048576,0),MATCH(E$9,'01_FASTPPH'!$8:$8,0))</f>
        <v>3912020</v>
      </c>
      <c r="F21" s="20">
        <f>INDEX('01_FASTPPH'!$9:$1048576,MATCH($A21,'01_FASTPPH'!$A$9:$A$1048576,0),MATCH(F$9,'01_FASTPPH'!$8:$8,0))</f>
        <v>1912021</v>
      </c>
      <c r="G21" s="20">
        <f>INDEX('01_FASTPPH'!$9:$1048576,MATCH($A21,'01_FASTPPH'!$A$9:$A$1048576,0),MATCH(G$9,'01_FASTPPH'!$8:$8,0))</f>
        <v>2912020</v>
      </c>
      <c r="H21" s="20">
        <f>INDEX('01_FASTPPH'!$9:$1048576,MATCH($A21,'01_FASTPPH'!$A$9:$A$1048576,0),MATCH(H$9,'01_FASTPPH'!$8:$8,0))</f>
        <v>1912022</v>
      </c>
      <c r="I21" s="20">
        <f>INDEX('01_FASTPPH'!$9:$1048576,MATCH($A21,'01_FASTPPH'!$A$9:$A$1048576,0),MATCH(I$9,'01_FASTPPH'!$8:$8,0))</f>
        <v>57.914999999999999</v>
      </c>
      <c r="J21" s="20" t="str">
        <f>INDEX('01_FASTPPH'!$9:$1048576,MATCH($A21,'01_FASTPPH'!$A$9:$A$1048576,0),MATCH(J$9,'01_FASTPPH'!$8:$8,0))</f>
        <v xml:space="preserve">SUBCASE 101 = STLN ULT (INTACT) :STLN ULT (INTACT) </v>
      </c>
      <c r="K21" s="23">
        <f>INDEX('01_FASTPPH'!$9:$1048576,MATCH($A21,'01_FASTPPH'!$A$9:$A$1048576,0),MATCH(K$9,'01_FASTPPH'!$8:$8,0))</f>
        <v>-3350.62</v>
      </c>
      <c r="L21" s="20">
        <f>INDEX('01_FASTPPH'!$9:$1048576,MATCH($A21,'01_FASTPPH'!$A$9:$A$1048576,0),MATCH(L$9,'01_FASTPPH'!$8:$8,0))</f>
        <v>4627.07</v>
      </c>
      <c r="M21" s="20">
        <f>INDEX('01_FASTPPH'!$9:$1048576,MATCH($A21,'01_FASTPPH'!$A$9:$A$1048576,0),MATCH(M$9,'01_FASTPPH'!$8:$8,0))</f>
        <v>-15566.9</v>
      </c>
      <c r="N21" s="24">
        <f>INDEX('01_FASTPPH'!$9:$1048576,MATCH($A21,'01_FASTPPH'!$A$9:$A$1048576,0),MATCH(N$9,'01_FASTPPH'!$8:$8,0))</f>
        <v>15697.2</v>
      </c>
      <c r="O21" s="23">
        <f>INDEX('01_FASTPPH'!$9:$1048576,MATCH($A21,'01_FASTPPH'!$A$9:$A$1048576,0),MATCH(O$9,'01_FASTPPH'!$8:$8,0))</f>
        <v>-2415.2199999999998</v>
      </c>
      <c r="P21" s="20">
        <f>INDEX('01_FASTPPH'!$9:$1048576,MATCH($A21,'01_FASTPPH'!$A$9:$A$1048576,0),MATCH(P$9,'01_FASTPPH'!$8:$8,0))</f>
        <v>-2455.96</v>
      </c>
      <c r="Q21" s="20">
        <f>INDEX('01_FASTPPH'!$9:$1048576,MATCH($A21,'01_FASTPPH'!$A$9:$A$1048576,0),MATCH(Q$9,'01_FASTPPH'!$8:$8,0))</f>
        <v>147.66499999999999</v>
      </c>
      <c r="R21" s="20">
        <f>INDEX('01_FASTPPH'!$9:$1048576,MATCH($A21,'01_FASTPPH'!$A$9:$A$1048576,0),MATCH(R$9,'01_FASTPPH'!$8:$8,0))</f>
        <v>226.22</v>
      </c>
      <c r="S21" s="20">
        <f>INDEX('01_FASTPPH'!$9:$1048576,MATCH($A21,'01_FASTPPH'!$A$9:$A$1048576,0),MATCH(S$9,'01_FASTPPH'!$8:$8,0))</f>
        <v>-292.29399999999998</v>
      </c>
      <c r="T21" s="24">
        <f>INDEX('01_FASTPPH'!$9:$1048576,MATCH($A21,'01_FASTPPH'!$A$9:$A$1048576,0),MATCH(T$9,'01_FASTPPH'!$8:$8,0))</f>
        <v>-446.35599999999999</v>
      </c>
      <c r="U21" s="23">
        <f>INDEX('01_FASTPPH'!$9:$1048576,MATCH($A21,'01_FASTPPH'!$A$9:$A$1048576,0),MATCH(U$9,'01_FASTPPH'!$8:$8,0))</f>
        <v>3796.52</v>
      </c>
      <c r="V21" s="20">
        <f>INDEX('01_FASTPPH'!$9:$1048576,MATCH($A21,'01_FASTPPH'!$A$9:$A$1048576,0),MATCH(V$9,'01_FASTPPH'!$8:$8,0))</f>
        <v>-566.23</v>
      </c>
      <c r="W21" s="24">
        <f>INDEX('01_FASTPPH'!$9:$1048576,MATCH($A21,'01_FASTPPH'!$A$9:$A$1048576,0),MATCH(W$9,'01_FASTPPH'!$8:$8,0))</f>
        <v>608.50599999999997</v>
      </c>
      <c r="X21" s="20">
        <f>INDEX('01_FASTPPH'!$9:$1048576,MATCH($A21,'01_FASTPPH'!$A$9:$A$1048576,0),MATCH(X$9,'01_FASTPPH'!$8:$8,0))</f>
        <v>0</v>
      </c>
      <c r="Y21" s="20">
        <f>INDEX('01_FASTPPH'!$9:$1048576,MATCH($A21,'01_FASTPPH'!$A$9:$A$1048576,0),MATCH(Y$9,'01_FASTPPH'!$8:$8,0))</f>
        <v>0</v>
      </c>
      <c r="AA21" s="32">
        <f>INDEX('02_PROPERTIES'!$C$10:$I$1048576,MATCH('03_CALCULATIONS'!$D21,'02_PROPERTIES'!$C$10:$C$1048576,0),MATCH('03_CALCULATIONS'!AA$9,'02_PROPERTIES'!$C$10:$I$10,0))</f>
        <v>16.559999999999999</v>
      </c>
      <c r="AB21" s="20">
        <f>INDEX('02_PROPERTIES'!$C$10:$I$1048576,MATCH('03_CALCULATIONS'!$D21,'02_PROPERTIES'!$C$10:$C$1048576,0),MATCH('03_CALCULATIONS'!AB$9,'02_PROPERTIES'!$C$10:$I$10,0))</f>
        <v>79593.867056640505</v>
      </c>
      <c r="AC21" s="20">
        <f>INDEX('02_PROPERTIES'!$C$10:$I$1048576,MATCH('03_CALCULATIONS'!$D21,'02_PROPERTIES'!$C$10:$C$1048576,0),MATCH('03_CALCULATIONS'!AC$9,'02_PROPERTIES'!$C$10:$I$10,0))</f>
        <v>41017.370743551612</v>
      </c>
      <c r="AD21" s="20">
        <f>INDEX('02_PROPERTIES'!$C$10:$I$1048576,MATCH('03_CALCULATIONS'!$D21,'02_PROPERTIES'!$C$10:$C$1048576,0),MATCH('03_CALCULATIONS'!AD$9,'02_PROPERTIES'!$C$10:$I$10,0))</f>
        <v>19846.188560278148</v>
      </c>
      <c r="AE21" s="32">
        <f>INDEX('02_PROPERTIES'!$C$10:$I$1048576,MATCH('03_CALCULATIONS'!$D21,'02_PROPERTIES'!$C$10:$C$1048576,0),MATCH('03_CALCULATIONS'!AE$9,'02_PROPERTIES'!$C$10:$I$10,0))</f>
        <v>0.4142802271075095</v>
      </c>
      <c r="AF21" s="32">
        <f>INDEX('02_PROPERTIES'!$C$10:$I$1048576,MATCH('03_CALCULATIONS'!$D21,'02_PROPERTIES'!$C$10:$C$1048576,0),MATCH('03_CALCULATIONS'!AF$9,'02_PROPERTIES'!$C$10:$I$10,0))</f>
        <v>1</v>
      </c>
      <c r="AH21" s="20">
        <f t="shared" si="0"/>
        <v>-3790.7707246376813</v>
      </c>
      <c r="AI21" s="20">
        <f t="shared" si="1"/>
        <v>352.82079710144933</v>
      </c>
      <c r="AJ21" s="20">
        <f t="shared" si="2"/>
        <v>-512.76718840579713</v>
      </c>
      <c r="AL21" s="20">
        <f t="shared" si="3"/>
        <v>-2986.8854821242103</v>
      </c>
      <c r="AM21" s="20">
        <f t="shared" si="4"/>
        <v>2831.4593755025367</v>
      </c>
      <c r="AN21" s="20">
        <f t="shared" si="5"/>
        <v>-780.10450481136957</v>
      </c>
      <c r="AO21" s="20">
        <f t="shared" si="6"/>
        <v>-467.7653057165216</v>
      </c>
      <c r="AP21" s="20">
        <f t="shared" si="7"/>
        <v>312.33919909484797</v>
      </c>
      <c r="AR21" s="20">
        <f t="shared" si="8"/>
        <v>2857.4913654945476</v>
      </c>
      <c r="AS21" s="20">
        <f t="shared" si="9"/>
        <v>-3012.9174721162208</v>
      </c>
      <c r="AT21" s="20">
        <f t="shared" si="10"/>
        <v>3011.9507398021792</v>
      </c>
    </row>
    <row r="22" spans="1:46" x14ac:dyDescent="0.3">
      <c r="A22" s="18">
        <v>259</v>
      </c>
      <c r="B22" s="20">
        <f>INDEX('01_FASTPPH'!$9:$1048576,MATCH($A22,'01_FASTPPH'!$A$9:$A$1048576,0),MATCH(B$9,'01_FASTPPH'!$8:$8,0))</f>
        <v>44</v>
      </c>
      <c r="C22" s="20">
        <f>INDEX('01_FASTPPH'!$9:$1048576,MATCH($A22,'01_FASTPPH'!$A$9:$A$1048576,0),MATCH(C$9,'01_FASTPPH'!$8:$8,0))</f>
        <v>1500671</v>
      </c>
      <c r="D22" s="20" t="str">
        <f>INDEX('01_FASTPPH'!$9:$1048576,MATCH($A22,'01_FASTPPH'!$A$9:$A$1048576,0),MATCH(D$9,'01_FASTPPH'!$8:$8,0))</f>
        <v>SkinRH</v>
      </c>
      <c r="E22" s="20">
        <f>INDEX('01_FASTPPH'!$9:$1048576,MATCH($A22,'01_FASTPPH'!$A$9:$A$1048576,0),MATCH(E$9,'01_FASTPPH'!$8:$8,0))</f>
        <v>3913020</v>
      </c>
      <c r="F22" s="20">
        <f>INDEX('01_FASTPPH'!$9:$1048576,MATCH($A22,'01_FASTPPH'!$A$9:$A$1048576,0),MATCH(F$9,'01_FASTPPH'!$8:$8,0))</f>
        <v>1913021</v>
      </c>
      <c r="G22" s="20">
        <f>INDEX('01_FASTPPH'!$9:$1048576,MATCH($A22,'01_FASTPPH'!$A$9:$A$1048576,0),MATCH(G$9,'01_FASTPPH'!$8:$8,0))</f>
        <v>0</v>
      </c>
      <c r="H22" s="20">
        <f>INDEX('01_FASTPPH'!$9:$1048576,MATCH($A22,'01_FASTPPH'!$A$9:$A$1048576,0),MATCH(H$9,'01_FASTPPH'!$8:$8,0))</f>
        <v>0</v>
      </c>
      <c r="I22" s="20">
        <f>INDEX('01_FASTPPH'!$9:$1048576,MATCH($A22,'01_FASTPPH'!$A$9:$A$1048576,0),MATCH(I$9,'01_FASTPPH'!$8:$8,0))</f>
        <v>57.914999999999999</v>
      </c>
      <c r="J22" s="20" t="str">
        <f>INDEX('01_FASTPPH'!$9:$1048576,MATCH($A22,'01_FASTPPH'!$A$9:$A$1048576,0),MATCH(J$9,'01_FASTPPH'!$8:$8,0))</f>
        <v xml:space="preserve">SUBCASE 101 = STLN ULT (INTACT) :STLN ULT (INTACT) </v>
      </c>
      <c r="K22" s="23">
        <f>INDEX('01_FASTPPH'!$9:$1048576,MATCH($A22,'01_FASTPPH'!$A$9:$A$1048576,0),MATCH(K$9,'01_FASTPPH'!$8:$8,0))</f>
        <v>-9649.83</v>
      </c>
      <c r="L22" s="20">
        <f>INDEX('01_FASTPPH'!$9:$1048576,MATCH($A22,'01_FASTPPH'!$A$9:$A$1048576,0),MATCH(L$9,'01_FASTPPH'!$8:$8,0))</f>
        <v>7985.62</v>
      </c>
      <c r="M22" s="20">
        <f>INDEX('01_FASTPPH'!$9:$1048576,MATCH($A22,'01_FASTPPH'!$A$9:$A$1048576,0),MATCH(M$9,'01_FASTPPH'!$8:$8,0))</f>
        <v>-4957.21</v>
      </c>
      <c r="N22" s="24">
        <f>INDEX('01_FASTPPH'!$9:$1048576,MATCH($A22,'01_FASTPPH'!$A$9:$A$1048576,0),MATCH(N$9,'01_FASTPPH'!$8:$8,0))</f>
        <v>9613.49</v>
      </c>
      <c r="O22" s="23">
        <f>INDEX('01_FASTPPH'!$9:$1048576,MATCH($A22,'01_FASTPPH'!$A$9:$A$1048576,0),MATCH(O$9,'01_FASTPPH'!$8:$8,0))</f>
        <v>-2072.38</v>
      </c>
      <c r="P22" s="20">
        <f>INDEX('01_FASTPPH'!$9:$1048576,MATCH($A22,'01_FASTPPH'!$A$9:$A$1048576,0),MATCH(P$9,'01_FASTPPH'!$8:$8,0))</f>
        <v>-2502.1</v>
      </c>
      <c r="Q22" s="20">
        <f>INDEX('01_FASTPPH'!$9:$1048576,MATCH($A22,'01_FASTPPH'!$A$9:$A$1048576,0),MATCH(Q$9,'01_FASTPPH'!$8:$8,0))</f>
        <v>20.567799999999998</v>
      </c>
      <c r="R22" s="20">
        <f>INDEX('01_FASTPPH'!$9:$1048576,MATCH($A22,'01_FASTPPH'!$A$9:$A$1048576,0),MATCH(R$9,'01_FASTPPH'!$8:$8,0))</f>
        <v>93.379900000000006</v>
      </c>
      <c r="S22" s="20">
        <f>INDEX('01_FASTPPH'!$9:$1048576,MATCH($A22,'01_FASTPPH'!$A$9:$A$1048576,0),MATCH(S$9,'01_FASTPPH'!$8:$8,0))</f>
        <v>-282.875</v>
      </c>
      <c r="T22" s="24">
        <f>INDEX('01_FASTPPH'!$9:$1048576,MATCH($A22,'01_FASTPPH'!$A$9:$A$1048576,0),MATCH(T$9,'01_FASTPPH'!$8:$8,0))</f>
        <v>-490.88600000000002</v>
      </c>
      <c r="U22" s="23">
        <f>INDEX('01_FASTPPH'!$9:$1048576,MATCH($A22,'01_FASTPPH'!$A$9:$A$1048576,0),MATCH(U$9,'01_FASTPPH'!$8:$8,0))</f>
        <v>4820.1000000000004</v>
      </c>
      <c r="V22" s="20">
        <f>INDEX('01_FASTPPH'!$9:$1048576,MATCH($A22,'01_FASTPPH'!$A$9:$A$1048576,0),MATCH(V$9,'01_FASTPPH'!$8:$8,0))</f>
        <v>-550.97699999999998</v>
      </c>
      <c r="W22" s="24">
        <f>INDEX('01_FASTPPH'!$9:$1048576,MATCH($A22,'01_FASTPPH'!$A$9:$A$1048576,0),MATCH(W$9,'01_FASTPPH'!$8:$8,0))</f>
        <v>458.03</v>
      </c>
      <c r="X22" s="20">
        <f>INDEX('01_FASTPPH'!$9:$1048576,MATCH($A22,'01_FASTPPH'!$A$9:$A$1048576,0),MATCH(X$9,'01_FASTPPH'!$8:$8,0))</f>
        <v>0</v>
      </c>
      <c r="Y22" s="20">
        <f>INDEX('01_FASTPPH'!$9:$1048576,MATCH($A22,'01_FASTPPH'!$A$9:$A$1048576,0),MATCH(Y$9,'01_FASTPPH'!$8:$8,0))</f>
        <v>0</v>
      </c>
      <c r="AA22" s="32">
        <f>INDEX('02_PROPERTIES'!$C$10:$I$1048576,MATCH('03_CALCULATIONS'!$D22,'02_PROPERTIES'!$C$10:$C$1048576,0),MATCH('03_CALCULATIONS'!AA$9,'02_PROPERTIES'!$C$10:$I$10,0))</f>
        <v>16.559999999999999</v>
      </c>
      <c r="AB22" s="20">
        <f>INDEX('02_PROPERTIES'!$C$10:$I$1048576,MATCH('03_CALCULATIONS'!$D22,'02_PROPERTIES'!$C$10:$C$1048576,0),MATCH('03_CALCULATIONS'!AB$9,'02_PROPERTIES'!$C$10:$I$10,0))</f>
        <v>79593.867056640505</v>
      </c>
      <c r="AC22" s="20">
        <f>INDEX('02_PROPERTIES'!$C$10:$I$1048576,MATCH('03_CALCULATIONS'!$D22,'02_PROPERTIES'!$C$10:$C$1048576,0),MATCH('03_CALCULATIONS'!AC$9,'02_PROPERTIES'!$C$10:$I$10,0))</f>
        <v>41017.370743551612</v>
      </c>
      <c r="AD22" s="20">
        <f>INDEX('02_PROPERTIES'!$C$10:$I$1048576,MATCH('03_CALCULATIONS'!$D22,'02_PROPERTIES'!$C$10:$C$1048576,0),MATCH('03_CALCULATIONS'!AD$9,'02_PROPERTIES'!$C$10:$I$10,0))</f>
        <v>19846.188560278148</v>
      </c>
      <c r="AE22" s="32">
        <f>INDEX('02_PROPERTIES'!$C$10:$I$1048576,MATCH('03_CALCULATIONS'!$D22,'02_PROPERTIES'!$C$10:$C$1048576,0),MATCH('03_CALCULATIONS'!AE$9,'02_PROPERTIES'!$C$10:$I$10,0))</f>
        <v>0.4142802271075095</v>
      </c>
      <c r="AF22" s="32">
        <f>INDEX('02_PROPERTIES'!$C$10:$I$1048576,MATCH('03_CALCULATIONS'!$D22,'02_PROPERTIES'!$C$10:$C$1048576,0),MATCH('03_CALCULATIONS'!AF$9,'02_PROPERTIES'!$C$10:$I$10,0))</f>
        <v>1</v>
      </c>
      <c r="AH22" s="20">
        <f t="shared" si="0"/>
        <v>-3818.7930434782611</v>
      </c>
      <c r="AI22" s="20">
        <f t="shared" si="1"/>
        <v>220.19714782608699</v>
      </c>
      <c r="AJ22" s="20">
        <f t="shared" si="2"/>
        <v>-448.82789855072463</v>
      </c>
      <c r="AL22" s="20">
        <f t="shared" si="3"/>
        <v>-2966.4609629046899</v>
      </c>
      <c r="AM22" s="20">
        <f t="shared" si="4"/>
        <v>2653.2996793046382</v>
      </c>
      <c r="AN22" s="20">
        <f t="shared" si="5"/>
        <v>-682.8297002251835</v>
      </c>
      <c r="AO22" s="20">
        <f t="shared" si="6"/>
        <v>-497.99549191261764</v>
      </c>
      <c r="AP22" s="20">
        <f t="shared" si="7"/>
        <v>184.83420831256586</v>
      </c>
      <c r="AR22" s="20">
        <f t="shared" si="8"/>
        <v>2673.9655102364768</v>
      </c>
      <c r="AS22" s="20">
        <f t="shared" si="9"/>
        <v>-2987.126793836529</v>
      </c>
      <c r="AT22" s="20">
        <f t="shared" si="10"/>
        <v>2891.6576246922568</v>
      </c>
    </row>
    <row r="23" spans="1:46" x14ac:dyDescent="0.3">
      <c r="A23" s="18">
        <v>153</v>
      </c>
      <c r="B23" s="20">
        <f>INDEX('01_FASTPPH'!$9:$1048576,MATCH($A23,'01_FASTPPH'!$A$9:$A$1048576,0),MATCH(B$9,'01_FASTPPH'!$8:$8,0))</f>
        <v>27</v>
      </c>
      <c r="C23" s="20">
        <f>INDEX('01_FASTPPH'!$9:$1048576,MATCH($A23,'01_FASTPPH'!$A$9:$A$1048576,0),MATCH(C$9,'01_FASTPPH'!$8:$8,0))</f>
        <v>1502993</v>
      </c>
      <c r="D23" s="20" t="str">
        <f>INDEX('01_FASTPPH'!$9:$1048576,MATCH($A23,'01_FASTPPH'!$A$9:$A$1048576,0),MATCH(D$9,'01_FASTPPH'!$8:$8,0))</f>
        <v>SkinRH</v>
      </c>
      <c r="E23" s="20">
        <f>INDEX('01_FASTPPH'!$9:$1048576,MATCH($A23,'01_FASTPPH'!$A$9:$A$1048576,0),MATCH(E$9,'01_FASTPPH'!$8:$8,0))</f>
        <v>2914020</v>
      </c>
      <c r="F23" s="20">
        <f>INDEX('01_FASTPPH'!$9:$1048576,MATCH($A23,'01_FASTPPH'!$A$9:$A$1048576,0),MATCH(F$9,'01_FASTPPH'!$8:$8,0))</f>
        <v>1914022</v>
      </c>
      <c r="G23" s="20">
        <f>INDEX('01_FASTPPH'!$9:$1048576,MATCH($A23,'01_FASTPPH'!$A$9:$A$1048576,0),MATCH(G$9,'01_FASTPPH'!$8:$8,0))</f>
        <v>0</v>
      </c>
      <c r="H23" s="20">
        <f>INDEX('01_FASTPPH'!$9:$1048576,MATCH($A23,'01_FASTPPH'!$A$9:$A$1048576,0),MATCH(H$9,'01_FASTPPH'!$8:$8,0))</f>
        <v>0</v>
      </c>
      <c r="I23" s="20">
        <f>INDEX('01_FASTPPH'!$9:$1048576,MATCH($A23,'01_FASTPPH'!$A$9:$A$1048576,0),MATCH(I$9,'01_FASTPPH'!$8:$8,0))</f>
        <v>57.914999999999999</v>
      </c>
      <c r="J23" s="20" t="str">
        <f>INDEX('01_FASTPPH'!$9:$1048576,MATCH($A23,'01_FASTPPH'!$A$9:$A$1048576,0),MATCH(J$9,'01_FASTPPH'!$8:$8,0))</f>
        <v xml:space="preserve">SUBCASE 101 = STLN ULT (INTACT) :STLN ULT (INTACT) </v>
      </c>
      <c r="K23" s="23">
        <f>INDEX('01_FASTPPH'!$9:$1048576,MATCH($A23,'01_FASTPPH'!$A$9:$A$1048576,0),MATCH(K$9,'01_FASTPPH'!$8:$8,0))</f>
        <v>-11301.5</v>
      </c>
      <c r="L23" s="20">
        <f>INDEX('01_FASTPPH'!$9:$1048576,MATCH($A23,'01_FASTPPH'!$A$9:$A$1048576,0),MATCH(L$9,'01_FASTPPH'!$8:$8,0))</f>
        <v>218.21299999999999</v>
      </c>
      <c r="M23" s="20">
        <f>INDEX('01_FASTPPH'!$9:$1048576,MATCH($A23,'01_FASTPPH'!$A$9:$A$1048576,0),MATCH(M$9,'01_FASTPPH'!$8:$8,0))</f>
        <v>239.06</v>
      </c>
      <c r="N23" s="24">
        <f>INDEX('01_FASTPPH'!$9:$1048576,MATCH($A23,'01_FASTPPH'!$A$9:$A$1048576,0),MATCH(N$9,'01_FASTPPH'!$8:$8,0))</f>
        <v>11279.3</v>
      </c>
      <c r="O23" s="23">
        <f>INDEX('01_FASTPPH'!$9:$1048576,MATCH($A23,'01_FASTPPH'!$A$9:$A$1048576,0),MATCH(O$9,'01_FASTPPH'!$8:$8,0))</f>
        <v>-576.78200000000004</v>
      </c>
      <c r="P23" s="20">
        <f>INDEX('01_FASTPPH'!$9:$1048576,MATCH($A23,'01_FASTPPH'!$A$9:$A$1048576,0),MATCH(P$9,'01_FASTPPH'!$8:$8,0))</f>
        <v>-692.96799999999996</v>
      </c>
      <c r="Q23" s="20">
        <f>INDEX('01_FASTPPH'!$9:$1048576,MATCH($A23,'01_FASTPPH'!$A$9:$A$1048576,0),MATCH(Q$9,'01_FASTPPH'!$8:$8,0))</f>
        <v>290.64999999999998</v>
      </c>
      <c r="R23" s="20">
        <f>INDEX('01_FASTPPH'!$9:$1048576,MATCH($A23,'01_FASTPPH'!$A$9:$A$1048576,0),MATCH(R$9,'01_FASTPPH'!$8:$8,0))</f>
        <v>382.392</v>
      </c>
      <c r="S23" s="20">
        <f>INDEX('01_FASTPPH'!$9:$1048576,MATCH($A23,'01_FASTPPH'!$A$9:$A$1048576,0),MATCH(S$9,'01_FASTPPH'!$8:$8,0))</f>
        <v>-338.60700000000003</v>
      </c>
      <c r="T23" s="24">
        <f>INDEX('01_FASTPPH'!$9:$1048576,MATCH($A23,'01_FASTPPH'!$A$9:$A$1048576,0),MATCH(T$9,'01_FASTPPH'!$8:$8,0))</f>
        <v>-414.99099999999999</v>
      </c>
      <c r="U23" s="23">
        <f>INDEX('01_FASTPPH'!$9:$1048576,MATCH($A23,'01_FASTPPH'!$A$9:$A$1048576,0),MATCH(U$9,'01_FASTPPH'!$8:$8,0))</f>
        <v>2655.66</v>
      </c>
      <c r="V23" s="20">
        <f>INDEX('01_FASTPPH'!$9:$1048576,MATCH($A23,'01_FASTPPH'!$A$9:$A$1048576,0),MATCH(V$9,'01_FASTPPH'!$8:$8,0))</f>
        <v>2027.02</v>
      </c>
      <c r="W23" s="24">
        <f>INDEX('01_FASTPPH'!$9:$1048576,MATCH($A23,'01_FASTPPH'!$A$9:$A$1048576,0),MATCH(W$9,'01_FASTPPH'!$8:$8,0))</f>
        <v>373.08199999999999</v>
      </c>
      <c r="X23" s="20">
        <f>INDEX('01_FASTPPH'!$9:$1048576,MATCH($A23,'01_FASTPPH'!$A$9:$A$1048576,0),MATCH(X$9,'01_FASTPPH'!$8:$8,0))</f>
        <v>0</v>
      </c>
      <c r="Y23" s="20">
        <f>INDEX('01_FASTPPH'!$9:$1048576,MATCH($A23,'01_FASTPPH'!$A$9:$A$1048576,0),MATCH(Y$9,'01_FASTPPH'!$8:$8,0))</f>
        <v>0</v>
      </c>
      <c r="AA23" s="32">
        <f>INDEX('02_PROPERTIES'!$C$10:$I$1048576,MATCH('03_CALCULATIONS'!$D23,'02_PROPERTIES'!$C$10:$C$1048576,0),MATCH('03_CALCULATIONS'!AA$9,'02_PROPERTIES'!$C$10:$I$10,0))</f>
        <v>16.559999999999999</v>
      </c>
      <c r="AB23" s="20">
        <f>INDEX('02_PROPERTIES'!$C$10:$I$1048576,MATCH('03_CALCULATIONS'!$D23,'02_PROPERTIES'!$C$10:$C$1048576,0),MATCH('03_CALCULATIONS'!AB$9,'02_PROPERTIES'!$C$10:$I$10,0))</f>
        <v>79593.867056640505</v>
      </c>
      <c r="AC23" s="20">
        <f>INDEX('02_PROPERTIES'!$C$10:$I$1048576,MATCH('03_CALCULATIONS'!$D23,'02_PROPERTIES'!$C$10:$C$1048576,0),MATCH('03_CALCULATIONS'!AC$9,'02_PROPERTIES'!$C$10:$I$10,0))</f>
        <v>41017.370743551612</v>
      </c>
      <c r="AD23" s="20">
        <f>INDEX('02_PROPERTIES'!$C$10:$I$1048576,MATCH('03_CALCULATIONS'!$D23,'02_PROPERTIES'!$C$10:$C$1048576,0),MATCH('03_CALCULATIONS'!AD$9,'02_PROPERTIES'!$C$10:$I$10,0))</f>
        <v>19846.188560278148</v>
      </c>
      <c r="AE23" s="32">
        <f>INDEX('02_PROPERTIES'!$C$10:$I$1048576,MATCH('03_CALCULATIONS'!$D23,'02_PROPERTIES'!$C$10:$C$1048576,0),MATCH('03_CALCULATIONS'!AE$9,'02_PROPERTIES'!$C$10:$I$10,0))</f>
        <v>0.4142802271075095</v>
      </c>
      <c r="AF23" s="32">
        <f>INDEX('02_PROPERTIES'!$C$10:$I$1048576,MATCH('03_CALCULATIONS'!$D23,'02_PROPERTIES'!$C$10:$C$1048576,0),MATCH('03_CALCULATIONS'!AF$9,'02_PROPERTIES'!$C$10:$I$10,0))</f>
        <v>1</v>
      </c>
      <c r="AH23" s="20">
        <f t="shared" si="0"/>
        <v>-1538.9776521739132</v>
      </c>
      <c r="AI23" s="20">
        <f t="shared" si="1"/>
        <v>1025.0775362318841</v>
      </c>
      <c r="AJ23" s="20">
        <f t="shared" si="2"/>
        <v>-473.78163768115951</v>
      </c>
      <c r="AL23" s="20">
        <f t="shared" si="3"/>
        <v>-1489.7846050213686</v>
      </c>
      <c r="AM23" s="20">
        <f t="shared" si="4"/>
        <v>2447.7751585915153</v>
      </c>
      <c r="AN23" s="20">
        <f t="shared" si="5"/>
        <v>-720.79337018632464</v>
      </c>
      <c r="AO23" s="20">
        <f t="shared" si="6"/>
        <v>118.598591691911</v>
      </c>
      <c r="AP23" s="20">
        <f t="shared" si="7"/>
        <v>839.39196187823563</v>
      </c>
      <c r="AR23" s="20">
        <f t="shared" si="8"/>
        <v>2480.4897168552743</v>
      </c>
      <c r="AS23" s="20">
        <f t="shared" si="9"/>
        <v>-1522.4991632851279</v>
      </c>
      <c r="AT23" s="20">
        <f t="shared" si="10"/>
        <v>2096.5775219414968</v>
      </c>
    </row>
    <row r="24" spans="1:46" x14ac:dyDescent="0.3">
      <c r="A24" s="18">
        <v>201</v>
      </c>
      <c r="B24" s="20">
        <f>INDEX('01_FASTPPH'!$9:$1048576,MATCH($A24,'01_FASTPPH'!$A$9:$A$1048576,0),MATCH(B$9,'01_FASTPPH'!$8:$8,0))</f>
        <v>34</v>
      </c>
      <c r="C24" s="20">
        <f>INDEX('01_FASTPPH'!$9:$1048576,MATCH($A24,'01_FASTPPH'!$A$9:$A$1048576,0),MATCH(C$9,'01_FASTPPH'!$8:$8,0))</f>
        <v>1502047</v>
      </c>
      <c r="D24" s="20" t="str">
        <f>INDEX('01_FASTPPH'!$9:$1048576,MATCH($A24,'01_FASTPPH'!$A$9:$A$1048576,0),MATCH(D$9,'01_FASTPPH'!$8:$8,0))</f>
        <v>SkinRH</v>
      </c>
      <c r="E24" s="20">
        <f>INDEX('01_FASTPPH'!$9:$1048576,MATCH($A24,'01_FASTPPH'!$A$9:$A$1048576,0),MATCH(E$9,'01_FASTPPH'!$8:$8,0))</f>
        <v>2915020</v>
      </c>
      <c r="F24" s="20">
        <f>INDEX('01_FASTPPH'!$9:$1048576,MATCH($A24,'01_FASTPPH'!$A$9:$A$1048576,0),MATCH(F$9,'01_FASTPPH'!$8:$8,0))</f>
        <v>1915022</v>
      </c>
      <c r="G24" s="20">
        <f>INDEX('01_FASTPPH'!$9:$1048576,MATCH($A24,'01_FASTPPH'!$A$9:$A$1048576,0),MATCH(G$9,'01_FASTPPH'!$8:$8,0))</f>
        <v>3915020</v>
      </c>
      <c r="H24" s="20">
        <f>INDEX('01_FASTPPH'!$9:$1048576,MATCH($A24,'01_FASTPPH'!$A$9:$A$1048576,0),MATCH(H$9,'01_FASTPPH'!$8:$8,0))</f>
        <v>1915021</v>
      </c>
      <c r="I24" s="20">
        <f>INDEX('01_FASTPPH'!$9:$1048576,MATCH($A24,'01_FASTPPH'!$A$9:$A$1048576,0),MATCH(I$9,'01_FASTPPH'!$8:$8,0))</f>
        <v>57.914999999999999</v>
      </c>
      <c r="J24" s="20" t="str">
        <f>INDEX('01_FASTPPH'!$9:$1048576,MATCH($A24,'01_FASTPPH'!$A$9:$A$1048576,0),MATCH(J$9,'01_FASTPPH'!$8:$8,0))</f>
        <v xml:space="preserve">SUBCASE 101 = STLN ULT (INTACT) :STLN ULT (INTACT) </v>
      </c>
      <c r="K24" s="23">
        <f>INDEX('01_FASTPPH'!$9:$1048576,MATCH($A24,'01_FASTPPH'!$A$9:$A$1048576,0),MATCH(K$9,'01_FASTPPH'!$8:$8,0))</f>
        <v>4032.98</v>
      </c>
      <c r="L24" s="20">
        <f>INDEX('01_FASTPPH'!$9:$1048576,MATCH($A24,'01_FASTPPH'!$A$9:$A$1048576,0),MATCH(L$9,'01_FASTPPH'!$8:$8,0))</f>
        <v>-4733.42</v>
      </c>
      <c r="M24" s="20">
        <f>INDEX('01_FASTPPH'!$9:$1048576,MATCH($A24,'01_FASTPPH'!$A$9:$A$1048576,0),MATCH(M$9,'01_FASTPPH'!$8:$8,0))</f>
        <v>-1948.34</v>
      </c>
      <c r="N24" s="24">
        <f>INDEX('01_FASTPPH'!$9:$1048576,MATCH($A24,'01_FASTPPH'!$A$9:$A$1048576,0),MATCH(N$9,'01_FASTPPH'!$8:$8,0))</f>
        <v>11674.8</v>
      </c>
      <c r="O24" s="23">
        <f>INDEX('01_FASTPPH'!$9:$1048576,MATCH($A24,'01_FASTPPH'!$A$9:$A$1048576,0),MATCH(O$9,'01_FASTPPH'!$8:$8,0))</f>
        <v>-1654</v>
      </c>
      <c r="P24" s="20">
        <f>INDEX('01_FASTPPH'!$9:$1048576,MATCH($A24,'01_FASTPPH'!$A$9:$A$1048576,0),MATCH(P$9,'01_FASTPPH'!$8:$8,0))</f>
        <v>-1662.32</v>
      </c>
      <c r="Q24" s="20">
        <f>INDEX('01_FASTPPH'!$9:$1048576,MATCH($A24,'01_FASTPPH'!$A$9:$A$1048576,0),MATCH(Q$9,'01_FASTPPH'!$8:$8,0))</f>
        <v>219.74100000000001</v>
      </c>
      <c r="R24" s="20">
        <f>INDEX('01_FASTPPH'!$9:$1048576,MATCH($A24,'01_FASTPPH'!$A$9:$A$1048576,0),MATCH(R$9,'01_FASTPPH'!$8:$8,0))</f>
        <v>280.887</v>
      </c>
      <c r="S24" s="20">
        <f>INDEX('01_FASTPPH'!$9:$1048576,MATCH($A24,'01_FASTPPH'!$A$9:$A$1048576,0),MATCH(S$9,'01_FASTPPH'!$8:$8,0))</f>
        <v>-265.42599999999999</v>
      </c>
      <c r="T24" s="24">
        <f>INDEX('01_FASTPPH'!$9:$1048576,MATCH($A24,'01_FASTPPH'!$A$9:$A$1048576,0),MATCH(T$9,'01_FASTPPH'!$8:$8,0))</f>
        <v>-318.81200000000001</v>
      </c>
      <c r="U24" s="23">
        <f>INDEX('01_FASTPPH'!$9:$1048576,MATCH($A24,'01_FASTPPH'!$A$9:$A$1048576,0),MATCH(U$9,'01_FASTPPH'!$8:$8,0))</f>
        <v>2072.5300000000002</v>
      </c>
      <c r="V24" s="20">
        <f>INDEX('01_FASTPPH'!$9:$1048576,MATCH($A24,'01_FASTPPH'!$A$9:$A$1048576,0),MATCH(V$9,'01_FASTPPH'!$8:$8,0))</f>
        <v>1066.05</v>
      </c>
      <c r="W24" s="24">
        <f>INDEX('01_FASTPPH'!$9:$1048576,MATCH($A24,'01_FASTPPH'!$A$9:$A$1048576,0),MATCH(W$9,'01_FASTPPH'!$8:$8,0))</f>
        <v>107.136</v>
      </c>
      <c r="X24" s="20">
        <f>INDEX('01_FASTPPH'!$9:$1048576,MATCH($A24,'01_FASTPPH'!$A$9:$A$1048576,0),MATCH(X$9,'01_FASTPPH'!$8:$8,0))</f>
        <v>0</v>
      </c>
      <c r="Y24" s="20">
        <f>INDEX('01_FASTPPH'!$9:$1048576,MATCH($A24,'01_FASTPPH'!$A$9:$A$1048576,0),MATCH(Y$9,'01_FASTPPH'!$8:$8,0))</f>
        <v>0</v>
      </c>
      <c r="AA24" s="32">
        <f>INDEX('02_PROPERTIES'!$C$10:$I$1048576,MATCH('03_CALCULATIONS'!$D24,'02_PROPERTIES'!$C$10:$C$1048576,0),MATCH('03_CALCULATIONS'!AA$9,'02_PROPERTIES'!$C$10:$I$10,0))</f>
        <v>16.559999999999999</v>
      </c>
      <c r="AB24" s="20">
        <f>INDEX('02_PROPERTIES'!$C$10:$I$1048576,MATCH('03_CALCULATIONS'!$D24,'02_PROPERTIES'!$C$10:$C$1048576,0),MATCH('03_CALCULATIONS'!AB$9,'02_PROPERTIES'!$C$10:$I$10,0))</f>
        <v>79593.867056640505</v>
      </c>
      <c r="AC24" s="20">
        <f>INDEX('02_PROPERTIES'!$C$10:$I$1048576,MATCH('03_CALCULATIONS'!$D24,'02_PROPERTIES'!$C$10:$C$1048576,0),MATCH('03_CALCULATIONS'!AC$9,'02_PROPERTIES'!$C$10:$I$10,0))</f>
        <v>41017.370743551612</v>
      </c>
      <c r="AD24" s="20">
        <f>INDEX('02_PROPERTIES'!$C$10:$I$1048576,MATCH('03_CALCULATIONS'!$D24,'02_PROPERTIES'!$C$10:$C$1048576,0),MATCH('03_CALCULATIONS'!AD$9,'02_PROPERTIES'!$C$10:$I$10,0))</f>
        <v>19846.188560278148</v>
      </c>
      <c r="AE24" s="32">
        <f>INDEX('02_PROPERTIES'!$C$10:$I$1048576,MATCH('03_CALCULATIONS'!$D24,'02_PROPERTIES'!$C$10:$C$1048576,0),MATCH('03_CALCULATIONS'!AE$9,'02_PROPERTIES'!$C$10:$I$10,0))</f>
        <v>0.4142802271075095</v>
      </c>
      <c r="AF24" s="32">
        <f>INDEX('02_PROPERTIES'!$C$10:$I$1048576,MATCH('03_CALCULATIONS'!$D24,'02_PROPERTIES'!$C$10:$C$1048576,0),MATCH('03_CALCULATIONS'!AF$9,'02_PROPERTIES'!$C$10:$I$10,0))</f>
        <v>1</v>
      </c>
      <c r="AH24" s="20">
        <f t="shared" si="0"/>
        <v>-2404.916666666667</v>
      </c>
      <c r="AI24" s="20">
        <f t="shared" si="1"/>
        <v>605.99099999999999</v>
      </c>
      <c r="AJ24" s="20">
        <f t="shared" si="2"/>
        <v>-304.24339130434782</v>
      </c>
      <c r="AL24" s="20">
        <f t="shared" si="3"/>
        <v>-2015.0354777223549</v>
      </c>
      <c r="AM24" s="20">
        <f t="shared" si="4"/>
        <v>2358.9340359149655</v>
      </c>
      <c r="AN24" s="20">
        <f t="shared" si="5"/>
        <v>-462.8643280657439</v>
      </c>
      <c r="AO24" s="20">
        <f t="shared" si="6"/>
        <v>-59.482884936566649</v>
      </c>
      <c r="AP24" s="20">
        <f t="shared" si="7"/>
        <v>403.38144312917723</v>
      </c>
      <c r="AR24" s="20">
        <f t="shared" si="8"/>
        <v>2371.1453079000389</v>
      </c>
      <c r="AS24" s="20">
        <f t="shared" si="9"/>
        <v>-2027.2467497074281</v>
      </c>
      <c r="AT24" s="20">
        <f t="shared" si="10"/>
        <v>2235.4296483568719</v>
      </c>
    </row>
    <row r="25" spans="1:46" x14ac:dyDescent="0.3">
      <c r="A25" s="18">
        <v>209</v>
      </c>
      <c r="B25" s="20">
        <f>INDEX('01_FASTPPH'!$9:$1048576,MATCH($A25,'01_FASTPPH'!$A$9:$A$1048576,0),MATCH(B$9,'01_FASTPPH'!$8:$8,0))</f>
        <v>35</v>
      </c>
      <c r="C25" s="20">
        <f>INDEX('01_FASTPPH'!$9:$1048576,MATCH($A25,'01_FASTPPH'!$A$9:$A$1048576,0),MATCH(C$9,'01_FASTPPH'!$8:$8,0))</f>
        <v>1502020</v>
      </c>
      <c r="D25" s="20" t="str">
        <f>INDEX('01_FASTPPH'!$9:$1048576,MATCH($A25,'01_FASTPPH'!$A$9:$A$1048576,0),MATCH(D$9,'01_FASTPPH'!$8:$8,0))</f>
        <v>SkinRH</v>
      </c>
      <c r="E25" s="20">
        <f>INDEX('01_FASTPPH'!$9:$1048576,MATCH($A25,'01_FASTPPH'!$A$9:$A$1048576,0),MATCH(E$9,'01_FASTPPH'!$8:$8,0))</f>
        <v>2916020</v>
      </c>
      <c r="F25" s="20">
        <f>INDEX('01_FASTPPH'!$9:$1048576,MATCH($A25,'01_FASTPPH'!$A$9:$A$1048576,0),MATCH(F$9,'01_FASTPPH'!$8:$8,0))</f>
        <v>1916022</v>
      </c>
      <c r="G25" s="20">
        <f>INDEX('01_FASTPPH'!$9:$1048576,MATCH($A25,'01_FASTPPH'!$A$9:$A$1048576,0),MATCH(G$9,'01_FASTPPH'!$8:$8,0))</f>
        <v>3916020</v>
      </c>
      <c r="H25" s="20">
        <f>INDEX('01_FASTPPH'!$9:$1048576,MATCH($A25,'01_FASTPPH'!$A$9:$A$1048576,0),MATCH(H$9,'01_FASTPPH'!$8:$8,0))</f>
        <v>1916021</v>
      </c>
      <c r="I25" s="20">
        <f>INDEX('01_FASTPPH'!$9:$1048576,MATCH($A25,'01_FASTPPH'!$A$9:$A$1048576,0),MATCH(I$9,'01_FASTPPH'!$8:$8,0))</f>
        <v>57.914999999999999</v>
      </c>
      <c r="J25" s="20" t="str">
        <f>INDEX('01_FASTPPH'!$9:$1048576,MATCH($A25,'01_FASTPPH'!$A$9:$A$1048576,0),MATCH(J$9,'01_FASTPPH'!$8:$8,0))</f>
        <v xml:space="preserve">SUBCASE 101 = STLN ULT (INTACT) :STLN ULT (INTACT) </v>
      </c>
      <c r="K25" s="23">
        <f>INDEX('01_FASTPPH'!$9:$1048576,MATCH($A25,'01_FASTPPH'!$A$9:$A$1048576,0),MATCH(K$9,'01_FASTPPH'!$8:$8,0))</f>
        <v>-4132.88</v>
      </c>
      <c r="L25" s="20">
        <f>INDEX('01_FASTPPH'!$9:$1048576,MATCH($A25,'01_FASTPPH'!$A$9:$A$1048576,0),MATCH(L$9,'01_FASTPPH'!$8:$8,0))</f>
        <v>2615.06</v>
      </c>
      <c r="M25" s="20">
        <f>INDEX('01_FASTPPH'!$9:$1048576,MATCH($A25,'01_FASTPPH'!$A$9:$A$1048576,0),MATCH(M$9,'01_FASTPPH'!$8:$8,0))</f>
        <v>-6752.13</v>
      </c>
      <c r="N25" s="24">
        <f>INDEX('01_FASTPPH'!$9:$1048576,MATCH($A25,'01_FASTPPH'!$A$9:$A$1048576,0),MATCH(N$9,'01_FASTPPH'!$8:$8,0))</f>
        <v>12496.8</v>
      </c>
      <c r="O25" s="23">
        <f>INDEX('01_FASTPPH'!$9:$1048576,MATCH($A25,'01_FASTPPH'!$A$9:$A$1048576,0),MATCH(O$9,'01_FASTPPH'!$8:$8,0))</f>
        <v>-2403.61</v>
      </c>
      <c r="P25" s="20">
        <f>INDEX('01_FASTPPH'!$9:$1048576,MATCH($A25,'01_FASTPPH'!$A$9:$A$1048576,0),MATCH(P$9,'01_FASTPPH'!$8:$8,0))</f>
        <v>-2500.15</v>
      </c>
      <c r="Q25" s="20">
        <f>INDEX('01_FASTPPH'!$9:$1048576,MATCH($A25,'01_FASTPPH'!$A$9:$A$1048576,0),MATCH(Q$9,'01_FASTPPH'!$8:$8,0))</f>
        <v>156.983</v>
      </c>
      <c r="R25" s="20">
        <f>INDEX('01_FASTPPH'!$9:$1048576,MATCH($A25,'01_FASTPPH'!$A$9:$A$1048576,0),MATCH(R$9,'01_FASTPPH'!$8:$8,0))</f>
        <v>223.06399999999999</v>
      </c>
      <c r="S25" s="20">
        <f>INDEX('01_FASTPPH'!$9:$1048576,MATCH($A25,'01_FASTPPH'!$A$9:$A$1048576,0),MATCH(S$9,'01_FASTPPH'!$8:$8,0))</f>
        <v>-172.566</v>
      </c>
      <c r="T25" s="24">
        <f>INDEX('01_FASTPPH'!$9:$1048576,MATCH($A25,'01_FASTPPH'!$A$9:$A$1048576,0),MATCH(T$9,'01_FASTPPH'!$8:$8,0))</f>
        <v>-275.89800000000002</v>
      </c>
      <c r="U25" s="23">
        <f>INDEX('01_FASTPPH'!$9:$1048576,MATCH($A25,'01_FASTPPH'!$A$9:$A$1048576,0),MATCH(U$9,'01_FASTPPH'!$8:$8,0))</f>
        <v>222.49100000000001</v>
      </c>
      <c r="V25" s="20">
        <f>INDEX('01_FASTPPH'!$9:$1048576,MATCH($A25,'01_FASTPPH'!$A$9:$A$1048576,0),MATCH(V$9,'01_FASTPPH'!$8:$8,0))</f>
        <v>-1378.35</v>
      </c>
      <c r="W25" s="24">
        <f>INDEX('01_FASTPPH'!$9:$1048576,MATCH($A25,'01_FASTPPH'!$A$9:$A$1048576,0),MATCH(W$9,'01_FASTPPH'!$8:$8,0))</f>
        <v>284.22300000000001</v>
      </c>
      <c r="X25" s="20">
        <f>INDEX('01_FASTPPH'!$9:$1048576,MATCH($A25,'01_FASTPPH'!$A$9:$A$1048576,0),MATCH(X$9,'01_FASTPPH'!$8:$8,0))</f>
        <v>0</v>
      </c>
      <c r="Y25" s="20">
        <f>INDEX('01_FASTPPH'!$9:$1048576,MATCH($A25,'01_FASTPPH'!$A$9:$A$1048576,0),MATCH(Y$9,'01_FASTPPH'!$8:$8,0))</f>
        <v>0</v>
      </c>
      <c r="AA25" s="32">
        <f>INDEX('02_PROPERTIES'!$C$10:$I$1048576,MATCH('03_CALCULATIONS'!$D25,'02_PROPERTIES'!$C$10:$C$1048576,0),MATCH('03_CALCULATIONS'!AA$9,'02_PROPERTIES'!$C$10:$I$10,0))</f>
        <v>16.559999999999999</v>
      </c>
      <c r="AB25" s="20">
        <f>INDEX('02_PROPERTIES'!$C$10:$I$1048576,MATCH('03_CALCULATIONS'!$D25,'02_PROPERTIES'!$C$10:$C$1048576,0),MATCH('03_CALCULATIONS'!AB$9,'02_PROPERTIES'!$C$10:$I$10,0))</f>
        <v>79593.867056640505</v>
      </c>
      <c r="AC25" s="20">
        <f>INDEX('02_PROPERTIES'!$C$10:$I$1048576,MATCH('03_CALCULATIONS'!$D25,'02_PROPERTIES'!$C$10:$C$1048576,0),MATCH('03_CALCULATIONS'!AC$9,'02_PROPERTIES'!$C$10:$I$10,0))</f>
        <v>41017.370743551612</v>
      </c>
      <c r="AD25" s="20">
        <f>INDEX('02_PROPERTIES'!$C$10:$I$1048576,MATCH('03_CALCULATIONS'!$D25,'02_PROPERTIES'!$C$10:$C$1048576,0),MATCH('03_CALCULATIONS'!AD$9,'02_PROPERTIES'!$C$10:$I$10,0))</f>
        <v>19846.188560278148</v>
      </c>
      <c r="AE25" s="32">
        <f>INDEX('02_PROPERTIES'!$C$10:$I$1048576,MATCH('03_CALCULATIONS'!$D25,'02_PROPERTIES'!$C$10:$C$1048576,0),MATCH('03_CALCULATIONS'!AE$9,'02_PROPERTIES'!$C$10:$I$10,0))</f>
        <v>0.4142802271075095</v>
      </c>
      <c r="AF25" s="32">
        <f>INDEX('02_PROPERTIES'!$C$10:$I$1048576,MATCH('03_CALCULATIONS'!$D25,'02_PROPERTIES'!$C$10:$C$1048576,0),MATCH('03_CALCULATIONS'!AF$9,'02_PROPERTIES'!$C$10:$I$10,0))</f>
        <v>1</v>
      </c>
      <c r="AH25" s="20">
        <f t="shared" si="0"/>
        <v>-2484.2226811594205</v>
      </c>
      <c r="AI25" s="20">
        <f t="shared" si="1"/>
        <v>656.38517391304345</v>
      </c>
      <c r="AJ25" s="20">
        <f t="shared" si="2"/>
        <v>-275.54534782608698</v>
      </c>
      <c r="AL25" s="20">
        <f t="shared" si="3"/>
        <v>-2091.0428118935188</v>
      </c>
      <c r="AM25" s="20">
        <f t="shared" si="4"/>
        <v>2481.4947638646995</v>
      </c>
      <c r="AN25" s="20">
        <f t="shared" si="5"/>
        <v>-419.2042158298832</v>
      </c>
      <c r="AO25" s="20">
        <f t="shared" si="6"/>
        <v>-14.376131929351232</v>
      </c>
      <c r="AP25" s="20">
        <f t="shared" si="7"/>
        <v>404.82808390053196</v>
      </c>
      <c r="AR25" s="20">
        <f t="shared" si="8"/>
        <v>2491.0826818957394</v>
      </c>
      <c r="AS25" s="20">
        <f t="shared" si="9"/>
        <v>-2100.6307299245582</v>
      </c>
      <c r="AT25" s="20">
        <f t="shared" si="10"/>
        <v>2324.3831751670718</v>
      </c>
    </row>
    <row r="26" spans="1:46" x14ac:dyDescent="0.3">
      <c r="A26" s="18">
        <v>271</v>
      </c>
      <c r="B26" s="20">
        <f>INDEX('01_FASTPPH'!$9:$1048576,MATCH($A26,'01_FASTPPH'!$A$9:$A$1048576,0),MATCH(B$9,'01_FASTPPH'!$8:$8,0))</f>
        <v>46</v>
      </c>
      <c r="C26" s="20">
        <f>INDEX('01_FASTPPH'!$9:$1048576,MATCH($A26,'01_FASTPPH'!$A$9:$A$1048576,0),MATCH(C$9,'01_FASTPPH'!$8:$8,0))</f>
        <v>1502143</v>
      </c>
      <c r="D26" s="20" t="str">
        <f>INDEX('01_FASTPPH'!$9:$1048576,MATCH($A26,'01_FASTPPH'!$A$9:$A$1048576,0),MATCH(D$9,'01_FASTPPH'!$8:$8,0))</f>
        <v>SkinRH</v>
      </c>
      <c r="E26" s="20">
        <f>INDEX('01_FASTPPH'!$9:$1048576,MATCH($A26,'01_FASTPPH'!$A$9:$A$1048576,0),MATCH(E$9,'01_FASTPPH'!$8:$8,0))</f>
        <v>3917020</v>
      </c>
      <c r="F26" s="20">
        <f>INDEX('01_FASTPPH'!$9:$1048576,MATCH($A26,'01_FASTPPH'!$A$9:$A$1048576,0),MATCH(F$9,'01_FASTPPH'!$8:$8,0))</f>
        <v>1917021</v>
      </c>
      <c r="G26" s="20">
        <f>INDEX('01_FASTPPH'!$9:$1048576,MATCH($A26,'01_FASTPPH'!$A$9:$A$1048576,0),MATCH(G$9,'01_FASTPPH'!$8:$8,0))</f>
        <v>0</v>
      </c>
      <c r="H26" s="20">
        <f>INDEX('01_FASTPPH'!$9:$1048576,MATCH($A26,'01_FASTPPH'!$A$9:$A$1048576,0),MATCH(H$9,'01_FASTPPH'!$8:$8,0))</f>
        <v>0</v>
      </c>
      <c r="I26" s="20">
        <f>INDEX('01_FASTPPH'!$9:$1048576,MATCH($A26,'01_FASTPPH'!$A$9:$A$1048576,0),MATCH(I$9,'01_FASTPPH'!$8:$8,0))</f>
        <v>57.914999999999999</v>
      </c>
      <c r="J26" s="20" t="str">
        <f>INDEX('01_FASTPPH'!$9:$1048576,MATCH($A26,'01_FASTPPH'!$A$9:$A$1048576,0),MATCH(J$9,'01_FASTPPH'!$8:$8,0))</f>
        <v xml:space="preserve">SUBCASE 101 = STLN ULT (INTACT) :STLN ULT (INTACT) </v>
      </c>
      <c r="K26" s="23">
        <f>INDEX('01_FASTPPH'!$9:$1048576,MATCH($A26,'01_FASTPPH'!$A$9:$A$1048576,0),MATCH(K$9,'01_FASTPPH'!$8:$8,0))</f>
        <v>-7890.89</v>
      </c>
      <c r="L26" s="20">
        <f>INDEX('01_FASTPPH'!$9:$1048576,MATCH($A26,'01_FASTPPH'!$A$9:$A$1048576,0),MATCH(L$9,'01_FASTPPH'!$8:$8,0))</f>
        <v>415.59300000000002</v>
      </c>
      <c r="M26" s="20">
        <f>INDEX('01_FASTPPH'!$9:$1048576,MATCH($A26,'01_FASTPPH'!$A$9:$A$1048576,0),MATCH(M$9,'01_FASTPPH'!$8:$8,0))</f>
        <v>-6770.57</v>
      </c>
      <c r="N26" s="24">
        <f>INDEX('01_FASTPPH'!$9:$1048576,MATCH($A26,'01_FASTPPH'!$A$9:$A$1048576,0),MATCH(N$9,'01_FASTPPH'!$8:$8,0))</f>
        <v>7805.91</v>
      </c>
      <c r="O26" s="23">
        <f>INDEX('01_FASTPPH'!$9:$1048576,MATCH($A26,'01_FASTPPH'!$A$9:$A$1048576,0),MATCH(O$9,'01_FASTPPH'!$8:$8,0))</f>
        <v>-2530.9899999999998</v>
      </c>
      <c r="P26" s="20">
        <f>INDEX('01_FASTPPH'!$9:$1048576,MATCH($A26,'01_FASTPPH'!$A$9:$A$1048576,0),MATCH(P$9,'01_FASTPPH'!$8:$8,0))</f>
        <v>-2906.09</v>
      </c>
      <c r="Q26" s="20">
        <f>INDEX('01_FASTPPH'!$9:$1048576,MATCH($A26,'01_FASTPPH'!$A$9:$A$1048576,0),MATCH(Q$9,'01_FASTPPH'!$8:$8,0))</f>
        <v>33.040199999999999</v>
      </c>
      <c r="R26" s="20">
        <f>INDEX('01_FASTPPH'!$9:$1048576,MATCH($A26,'01_FASTPPH'!$A$9:$A$1048576,0),MATCH(R$9,'01_FASTPPH'!$8:$8,0))</f>
        <v>137.53</v>
      </c>
      <c r="S26" s="20">
        <f>INDEX('01_FASTPPH'!$9:$1048576,MATCH($A26,'01_FASTPPH'!$A$9:$A$1048576,0),MATCH(S$9,'01_FASTPPH'!$8:$8,0))</f>
        <v>-126.508</v>
      </c>
      <c r="T26" s="24">
        <f>INDEX('01_FASTPPH'!$9:$1048576,MATCH($A26,'01_FASTPPH'!$A$9:$A$1048576,0),MATCH(T$9,'01_FASTPPH'!$8:$8,0))</f>
        <v>-289.61</v>
      </c>
      <c r="U26" s="23">
        <f>INDEX('01_FASTPPH'!$9:$1048576,MATCH($A26,'01_FASTPPH'!$A$9:$A$1048576,0),MATCH(U$9,'01_FASTPPH'!$8:$8,0))</f>
        <v>495.15899999999999</v>
      </c>
      <c r="V26" s="20">
        <f>INDEX('01_FASTPPH'!$9:$1048576,MATCH($A26,'01_FASTPPH'!$A$9:$A$1048576,0),MATCH(V$9,'01_FASTPPH'!$8:$8,0))</f>
        <v>-1058.3900000000001</v>
      </c>
      <c r="W26" s="24">
        <f>INDEX('01_FASTPPH'!$9:$1048576,MATCH($A26,'01_FASTPPH'!$A$9:$A$1048576,0),MATCH(W$9,'01_FASTPPH'!$8:$8,0))</f>
        <v>642.41499999999996</v>
      </c>
      <c r="X26" s="20">
        <f>INDEX('01_FASTPPH'!$9:$1048576,MATCH($A26,'01_FASTPPH'!$A$9:$A$1048576,0),MATCH(X$9,'01_FASTPPH'!$8:$8,0))</f>
        <v>0</v>
      </c>
      <c r="Y26" s="20">
        <f>INDEX('01_FASTPPH'!$9:$1048576,MATCH($A26,'01_FASTPPH'!$A$9:$A$1048576,0),MATCH(Y$9,'01_FASTPPH'!$8:$8,0))</f>
        <v>0</v>
      </c>
      <c r="AA26" s="32">
        <f>INDEX('02_PROPERTIES'!$C$10:$I$1048576,MATCH('03_CALCULATIONS'!$D26,'02_PROPERTIES'!$C$10:$C$1048576,0),MATCH('03_CALCULATIONS'!AA$9,'02_PROPERTIES'!$C$10:$I$10,0))</f>
        <v>16.559999999999999</v>
      </c>
      <c r="AB26" s="20">
        <f>INDEX('02_PROPERTIES'!$C$10:$I$1048576,MATCH('03_CALCULATIONS'!$D26,'02_PROPERTIES'!$C$10:$C$1048576,0),MATCH('03_CALCULATIONS'!AB$9,'02_PROPERTIES'!$C$10:$I$10,0))</f>
        <v>79593.867056640505</v>
      </c>
      <c r="AC26" s="20">
        <f>INDEX('02_PROPERTIES'!$C$10:$I$1048576,MATCH('03_CALCULATIONS'!$D26,'02_PROPERTIES'!$C$10:$C$1048576,0),MATCH('03_CALCULATIONS'!AC$9,'02_PROPERTIES'!$C$10:$I$10,0))</f>
        <v>41017.370743551612</v>
      </c>
      <c r="AD26" s="20">
        <f>INDEX('02_PROPERTIES'!$C$10:$I$1048576,MATCH('03_CALCULATIONS'!$D26,'02_PROPERTIES'!$C$10:$C$1048576,0),MATCH('03_CALCULATIONS'!AD$9,'02_PROPERTIES'!$C$10:$I$10,0))</f>
        <v>19846.188560278148</v>
      </c>
      <c r="AE26" s="32">
        <f>INDEX('02_PROPERTIES'!$C$10:$I$1048576,MATCH('03_CALCULATIONS'!$D26,'02_PROPERTIES'!$C$10:$C$1048576,0),MATCH('03_CALCULATIONS'!AE$9,'02_PROPERTIES'!$C$10:$I$10,0))</f>
        <v>0.4142802271075095</v>
      </c>
      <c r="AF26" s="32">
        <f>INDEX('02_PROPERTIES'!$C$10:$I$1048576,MATCH('03_CALCULATIONS'!$D26,'02_PROPERTIES'!$C$10:$C$1048576,0),MATCH('03_CALCULATIONS'!AF$9,'02_PROPERTIES'!$C$10:$I$10,0))</f>
        <v>1</v>
      </c>
      <c r="AH26" s="20">
        <f t="shared" si="0"/>
        <v>-2710.3954347826084</v>
      </c>
      <c r="AI26" s="20">
        <f t="shared" si="1"/>
        <v>416.51483768115941</v>
      </c>
      <c r="AJ26" s="20">
        <f t="shared" si="2"/>
        <v>-359.26705797101448</v>
      </c>
      <c r="AL26" s="20">
        <f t="shared" si="3"/>
        <v>-2187.2431573011977</v>
      </c>
      <c r="AM26" s="20">
        <f t="shared" si="4"/>
        <v>2266.2986797146368</v>
      </c>
      <c r="AN26" s="20">
        <f t="shared" si="5"/>
        <v>-546.57524250892038</v>
      </c>
      <c r="AO26" s="20">
        <f t="shared" si="6"/>
        <v>-233.75986004774063</v>
      </c>
      <c r="AP26" s="20">
        <f t="shared" si="7"/>
        <v>312.81538246117975</v>
      </c>
      <c r="AR26" s="20">
        <f t="shared" si="8"/>
        <v>2283.0060533779442</v>
      </c>
      <c r="AS26" s="20">
        <f t="shared" si="9"/>
        <v>-2203.9505309645056</v>
      </c>
      <c r="AT26" s="20">
        <f t="shared" si="10"/>
        <v>2292.8700833750436</v>
      </c>
    </row>
    <row r="27" spans="1:46" x14ac:dyDescent="0.3">
      <c r="A27" s="18">
        <v>23</v>
      </c>
      <c r="B27" s="20">
        <f>INDEX('01_FASTPPH'!$9:$1048576,MATCH($A27,'01_FASTPPH'!$A$9:$A$1048576,0),MATCH(B$9,'01_FASTPPH'!$8:$8,0))</f>
        <v>4</v>
      </c>
      <c r="C27" s="20">
        <f>INDEX('01_FASTPPH'!$9:$1048576,MATCH($A27,'01_FASTPPH'!$A$9:$A$1048576,0),MATCH(C$9,'01_FASTPPH'!$8:$8,0))</f>
        <v>1100882</v>
      </c>
      <c r="D27" s="20" t="str">
        <f>INDEX('01_FASTPPH'!$9:$1048576,MATCH($A27,'01_FASTPPH'!$A$9:$A$1048576,0),MATCH(D$9,'01_FASTPPH'!$8:$8,0))</f>
        <v>SkinLH</v>
      </c>
      <c r="E27" s="20">
        <f>INDEX('01_FASTPPH'!$9:$1048576,MATCH($A27,'01_FASTPPH'!$A$9:$A$1048576,0),MATCH(E$9,'01_FASTPPH'!$8:$8,0))</f>
        <v>2901010</v>
      </c>
      <c r="F27" s="20">
        <f>INDEX('01_FASTPPH'!$9:$1048576,MATCH($A27,'01_FASTPPH'!$A$9:$A$1048576,0),MATCH(F$9,'01_FASTPPH'!$8:$8,0))</f>
        <v>1901012</v>
      </c>
      <c r="G27" s="20">
        <f>INDEX('01_FASTPPH'!$9:$1048576,MATCH($A27,'01_FASTPPH'!$A$9:$A$1048576,0),MATCH(G$9,'01_FASTPPH'!$8:$8,0))</f>
        <v>3901010</v>
      </c>
      <c r="H27" s="20">
        <f>INDEX('01_FASTPPH'!$9:$1048576,MATCH($A27,'01_FASTPPH'!$A$9:$A$1048576,0),MATCH(H$9,'01_FASTPPH'!$8:$8,0))</f>
        <v>1901013</v>
      </c>
      <c r="I27" s="20">
        <f>INDEX('01_FASTPPH'!$9:$1048576,MATCH($A27,'01_FASTPPH'!$A$9:$A$1048576,0),MATCH(I$9,'01_FASTPPH'!$8:$8,0))</f>
        <v>57.914999999999999</v>
      </c>
      <c r="J27" s="20" t="str">
        <f>INDEX('01_FASTPPH'!$9:$1048576,MATCH($A27,'01_FASTPPH'!$A$9:$A$1048576,0),MATCH(J$9,'01_FASTPPH'!$8:$8,0))</f>
        <v xml:space="preserve">SUBCASE 101 = STLN ULT (INTACT) :STLN ULT (INTACT) </v>
      </c>
      <c r="K27" s="23">
        <f>INDEX('01_FASTPPH'!$9:$1048576,MATCH($A27,'01_FASTPPH'!$A$9:$A$1048576,0),MATCH(K$9,'01_FASTPPH'!$8:$8,0))</f>
        <v>613.06500000000005</v>
      </c>
      <c r="L27" s="20">
        <f>INDEX('01_FASTPPH'!$9:$1048576,MATCH($A27,'01_FASTPPH'!$A$9:$A$1048576,0),MATCH(L$9,'01_FASTPPH'!$8:$8,0))</f>
        <v>-1607.98</v>
      </c>
      <c r="M27" s="20">
        <f>INDEX('01_FASTPPH'!$9:$1048576,MATCH($A27,'01_FASTPPH'!$A$9:$A$1048576,0),MATCH(M$9,'01_FASTPPH'!$8:$8,0))</f>
        <v>524.70699999999999</v>
      </c>
      <c r="N27" s="24">
        <f>INDEX('01_FASTPPH'!$9:$1048576,MATCH($A27,'01_FASTPPH'!$A$9:$A$1048576,0),MATCH(N$9,'01_FASTPPH'!$8:$8,0))</f>
        <v>4643.58</v>
      </c>
      <c r="O27" s="23">
        <f>INDEX('01_FASTPPH'!$9:$1048576,MATCH($A27,'01_FASTPPH'!$A$9:$A$1048576,0),MATCH(O$9,'01_FASTPPH'!$8:$8,0))</f>
        <v>-202.423</v>
      </c>
      <c r="P27" s="20">
        <f>INDEX('01_FASTPPH'!$9:$1048576,MATCH($A27,'01_FASTPPH'!$A$9:$A$1048576,0),MATCH(P$9,'01_FASTPPH'!$8:$8,0))</f>
        <v>-636.22199999999998</v>
      </c>
      <c r="Q27" s="20">
        <f>INDEX('01_FASTPPH'!$9:$1048576,MATCH($A27,'01_FASTPPH'!$A$9:$A$1048576,0),MATCH(Q$9,'01_FASTPPH'!$8:$8,0))</f>
        <v>-59.607300000000002</v>
      </c>
      <c r="R27" s="20">
        <f>INDEX('01_FASTPPH'!$9:$1048576,MATCH($A27,'01_FASTPPH'!$A$9:$A$1048576,0),MATCH(R$9,'01_FASTPPH'!$8:$8,0))</f>
        <v>-294.24900000000002</v>
      </c>
      <c r="S27" s="20">
        <f>INDEX('01_FASTPPH'!$9:$1048576,MATCH($A27,'01_FASTPPH'!$A$9:$A$1048576,0),MATCH(S$9,'01_FASTPPH'!$8:$8,0))</f>
        <v>-223.547</v>
      </c>
      <c r="T27" s="24">
        <f>INDEX('01_FASTPPH'!$9:$1048576,MATCH($A27,'01_FASTPPH'!$A$9:$A$1048576,0),MATCH(T$9,'01_FASTPPH'!$8:$8,0))</f>
        <v>-648.33299999999997</v>
      </c>
      <c r="U27" s="23">
        <f>INDEX('01_FASTPPH'!$9:$1048576,MATCH($A27,'01_FASTPPH'!$A$9:$A$1048576,0),MATCH(U$9,'01_FASTPPH'!$8:$8,0))</f>
        <v>-8314.99</v>
      </c>
      <c r="V27" s="20">
        <f>INDEX('01_FASTPPH'!$9:$1048576,MATCH($A27,'01_FASTPPH'!$A$9:$A$1048576,0),MATCH(V$9,'01_FASTPPH'!$8:$8,0))</f>
        <v>-1258.02</v>
      </c>
      <c r="W27" s="24">
        <f>INDEX('01_FASTPPH'!$9:$1048576,MATCH($A27,'01_FASTPPH'!$A$9:$A$1048576,0),MATCH(W$9,'01_FASTPPH'!$8:$8,0))</f>
        <v>-1691.49</v>
      </c>
      <c r="X27" s="20">
        <f>INDEX('01_FASTPPH'!$9:$1048576,MATCH($A27,'01_FASTPPH'!$A$9:$A$1048576,0),MATCH(X$9,'01_FASTPPH'!$8:$8,0))</f>
        <v>0</v>
      </c>
      <c r="Y27" s="20">
        <f>INDEX('01_FASTPPH'!$9:$1048576,MATCH($A27,'01_FASTPPH'!$A$9:$A$1048576,0),MATCH(Y$9,'01_FASTPPH'!$8:$8,0))</f>
        <v>0</v>
      </c>
      <c r="AA27" s="32">
        <f>INDEX('02_PROPERTIES'!$C$10:$I$1048576,MATCH('03_CALCULATIONS'!$D27,'02_PROPERTIES'!$C$10:$C$1048576,0),MATCH('03_CALCULATIONS'!AA$9,'02_PROPERTIES'!$C$10:$I$10,0))</f>
        <v>16.559999999999999</v>
      </c>
      <c r="AB27" s="20">
        <f>INDEX('02_PROPERTIES'!$C$10:$I$1048576,MATCH('03_CALCULATIONS'!$D27,'02_PROPERTIES'!$C$10:$C$1048576,0),MATCH('03_CALCULATIONS'!AB$9,'02_PROPERTIES'!$C$10:$I$10,0))</f>
        <v>79593.867056640505</v>
      </c>
      <c r="AC27" s="20">
        <f>INDEX('02_PROPERTIES'!$C$10:$I$1048576,MATCH('03_CALCULATIONS'!$D27,'02_PROPERTIES'!$C$10:$C$1048576,0),MATCH('03_CALCULATIONS'!AC$9,'02_PROPERTIES'!$C$10:$I$10,0))</f>
        <v>41017.370743551612</v>
      </c>
      <c r="AD27" s="20">
        <f>INDEX('02_PROPERTIES'!$C$10:$I$1048576,MATCH('03_CALCULATIONS'!$D27,'02_PROPERTIES'!$C$10:$C$1048576,0),MATCH('03_CALCULATIONS'!AD$9,'02_PROPERTIES'!$C$10:$I$10,0))</f>
        <v>19846.188560278148</v>
      </c>
      <c r="AE27" s="32">
        <f>INDEX('02_PROPERTIES'!$C$10:$I$1048576,MATCH('03_CALCULATIONS'!$D27,'02_PROPERTIES'!$C$10:$C$1048576,0),MATCH('03_CALCULATIONS'!AE$9,'02_PROPERTIES'!$C$10:$I$10,0))</f>
        <v>0.4142802271075095</v>
      </c>
      <c r="AF27" s="32">
        <f>INDEX('02_PROPERTIES'!$C$10:$I$1048576,MATCH('03_CALCULATIONS'!$D27,'02_PROPERTIES'!$C$10:$C$1048576,0),MATCH('03_CALCULATIONS'!AF$9,'02_PROPERTIES'!$C$10:$I$10,0))</f>
        <v>1</v>
      </c>
      <c r="AH27" s="20">
        <f t="shared" si="0"/>
        <v>-3215.1005362318847</v>
      </c>
      <c r="AI27" s="20">
        <f t="shared" si="1"/>
        <v>-515.41164782608701</v>
      </c>
      <c r="AJ27" s="20">
        <f t="shared" si="2"/>
        <v>-836.40569565217402</v>
      </c>
      <c r="AL27" s="20">
        <f t="shared" si="3"/>
        <v>-2277.2429190177013</v>
      </c>
      <c r="AM27" s="20">
        <f t="shared" si="4"/>
        <v>1202.1255002670323</v>
      </c>
      <c r="AN27" s="20">
        <f t="shared" si="5"/>
        <v>-1272.4758248606604</v>
      </c>
      <c r="AO27" s="20">
        <f t="shared" si="6"/>
        <v>-1173.7966218056647</v>
      </c>
      <c r="AP27" s="20">
        <f t="shared" si="7"/>
        <v>98.679203054995696</v>
      </c>
      <c r="AR27" s="20">
        <f t="shared" si="8"/>
        <v>1314.8180963779362</v>
      </c>
      <c r="AS27" s="20">
        <f t="shared" si="9"/>
        <v>-2389.9355151286054</v>
      </c>
      <c r="AT27" s="20">
        <f t="shared" si="10"/>
        <v>2155.387638948921</v>
      </c>
    </row>
    <row r="28" spans="1:46" x14ac:dyDescent="0.3">
      <c r="A28" s="18">
        <v>45</v>
      </c>
      <c r="B28" s="20">
        <f>INDEX('01_FASTPPH'!$9:$1048576,MATCH($A28,'01_FASTPPH'!$A$9:$A$1048576,0),MATCH(B$9,'01_FASTPPH'!$8:$8,0))</f>
        <v>7</v>
      </c>
      <c r="C28" s="20">
        <f>INDEX('01_FASTPPH'!$9:$1048576,MATCH($A28,'01_FASTPPH'!$A$9:$A$1048576,0),MATCH(C$9,'01_FASTPPH'!$8:$8,0))</f>
        <v>1107611</v>
      </c>
      <c r="D28" s="20" t="str">
        <f>INDEX('01_FASTPPH'!$9:$1048576,MATCH($A28,'01_FASTPPH'!$A$9:$A$1048576,0),MATCH(D$9,'01_FASTPPH'!$8:$8,0))</f>
        <v>SkinLH</v>
      </c>
      <c r="E28" s="20">
        <f>INDEX('01_FASTPPH'!$9:$1048576,MATCH($A28,'01_FASTPPH'!$A$9:$A$1048576,0),MATCH(E$9,'01_FASTPPH'!$8:$8,0))</f>
        <v>2902010</v>
      </c>
      <c r="F28" s="20">
        <f>INDEX('01_FASTPPH'!$9:$1048576,MATCH($A28,'01_FASTPPH'!$A$9:$A$1048576,0),MATCH(F$9,'01_FASTPPH'!$8:$8,0))</f>
        <v>1902012</v>
      </c>
      <c r="G28" s="20">
        <f>INDEX('01_FASTPPH'!$9:$1048576,MATCH($A28,'01_FASTPPH'!$A$9:$A$1048576,0),MATCH(G$9,'01_FASTPPH'!$8:$8,0))</f>
        <v>3902010</v>
      </c>
      <c r="H28" s="20">
        <f>INDEX('01_FASTPPH'!$9:$1048576,MATCH($A28,'01_FASTPPH'!$A$9:$A$1048576,0),MATCH(H$9,'01_FASTPPH'!$8:$8,0))</f>
        <v>1902011</v>
      </c>
      <c r="I28" s="20">
        <f>INDEX('01_FASTPPH'!$9:$1048576,MATCH($A28,'01_FASTPPH'!$A$9:$A$1048576,0),MATCH(I$9,'01_FASTPPH'!$8:$8,0))</f>
        <v>57.914999999999999</v>
      </c>
      <c r="J28" s="20" t="str">
        <f>INDEX('01_FASTPPH'!$9:$1048576,MATCH($A28,'01_FASTPPH'!$A$9:$A$1048576,0),MATCH(J$9,'01_FASTPPH'!$8:$8,0))</f>
        <v xml:space="preserve">SUBCASE 101 = STLN ULT (INTACT) :STLN ULT (INTACT) </v>
      </c>
      <c r="K28" s="23">
        <f>INDEX('01_FASTPPH'!$9:$1048576,MATCH($A28,'01_FASTPPH'!$A$9:$A$1048576,0),MATCH(K$9,'01_FASTPPH'!$8:$8,0))</f>
        <v>8061.73</v>
      </c>
      <c r="L28" s="20">
        <f>INDEX('01_FASTPPH'!$9:$1048576,MATCH($A28,'01_FASTPPH'!$A$9:$A$1048576,0),MATCH(L$9,'01_FASTPPH'!$8:$8,0))</f>
        <v>-1726.9</v>
      </c>
      <c r="M28" s="20">
        <f>INDEX('01_FASTPPH'!$9:$1048576,MATCH($A28,'01_FASTPPH'!$A$9:$A$1048576,0),MATCH(M$9,'01_FASTPPH'!$8:$8,0))</f>
        <v>-16011.9</v>
      </c>
      <c r="N28" s="24">
        <f>INDEX('01_FASTPPH'!$9:$1048576,MATCH($A28,'01_FASTPPH'!$A$9:$A$1048576,0),MATCH(N$9,'01_FASTPPH'!$8:$8,0))</f>
        <v>1339.43</v>
      </c>
      <c r="O28" s="23">
        <f>INDEX('01_FASTPPH'!$9:$1048576,MATCH($A28,'01_FASTPPH'!$A$9:$A$1048576,0),MATCH(O$9,'01_FASTPPH'!$8:$8,0))</f>
        <v>-626.21</v>
      </c>
      <c r="P28" s="20">
        <f>INDEX('01_FASTPPH'!$9:$1048576,MATCH($A28,'01_FASTPPH'!$A$9:$A$1048576,0),MATCH(P$9,'01_FASTPPH'!$8:$8,0))</f>
        <v>-1101.0899999999999</v>
      </c>
      <c r="Q28" s="20">
        <f>INDEX('01_FASTPPH'!$9:$1048576,MATCH($A28,'01_FASTPPH'!$A$9:$A$1048576,0),MATCH(Q$9,'01_FASTPPH'!$8:$8,0))</f>
        <v>-312.12700000000001</v>
      </c>
      <c r="R28" s="20">
        <f>INDEX('01_FASTPPH'!$9:$1048576,MATCH($A28,'01_FASTPPH'!$A$9:$A$1048576,0),MATCH(R$9,'01_FASTPPH'!$8:$8,0))</f>
        <v>-369.60500000000002</v>
      </c>
      <c r="S28" s="20">
        <f>INDEX('01_FASTPPH'!$9:$1048576,MATCH($A28,'01_FASTPPH'!$A$9:$A$1048576,0),MATCH(S$9,'01_FASTPPH'!$8:$8,0))</f>
        <v>-345.74200000000002</v>
      </c>
      <c r="T28" s="24">
        <f>INDEX('01_FASTPPH'!$9:$1048576,MATCH($A28,'01_FASTPPH'!$A$9:$A$1048576,0),MATCH(T$9,'01_FASTPPH'!$8:$8,0))</f>
        <v>-701.95799999999997</v>
      </c>
      <c r="U28" s="23">
        <f>INDEX('01_FASTPPH'!$9:$1048576,MATCH($A28,'01_FASTPPH'!$A$9:$A$1048576,0),MATCH(U$9,'01_FASTPPH'!$8:$8,0))</f>
        <v>-9126.77</v>
      </c>
      <c r="V28" s="20">
        <f>INDEX('01_FASTPPH'!$9:$1048576,MATCH($A28,'01_FASTPPH'!$A$9:$A$1048576,0),MATCH(V$9,'01_FASTPPH'!$8:$8,0))</f>
        <v>-1849.61</v>
      </c>
      <c r="W28" s="24">
        <f>INDEX('01_FASTPPH'!$9:$1048576,MATCH($A28,'01_FASTPPH'!$A$9:$A$1048576,0),MATCH(W$9,'01_FASTPPH'!$8:$8,0))</f>
        <v>-1982.63</v>
      </c>
      <c r="X28" s="20">
        <f>INDEX('01_FASTPPH'!$9:$1048576,MATCH($A28,'01_FASTPPH'!$A$9:$A$1048576,0),MATCH(X$9,'01_FASTPPH'!$8:$8,0))</f>
        <v>1.9162800000000001E-2</v>
      </c>
      <c r="Y28" s="20" t="str">
        <f>INDEX('01_FASTPPH'!$9:$1048576,MATCH($A28,'01_FASTPPH'!$A$9:$A$1048576,0),MATCH(Y$9,'01_FASTPPH'!$8:$8,0))</f>
        <v>Pt11   modified</v>
      </c>
      <c r="AA28" s="32">
        <f>INDEX('02_PROPERTIES'!$C$10:$I$1048576,MATCH('03_CALCULATIONS'!$D28,'02_PROPERTIES'!$C$10:$C$1048576,0),MATCH('03_CALCULATIONS'!AA$9,'02_PROPERTIES'!$C$10:$I$10,0))</f>
        <v>16.559999999999999</v>
      </c>
      <c r="AB28" s="20">
        <f>INDEX('02_PROPERTIES'!$C$10:$I$1048576,MATCH('03_CALCULATIONS'!$D28,'02_PROPERTIES'!$C$10:$C$1048576,0),MATCH('03_CALCULATIONS'!AB$9,'02_PROPERTIES'!$C$10:$I$10,0))</f>
        <v>79593.867056640505</v>
      </c>
      <c r="AC28" s="20">
        <f>INDEX('02_PROPERTIES'!$C$10:$I$1048576,MATCH('03_CALCULATIONS'!$D28,'02_PROPERTIES'!$C$10:$C$1048576,0),MATCH('03_CALCULATIONS'!AC$9,'02_PROPERTIES'!$C$10:$I$10,0))</f>
        <v>41017.370743551612</v>
      </c>
      <c r="AD28" s="20">
        <f>INDEX('02_PROPERTIES'!$C$10:$I$1048576,MATCH('03_CALCULATIONS'!$D28,'02_PROPERTIES'!$C$10:$C$1048576,0),MATCH('03_CALCULATIONS'!AD$9,'02_PROPERTIES'!$C$10:$I$10,0))</f>
        <v>19846.188560278148</v>
      </c>
      <c r="AE28" s="32">
        <f>INDEX('02_PROPERTIES'!$C$10:$I$1048576,MATCH('03_CALCULATIONS'!$D28,'02_PROPERTIES'!$C$10:$C$1048576,0),MATCH('03_CALCULATIONS'!AE$9,'02_PROPERTIES'!$C$10:$I$10,0))</f>
        <v>0.4142802271075095</v>
      </c>
      <c r="AF28" s="32">
        <f>INDEX('02_PROPERTIES'!$C$10:$I$1048576,MATCH('03_CALCULATIONS'!$D28,'02_PROPERTIES'!$C$10:$C$1048576,0),MATCH('03_CALCULATIONS'!AF$9,'02_PROPERTIES'!$C$10:$I$10,0))</f>
        <v>1</v>
      </c>
      <c r="AH28" s="20">
        <f t="shared" si="0"/>
        <v>-3933.0107246376815</v>
      </c>
      <c r="AI28" s="20">
        <f t="shared" si="1"/>
        <v>-982.2755507246377</v>
      </c>
      <c r="AJ28" s="20">
        <f t="shared" si="2"/>
        <v>-1064.0862028985509</v>
      </c>
      <c r="AL28" s="20">
        <f t="shared" si="3"/>
        <v>-2675.1701448110366</v>
      </c>
      <c r="AM28" s="20">
        <f t="shared" si="4"/>
        <v>952.66139887515124</v>
      </c>
      <c r="AN28" s="20">
        <f t="shared" si="5"/>
        <v>-1618.8602920744136</v>
      </c>
      <c r="AO28" s="20">
        <f t="shared" si="6"/>
        <v>-1670.6845190051495</v>
      </c>
      <c r="AP28" s="20">
        <f t="shared" si="7"/>
        <v>-51.824226930735904</v>
      </c>
      <c r="AR28" s="20">
        <f t="shared" si="8"/>
        <v>1125.0657393641409</v>
      </c>
      <c r="AS28" s="20">
        <f t="shared" si="9"/>
        <v>-2847.574485300026</v>
      </c>
      <c r="AT28" s="20">
        <f t="shared" si="10"/>
        <v>2431.2546293213268</v>
      </c>
    </row>
    <row r="29" spans="1:46" x14ac:dyDescent="0.3">
      <c r="A29" s="18">
        <v>53</v>
      </c>
      <c r="B29" s="20">
        <f>INDEX('01_FASTPPH'!$9:$1048576,MATCH($A29,'01_FASTPPH'!$A$9:$A$1048576,0),MATCH(B$9,'01_FASTPPH'!$8:$8,0))</f>
        <v>8</v>
      </c>
      <c r="C29" s="20">
        <f>INDEX('01_FASTPPH'!$9:$1048576,MATCH($A29,'01_FASTPPH'!$A$9:$A$1048576,0),MATCH(C$9,'01_FASTPPH'!$8:$8,0))</f>
        <v>1101343</v>
      </c>
      <c r="D29" s="20" t="str">
        <f>INDEX('01_FASTPPH'!$9:$1048576,MATCH($A29,'01_FASTPPH'!$A$9:$A$1048576,0),MATCH(D$9,'01_FASTPPH'!$8:$8,0))</f>
        <v>SkinLH</v>
      </c>
      <c r="E29" s="20">
        <f>INDEX('01_FASTPPH'!$9:$1048576,MATCH($A29,'01_FASTPPH'!$A$9:$A$1048576,0),MATCH(E$9,'01_FASTPPH'!$8:$8,0))</f>
        <v>2903010</v>
      </c>
      <c r="F29" s="20">
        <f>INDEX('01_FASTPPH'!$9:$1048576,MATCH($A29,'01_FASTPPH'!$A$9:$A$1048576,0),MATCH(F$9,'01_FASTPPH'!$8:$8,0))</f>
        <v>1903012</v>
      </c>
      <c r="G29" s="20">
        <f>INDEX('01_FASTPPH'!$9:$1048576,MATCH($A29,'01_FASTPPH'!$A$9:$A$1048576,0),MATCH(G$9,'01_FASTPPH'!$8:$8,0))</f>
        <v>3903010</v>
      </c>
      <c r="H29" s="20">
        <f>INDEX('01_FASTPPH'!$9:$1048576,MATCH($A29,'01_FASTPPH'!$A$9:$A$1048576,0),MATCH(H$9,'01_FASTPPH'!$8:$8,0))</f>
        <v>1903011</v>
      </c>
      <c r="I29" s="20">
        <f>INDEX('01_FASTPPH'!$9:$1048576,MATCH($A29,'01_FASTPPH'!$A$9:$A$1048576,0),MATCH(I$9,'01_FASTPPH'!$8:$8,0))</f>
        <v>57.914999999999999</v>
      </c>
      <c r="J29" s="20" t="str">
        <f>INDEX('01_FASTPPH'!$9:$1048576,MATCH($A29,'01_FASTPPH'!$A$9:$A$1048576,0),MATCH(J$9,'01_FASTPPH'!$8:$8,0))</f>
        <v xml:space="preserve">SUBCASE 101 = STLN ULT (INTACT) :STLN ULT (INTACT) </v>
      </c>
      <c r="K29" s="23">
        <f>INDEX('01_FASTPPH'!$9:$1048576,MATCH($A29,'01_FASTPPH'!$A$9:$A$1048576,0),MATCH(K$9,'01_FASTPPH'!$8:$8,0))</f>
        <v>-4788.4799999999996</v>
      </c>
      <c r="L29" s="20">
        <f>INDEX('01_FASTPPH'!$9:$1048576,MATCH($A29,'01_FASTPPH'!$A$9:$A$1048576,0),MATCH(L$9,'01_FASTPPH'!$8:$8,0))</f>
        <v>2207.5300000000002</v>
      </c>
      <c r="M29" s="20">
        <f>INDEX('01_FASTPPH'!$9:$1048576,MATCH($A29,'01_FASTPPH'!$A$9:$A$1048576,0),MATCH(M$9,'01_FASTPPH'!$8:$8,0))</f>
        <v>-13210</v>
      </c>
      <c r="N29" s="24">
        <f>INDEX('01_FASTPPH'!$9:$1048576,MATCH($A29,'01_FASTPPH'!$A$9:$A$1048576,0),MATCH(N$9,'01_FASTPPH'!$8:$8,0))</f>
        <v>35983.9</v>
      </c>
      <c r="O29" s="23">
        <f>INDEX('01_FASTPPH'!$9:$1048576,MATCH($A29,'01_FASTPPH'!$A$9:$A$1048576,0),MATCH(O$9,'01_FASTPPH'!$8:$8,0))</f>
        <v>977.51099999999997</v>
      </c>
      <c r="P29" s="20">
        <f>INDEX('01_FASTPPH'!$9:$1048576,MATCH($A29,'01_FASTPPH'!$A$9:$A$1048576,0),MATCH(P$9,'01_FASTPPH'!$8:$8,0))</f>
        <v>1459.13</v>
      </c>
      <c r="Q29" s="20">
        <f>INDEX('01_FASTPPH'!$9:$1048576,MATCH($A29,'01_FASTPPH'!$A$9:$A$1048576,0),MATCH(Q$9,'01_FASTPPH'!$8:$8,0))</f>
        <v>-364.42899999999997</v>
      </c>
      <c r="R29" s="20">
        <f>INDEX('01_FASTPPH'!$9:$1048576,MATCH($A29,'01_FASTPPH'!$A$9:$A$1048576,0),MATCH(R$9,'01_FASTPPH'!$8:$8,0))</f>
        <v>-489.61500000000001</v>
      </c>
      <c r="S29" s="20">
        <f>INDEX('01_FASTPPH'!$9:$1048576,MATCH($A29,'01_FASTPPH'!$A$9:$A$1048576,0),MATCH(S$9,'01_FASTPPH'!$8:$8,0))</f>
        <v>-321.90600000000001</v>
      </c>
      <c r="T29" s="24">
        <f>INDEX('01_FASTPPH'!$9:$1048576,MATCH($A29,'01_FASTPPH'!$A$9:$A$1048576,0),MATCH(T$9,'01_FASTPPH'!$8:$8,0))</f>
        <v>-730.08399999999995</v>
      </c>
      <c r="U29" s="23">
        <f>INDEX('01_FASTPPH'!$9:$1048576,MATCH($A29,'01_FASTPPH'!$A$9:$A$1048576,0),MATCH(U$9,'01_FASTPPH'!$8:$8,0))</f>
        <v>-11042.2</v>
      </c>
      <c r="V29" s="20">
        <f>INDEX('01_FASTPPH'!$9:$1048576,MATCH($A29,'01_FASTPPH'!$A$9:$A$1048576,0),MATCH(V$9,'01_FASTPPH'!$8:$8,0))</f>
        <v>-2767.29</v>
      </c>
      <c r="W29" s="24">
        <f>INDEX('01_FASTPPH'!$9:$1048576,MATCH($A29,'01_FASTPPH'!$A$9:$A$1048576,0),MATCH(W$9,'01_FASTPPH'!$8:$8,0))</f>
        <v>-776.04399999999998</v>
      </c>
      <c r="X29" s="20">
        <f>INDEX('01_FASTPPH'!$9:$1048576,MATCH($A29,'01_FASTPPH'!$A$9:$A$1048576,0),MATCH(X$9,'01_FASTPPH'!$8:$8,0))</f>
        <v>0</v>
      </c>
      <c r="Y29" s="20">
        <f>INDEX('01_FASTPPH'!$9:$1048576,MATCH($A29,'01_FASTPPH'!$A$9:$A$1048576,0),MATCH(Y$9,'01_FASTPPH'!$8:$8,0))</f>
        <v>0</v>
      </c>
      <c r="AA29" s="32">
        <f>INDEX('02_PROPERTIES'!$C$10:$I$1048576,MATCH('03_CALCULATIONS'!$D29,'02_PROPERTIES'!$C$10:$C$1048576,0),MATCH('03_CALCULATIONS'!AA$9,'02_PROPERTIES'!$C$10:$I$10,0))</f>
        <v>16.559999999999999</v>
      </c>
      <c r="AB29" s="20">
        <f>INDEX('02_PROPERTIES'!$C$10:$I$1048576,MATCH('03_CALCULATIONS'!$D29,'02_PROPERTIES'!$C$10:$C$1048576,0),MATCH('03_CALCULATIONS'!AB$9,'02_PROPERTIES'!$C$10:$I$10,0))</f>
        <v>79593.867056640505</v>
      </c>
      <c r="AC29" s="20">
        <f>INDEX('02_PROPERTIES'!$C$10:$I$1048576,MATCH('03_CALCULATIONS'!$D29,'02_PROPERTIES'!$C$10:$C$1048576,0),MATCH('03_CALCULATIONS'!AC$9,'02_PROPERTIES'!$C$10:$I$10,0))</f>
        <v>41017.370743551612</v>
      </c>
      <c r="AD29" s="20">
        <f>INDEX('02_PROPERTIES'!$C$10:$I$1048576,MATCH('03_CALCULATIONS'!$D29,'02_PROPERTIES'!$C$10:$C$1048576,0),MATCH('03_CALCULATIONS'!AD$9,'02_PROPERTIES'!$C$10:$I$10,0))</f>
        <v>19846.188560278148</v>
      </c>
      <c r="AE29" s="32">
        <f>INDEX('02_PROPERTIES'!$C$10:$I$1048576,MATCH('03_CALCULATIONS'!$D29,'02_PROPERTIES'!$C$10:$C$1048576,0),MATCH('03_CALCULATIONS'!AE$9,'02_PROPERTIES'!$C$10:$I$10,0))</f>
        <v>0.4142802271075095</v>
      </c>
      <c r="AF29" s="32">
        <f>INDEX('02_PROPERTIES'!$C$10:$I$1048576,MATCH('03_CALCULATIONS'!$D29,'02_PROPERTIES'!$C$10:$C$1048576,0),MATCH('03_CALCULATIONS'!AF$9,'02_PROPERTIES'!$C$10:$I$10,0))</f>
        <v>1</v>
      </c>
      <c r="AH29" s="20">
        <f t="shared" si="0"/>
        <v>4978.3081014492764</v>
      </c>
      <c r="AI29" s="20">
        <f t="shared" si="1"/>
        <v>-1367.0703043478261</v>
      </c>
      <c r="AJ29" s="20">
        <f t="shared" si="2"/>
        <v>-603.08136231884055</v>
      </c>
      <c r="AL29" s="20">
        <f t="shared" si="3"/>
        <v>4206.6351761537817</v>
      </c>
      <c r="AM29" s="20">
        <f t="shared" si="4"/>
        <v>-5048.9462380851492</v>
      </c>
      <c r="AN29" s="20">
        <f t="shared" si="5"/>
        <v>-917.5050552189083</v>
      </c>
      <c r="AO29" s="20">
        <f t="shared" si="6"/>
        <v>-879.90805857513783</v>
      </c>
      <c r="AP29" s="20">
        <f t="shared" si="7"/>
        <v>37.59699664377041</v>
      </c>
      <c r="AR29" s="20">
        <f t="shared" si="8"/>
        <v>4229.3176396363524</v>
      </c>
      <c r="AS29" s="20">
        <f t="shared" si="9"/>
        <v>-5071.628701567719</v>
      </c>
      <c r="AT29" s="20">
        <f t="shared" si="10"/>
        <v>4717.8662926426332</v>
      </c>
    </row>
    <row r="30" spans="1:46" x14ac:dyDescent="0.3">
      <c r="A30" s="18">
        <v>61</v>
      </c>
      <c r="B30" s="20">
        <f>INDEX('01_FASTPPH'!$9:$1048576,MATCH($A30,'01_FASTPPH'!$A$9:$A$1048576,0),MATCH(B$9,'01_FASTPPH'!$8:$8,0))</f>
        <v>9</v>
      </c>
      <c r="C30" s="20">
        <f>INDEX('01_FASTPPH'!$9:$1048576,MATCH($A30,'01_FASTPPH'!$A$9:$A$1048576,0),MATCH(C$9,'01_FASTPPH'!$8:$8,0))</f>
        <v>1101310</v>
      </c>
      <c r="D30" s="20" t="str">
        <f>INDEX('01_FASTPPH'!$9:$1048576,MATCH($A30,'01_FASTPPH'!$A$9:$A$1048576,0),MATCH(D$9,'01_FASTPPH'!$8:$8,0))</f>
        <v>SkinLH</v>
      </c>
      <c r="E30" s="20">
        <f>INDEX('01_FASTPPH'!$9:$1048576,MATCH($A30,'01_FASTPPH'!$A$9:$A$1048576,0),MATCH(E$9,'01_FASTPPH'!$8:$8,0))</f>
        <v>3904010</v>
      </c>
      <c r="F30" s="20">
        <f>INDEX('01_FASTPPH'!$9:$1048576,MATCH($A30,'01_FASTPPH'!$A$9:$A$1048576,0),MATCH(F$9,'01_FASTPPH'!$8:$8,0))</f>
        <v>1904011</v>
      </c>
      <c r="G30" s="20">
        <f>INDEX('01_FASTPPH'!$9:$1048576,MATCH($A30,'01_FASTPPH'!$A$9:$A$1048576,0),MATCH(G$9,'01_FASTPPH'!$8:$8,0))</f>
        <v>2904010</v>
      </c>
      <c r="H30" s="20">
        <f>INDEX('01_FASTPPH'!$9:$1048576,MATCH($A30,'01_FASTPPH'!$A$9:$A$1048576,0),MATCH(H$9,'01_FASTPPH'!$8:$8,0))</f>
        <v>1904012</v>
      </c>
      <c r="I30" s="20">
        <f>INDEX('01_FASTPPH'!$9:$1048576,MATCH($A30,'01_FASTPPH'!$A$9:$A$1048576,0),MATCH(I$9,'01_FASTPPH'!$8:$8,0))</f>
        <v>57.914999999999999</v>
      </c>
      <c r="J30" s="20" t="str">
        <f>INDEX('01_FASTPPH'!$9:$1048576,MATCH($A30,'01_FASTPPH'!$A$9:$A$1048576,0),MATCH(J$9,'01_FASTPPH'!$8:$8,0))</f>
        <v xml:space="preserve">SUBCASE 101 = STLN ULT (INTACT) :STLN ULT (INTACT) </v>
      </c>
      <c r="K30" s="23">
        <f>INDEX('01_FASTPPH'!$9:$1048576,MATCH($A30,'01_FASTPPH'!$A$9:$A$1048576,0),MATCH(K$9,'01_FASTPPH'!$8:$8,0))</f>
        <v>853.70699999999999</v>
      </c>
      <c r="L30" s="20">
        <f>INDEX('01_FASTPPH'!$9:$1048576,MATCH($A30,'01_FASTPPH'!$A$9:$A$1048576,0),MATCH(L$9,'01_FASTPPH'!$8:$8,0))</f>
        <v>5224.18</v>
      </c>
      <c r="M30" s="20">
        <f>INDEX('01_FASTPPH'!$9:$1048576,MATCH($A30,'01_FASTPPH'!$A$9:$A$1048576,0),MATCH(M$9,'01_FASTPPH'!$8:$8,0))</f>
        <v>-18174.099999999999</v>
      </c>
      <c r="N30" s="24">
        <f>INDEX('01_FASTPPH'!$9:$1048576,MATCH($A30,'01_FASTPPH'!$A$9:$A$1048576,0),MATCH(N$9,'01_FASTPPH'!$8:$8,0))</f>
        <v>12424.1</v>
      </c>
      <c r="O30" s="23">
        <f>INDEX('01_FASTPPH'!$9:$1048576,MATCH($A30,'01_FASTPPH'!$A$9:$A$1048576,0),MATCH(O$9,'01_FASTPPH'!$8:$8,0))</f>
        <v>1494.13</v>
      </c>
      <c r="P30" s="20">
        <f>INDEX('01_FASTPPH'!$9:$1048576,MATCH($A30,'01_FASTPPH'!$A$9:$A$1048576,0),MATCH(P$9,'01_FASTPPH'!$8:$8,0))</f>
        <v>1519.82</v>
      </c>
      <c r="Q30" s="20">
        <f>INDEX('01_FASTPPH'!$9:$1048576,MATCH($A30,'01_FASTPPH'!$A$9:$A$1048576,0),MATCH(Q$9,'01_FASTPPH'!$8:$8,0))</f>
        <v>-36.298099999999998</v>
      </c>
      <c r="R30" s="20">
        <f>INDEX('01_FASTPPH'!$9:$1048576,MATCH($A30,'01_FASTPPH'!$A$9:$A$1048576,0),MATCH(R$9,'01_FASTPPH'!$8:$8,0))</f>
        <v>-414.54199999999997</v>
      </c>
      <c r="S30" s="20">
        <f>INDEX('01_FASTPPH'!$9:$1048576,MATCH($A30,'01_FASTPPH'!$A$9:$A$1048576,0),MATCH(S$9,'01_FASTPPH'!$8:$8,0))</f>
        <v>-757.27800000000002</v>
      </c>
      <c r="T30" s="24">
        <f>INDEX('01_FASTPPH'!$9:$1048576,MATCH($A30,'01_FASTPPH'!$A$9:$A$1048576,0),MATCH(T$9,'01_FASTPPH'!$8:$8,0))</f>
        <v>-1204.99</v>
      </c>
      <c r="U30" s="23">
        <f>INDEX('01_FASTPPH'!$9:$1048576,MATCH($A30,'01_FASTPPH'!$A$9:$A$1048576,0),MATCH(U$9,'01_FASTPPH'!$8:$8,0))</f>
        <v>-11328.4</v>
      </c>
      <c r="V30" s="20">
        <f>INDEX('01_FASTPPH'!$9:$1048576,MATCH($A30,'01_FASTPPH'!$A$9:$A$1048576,0),MATCH(V$9,'01_FASTPPH'!$8:$8,0))</f>
        <v>-1878.06</v>
      </c>
      <c r="W30" s="24">
        <f>INDEX('01_FASTPPH'!$9:$1048576,MATCH($A30,'01_FASTPPH'!$A$9:$A$1048576,0),MATCH(W$9,'01_FASTPPH'!$8:$8,0))</f>
        <v>493.351</v>
      </c>
      <c r="X30" s="20">
        <f>INDEX('01_FASTPPH'!$9:$1048576,MATCH($A30,'01_FASTPPH'!$A$9:$A$1048576,0),MATCH(X$9,'01_FASTPPH'!$8:$8,0))</f>
        <v>4.1835799999999999E-2</v>
      </c>
      <c r="Y30" s="20">
        <f>INDEX('01_FASTPPH'!$9:$1048576,MATCH($A30,'01_FASTPPH'!$A$9:$A$1048576,0),MATCH(Y$9,'01_FASTPPH'!$8:$8,0))</f>
        <v>0</v>
      </c>
      <c r="AA30" s="32">
        <f>INDEX('02_PROPERTIES'!$C$10:$I$1048576,MATCH('03_CALCULATIONS'!$D30,'02_PROPERTIES'!$C$10:$C$1048576,0),MATCH('03_CALCULATIONS'!AA$9,'02_PROPERTIES'!$C$10:$I$10,0))</f>
        <v>16.559999999999999</v>
      </c>
      <c r="AB30" s="20">
        <f>INDEX('02_PROPERTIES'!$C$10:$I$1048576,MATCH('03_CALCULATIONS'!$D30,'02_PROPERTIES'!$C$10:$C$1048576,0),MATCH('03_CALCULATIONS'!AB$9,'02_PROPERTIES'!$C$10:$I$10,0))</f>
        <v>79593.867056640505</v>
      </c>
      <c r="AC30" s="20">
        <f>INDEX('02_PROPERTIES'!$C$10:$I$1048576,MATCH('03_CALCULATIONS'!$D30,'02_PROPERTIES'!$C$10:$C$1048576,0),MATCH('03_CALCULATIONS'!AC$9,'02_PROPERTIES'!$C$10:$I$10,0))</f>
        <v>41017.370743551612</v>
      </c>
      <c r="AD30" s="20">
        <f>INDEX('02_PROPERTIES'!$C$10:$I$1048576,MATCH('03_CALCULATIONS'!$D30,'02_PROPERTIES'!$C$10:$C$1048576,0),MATCH('03_CALCULATIONS'!AD$9,'02_PROPERTIES'!$C$10:$I$10,0))</f>
        <v>19846.188560278148</v>
      </c>
      <c r="AE30" s="32">
        <f>INDEX('02_PROPERTIES'!$C$10:$I$1048576,MATCH('03_CALCULATIONS'!$D30,'02_PROPERTIES'!$C$10:$C$1048576,0),MATCH('03_CALCULATIONS'!AE$9,'02_PROPERTIES'!$C$10:$I$10,0))</f>
        <v>0.4142802271075095</v>
      </c>
      <c r="AF30" s="32">
        <f>INDEX('02_PROPERTIES'!$C$10:$I$1048576,MATCH('03_CALCULATIONS'!$D30,'02_PROPERTIES'!$C$10:$C$1048576,0),MATCH('03_CALCULATIONS'!AF$9,'02_PROPERTIES'!$C$10:$I$10,0))</f>
        <v>1</v>
      </c>
      <c r="AH30" s="20">
        <f t="shared" si="0"/>
        <v>5598.6227536231881</v>
      </c>
      <c r="AI30" s="20">
        <f t="shared" si="1"/>
        <v>-716.75462173913047</v>
      </c>
      <c r="AJ30" s="20">
        <f t="shared" si="2"/>
        <v>-936.02836231884066</v>
      </c>
      <c r="AL30" s="20">
        <f t="shared" si="3"/>
        <v>4472.8581702828014</v>
      </c>
      <c r="AM30" s="20">
        <f t="shared" si="4"/>
        <v>-4469.8767600837755</v>
      </c>
      <c r="AN30" s="20">
        <f t="shared" si="5"/>
        <v>-1424.0379622306602</v>
      </c>
      <c r="AO30" s="20">
        <f t="shared" si="6"/>
        <v>-710.52827601581714</v>
      </c>
      <c r="AP30" s="20">
        <f t="shared" si="7"/>
        <v>713.5096862148431</v>
      </c>
      <c r="AR30" s="20">
        <f t="shared" si="8"/>
        <v>4529.194100659799</v>
      </c>
      <c r="AS30" s="20">
        <f t="shared" si="9"/>
        <v>-4526.2126904607721</v>
      </c>
      <c r="AT30" s="20">
        <f t="shared" si="10"/>
        <v>4692.6550189177206</v>
      </c>
    </row>
    <row r="31" spans="1:46" x14ac:dyDescent="0.3">
      <c r="A31" s="18">
        <v>219</v>
      </c>
      <c r="B31" s="20">
        <f>INDEX('01_FASTPPH'!$9:$1048576,MATCH($A31,'01_FASTPPH'!$A$9:$A$1048576,0),MATCH(B$9,'01_FASTPPH'!$8:$8,0))</f>
        <v>37</v>
      </c>
      <c r="C31" s="20">
        <f>INDEX('01_FASTPPH'!$9:$1048576,MATCH($A31,'01_FASTPPH'!$A$9:$A$1048576,0),MATCH(C$9,'01_FASTPPH'!$8:$8,0))</f>
        <v>1101744</v>
      </c>
      <c r="D31" s="20" t="str">
        <f>INDEX('01_FASTPPH'!$9:$1048576,MATCH($A31,'01_FASTPPH'!$A$9:$A$1048576,0),MATCH(D$9,'01_FASTPPH'!$8:$8,0))</f>
        <v>SkinLH</v>
      </c>
      <c r="E31" s="20">
        <f>INDEX('01_FASTPPH'!$9:$1048576,MATCH($A31,'01_FASTPPH'!$A$9:$A$1048576,0),MATCH(E$9,'01_FASTPPH'!$8:$8,0))</f>
        <v>3905010</v>
      </c>
      <c r="F31" s="20">
        <f>INDEX('01_FASTPPH'!$9:$1048576,MATCH($A31,'01_FASTPPH'!$A$9:$A$1048576,0),MATCH(F$9,'01_FASTPPH'!$8:$8,0))</f>
        <v>1905011</v>
      </c>
      <c r="G31" s="20">
        <f>INDEX('01_FASTPPH'!$9:$1048576,MATCH($A31,'01_FASTPPH'!$A$9:$A$1048576,0),MATCH(G$9,'01_FASTPPH'!$8:$8,0))</f>
        <v>0</v>
      </c>
      <c r="H31" s="20">
        <f>INDEX('01_FASTPPH'!$9:$1048576,MATCH($A31,'01_FASTPPH'!$A$9:$A$1048576,0),MATCH(H$9,'01_FASTPPH'!$8:$8,0))</f>
        <v>0</v>
      </c>
      <c r="I31" s="20">
        <f>INDEX('01_FASTPPH'!$9:$1048576,MATCH($A31,'01_FASTPPH'!$A$9:$A$1048576,0),MATCH(I$9,'01_FASTPPH'!$8:$8,0))</f>
        <v>57.914999999999999</v>
      </c>
      <c r="J31" s="20" t="str">
        <f>INDEX('01_FASTPPH'!$9:$1048576,MATCH($A31,'01_FASTPPH'!$A$9:$A$1048576,0),MATCH(J$9,'01_FASTPPH'!$8:$8,0))</f>
        <v xml:space="preserve">SUBCASE 101 = STLN ULT (INTACT) :STLN ULT (INTACT) </v>
      </c>
      <c r="K31" s="23">
        <f>INDEX('01_FASTPPH'!$9:$1048576,MATCH($A31,'01_FASTPPH'!$A$9:$A$1048576,0),MATCH(K$9,'01_FASTPPH'!$8:$8,0))</f>
        <v>-4585.22</v>
      </c>
      <c r="L31" s="20">
        <f>INDEX('01_FASTPPH'!$9:$1048576,MATCH($A31,'01_FASTPPH'!$A$9:$A$1048576,0),MATCH(L$9,'01_FASTPPH'!$8:$8,0))</f>
        <v>7545.71</v>
      </c>
      <c r="M31" s="20">
        <f>INDEX('01_FASTPPH'!$9:$1048576,MATCH($A31,'01_FASTPPH'!$A$9:$A$1048576,0),MATCH(M$9,'01_FASTPPH'!$8:$8,0))</f>
        <v>-23799.7</v>
      </c>
      <c r="N31" s="24">
        <f>INDEX('01_FASTPPH'!$9:$1048576,MATCH($A31,'01_FASTPPH'!$A$9:$A$1048576,0),MATCH(N$9,'01_FASTPPH'!$8:$8,0))</f>
        <v>11471.3</v>
      </c>
      <c r="O31" s="23">
        <f>INDEX('01_FASTPPH'!$9:$1048576,MATCH($A31,'01_FASTPPH'!$A$9:$A$1048576,0),MATCH(O$9,'01_FASTPPH'!$8:$8,0))</f>
        <v>1219.57</v>
      </c>
      <c r="P31" s="20">
        <f>INDEX('01_FASTPPH'!$9:$1048576,MATCH($A31,'01_FASTPPH'!$A$9:$A$1048576,0),MATCH(P$9,'01_FASTPPH'!$8:$8,0))</f>
        <v>1822.38</v>
      </c>
      <c r="Q31" s="20">
        <f>INDEX('01_FASTPPH'!$9:$1048576,MATCH($A31,'01_FASTPPH'!$A$9:$A$1048576,0),MATCH(Q$9,'01_FASTPPH'!$8:$8,0))</f>
        <v>48.223199999999999</v>
      </c>
      <c r="R31" s="20">
        <f>INDEX('01_FASTPPH'!$9:$1048576,MATCH($A31,'01_FASTPPH'!$A$9:$A$1048576,0),MATCH(R$9,'01_FASTPPH'!$8:$8,0))</f>
        <v>56.9953</v>
      </c>
      <c r="S31" s="20">
        <f>INDEX('01_FASTPPH'!$9:$1048576,MATCH($A31,'01_FASTPPH'!$A$9:$A$1048576,0),MATCH(S$9,'01_FASTPPH'!$8:$8,0))</f>
        <v>-275.57799999999997</v>
      </c>
      <c r="T31" s="24">
        <f>INDEX('01_FASTPPH'!$9:$1048576,MATCH($A31,'01_FASTPPH'!$A$9:$A$1048576,0),MATCH(T$9,'01_FASTPPH'!$8:$8,0))</f>
        <v>-699.75599999999997</v>
      </c>
      <c r="U31" s="23">
        <f>INDEX('01_FASTPPH'!$9:$1048576,MATCH($A31,'01_FASTPPH'!$A$9:$A$1048576,0),MATCH(U$9,'01_FASTPPH'!$8:$8,0))</f>
        <v>-10394.1</v>
      </c>
      <c r="V31" s="20">
        <f>INDEX('01_FASTPPH'!$9:$1048576,MATCH($A31,'01_FASTPPH'!$A$9:$A$1048576,0),MATCH(V$9,'01_FASTPPH'!$8:$8,0))</f>
        <v>-437.29700000000003</v>
      </c>
      <c r="W31" s="24">
        <f>INDEX('01_FASTPPH'!$9:$1048576,MATCH($A31,'01_FASTPPH'!$A$9:$A$1048576,0),MATCH(W$9,'01_FASTPPH'!$8:$8,0))</f>
        <v>749.16700000000003</v>
      </c>
      <c r="X31" s="20">
        <f>INDEX('01_FASTPPH'!$9:$1048576,MATCH($A31,'01_FASTPPH'!$A$9:$A$1048576,0),MATCH(X$9,'01_FASTPPH'!$8:$8,0))</f>
        <v>0</v>
      </c>
      <c r="Y31" s="20">
        <f>INDEX('01_FASTPPH'!$9:$1048576,MATCH($A31,'01_FASTPPH'!$A$9:$A$1048576,0),MATCH(Y$9,'01_FASTPPH'!$8:$8,0))</f>
        <v>0</v>
      </c>
      <c r="AA31" s="32">
        <f>INDEX('02_PROPERTIES'!$C$10:$I$1048576,MATCH('03_CALCULATIONS'!$D31,'02_PROPERTIES'!$C$10:$C$1048576,0),MATCH('03_CALCULATIONS'!AA$9,'02_PROPERTIES'!$C$10:$I$10,0))</f>
        <v>16.559999999999999</v>
      </c>
      <c r="AB31" s="20">
        <f>INDEX('02_PROPERTIES'!$C$10:$I$1048576,MATCH('03_CALCULATIONS'!$D31,'02_PROPERTIES'!$C$10:$C$1048576,0),MATCH('03_CALCULATIONS'!AB$9,'02_PROPERTIES'!$C$10:$I$10,0))</f>
        <v>79593.867056640505</v>
      </c>
      <c r="AC31" s="20">
        <f>INDEX('02_PROPERTIES'!$C$10:$I$1048576,MATCH('03_CALCULATIONS'!$D31,'02_PROPERTIES'!$C$10:$C$1048576,0),MATCH('03_CALCULATIONS'!AC$9,'02_PROPERTIES'!$C$10:$I$10,0))</f>
        <v>41017.370743551612</v>
      </c>
      <c r="AD31" s="20">
        <f>INDEX('02_PROPERTIES'!$C$10:$I$1048576,MATCH('03_CALCULATIONS'!$D31,'02_PROPERTIES'!$C$10:$C$1048576,0),MATCH('03_CALCULATIONS'!AD$9,'02_PROPERTIES'!$C$10:$I$10,0))</f>
        <v>19846.188560278148</v>
      </c>
      <c r="AE31" s="32">
        <f>INDEX('02_PROPERTIES'!$C$10:$I$1048576,MATCH('03_CALCULATIONS'!$D31,'02_PROPERTIES'!$C$10:$C$1048576,0),MATCH('03_CALCULATIONS'!AE$9,'02_PROPERTIES'!$C$10:$I$10,0))</f>
        <v>0.4142802271075095</v>
      </c>
      <c r="AF31" s="32">
        <f>INDEX('02_PROPERTIES'!$C$10:$I$1048576,MATCH('03_CALCULATIONS'!$D31,'02_PROPERTIES'!$C$10:$C$1048576,0),MATCH('03_CALCULATIONS'!AF$9,'02_PROPERTIES'!$C$10:$I$10,0))</f>
        <v>1</v>
      </c>
      <c r="AH31" s="20">
        <f t="shared" si="0"/>
        <v>4985.5482608695656</v>
      </c>
      <c r="AI31" s="20">
        <f t="shared" si="1"/>
        <v>206.66414202898551</v>
      </c>
      <c r="AJ31" s="20">
        <f t="shared" si="2"/>
        <v>-547.01531884057977</v>
      </c>
      <c r="AL31" s="20">
        <f t="shared" si="3"/>
        <v>3717.4921614497857</v>
      </c>
      <c r="AM31" s="20">
        <f t="shared" si="4"/>
        <v>-2736.4833690727583</v>
      </c>
      <c r="AN31" s="20">
        <f t="shared" si="5"/>
        <v>-832.20830832618753</v>
      </c>
      <c r="AO31" s="20">
        <f t="shared" si="6"/>
        <v>74.400242025419971</v>
      </c>
      <c r="AP31" s="20">
        <f t="shared" si="7"/>
        <v>906.60855035160751</v>
      </c>
      <c r="AR31" s="20">
        <f t="shared" si="8"/>
        <v>3744.2088548414085</v>
      </c>
      <c r="AS31" s="20">
        <f t="shared" si="9"/>
        <v>-2763.2000624643806</v>
      </c>
      <c r="AT31" s="20">
        <f t="shared" si="10"/>
        <v>3332.5696850318186</v>
      </c>
    </row>
    <row r="32" spans="1:46" x14ac:dyDescent="0.3">
      <c r="A32" s="18">
        <v>225</v>
      </c>
      <c r="B32" s="20">
        <f>INDEX('01_FASTPPH'!$9:$1048576,MATCH($A32,'01_FASTPPH'!$A$9:$A$1048576,0),MATCH(B$9,'01_FASTPPH'!$8:$8,0))</f>
        <v>38</v>
      </c>
      <c r="C32" s="20">
        <f>INDEX('01_FASTPPH'!$9:$1048576,MATCH($A32,'01_FASTPPH'!$A$9:$A$1048576,0),MATCH(C$9,'01_FASTPPH'!$8:$8,0))</f>
        <v>1101655</v>
      </c>
      <c r="D32" s="20" t="str">
        <f>INDEX('01_FASTPPH'!$9:$1048576,MATCH($A32,'01_FASTPPH'!$A$9:$A$1048576,0),MATCH(D$9,'01_FASTPPH'!$8:$8,0))</f>
        <v>SkinLH</v>
      </c>
      <c r="E32" s="20">
        <f>INDEX('01_FASTPPH'!$9:$1048576,MATCH($A32,'01_FASTPPH'!$A$9:$A$1048576,0),MATCH(E$9,'01_FASTPPH'!$8:$8,0))</f>
        <v>3906010</v>
      </c>
      <c r="F32" s="20">
        <f>INDEX('01_FASTPPH'!$9:$1048576,MATCH($A32,'01_FASTPPH'!$A$9:$A$1048576,0),MATCH(F$9,'01_FASTPPH'!$8:$8,0))</f>
        <v>1906011</v>
      </c>
      <c r="G32" s="20">
        <f>INDEX('01_FASTPPH'!$9:$1048576,MATCH($A32,'01_FASTPPH'!$A$9:$A$1048576,0),MATCH(G$9,'01_FASTPPH'!$8:$8,0))</f>
        <v>0</v>
      </c>
      <c r="H32" s="20">
        <f>INDEX('01_FASTPPH'!$9:$1048576,MATCH($A32,'01_FASTPPH'!$A$9:$A$1048576,0),MATCH(H$9,'01_FASTPPH'!$8:$8,0))</f>
        <v>0</v>
      </c>
      <c r="I32" s="20">
        <f>INDEX('01_FASTPPH'!$9:$1048576,MATCH($A32,'01_FASTPPH'!$A$9:$A$1048576,0),MATCH(I$9,'01_FASTPPH'!$8:$8,0))</f>
        <v>57.914999999999999</v>
      </c>
      <c r="J32" s="20" t="str">
        <f>INDEX('01_FASTPPH'!$9:$1048576,MATCH($A32,'01_FASTPPH'!$A$9:$A$1048576,0),MATCH(J$9,'01_FASTPPH'!$8:$8,0))</f>
        <v xml:space="preserve">SUBCASE 101 = STLN ULT (INTACT) :STLN ULT (INTACT) </v>
      </c>
      <c r="K32" s="23">
        <f>INDEX('01_FASTPPH'!$9:$1048576,MATCH($A32,'01_FASTPPH'!$A$9:$A$1048576,0),MATCH(K$9,'01_FASTPPH'!$8:$8,0))</f>
        <v>12009.5</v>
      </c>
      <c r="L32" s="20">
        <f>INDEX('01_FASTPPH'!$9:$1048576,MATCH($A32,'01_FASTPPH'!$A$9:$A$1048576,0),MATCH(L$9,'01_FASTPPH'!$8:$8,0))</f>
        <v>13374.7</v>
      </c>
      <c r="M32" s="20">
        <f>INDEX('01_FASTPPH'!$9:$1048576,MATCH($A32,'01_FASTPPH'!$A$9:$A$1048576,0),MATCH(M$9,'01_FASTPPH'!$8:$8,0))</f>
        <v>-12256.3</v>
      </c>
      <c r="N32" s="24">
        <f>INDEX('01_FASTPPH'!$9:$1048576,MATCH($A32,'01_FASTPPH'!$A$9:$A$1048576,0),MATCH(N$9,'01_FASTPPH'!$8:$8,0))</f>
        <v>31670.400000000001</v>
      </c>
      <c r="O32" s="23">
        <f>INDEX('01_FASTPPH'!$9:$1048576,MATCH($A32,'01_FASTPPH'!$A$9:$A$1048576,0),MATCH(O$9,'01_FASTPPH'!$8:$8,0))</f>
        <v>1863</v>
      </c>
      <c r="P32" s="20">
        <f>INDEX('01_FASTPPH'!$9:$1048576,MATCH($A32,'01_FASTPPH'!$A$9:$A$1048576,0),MATCH(P$9,'01_FASTPPH'!$8:$8,0))</f>
        <v>2243.02</v>
      </c>
      <c r="Q32" s="20">
        <f>INDEX('01_FASTPPH'!$9:$1048576,MATCH($A32,'01_FASTPPH'!$A$9:$A$1048576,0),MATCH(Q$9,'01_FASTPPH'!$8:$8,0))</f>
        <v>8.18</v>
      </c>
      <c r="R32" s="20">
        <f>INDEX('01_FASTPPH'!$9:$1048576,MATCH($A32,'01_FASTPPH'!$A$9:$A$1048576,0),MATCH(R$9,'01_FASTPPH'!$8:$8,0))</f>
        <v>-9.8021499999999993</v>
      </c>
      <c r="S32" s="20">
        <f>INDEX('01_FASTPPH'!$9:$1048576,MATCH($A32,'01_FASTPPH'!$A$9:$A$1048576,0),MATCH(S$9,'01_FASTPPH'!$8:$8,0))</f>
        <v>-146.84399999999999</v>
      </c>
      <c r="T32" s="24">
        <f>INDEX('01_FASTPPH'!$9:$1048576,MATCH($A32,'01_FASTPPH'!$A$9:$A$1048576,0),MATCH(T$9,'01_FASTPPH'!$8:$8,0))</f>
        <v>-244.64</v>
      </c>
      <c r="U32" s="23">
        <f>INDEX('01_FASTPPH'!$9:$1048576,MATCH($A32,'01_FASTPPH'!$A$9:$A$1048576,0),MATCH(U$9,'01_FASTPPH'!$8:$8,0))</f>
        <v>-10925.4</v>
      </c>
      <c r="V32" s="20">
        <f>INDEX('01_FASTPPH'!$9:$1048576,MATCH($A32,'01_FASTPPH'!$A$9:$A$1048576,0),MATCH(V$9,'01_FASTPPH'!$8:$8,0))</f>
        <v>-242.86600000000001</v>
      </c>
      <c r="W32" s="24">
        <f>INDEX('01_FASTPPH'!$9:$1048576,MATCH($A32,'01_FASTPPH'!$A$9:$A$1048576,0),MATCH(W$9,'01_FASTPPH'!$8:$8,0))</f>
        <v>480.72899999999998</v>
      </c>
      <c r="X32" s="20">
        <f>INDEX('01_FASTPPH'!$9:$1048576,MATCH($A32,'01_FASTPPH'!$A$9:$A$1048576,0),MATCH(X$9,'01_FASTPPH'!$8:$8,0))</f>
        <v>0</v>
      </c>
      <c r="Y32" s="20">
        <f>INDEX('01_FASTPPH'!$9:$1048576,MATCH($A32,'01_FASTPPH'!$A$9:$A$1048576,0),MATCH(Y$9,'01_FASTPPH'!$8:$8,0))</f>
        <v>0</v>
      </c>
      <c r="AA32" s="32">
        <f>INDEX('02_PROPERTIES'!$C$10:$I$1048576,MATCH('03_CALCULATIONS'!$D32,'02_PROPERTIES'!$C$10:$C$1048576,0),MATCH('03_CALCULATIONS'!AA$9,'02_PROPERTIES'!$C$10:$I$10,0))</f>
        <v>16.559999999999999</v>
      </c>
      <c r="AB32" s="20">
        <f>INDEX('02_PROPERTIES'!$C$10:$I$1048576,MATCH('03_CALCULATIONS'!$D32,'02_PROPERTIES'!$C$10:$C$1048576,0),MATCH('03_CALCULATIONS'!AB$9,'02_PROPERTIES'!$C$10:$I$10,0))</f>
        <v>79593.867056640505</v>
      </c>
      <c r="AC32" s="20">
        <f>INDEX('02_PROPERTIES'!$C$10:$I$1048576,MATCH('03_CALCULATIONS'!$D32,'02_PROPERTIES'!$C$10:$C$1048576,0),MATCH('03_CALCULATIONS'!AC$9,'02_PROPERTIES'!$C$10:$I$10,0))</f>
        <v>41017.370743551612</v>
      </c>
      <c r="AD32" s="20">
        <f>INDEX('02_PROPERTIES'!$C$10:$I$1048576,MATCH('03_CALCULATIONS'!$D32,'02_PROPERTIES'!$C$10:$C$1048576,0),MATCH('03_CALCULATIONS'!AD$9,'02_PROPERTIES'!$C$10:$I$10,0))</f>
        <v>19846.188560278148</v>
      </c>
      <c r="AE32" s="32">
        <f>INDEX('02_PROPERTIES'!$C$10:$I$1048576,MATCH('03_CALCULATIONS'!$D32,'02_PROPERTIES'!$C$10:$C$1048576,0),MATCH('03_CALCULATIONS'!AE$9,'02_PROPERTIES'!$C$10:$I$10,0))</f>
        <v>0.4142802271075095</v>
      </c>
      <c r="AF32" s="32">
        <f>INDEX('02_PROPERTIES'!$C$10:$I$1048576,MATCH('03_CALCULATIONS'!$D32,'02_PROPERTIES'!$C$10:$C$1048576,0),MATCH('03_CALCULATIONS'!AF$9,'02_PROPERTIES'!$C$10:$I$10,0))</f>
        <v>1</v>
      </c>
      <c r="AH32" s="20">
        <f t="shared" si="0"/>
        <v>5821.478260869565</v>
      </c>
      <c r="AI32" s="20">
        <f t="shared" si="1"/>
        <v>96.174927536231905</v>
      </c>
      <c r="AJ32" s="20">
        <f t="shared" si="2"/>
        <v>-321.02117391304347</v>
      </c>
      <c r="AL32" s="20">
        <f t="shared" si="3"/>
        <v>4386.4251679228519</v>
      </c>
      <c r="AM32" s="20">
        <f t="shared" si="4"/>
        <v>-3408.9898964652857</v>
      </c>
      <c r="AN32" s="20">
        <f t="shared" si="5"/>
        <v>-488.38940862809716</v>
      </c>
      <c r="AO32" s="20">
        <f t="shared" si="6"/>
        <v>244.5229314147345</v>
      </c>
      <c r="AP32" s="20">
        <f t="shared" si="7"/>
        <v>732.9123400428316</v>
      </c>
      <c r="AR32" s="20">
        <f t="shared" si="8"/>
        <v>4394.0671796412616</v>
      </c>
      <c r="AS32" s="20">
        <f t="shared" si="9"/>
        <v>-3416.6319081836955</v>
      </c>
      <c r="AT32" s="20">
        <f t="shared" si="10"/>
        <v>3928.1863780862641</v>
      </c>
    </row>
    <row r="33" spans="1:46" x14ac:dyDescent="0.3">
      <c r="A33" s="18">
        <v>89</v>
      </c>
      <c r="B33" s="20">
        <f>INDEX('01_FASTPPH'!$9:$1048576,MATCH($A33,'01_FASTPPH'!$A$9:$A$1048576,0),MATCH(B$9,'01_FASTPPH'!$8:$8,0))</f>
        <v>15</v>
      </c>
      <c r="C33" s="20">
        <f>INDEX('01_FASTPPH'!$9:$1048576,MATCH($A33,'01_FASTPPH'!$A$9:$A$1048576,0),MATCH(C$9,'01_FASTPPH'!$8:$8,0))</f>
        <v>1107550</v>
      </c>
      <c r="D33" s="20" t="str">
        <f>INDEX('01_FASTPPH'!$9:$1048576,MATCH($A33,'01_FASTPPH'!$A$9:$A$1048576,0),MATCH(D$9,'01_FASTPPH'!$8:$8,0))</f>
        <v>SkinLH</v>
      </c>
      <c r="E33" s="20">
        <f>INDEX('01_FASTPPH'!$9:$1048576,MATCH($A33,'01_FASTPPH'!$A$9:$A$1048576,0),MATCH(E$9,'01_FASTPPH'!$8:$8,0))</f>
        <v>2907010</v>
      </c>
      <c r="F33" s="20">
        <f>INDEX('01_FASTPPH'!$9:$1048576,MATCH($A33,'01_FASTPPH'!$A$9:$A$1048576,0),MATCH(F$9,'01_FASTPPH'!$8:$8,0))</f>
        <v>1907012</v>
      </c>
      <c r="G33" s="20">
        <f>INDEX('01_FASTPPH'!$9:$1048576,MATCH($A33,'01_FASTPPH'!$A$9:$A$1048576,0),MATCH(G$9,'01_FASTPPH'!$8:$8,0))</f>
        <v>3907010</v>
      </c>
      <c r="H33" s="20">
        <f>INDEX('01_FASTPPH'!$9:$1048576,MATCH($A33,'01_FASTPPH'!$A$9:$A$1048576,0),MATCH(H$9,'01_FASTPPH'!$8:$8,0))</f>
        <v>1907011</v>
      </c>
      <c r="I33" s="20">
        <f>INDEX('01_FASTPPH'!$9:$1048576,MATCH($A33,'01_FASTPPH'!$A$9:$A$1048576,0),MATCH(I$9,'01_FASTPPH'!$8:$8,0))</f>
        <v>57.914999999999999</v>
      </c>
      <c r="J33" s="20" t="str">
        <f>INDEX('01_FASTPPH'!$9:$1048576,MATCH($A33,'01_FASTPPH'!$A$9:$A$1048576,0),MATCH(J$9,'01_FASTPPH'!$8:$8,0))</f>
        <v xml:space="preserve">SUBCASE 101 = STLN ULT (INTACT) :STLN ULT (INTACT) </v>
      </c>
      <c r="K33" s="23">
        <f>INDEX('01_FASTPPH'!$9:$1048576,MATCH($A33,'01_FASTPPH'!$A$9:$A$1048576,0),MATCH(K$9,'01_FASTPPH'!$8:$8,0))</f>
        <v>856.78099999999995</v>
      </c>
      <c r="L33" s="20">
        <f>INDEX('01_FASTPPH'!$9:$1048576,MATCH($A33,'01_FASTPPH'!$A$9:$A$1048576,0),MATCH(L$9,'01_FASTPPH'!$8:$8,0))</f>
        <v>-3299.5</v>
      </c>
      <c r="M33" s="20">
        <f>INDEX('01_FASTPPH'!$9:$1048576,MATCH($A33,'01_FASTPPH'!$A$9:$A$1048576,0),MATCH(M$9,'01_FASTPPH'!$8:$8,0))</f>
        <v>213.501</v>
      </c>
      <c r="N33" s="24">
        <f>INDEX('01_FASTPPH'!$9:$1048576,MATCH($A33,'01_FASTPPH'!$A$9:$A$1048576,0),MATCH(N$9,'01_FASTPPH'!$8:$8,0))</f>
        <v>236.58699999999999</v>
      </c>
      <c r="O33" s="23">
        <f>INDEX('01_FASTPPH'!$9:$1048576,MATCH($A33,'01_FASTPPH'!$A$9:$A$1048576,0),MATCH(O$9,'01_FASTPPH'!$8:$8,0))</f>
        <v>-928.02700000000004</v>
      </c>
      <c r="P33" s="20">
        <f>INDEX('01_FASTPPH'!$9:$1048576,MATCH($A33,'01_FASTPPH'!$A$9:$A$1048576,0),MATCH(P$9,'01_FASTPPH'!$8:$8,0))</f>
        <v>-1146.93</v>
      </c>
      <c r="Q33" s="20">
        <f>INDEX('01_FASTPPH'!$9:$1048576,MATCH($A33,'01_FASTPPH'!$A$9:$A$1048576,0),MATCH(Q$9,'01_FASTPPH'!$8:$8,0))</f>
        <v>-381.33</v>
      </c>
      <c r="R33" s="20">
        <f>INDEX('01_FASTPPH'!$9:$1048576,MATCH($A33,'01_FASTPPH'!$A$9:$A$1048576,0),MATCH(R$9,'01_FASTPPH'!$8:$8,0))</f>
        <v>-401.09899999999999</v>
      </c>
      <c r="S33" s="20">
        <f>INDEX('01_FASTPPH'!$9:$1048576,MATCH($A33,'01_FASTPPH'!$A$9:$A$1048576,0),MATCH(S$9,'01_FASTPPH'!$8:$8,0))</f>
        <v>-548.34400000000005</v>
      </c>
      <c r="T33" s="24">
        <f>INDEX('01_FASTPPH'!$9:$1048576,MATCH($A33,'01_FASTPPH'!$A$9:$A$1048576,0),MATCH(T$9,'01_FASTPPH'!$8:$8,0))</f>
        <v>-769.69</v>
      </c>
      <c r="U33" s="23">
        <f>INDEX('01_FASTPPH'!$9:$1048576,MATCH($A33,'01_FASTPPH'!$A$9:$A$1048576,0),MATCH(U$9,'01_FASTPPH'!$8:$8,0))</f>
        <v>-4175.8999999999996</v>
      </c>
      <c r="V33" s="20">
        <f>INDEX('01_FASTPPH'!$9:$1048576,MATCH($A33,'01_FASTPPH'!$A$9:$A$1048576,0),MATCH(V$9,'01_FASTPPH'!$8:$8,0))</f>
        <v>-1052.92</v>
      </c>
      <c r="W33" s="24">
        <f>INDEX('01_FASTPPH'!$9:$1048576,MATCH($A33,'01_FASTPPH'!$A$9:$A$1048576,0),MATCH(W$9,'01_FASTPPH'!$8:$8,0))</f>
        <v>-806.16700000000003</v>
      </c>
      <c r="X33" s="20">
        <f>INDEX('01_FASTPPH'!$9:$1048576,MATCH($A33,'01_FASTPPH'!$A$9:$A$1048576,0),MATCH(X$9,'01_FASTPPH'!$8:$8,0))</f>
        <v>0.106113</v>
      </c>
      <c r="Y33" s="20" t="str">
        <f>INDEX('01_FASTPPH'!$9:$1048576,MATCH($A33,'01_FASTPPH'!$A$9:$A$1048576,0),MATCH(Y$9,'01_FASTPPH'!$8:$8,0))</f>
        <v>Pt11   modified</v>
      </c>
      <c r="AA33" s="32">
        <f>INDEX('02_PROPERTIES'!$C$10:$I$1048576,MATCH('03_CALCULATIONS'!$D33,'02_PROPERTIES'!$C$10:$C$1048576,0),MATCH('03_CALCULATIONS'!AA$9,'02_PROPERTIES'!$C$10:$I$10,0))</f>
        <v>16.559999999999999</v>
      </c>
      <c r="AB33" s="20">
        <f>INDEX('02_PROPERTIES'!$C$10:$I$1048576,MATCH('03_CALCULATIONS'!$D33,'02_PROPERTIES'!$C$10:$C$1048576,0),MATCH('03_CALCULATIONS'!AB$9,'02_PROPERTIES'!$C$10:$I$10,0))</f>
        <v>79593.867056640505</v>
      </c>
      <c r="AC33" s="20">
        <f>INDEX('02_PROPERTIES'!$C$10:$I$1048576,MATCH('03_CALCULATIONS'!$D33,'02_PROPERTIES'!$C$10:$C$1048576,0),MATCH('03_CALCULATIONS'!AC$9,'02_PROPERTIES'!$C$10:$I$10,0))</f>
        <v>41017.370743551612</v>
      </c>
      <c r="AD33" s="20">
        <f>INDEX('02_PROPERTIES'!$C$10:$I$1048576,MATCH('03_CALCULATIONS'!$D33,'02_PROPERTIES'!$C$10:$C$1048576,0),MATCH('03_CALCULATIONS'!AD$9,'02_PROPERTIES'!$C$10:$I$10,0))</f>
        <v>19846.188560278148</v>
      </c>
      <c r="AE33" s="32">
        <f>INDEX('02_PROPERTIES'!$C$10:$I$1048576,MATCH('03_CALCULATIONS'!$D33,'02_PROPERTIES'!$C$10:$C$1048576,0),MATCH('03_CALCULATIONS'!AE$9,'02_PROPERTIES'!$C$10:$I$10,0))</f>
        <v>0.4142802271075095</v>
      </c>
      <c r="AF33" s="32">
        <f>INDEX('02_PROPERTIES'!$C$10:$I$1048576,MATCH('03_CALCULATIONS'!$D33,'02_PROPERTIES'!$C$10:$C$1048576,0),MATCH('03_CALCULATIONS'!AF$9,'02_PROPERTIES'!$C$10:$I$10,0))</f>
        <v>1</v>
      </c>
      <c r="AH33" s="20">
        <f t="shared" si="0"/>
        <v>-2441.0342463768116</v>
      </c>
      <c r="AI33" s="20">
        <f t="shared" si="1"/>
        <v>-762.82275362318842</v>
      </c>
      <c r="AJ33" s="20">
        <f t="shared" si="2"/>
        <v>-840.43349275362334</v>
      </c>
      <c r="AL33" s="20">
        <f t="shared" si="3"/>
        <v>-1612.2092961980975</v>
      </c>
      <c r="AM33" s="20">
        <f t="shared" si="4"/>
        <v>365.77154865878765</v>
      </c>
      <c r="AN33" s="20">
        <f t="shared" si="5"/>
        <v>-1278.6035622322258</v>
      </c>
      <c r="AO33" s="20">
        <f t="shared" si="6"/>
        <v>-1262.5206548857677</v>
      </c>
      <c r="AP33" s="20">
        <f t="shared" si="7"/>
        <v>16.082907346458001</v>
      </c>
      <c r="AR33" s="20">
        <f t="shared" si="8"/>
        <v>554.40960032284238</v>
      </c>
      <c r="AS33" s="20">
        <f t="shared" si="9"/>
        <v>-1800.8473478621522</v>
      </c>
      <c r="AT33" s="20">
        <f t="shared" si="10"/>
        <v>1616.455729368462</v>
      </c>
    </row>
    <row r="34" spans="1:46" x14ac:dyDescent="0.3">
      <c r="A34" s="18">
        <v>79</v>
      </c>
      <c r="B34" s="20">
        <f>INDEX('01_FASTPPH'!$9:$1048576,MATCH($A34,'01_FASTPPH'!$A$9:$A$1048576,0),MATCH(B$9,'01_FASTPPH'!$8:$8,0))</f>
        <v>13</v>
      </c>
      <c r="C34" s="20">
        <f>INDEX('01_FASTPPH'!$9:$1048576,MATCH($A34,'01_FASTPPH'!$A$9:$A$1048576,0),MATCH(C$9,'01_FASTPPH'!$8:$8,0))</f>
        <v>1101388</v>
      </c>
      <c r="D34" s="20" t="str">
        <f>INDEX('01_FASTPPH'!$9:$1048576,MATCH($A34,'01_FASTPPH'!$A$9:$A$1048576,0),MATCH(D$9,'01_FASTPPH'!$8:$8,0))</f>
        <v>SkinLH</v>
      </c>
      <c r="E34" s="20">
        <f>INDEX('01_FASTPPH'!$9:$1048576,MATCH($A34,'01_FASTPPH'!$A$9:$A$1048576,0),MATCH(E$9,'01_FASTPPH'!$8:$8,0))</f>
        <v>3908010</v>
      </c>
      <c r="F34" s="20">
        <f>INDEX('01_FASTPPH'!$9:$1048576,MATCH($A34,'01_FASTPPH'!$A$9:$A$1048576,0),MATCH(F$9,'01_FASTPPH'!$8:$8,0))</f>
        <v>1908013</v>
      </c>
      <c r="G34" s="20">
        <f>INDEX('01_FASTPPH'!$9:$1048576,MATCH($A34,'01_FASTPPH'!$A$9:$A$1048576,0),MATCH(G$9,'01_FASTPPH'!$8:$8,0))</f>
        <v>2908010</v>
      </c>
      <c r="H34" s="20">
        <f>INDEX('01_FASTPPH'!$9:$1048576,MATCH($A34,'01_FASTPPH'!$A$9:$A$1048576,0),MATCH(H$9,'01_FASTPPH'!$8:$8,0))</f>
        <v>1908012</v>
      </c>
      <c r="I34" s="20">
        <f>INDEX('01_FASTPPH'!$9:$1048576,MATCH($A34,'01_FASTPPH'!$A$9:$A$1048576,0),MATCH(I$9,'01_FASTPPH'!$8:$8,0))</f>
        <v>57.914999999999999</v>
      </c>
      <c r="J34" s="20" t="str">
        <f>INDEX('01_FASTPPH'!$9:$1048576,MATCH($A34,'01_FASTPPH'!$A$9:$A$1048576,0),MATCH(J$9,'01_FASTPPH'!$8:$8,0))</f>
        <v xml:space="preserve">SUBCASE 101 = STLN ULT (INTACT) :STLN ULT (INTACT) </v>
      </c>
      <c r="K34" s="23">
        <f>INDEX('01_FASTPPH'!$9:$1048576,MATCH($A34,'01_FASTPPH'!$A$9:$A$1048576,0),MATCH(K$9,'01_FASTPPH'!$8:$8,0))</f>
        <v>-137.93100000000001</v>
      </c>
      <c r="L34" s="20">
        <f>INDEX('01_FASTPPH'!$9:$1048576,MATCH($A34,'01_FASTPPH'!$A$9:$A$1048576,0),MATCH(L$9,'01_FASTPPH'!$8:$8,0))</f>
        <v>-3873.5</v>
      </c>
      <c r="M34" s="20">
        <f>INDEX('01_FASTPPH'!$9:$1048576,MATCH($A34,'01_FASTPPH'!$A$9:$A$1048576,0),MATCH(M$9,'01_FASTPPH'!$8:$8,0))</f>
        <v>-976.78899999999999</v>
      </c>
      <c r="N34" s="24">
        <f>INDEX('01_FASTPPH'!$9:$1048576,MATCH($A34,'01_FASTPPH'!$A$9:$A$1048576,0),MATCH(N$9,'01_FASTPPH'!$8:$8,0))</f>
        <v>0</v>
      </c>
      <c r="O34" s="23">
        <f>INDEX('01_FASTPPH'!$9:$1048576,MATCH($A34,'01_FASTPPH'!$A$9:$A$1048576,0),MATCH(O$9,'01_FASTPPH'!$8:$8,0))</f>
        <v>364.43700000000001</v>
      </c>
      <c r="P34" s="20">
        <f>INDEX('01_FASTPPH'!$9:$1048576,MATCH($A34,'01_FASTPPH'!$A$9:$A$1048576,0),MATCH(P$9,'01_FASTPPH'!$8:$8,0))</f>
        <v>378.44900000000001</v>
      </c>
      <c r="Q34" s="20">
        <f>INDEX('01_FASTPPH'!$9:$1048576,MATCH($A34,'01_FASTPPH'!$A$9:$A$1048576,0),MATCH(Q$9,'01_FASTPPH'!$8:$8,0))</f>
        <v>-374.87400000000002</v>
      </c>
      <c r="R34" s="20">
        <f>INDEX('01_FASTPPH'!$9:$1048576,MATCH($A34,'01_FASTPPH'!$A$9:$A$1048576,0),MATCH(R$9,'01_FASTPPH'!$8:$8,0))</f>
        <v>-384.322</v>
      </c>
      <c r="S34" s="20">
        <f>INDEX('01_FASTPPH'!$9:$1048576,MATCH($A34,'01_FASTPPH'!$A$9:$A$1048576,0),MATCH(S$9,'01_FASTPPH'!$8:$8,0))</f>
        <v>-394.47899999999998</v>
      </c>
      <c r="T34" s="24">
        <f>INDEX('01_FASTPPH'!$9:$1048576,MATCH($A34,'01_FASTPPH'!$A$9:$A$1048576,0),MATCH(T$9,'01_FASTPPH'!$8:$8,0))</f>
        <v>-470.017</v>
      </c>
      <c r="U34" s="23">
        <f>INDEX('01_FASTPPH'!$9:$1048576,MATCH($A34,'01_FASTPPH'!$A$9:$A$1048576,0),MATCH(U$9,'01_FASTPPH'!$8:$8,0))</f>
        <v>-8248.0400000000009</v>
      </c>
      <c r="V34" s="20">
        <f>INDEX('01_FASTPPH'!$9:$1048576,MATCH($A34,'01_FASTPPH'!$A$9:$A$1048576,0),MATCH(V$9,'01_FASTPPH'!$8:$8,0))</f>
        <v>-3137.71</v>
      </c>
      <c r="W34" s="24">
        <f>INDEX('01_FASTPPH'!$9:$1048576,MATCH($A34,'01_FASTPPH'!$A$9:$A$1048576,0),MATCH(W$9,'01_FASTPPH'!$8:$8,0))</f>
        <v>-412.68599999999998</v>
      </c>
      <c r="X34" s="20">
        <f>INDEX('01_FASTPPH'!$9:$1048576,MATCH($A34,'01_FASTPPH'!$A$9:$A$1048576,0),MATCH(X$9,'01_FASTPPH'!$8:$8,0))</f>
        <v>0</v>
      </c>
      <c r="Y34" s="20">
        <f>INDEX('01_FASTPPH'!$9:$1048576,MATCH($A34,'01_FASTPPH'!$A$9:$A$1048576,0),MATCH(Y$9,'01_FASTPPH'!$8:$8,0))</f>
        <v>0</v>
      </c>
      <c r="AA34" s="32">
        <f>INDEX('02_PROPERTIES'!$C$10:$I$1048576,MATCH('03_CALCULATIONS'!$D34,'02_PROPERTIES'!$C$10:$C$1048576,0),MATCH('03_CALCULATIONS'!AA$9,'02_PROPERTIES'!$C$10:$I$10,0))</f>
        <v>16.559999999999999</v>
      </c>
      <c r="AB34" s="20">
        <f>INDEX('02_PROPERTIES'!$C$10:$I$1048576,MATCH('03_CALCULATIONS'!$D34,'02_PROPERTIES'!$C$10:$C$1048576,0),MATCH('03_CALCULATIONS'!AB$9,'02_PROPERTIES'!$C$10:$I$10,0))</f>
        <v>79593.867056640505</v>
      </c>
      <c r="AC34" s="20">
        <f>INDEX('02_PROPERTIES'!$C$10:$I$1048576,MATCH('03_CALCULATIONS'!$D34,'02_PROPERTIES'!$C$10:$C$1048576,0),MATCH('03_CALCULATIONS'!AC$9,'02_PROPERTIES'!$C$10:$I$10,0))</f>
        <v>41017.370743551612</v>
      </c>
      <c r="AD34" s="20">
        <f>INDEX('02_PROPERTIES'!$C$10:$I$1048576,MATCH('03_CALCULATIONS'!$D34,'02_PROPERTIES'!$C$10:$C$1048576,0),MATCH('03_CALCULATIONS'!AD$9,'02_PROPERTIES'!$C$10:$I$10,0))</f>
        <v>19846.188560278148</v>
      </c>
      <c r="AE34" s="32">
        <f>INDEX('02_PROPERTIES'!$C$10:$I$1048576,MATCH('03_CALCULATIONS'!$D34,'02_PROPERTIES'!$C$10:$C$1048576,0),MATCH('03_CALCULATIONS'!AE$9,'02_PROPERTIES'!$C$10:$I$10,0))</f>
        <v>0.4142802271075095</v>
      </c>
      <c r="AF34" s="32">
        <f>INDEX('02_PROPERTIES'!$C$10:$I$1048576,MATCH('03_CALCULATIONS'!$D34,'02_PROPERTIES'!$C$10:$C$1048576,0),MATCH('03_CALCULATIONS'!AF$9,'02_PROPERTIES'!$C$10:$I$10,0))</f>
        <v>1</v>
      </c>
      <c r="AH34" s="20">
        <f t="shared" si="0"/>
        <v>3352.8572898550728</v>
      </c>
      <c r="AI34" s="20">
        <f t="shared" si="1"/>
        <v>-1511.7254492753625</v>
      </c>
      <c r="AJ34" s="20">
        <f t="shared" si="2"/>
        <v>-544.0029130434782</v>
      </c>
      <c r="AL34" s="20">
        <f t="shared" si="3"/>
        <v>3018.900250398844</v>
      </c>
      <c r="AM34" s="20">
        <f t="shared" si="4"/>
        <v>-4270.5306203843575</v>
      </c>
      <c r="AN34" s="20">
        <f t="shared" si="5"/>
        <v>-827.62534867944225</v>
      </c>
      <c r="AO34" s="20">
        <f t="shared" si="6"/>
        <v>-1039.6278593324778</v>
      </c>
      <c r="AP34" s="20">
        <f t="shared" si="7"/>
        <v>-212.00251065303559</v>
      </c>
      <c r="AR34" s="20">
        <f t="shared" si="8"/>
        <v>3042.3167011893606</v>
      </c>
      <c r="AS34" s="20">
        <f t="shared" si="9"/>
        <v>-4293.9470711748745</v>
      </c>
      <c r="AT34" s="20">
        <f t="shared" si="10"/>
        <v>3737.5010799675433</v>
      </c>
    </row>
    <row r="35" spans="1:46" x14ac:dyDescent="0.3">
      <c r="A35" s="18">
        <v>113</v>
      </c>
      <c r="B35" s="20">
        <f>INDEX('01_FASTPPH'!$9:$1048576,MATCH($A35,'01_FASTPPH'!$A$9:$A$1048576,0),MATCH(B$9,'01_FASTPPH'!$8:$8,0))</f>
        <v>19</v>
      </c>
      <c r="C35" s="20">
        <f>INDEX('01_FASTPPH'!$9:$1048576,MATCH($A35,'01_FASTPPH'!$A$9:$A$1048576,0),MATCH(C$9,'01_FASTPPH'!$8:$8,0))</f>
        <v>1101201</v>
      </c>
      <c r="D35" s="20" t="str">
        <f>INDEX('01_FASTPPH'!$9:$1048576,MATCH($A35,'01_FASTPPH'!$A$9:$A$1048576,0),MATCH(D$9,'01_FASTPPH'!$8:$8,0))</f>
        <v>SkinLH</v>
      </c>
      <c r="E35" s="20">
        <f>INDEX('01_FASTPPH'!$9:$1048576,MATCH($A35,'01_FASTPPH'!$A$9:$A$1048576,0),MATCH(E$9,'01_FASTPPH'!$8:$8,0))</f>
        <v>2909010</v>
      </c>
      <c r="F35" s="20">
        <f>INDEX('01_FASTPPH'!$9:$1048576,MATCH($A35,'01_FASTPPH'!$A$9:$A$1048576,0),MATCH(F$9,'01_FASTPPH'!$8:$8,0))</f>
        <v>1909012</v>
      </c>
      <c r="G35" s="20">
        <f>INDEX('01_FASTPPH'!$9:$1048576,MATCH($A35,'01_FASTPPH'!$A$9:$A$1048576,0),MATCH(G$9,'01_FASTPPH'!$8:$8,0))</f>
        <v>3909010</v>
      </c>
      <c r="H35" s="20">
        <f>INDEX('01_FASTPPH'!$9:$1048576,MATCH($A35,'01_FASTPPH'!$A$9:$A$1048576,0),MATCH(H$9,'01_FASTPPH'!$8:$8,0))</f>
        <v>1909013</v>
      </c>
      <c r="I35" s="20">
        <f>INDEX('01_FASTPPH'!$9:$1048576,MATCH($A35,'01_FASTPPH'!$A$9:$A$1048576,0),MATCH(I$9,'01_FASTPPH'!$8:$8,0))</f>
        <v>57.914999999999999</v>
      </c>
      <c r="J35" s="20" t="str">
        <f>INDEX('01_FASTPPH'!$9:$1048576,MATCH($A35,'01_FASTPPH'!$A$9:$A$1048576,0),MATCH(J$9,'01_FASTPPH'!$8:$8,0))</f>
        <v xml:space="preserve">SUBCASE 101 = STLN ULT (INTACT) :STLN ULT (INTACT) </v>
      </c>
      <c r="K35" s="23">
        <f>INDEX('01_FASTPPH'!$9:$1048576,MATCH($A35,'01_FASTPPH'!$A$9:$A$1048576,0),MATCH(K$9,'01_FASTPPH'!$8:$8,0))</f>
        <v>-1694.68</v>
      </c>
      <c r="L35" s="20">
        <f>INDEX('01_FASTPPH'!$9:$1048576,MATCH($A35,'01_FASTPPH'!$A$9:$A$1048576,0),MATCH(L$9,'01_FASTPPH'!$8:$8,0))</f>
        <v>-6806.92</v>
      </c>
      <c r="M35" s="20">
        <f>INDEX('01_FASTPPH'!$9:$1048576,MATCH($A35,'01_FASTPPH'!$A$9:$A$1048576,0),MATCH(M$9,'01_FASTPPH'!$8:$8,0))</f>
        <v>-207.96100000000001</v>
      </c>
      <c r="N35" s="24">
        <f>INDEX('01_FASTPPH'!$9:$1048576,MATCH($A35,'01_FASTPPH'!$A$9:$A$1048576,0),MATCH(N$9,'01_FASTPPH'!$8:$8,0))</f>
        <v>0</v>
      </c>
      <c r="O35" s="23">
        <f>INDEX('01_FASTPPH'!$9:$1048576,MATCH($A35,'01_FASTPPH'!$A$9:$A$1048576,0),MATCH(O$9,'01_FASTPPH'!$8:$8,0))</f>
        <v>-14.165100000000001</v>
      </c>
      <c r="P35" s="20">
        <f>INDEX('01_FASTPPH'!$9:$1048576,MATCH($A35,'01_FASTPPH'!$A$9:$A$1048576,0),MATCH(P$9,'01_FASTPPH'!$8:$8,0))</f>
        <v>-150.52199999999999</v>
      </c>
      <c r="Q35" s="20">
        <f>INDEX('01_FASTPPH'!$9:$1048576,MATCH($A35,'01_FASTPPH'!$A$9:$A$1048576,0),MATCH(Q$9,'01_FASTPPH'!$8:$8,0))</f>
        <v>-357.31599999999997</v>
      </c>
      <c r="R35" s="20">
        <f>INDEX('01_FASTPPH'!$9:$1048576,MATCH($A35,'01_FASTPPH'!$A$9:$A$1048576,0),MATCH(R$9,'01_FASTPPH'!$8:$8,0))</f>
        <v>-463.95600000000002</v>
      </c>
      <c r="S35" s="20">
        <f>INDEX('01_FASTPPH'!$9:$1048576,MATCH($A35,'01_FASTPPH'!$A$9:$A$1048576,0),MATCH(S$9,'01_FASTPPH'!$8:$8,0))</f>
        <v>-443.29399999999998</v>
      </c>
      <c r="T35" s="24">
        <f>INDEX('01_FASTPPH'!$9:$1048576,MATCH($A35,'01_FASTPPH'!$A$9:$A$1048576,0),MATCH(T$9,'01_FASTPPH'!$8:$8,0))</f>
        <v>-598.21400000000006</v>
      </c>
      <c r="U35" s="23">
        <f>INDEX('01_FASTPPH'!$9:$1048576,MATCH($A35,'01_FASTPPH'!$A$9:$A$1048576,0),MATCH(U$9,'01_FASTPPH'!$8:$8,0))</f>
        <v>-3821.08</v>
      </c>
      <c r="V35" s="20">
        <f>INDEX('01_FASTPPH'!$9:$1048576,MATCH($A35,'01_FASTPPH'!$A$9:$A$1048576,0),MATCH(V$9,'01_FASTPPH'!$8:$8,0))</f>
        <v>-1916.96</v>
      </c>
      <c r="W35" s="24">
        <f>INDEX('01_FASTPPH'!$9:$1048576,MATCH($A35,'01_FASTPPH'!$A$9:$A$1048576,0),MATCH(W$9,'01_FASTPPH'!$8:$8,0))</f>
        <v>209.00800000000001</v>
      </c>
      <c r="X35" s="20">
        <f>INDEX('01_FASTPPH'!$9:$1048576,MATCH($A35,'01_FASTPPH'!$A$9:$A$1048576,0),MATCH(X$9,'01_FASTPPH'!$8:$8,0))</f>
        <v>0.38255800000000001</v>
      </c>
      <c r="Y35" s="20">
        <f>INDEX('01_FASTPPH'!$9:$1048576,MATCH($A35,'01_FASTPPH'!$A$9:$A$1048576,0),MATCH(Y$9,'01_FASTPPH'!$8:$8,0))</f>
        <v>0</v>
      </c>
      <c r="AA35" s="32">
        <f>INDEX('02_PROPERTIES'!$C$10:$I$1048576,MATCH('03_CALCULATIONS'!$D35,'02_PROPERTIES'!$C$10:$C$1048576,0),MATCH('03_CALCULATIONS'!AA$9,'02_PROPERTIES'!$C$10:$I$10,0))</f>
        <v>16.559999999999999</v>
      </c>
      <c r="AB35" s="20">
        <f>INDEX('02_PROPERTIES'!$C$10:$I$1048576,MATCH('03_CALCULATIONS'!$D35,'02_PROPERTIES'!$C$10:$C$1048576,0),MATCH('03_CALCULATIONS'!AB$9,'02_PROPERTIES'!$C$10:$I$10,0))</f>
        <v>79593.867056640505</v>
      </c>
      <c r="AC35" s="20">
        <f>INDEX('02_PROPERTIES'!$C$10:$I$1048576,MATCH('03_CALCULATIONS'!$D35,'02_PROPERTIES'!$C$10:$C$1048576,0),MATCH('03_CALCULATIONS'!AC$9,'02_PROPERTIES'!$C$10:$I$10,0))</f>
        <v>41017.370743551612</v>
      </c>
      <c r="AD35" s="20">
        <f>INDEX('02_PROPERTIES'!$C$10:$I$1048576,MATCH('03_CALCULATIONS'!$D35,'02_PROPERTIES'!$C$10:$C$1048576,0),MATCH('03_CALCULATIONS'!AD$9,'02_PROPERTIES'!$C$10:$I$10,0))</f>
        <v>19846.188560278148</v>
      </c>
      <c r="AE35" s="32">
        <f>INDEX('02_PROPERTIES'!$C$10:$I$1048576,MATCH('03_CALCULATIONS'!$D35,'02_PROPERTIES'!$C$10:$C$1048576,0),MATCH('03_CALCULATIONS'!AE$9,'02_PROPERTIES'!$C$10:$I$10,0))</f>
        <v>0.4142802271075095</v>
      </c>
      <c r="AF35" s="32">
        <f>INDEX('02_PROPERTIES'!$C$10:$I$1048576,MATCH('03_CALCULATIONS'!$D35,'02_PROPERTIES'!$C$10:$C$1048576,0),MATCH('03_CALCULATIONS'!AF$9,'02_PROPERTIES'!$C$10:$I$10,0))</f>
        <v>1</v>
      </c>
      <c r="AH35" s="20">
        <f t="shared" si="0"/>
        <v>-1398.6143753623189</v>
      </c>
      <c r="AI35" s="20">
        <f t="shared" si="1"/>
        <v>-1051.8667246376813</v>
      </c>
      <c r="AJ35" s="20">
        <f t="shared" si="2"/>
        <v>-519.02153623188406</v>
      </c>
      <c r="AL35" s="20">
        <f t="shared" si="3"/>
        <v>-730.49500217835634</v>
      </c>
      <c r="AM35" s="20">
        <f t="shared" si="4"/>
        <v>-695.54666395955508</v>
      </c>
      <c r="AN35" s="20">
        <f t="shared" si="5"/>
        <v>-789.61963180098189</v>
      </c>
      <c r="AO35" s="20">
        <f t="shared" si="6"/>
        <v>-1107.8306489694467</v>
      </c>
      <c r="AP35" s="20">
        <f t="shared" si="7"/>
        <v>-318.21101716846471</v>
      </c>
      <c r="AR35" s="20">
        <f t="shared" si="8"/>
        <v>-317.82450550828173</v>
      </c>
      <c r="AS35" s="20">
        <f t="shared" si="9"/>
        <v>-1108.2171606296297</v>
      </c>
      <c r="AT35" s="20">
        <f t="shared" si="10"/>
        <v>789.81295856144459</v>
      </c>
    </row>
    <row r="36" spans="1:46" x14ac:dyDescent="0.3">
      <c r="A36" s="18">
        <v>17</v>
      </c>
      <c r="B36" s="20">
        <f>INDEX('01_FASTPPH'!$9:$1048576,MATCH($A36,'01_FASTPPH'!$A$9:$A$1048576,0),MATCH(B$9,'01_FASTPPH'!$8:$8,0))</f>
        <v>3</v>
      </c>
      <c r="C36" s="20">
        <f>INDEX('01_FASTPPH'!$9:$1048576,MATCH($A36,'01_FASTPPH'!$A$9:$A$1048576,0),MATCH(C$9,'01_FASTPPH'!$8:$8,0))</f>
        <v>1101227</v>
      </c>
      <c r="D36" s="20" t="str">
        <f>INDEX('01_FASTPPH'!$9:$1048576,MATCH($A36,'01_FASTPPH'!$A$9:$A$1048576,0),MATCH(D$9,'01_FASTPPH'!$8:$8,0))</f>
        <v>SkinLH</v>
      </c>
      <c r="E36" s="20">
        <f>INDEX('01_FASTPPH'!$9:$1048576,MATCH($A36,'01_FASTPPH'!$A$9:$A$1048576,0),MATCH(E$9,'01_FASTPPH'!$8:$8,0))</f>
        <v>3910010</v>
      </c>
      <c r="F36" s="20">
        <f>INDEX('01_FASTPPH'!$9:$1048576,MATCH($A36,'01_FASTPPH'!$A$9:$A$1048576,0),MATCH(F$9,'01_FASTPPH'!$8:$8,0))</f>
        <v>1910013</v>
      </c>
      <c r="G36" s="20">
        <f>INDEX('01_FASTPPH'!$9:$1048576,MATCH($A36,'01_FASTPPH'!$A$9:$A$1048576,0),MATCH(G$9,'01_FASTPPH'!$8:$8,0))</f>
        <v>2910010</v>
      </c>
      <c r="H36" s="20">
        <f>INDEX('01_FASTPPH'!$9:$1048576,MATCH($A36,'01_FASTPPH'!$A$9:$A$1048576,0),MATCH(H$9,'01_FASTPPH'!$8:$8,0))</f>
        <v>1910012</v>
      </c>
      <c r="I36" s="20">
        <f>INDEX('01_FASTPPH'!$9:$1048576,MATCH($A36,'01_FASTPPH'!$A$9:$A$1048576,0),MATCH(I$9,'01_FASTPPH'!$8:$8,0))</f>
        <v>57.914999999999999</v>
      </c>
      <c r="J36" s="20" t="str">
        <f>INDEX('01_FASTPPH'!$9:$1048576,MATCH($A36,'01_FASTPPH'!$A$9:$A$1048576,0),MATCH(J$9,'01_FASTPPH'!$8:$8,0))</f>
        <v xml:space="preserve">SUBCASE 101 = STLN ULT (INTACT) :STLN ULT (INTACT) </v>
      </c>
      <c r="K36" s="23">
        <f>INDEX('01_FASTPPH'!$9:$1048576,MATCH($A36,'01_FASTPPH'!$A$9:$A$1048576,0),MATCH(K$9,'01_FASTPPH'!$8:$8,0))</f>
        <v>3042.98</v>
      </c>
      <c r="L36" s="20">
        <f>INDEX('01_FASTPPH'!$9:$1048576,MATCH($A36,'01_FASTPPH'!$A$9:$A$1048576,0),MATCH(L$9,'01_FASTPPH'!$8:$8,0))</f>
        <v>-3734.79</v>
      </c>
      <c r="M36" s="20">
        <f>INDEX('01_FASTPPH'!$9:$1048576,MATCH($A36,'01_FASTPPH'!$A$9:$A$1048576,0),MATCH(M$9,'01_FASTPPH'!$8:$8,0))</f>
        <v>2.8233600000000001</v>
      </c>
      <c r="N36" s="24">
        <f>INDEX('01_FASTPPH'!$9:$1048576,MATCH($A36,'01_FASTPPH'!$A$9:$A$1048576,0),MATCH(N$9,'01_FASTPPH'!$8:$8,0))</f>
        <v>0</v>
      </c>
      <c r="O36" s="23">
        <f>INDEX('01_FASTPPH'!$9:$1048576,MATCH($A36,'01_FASTPPH'!$A$9:$A$1048576,0),MATCH(O$9,'01_FASTPPH'!$8:$8,0))</f>
        <v>858.94200000000001</v>
      </c>
      <c r="P36" s="20">
        <f>INDEX('01_FASTPPH'!$9:$1048576,MATCH($A36,'01_FASTPPH'!$A$9:$A$1048576,0),MATCH(P$9,'01_FASTPPH'!$8:$8,0))</f>
        <v>873.17</v>
      </c>
      <c r="Q36" s="20">
        <f>INDEX('01_FASTPPH'!$9:$1048576,MATCH($A36,'01_FASTPPH'!$A$9:$A$1048576,0),MATCH(Q$9,'01_FASTPPH'!$8:$8,0))</f>
        <v>-256.12799999999999</v>
      </c>
      <c r="R36" s="20">
        <f>INDEX('01_FASTPPH'!$9:$1048576,MATCH($A36,'01_FASTPPH'!$A$9:$A$1048576,0),MATCH(R$9,'01_FASTPPH'!$8:$8,0))</f>
        <v>-359.06200000000001</v>
      </c>
      <c r="S36" s="20">
        <f>INDEX('01_FASTPPH'!$9:$1048576,MATCH($A36,'01_FASTPPH'!$A$9:$A$1048576,0),MATCH(S$9,'01_FASTPPH'!$8:$8,0))</f>
        <v>-438.447</v>
      </c>
      <c r="T36" s="24">
        <f>INDEX('01_FASTPPH'!$9:$1048576,MATCH($A36,'01_FASTPPH'!$A$9:$A$1048576,0),MATCH(T$9,'01_FASTPPH'!$8:$8,0))</f>
        <v>-493.923</v>
      </c>
      <c r="U36" s="23">
        <f>INDEX('01_FASTPPH'!$9:$1048576,MATCH($A36,'01_FASTPPH'!$A$9:$A$1048576,0),MATCH(U$9,'01_FASTPPH'!$8:$8,0))</f>
        <v>-4915.99</v>
      </c>
      <c r="V36" s="20">
        <f>INDEX('01_FASTPPH'!$9:$1048576,MATCH($A36,'01_FASTPPH'!$A$9:$A$1048576,0),MATCH(V$9,'01_FASTPPH'!$8:$8,0))</f>
        <v>-2734.28</v>
      </c>
      <c r="W36" s="24">
        <f>INDEX('01_FASTPPH'!$9:$1048576,MATCH($A36,'01_FASTPPH'!$A$9:$A$1048576,0),MATCH(W$9,'01_FASTPPH'!$8:$8,0))</f>
        <v>264.755</v>
      </c>
      <c r="X36" s="20">
        <f>INDEX('01_FASTPPH'!$9:$1048576,MATCH($A36,'01_FASTPPH'!$A$9:$A$1048576,0),MATCH(X$9,'01_FASTPPH'!$8:$8,0))</f>
        <v>0</v>
      </c>
      <c r="Y36" s="20">
        <f>INDEX('01_FASTPPH'!$9:$1048576,MATCH($A36,'01_FASTPPH'!$A$9:$A$1048576,0),MATCH(Y$9,'01_FASTPPH'!$8:$8,0))</f>
        <v>0</v>
      </c>
      <c r="AA36" s="32">
        <f>INDEX('02_PROPERTIES'!$C$10:$I$1048576,MATCH('03_CALCULATIONS'!$D36,'02_PROPERTIES'!$C$10:$C$1048576,0),MATCH('03_CALCULATIONS'!AA$9,'02_PROPERTIES'!$C$10:$I$10,0))</f>
        <v>16.559999999999999</v>
      </c>
      <c r="AB36" s="20">
        <f>INDEX('02_PROPERTIES'!$C$10:$I$1048576,MATCH('03_CALCULATIONS'!$D36,'02_PROPERTIES'!$C$10:$C$1048576,0),MATCH('03_CALCULATIONS'!AB$9,'02_PROPERTIES'!$C$10:$I$10,0))</f>
        <v>79593.867056640505</v>
      </c>
      <c r="AC36" s="20">
        <f>INDEX('02_PROPERTIES'!$C$10:$I$1048576,MATCH('03_CALCULATIONS'!$D36,'02_PROPERTIES'!$C$10:$C$1048576,0),MATCH('03_CALCULATIONS'!AC$9,'02_PROPERTIES'!$C$10:$I$10,0))</f>
        <v>41017.370743551612</v>
      </c>
      <c r="AD36" s="20">
        <f>INDEX('02_PROPERTIES'!$C$10:$I$1048576,MATCH('03_CALCULATIONS'!$D36,'02_PROPERTIES'!$C$10:$C$1048576,0),MATCH('03_CALCULATIONS'!AD$9,'02_PROPERTIES'!$C$10:$I$10,0))</f>
        <v>19846.188560278148</v>
      </c>
      <c r="AE36" s="32">
        <f>INDEX('02_PROPERTIES'!$C$10:$I$1048576,MATCH('03_CALCULATIONS'!$D36,'02_PROPERTIES'!$C$10:$C$1048576,0),MATCH('03_CALCULATIONS'!AE$9,'02_PROPERTIES'!$C$10:$I$10,0))</f>
        <v>0.4142802271075095</v>
      </c>
      <c r="AF36" s="32">
        <f>INDEX('02_PROPERTIES'!$C$10:$I$1048576,MATCH('03_CALCULATIONS'!$D36,'02_PROPERTIES'!$C$10:$C$1048576,0),MATCH('03_CALCULATIONS'!AF$9,'02_PROPERTIES'!$C$10:$I$10,0))</f>
        <v>1</v>
      </c>
      <c r="AH36" s="20">
        <f t="shared" si="0"/>
        <v>2640.097797101449</v>
      </c>
      <c r="AI36" s="20">
        <f t="shared" si="1"/>
        <v>-1246.8091594202899</v>
      </c>
      <c r="AJ36" s="20">
        <f t="shared" si="2"/>
        <v>-534.37272463768113</v>
      </c>
      <c r="AL36" s="20">
        <f t="shared" si="3"/>
        <v>2394.8770165961109</v>
      </c>
      <c r="AM36" s="20">
        <f t="shared" si="4"/>
        <v>-3445.7968925014438</v>
      </c>
      <c r="AN36" s="20">
        <f t="shared" si="5"/>
        <v>-812.97434618277089</v>
      </c>
      <c r="AO36" s="20">
        <f t="shared" si="6"/>
        <v>-931.94711104405189</v>
      </c>
      <c r="AP36" s="20">
        <f t="shared" si="7"/>
        <v>-118.97276486128101</v>
      </c>
      <c r="AR36" s="20">
        <f t="shared" si="8"/>
        <v>2423.0311592004273</v>
      </c>
      <c r="AS36" s="20">
        <f t="shared" si="9"/>
        <v>-3473.9510351057606</v>
      </c>
      <c r="AT36" s="20">
        <f t="shared" si="10"/>
        <v>3031.3850325642456</v>
      </c>
    </row>
    <row r="37" spans="1:46" x14ac:dyDescent="0.3">
      <c r="A37" s="18">
        <v>29</v>
      </c>
      <c r="B37" s="20">
        <f>INDEX('01_FASTPPH'!$9:$1048576,MATCH($A37,'01_FASTPPH'!$A$9:$A$1048576,0),MATCH(B$9,'01_FASTPPH'!$8:$8,0))</f>
        <v>5</v>
      </c>
      <c r="C37" s="20">
        <f>INDEX('01_FASTPPH'!$9:$1048576,MATCH($A37,'01_FASTPPH'!$A$9:$A$1048576,0),MATCH(C$9,'01_FASTPPH'!$8:$8,0))</f>
        <v>1101134</v>
      </c>
      <c r="D37" s="20" t="str">
        <f>INDEX('01_FASTPPH'!$9:$1048576,MATCH($A37,'01_FASTPPH'!$A$9:$A$1048576,0),MATCH(D$9,'01_FASTPPH'!$8:$8,0))</f>
        <v>SkinLH</v>
      </c>
      <c r="E37" s="20">
        <f>INDEX('01_FASTPPH'!$9:$1048576,MATCH($A37,'01_FASTPPH'!$A$9:$A$1048576,0),MATCH(E$9,'01_FASTPPH'!$8:$8,0))</f>
        <v>2911010</v>
      </c>
      <c r="F37" s="20">
        <f>INDEX('01_FASTPPH'!$9:$1048576,MATCH($A37,'01_FASTPPH'!$A$9:$A$1048576,0),MATCH(F$9,'01_FASTPPH'!$8:$8,0))</f>
        <v>1911012</v>
      </c>
      <c r="G37" s="20">
        <f>INDEX('01_FASTPPH'!$9:$1048576,MATCH($A37,'01_FASTPPH'!$A$9:$A$1048576,0),MATCH(G$9,'01_FASTPPH'!$8:$8,0))</f>
        <v>3911010</v>
      </c>
      <c r="H37" s="20">
        <f>INDEX('01_FASTPPH'!$9:$1048576,MATCH($A37,'01_FASTPPH'!$A$9:$A$1048576,0),MATCH(H$9,'01_FASTPPH'!$8:$8,0))</f>
        <v>1911011</v>
      </c>
      <c r="I37" s="20">
        <f>INDEX('01_FASTPPH'!$9:$1048576,MATCH($A37,'01_FASTPPH'!$A$9:$A$1048576,0),MATCH(I$9,'01_FASTPPH'!$8:$8,0))</f>
        <v>57.914999999999999</v>
      </c>
      <c r="J37" s="20" t="str">
        <f>INDEX('01_FASTPPH'!$9:$1048576,MATCH($A37,'01_FASTPPH'!$A$9:$A$1048576,0),MATCH(J$9,'01_FASTPPH'!$8:$8,0))</f>
        <v xml:space="preserve">SUBCASE 101 = STLN ULT (INTACT) :STLN ULT (INTACT) </v>
      </c>
      <c r="K37" s="23">
        <f>INDEX('01_FASTPPH'!$9:$1048576,MATCH($A37,'01_FASTPPH'!$A$9:$A$1048576,0),MATCH(K$9,'01_FASTPPH'!$8:$8,0))</f>
        <v>1478.75</v>
      </c>
      <c r="L37" s="20">
        <f>INDEX('01_FASTPPH'!$9:$1048576,MATCH($A37,'01_FASTPPH'!$A$9:$A$1048576,0),MATCH(L$9,'01_FASTPPH'!$8:$8,0))</f>
        <v>1759.27</v>
      </c>
      <c r="M37" s="20">
        <f>INDEX('01_FASTPPH'!$9:$1048576,MATCH($A37,'01_FASTPPH'!$A$9:$A$1048576,0),MATCH(M$9,'01_FASTPPH'!$8:$8,0))</f>
        <v>3388.8</v>
      </c>
      <c r="N37" s="24">
        <f>INDEX('01_FASTPPH'!$9:$1048576,MATCH($A37,'01_FASTPPH'!$A$9:$A$1048576,0),MATCH(N$9,'01_FASTPPH'!$8:$8,0))</f>
        <v>33471.199999999997</v>
      </c>
      <c r="O37" s="23">
        <f>INDEX('01_FASTPPH'!$9:$1048576,MATCH($A37,'01_FASTPPH'!$A$9:$A$1048576,0),MATCH(O$9,'01_FASTPPH'!$8:$8,0))</f>
        <v>1513.25</v>
      </c>
      <c r="P37" s="20">
        <f>INDEX('01_FASTPPH'!$9:$1048576,MATCH($A37,'01_FASTPPH'!$A$9:$A$1048576,0),MATCH(P$9,'01_FASTPPH'!$8:$8,0))</f>
        <v>1614.54</v>
      </c>
      <c r="Q37" s="20">
        <f>INDEX('01_FASTPPH'!$9:$1048576,MATCH($A37,'01_FASTPPH'!$A$9:$A$1048576,0),MATCH(Q$9,'01_FASTPPH'!$8:$8,0))</f>
        <v>-75.859399999999994</v>
      </c>
      <c r="R37" s="20">
        <f>INDEX('01_FASTPPH'!$9:$1048576,MATCH($A37,'01_FASTPPH'!$A$9:$A$1048576,0),MATCH(R$9,'01_FASTPPH'!$8:$8,0))</f>
        <v>-239.64099999999999</v>
      </c>
      <c r="S37" s="20">
        <f>INDEX('01_FASTPPH'!$9:$1048576,MATCH($A37,'01_FASTPPH'!$A$9:$A$1048576,0),MATCH(S$9,'01_FASTPPH'!$8:$8,0))</f>
        <v>-433.75599999999997</v>
      </c>
      <c r="T37" s="24">
        <f>INDEX('01_FASTPPH'!$9:$1048576,MATCH($A37,'01_FASTPPH'!$A$9:$A$1048576,0),MATCH(T$9,'01_FASTPPH'!$8:$8,0))</f>
        <v>-624.28499999999997</v>
      </c>
      <c r="U37" s="23">
        <f>INDEX('01_FASTPPH'!$9:$1048576,MATCH($A37,'01_FASTPPH'!$A$9:$A$1048576,0),MATCH(U$9,'01_FASTPPH'!$8:$8,0))</f>
        <v>-4884.1000000000004</v>
      </c>
      <c r="V37" s="20">
        <f>INDEX('01_FASTPPH'!$9:$1048576,MATCH($A37,'01_FASTPPH'!$A$9:$A$1048576,0),MATCH(V$9,'01_FASTPPH'!$8:$8,0))</f>
        <v>-1337.31</v>
      </c>
      <c r="W37" s="24">
        <f>INDEX('01_FASTPPH'!$9:$1048576,MATCH($A37,'01_FASTPPH'!$A$9:$A$1048576,0),MATCH(W$9,'01_FASTPPH'!$8:$8,0))</f>
        <v>495.56099999999998</v>
      </c>
      <c r="X37" s="20">
        <f>INDEX('01_FASTPPH'!$9:$1048576,MATCH($A37,'01_FASTPPH'!$A$9:$A$1048576,0),MATCH(X$9,'01_FASTPPH'!$8:$8,0))</f>
        <v>0</v>
      </c>
      <c r="Y37" s="20">
        <f>INDEX('01_FASTPPH'!$9:$1048576,MATCH($A37,'01_FASTPPH'!$A$9:$A$1048576,0),MATCH(Y$9,'01_FASTPPH'!$8:$8,0))</f>
        <v>0</v>
      </c>
      <c r="AA37" s="32">
        <f>INDEX('02_PROPERTIES'!$C$10:$I$1048576,MATCH('03_CALCULATIONS'!$D37,'02_PROPERTIES'!$C$10:$C$1048576,0),MATCH('03_CALCULATIONS'!AA$9,'02_PROPERTIES'!$C$10:$I$10,0))</f>
        <v>16.559999999999999</v>
      </c>
      <c r="AB37" s="20">
        <f>INDEX('02_PROPERTIES'!$C$10:$I$1048576,MATCH('03_CALCULATIONS'!$D37,'02_PROPERTIES'!$C$10:$C$1048576,0),MATCH('03_CALCULATIONS'!AB$9,'02_PROPERTIES'!$C$10:$I$10,0))</f>
        <v>79593.867056640505</v>
      </c>
      <c r="AC37" s="20">
        <f>INDEX('02_PROPERTIES'!$C$10:$I$1048576,MATCH('03_CALCULATIONS'!$D37,'02_PROPERTIES'!$C$10:$C$1048576,0),MATCH('03_CALCULATIONS'!AC$9,'02_PROPERTIES'!$C$10:$I$10,0))</f>
        <v>41017.370743551612</v>
      </c>
      <c r="AD37" s="20">
        <f>INDEX('02_PROPERTIES'!$C$10:$I$1048576,MATCH('03_CALCULATIONS'!$D37,'02_PROPERTIES'!$C$10:$C$1048576,0),MATCH('03_CALCULATIONS'!AD$9,'02_PROPERTIES'!$C$10:$I$10,0))</f>
        <v>19846.188560278148</v>
      </c>
      <c r="AE37" s="32">
        <f>INDEX('02_PROPERTIES'!$C$10:$I$1048576,MATCH('03_CALCULATIONS'!$D37,'02_PROPERTIES'!$C$10:$C$1048576,0),MATCH('03_CALCULATIONS'!AE$9,'02_PROPERTIES'!$C$10:$I$10,0))</f>
        <v>0.4142802271075095</v>
      </c>
      <c r="AF37" s="32">
        <f>INDEX('02_PROPERTIES'!$C$10:$I$1048576,MATCH('03_CALCULATIONS'!$D37,'02_PROPERTIES'!$C$10:$C$1048576,0),MATCH('03_CALCULATIONS'!AF$9,'02_PROPERTIES'!$C$10:$I$10,0))</f>
        <v>1</v>
      </c>
      <c r="AH37" s="20">
        <f t="shared" si="0"/>
        <v>3282.8514492753625</v>
      </c>
      <c r="AI37" s="20">
        <f t="shared" si="1"/>
        <v>-560.39200869565218</v>
      </c>
      <c r="AJ37" s="20">
        <f t="shared" si="2"/>
        <v>-613.30708695652174</v>
      </c>
      <c r="AL37" s="20">
        <f t="shared" si="3"/>
        <v>2666.7771374272988</v>
      </c>
      <c r="AM37" s="20">
        <f t="shared" si="4"/>
        <v>-2827.2639968136759</v>
      </c>
      <c r="AN37" s="20">
        <f t="shared" si="5"/>
        <v>-933.06208389622441</v>
      </c>
      <c r="AO37" s="20">
        <f t="shared" si="6"/>
        <v>-546.77447164130081</v>
      </c>
      <c r="AP37" s="20">
        <f t="shared" si="7"/>
        <v>386.28761225492366</v>
      </c>
      <c r="AR37" s="20">
        <f t="shared" si="8"/>
        <v>2706.1113950346598</v>
      </c>
      <c r="AS37" s="20">
        <f t="shared" si="9"/>
        <v>-2866.5982544210365</v>
      </c>
      <c r="AT37" s="20">
        <f t="shared" si="10"/>
        <v>2901.1595696527502</v>
      </c>
    </row>
    <row r="38" spans="1:46" x14ac:dyDescent="0.3">
      <c r="A38" s="18">
        <v>231</v>
      </c>
      <c r="B38" s="20">
        <f>INDEX('01_FASTPPH'!$9:$1048576,MATCH($A38,'01_FASTPPH'!$A$9:$A$1048576,0),MATCH(B$9,'01_FASTPPH'!$8:$8,0))</f>
        <v>39</v>
      </c>
      <c r="C38" s="20">
        <f>INDEX('01_FASTPPH'!$9:$1048576,MATCH($A38,'01_FASTPPH'!$A$9:$A$1048576,0),MATCH(C$9,'01_FASTPPH'!$8:$8,0))</f>
        <v>1101517</v>
      </c>
      <c r="D38" s="20" t="str">
        <f>INDEX('01_FASTPPH'!$9:$1048576,MATCH($A38,'01_FASTPPH'!$A$9:$A$1048576,0),MATCH(D$9,'01_FASTPPH'!$8:$8,0))</f>
        <v>SkinLH</v>
      </c>
      <c r="E38" s="20">
        <f>INDEX('01_FASTPPH'!$9:$1048576,MATCH($A38,'01_FASTPPH'!$A$9:$A$1048576,0),MATCH(E$9,'01_FASTPPH'!$8:$8,0))</f>
        <v>3912010</v>
      </c>
      <c r="F38" s="20">
        <f>INDEX('01_FASTPPH'!$9:$1048576,MATCH($A38,'01_FASTPPH'!$A$9:$A$1048576,0),MATCH(F$9,'01_FASTPPH'!$8:$8,0))</f>
        <v>1912011</v>
      </c>
      <c r="G38" s="20">
        <f>INDEX('01_FASTPPH'!$9:$1048576,MATCH($A38,'01_FASTPPH'!$A$9:$A$1048576,0),MATCH(G$9,'01_FASTPPH'!$8:$8,0))</f>
        <v>0</v>
      </c>
      <c r="H38" s="20">
        <f>INDEX('01_FASTPPH'!$9:$1048576,MATCH($A38,'01_FASTPPH'!$A$9:$A$1048576,0),MATCH(H$9,'01_FASTPPH'!$8:$8,0))</f>
        <v>0</v>
      </c>
      <c r="I38" s="20">
        <f>INDEX('01_FASTPPH'!$9:$1048576,MATCH($A38,'01_FASTPPH'!$A$9:$A$1048576,0),MATCH(I$9,'01_FASTPPH'!$8:$8,0))</f>
        <v>57.914999999999999</v>
      </c>
      <c r="J38" s="20" t="str">
        <f>INDEX('01_FASTPPH'!$9:$1048576,MATCH($A38,'01_FASTPPH'!$A$9:$A$1048576,0),MATCH(J$9,'01_FASTPPH'!$8:$8,0))</f>
        <v xml:space="preserve">SUBCASE 101 = STLN ULT (INTACT) :STLN ULT (INTACT) </v>
      </c>
      <c r="K38" s="23">
        <f>INDEX('01_FASTPPH'!$9:$1048576,MATCH($A38,'01_FASTPPH'!$A$9:$A$1048576,0),MATCH(K$9,'01_FASTPPH'!$8:$8,0))</f>
        <v>-7346.22</v>
      </c>
      <c r="L38" s="20">
        <f>INDEX('01_FASTPPH'!$9:$1048576,MATCH($A38,'01_FASTPPH'!$A$9:$A$1048576,0),MATCH(L$9,'01_FASTPPH'!$8:$8,0))</f>
        <v>2089.69</v>
      </c>
      <c r="M38" s="20">
        <f>INDEX('01_FASTPPH'!$9:$1048576,MATCH($A38,'01_FASTPPH'!$A$9:$A$1048576,0),MATCH(M$9,'01_FASTPPH'!$8:$8,0))</f>
        <v>16864</v>
      </c>
      <c r="N38" s="24">
        <f>INDEX('01_FASTPPH'!$9:$1048576,MATCH($A38,'01_FASTPPH'!$A$9:$A$1048576,0),MATCH(N$9,'01_FASTPPH'!$8:$8,0))</f>
        <v>34896.699999999997</v>
      </c>
      <c r="O38" s="23">
        <f>INDEX('01_FASTPPH'!$9:$1048576,MATCH($A38,'01_FASTPPH'!$A$9:$A$1048576,0),MATCH(O$9,'01_FASTPPH'!$8:$8,0))</f>
        <v>1883.57</v>
      </c>
      <c r="P38" s="20">
        <f>INDEX('01_FASTPPH'!$9:$1048576,MATCH($A38,'01_FASTPPH'!$A$9:$A$1048576,0),MATCH(P$9,'01_FASTPPH'!$8:$8,0))</f>
        <v>2211.3200000000002</v>
      </c>
      <c r="Q38" s="20">
        <f>INDEX('01_FASTPPH'!$9:$1048576,MATCH($A38,'01_FASTPPH'!$A$9:$A$1048576,0),MATCH(Q$9,'01_FASTPPH'!$8:$8,0))</f>
        <v>11.7784</v>
      </c>
      <c r="R38" s="20">
        <f>INDEX('01_FASTPPH'!$9:$1048576,MATCH($A38,'01_FASTPPH'!$A$9:$A$1048576,0),MATCH(R$9,'01_FASTPPH'!$8:$8,0))</f>
        <v>-20.981400000000001</v>
      </c>
      <c r="S38" s="20">
        <f>INDEX('01_FASTPPH'!$9:$1048576,MATCH($A38,'01_FASTPPH'!$A$9:$A$1048576,0),MATCH(S$9,'01_FASTPPH'!$8:$8,0))</f>
        <v>-229.791</v>
      </c>
      <c r="T38" s="24">
        <f>INDEX('01_FASTPPH'!$9:$1048576,MATCH($A38,'01_FASTPPH'!$A$9:$A$1048576,0),MATCH(T$9,'01_FASTPPH'!$8:$8,0))</f>
        <v>-420.85199999999998</v>
      </c>
      <c r="U38" s="23">
        <f>INDEX('01_FASTPPH'!$9:$1048576,MATCH($A38,'01_FASTPPH'!$A$9:$A$1048576,0),MATCH(U$9,'01_FASTPPH'!$8:$8,0))</f>
        <v>-3927.98</v>
      </c>
      <c r="V38" s="20">
        <f>INDEX('01_FASTPPH'!$9:$1048576,MATCH($A38,'01_FASTPPH'!$A$9:$A$1048576,0),MATCH(V$9,'01_FASTPPH'!$8:$8,0))</f>
        <v>898.58900000000006</v>
      </c>
      <c r="W38" s="24">
        <f>INDEX('01_FASTPPH'!$9:$1048576,MATCH($A38,'01_FASTPPH'!$A$9:$A$1048576,0),MATCH(W$9,'01_FASTPPH'!$8:$8,0))</f>
        <v>568.41200000000003</v>
      </c>
      <c r="X38" s="20">
        <f>INDEX('01_FASTPPH'!$9:$1048576,MATCH($A38,'01_FASTPPH'!$A$9:$A$1048576,0),MATCH(X$9,'01_FASTPPH'!$8:$8,0))</f>
        <v>0</v>
      </c>
      <c r="Y38" s="20">
        <f>INDEX('01_FASTPPH'!$9:$1048576,MATCH($A38,'01_FASTPPH'!$A$9:$A$1048576,0),MATCH(Y$9,'01_FASTPPH'!$8:$8,0))</f>
        <v>0</v>
      </c>
      <c r="AA38" s="32">
        <f>INDEX('02_PROPERTIES'!$C$10:$I$1048576,MATCH('03_CALCULATIONS'!$D38,'02_PROPERTIES'!$C$10:$C$1048576,0),MATCH('03_CALCULATIONS'!AA$9,'02_PROPERTIES'!$C$10:$I$10,0))</f>
        <v>16.559999999999999</v>
      </c>
      <c r="AB38" s="20">
        <f>INDEX('02_PROPERTIES'!$C$10:$I$1048576,MATCH('03_CALCULATIONS'!$D38,'02_PROPERTIES'!$C$10:$C$1048576,0),MATCH('03_CALCULATIONS'!AB$9,'02_PROPERTIES'!$C$10:$I$10,0))</f>
        <v>79593.867056640505</v>
      </c>
      <c r="AC38" s="20">
        <f>INDEX('02_PROPERTIES'!$C$10:$I$1048576,MATCH('03_CALCULATIONS'!$D38,'02_PROPERTIES'!$C$10:$C$1048576,0),MATCH('03_CALCULATIONS'!AC$9,'02_PROPERTIES'!$C$10:$I$10,0))</f>
        <v>41017.370743551612</v>
      </c>
      <c r="AD38" s="20">
        <f>INDEX('02_PROPERTIES'!$C$10:$I$1048576,MATCH('03_CALCULATIONS'!$D38,'02_PROPERTIES'!$C$10:$C$1048576,0),MATCH('03_CALCULATIONS'!AD$9,'02_PROPERTIES'!$C$10:$I$10,0))</f>
        <v>19846.188560278148</v>
      </c>
      <c r="AE38" s="32">
        <f>INDEX('02_PROPERTIES'!$C$10:$I$1048576,MATCH('03_CALCULATIONS'!$D38,'02_PROPERTIES'!$C$10:$C$1048576,0),MATCH('03_CALCULATIONS'!AE$9,'02_PROPERTIES'!$C$10:$I$10,0))</f>
        <v>0.4142802271075095</v>
      </c>
      <c r="AF38" s="32">
        <f>INDEX('02_PROPERTIES'!$C$10:$I$1048576,MATCH('03_CALCULATIONS'!$D38,'02_PROPERTIES'!$C$10:$C$1048576,0),MATCH('03_CALCULATIONS'!AF$9,'02_PROPERTIES'!$C$10:$I$10,0))</f>
        <v>1</v>
      </c>
      <c r="AH38" s="20">
        <f t="shared" si="0"/>
        <v>3306.7511594202897</v>
      </c>
      <c r="AI38" s="20">
        <f t="shared" si="1"/>
        <v>337.3541246376812</v>
      </c>
      <c r="AJ38" s="20">
        <f t="shared" si="2"/>
        <v>-435.73737681159423</v>
      </c>
      <c r="AL38" s="20">
        <f t="shared" si="3"/>
        <v>2402.7413958158868</v>
      </c>
      <c r="AM38" s="20">
        <f t="shared" si="4"/>
        <v>-1520.1634959110056</v>
      </c>
      <c r="AN38" s="20">
        <f t="shared" si="5"/>
        <v>-662.91427815854161</v>
      </c>
      <c r="AO38" s="20">
        <f t="shared" si="6"/>
        <v>109.83181087316979</v>
      </c>
      <c r="AP38" s="20">
        <f t="shared" si="7"/>
        <v>772.74608903171134</v>
      </c>
      <c r="AR38" s="20">
        <f t="shared" si="8"/>
        <v>2430.5500018082071</v>
      </c>
      <c r="AS38" s="20">
        <f t="shared" si="9"/>
        <v>-1547.9721019033259</v>
      </c>
      <c r="AT38" s="20">
        <f t="shared" si="10"/>
        <v>2070.4470622477056</v>
      </c>
    </row>
    <row r="39" spans="1:46" x14ac:dyDescent="0.3">
      <c r="A39" s="18">
        <v>239</v>
      </c>
      <c r="B39" s="20">
        <f>INDEX('01_FASTPPH'!$9:$1048576,MATCH($A39,'01_FASTPPH'!$A$9:$A$1048576,0),MATCH(B$9,'01_FASTPPH'!$8:$8,0))</f>
        <v>40</v>
      </c>
      <c r="C39" s="20">
        <f>INDEX('01_FASTPPH'!$9:$1048576,MATCH($A39,'01_FASTPPH'!$A$9:$A$1048576,0),MATCH(C$9,'01_FASTPPH'!$8:$8,0))</f>
        <v>1101456</v>
      </c>
      <c r="D39" s="20" t="str">
        <f>INDEX('01_FASTPPH'!$9:$1048576,MATCH($A39,'01_FASTPPH'!$A$9:$A$1048576,0),MATCH(D$9,'01_FASTPPH'!$8:$8,0))</f>
        <v>SkinLH</v>
      </c>
      <c r="E39" s="20">
        <f>INDEX('01_FASTPPH'!$9:$1048576,MATCH($A39,'01_FASTPPH'!$A$9:$A$1048576,0),MATCH(E$9,'01_FASTPPH'!$8:$8,0))</f>
        <v>3913010</v>
      </c>
      <c r="F39" s="20">
        <f>INDEX('01_FASTPPH'!$9:$1048576,MATCH($A39,'01_FASTPPH'!$A$9:$A$1048576,0),MATCH(F$9,'01_FASTPPH'!$8:$8,0))</f>
        <v>1913011</v>
      </c>
      <c r="G39" s="20">
        <f>INDEX('01_FASTPPH'!$9:$1048576,MATCH($A39,'01_FASTPPH'!$A$9:$A$1048576,0),MATCH(G$9,'01_FASTPPH'!$8:$8,0))</f>
        <v>0</v>
      </c>
      <c r="H39" s="20">
        <f>INDEX('01_FASTPPH'!$9:$1048576,MATCH($A39,'01_FASTPPH'!$A$9:$A$1048576,0),MATCH(H$9,'01_FASTPPH'!$8:$8,0))</f>
        <v>0</v>
      </c>
      <c r="I39" s="20">
        <f>INDEX('01_FASTPPH'!$9:$1048576,MATCH($A39,'01_FASTPPH'!$A$9:$A$1048576,0),MATCH(I$9,'01_FASTPPH'!$8:$8,0))</f>
        <v>57.914999999999999</v>
      </c>
      <c r="J39" s="20" t="str">
        <f>INDEX('01_FASTPPH'!$9:$1048576,MATCH($A39,'01_FASTPPH'!$A$9:$A$1048576,0),MATCH(J$9,'01_FASTPPH'!$8:$8,0))</f>
        <v xml:space="preserve">SUBCASE 101 = STLN ULT (INTACT) :STLN ULT (INTACT) </v>
      </c>
      <c r="K39" s="23">
        <f>INDEX('01_FASTPPH'!$9:$1048576,MATCH($A39,'01_FASTPPH'!$A$9:$A$1048576,0),MATCH(K$9,'01_FASTPPH'!$8:$8,0))</f>
        <v>11353.5</v>
      </c>
      <c r="L39" s="20">
        <f>INDEX('01_FASTPPH'!$9:$1048576,MATCH($A39,'01_FASTPPH'!$A$9:$A$1048576,0),MATCH(L$9,'01_FASTPPH'!$8:$8,0))</f>
        <v>5479.32</v>
      </c>
      <c r="M39" s="20">
        <f>INDEX('01_FASTPPH'!$9:$1048576,MATCH($A39,'01_FASTPPH'!$A$9:$A$1048576,0),MATCH(M$9,'01_FASTPPH'!$8:$8,0))</f>
        <v>6526.3</v>
      </c>
      <c r="N39" s="24">
        <f>INDEX('01_FASTPPH'!$9:$1048576,MATCH($A39,'01_FASTPPH'!$A$9:$A$1048576,0),MATCH(N$9,'01_FASTPPH'!$8:$8,0))</f>
        <v>0</v>
      </c>
      <c r="O39" s="23">
        <f>INDEX('01_FASTPPH'!$9:$1048576,MATCH($A39,'01_FASTPPH'!$A$9:$A$1048576,0),MATCH(O$9,'01_FASTPPH'!$8:$8,0))</f>
        <v>2260.29</v>
      </c>
      <c r="P39" s="20">
        <f>INDEX('01_FASTPPH'!$9:$1048576,MATCH($A39,'01_FASTPPH'!$A$9:$A$1048576,0),MATCH(P$9,'01_FASTPPH'!$8:$8,0))</f>
        <v>2608.08</v>
      </c>
      <c r="Q39" s="20">
        <f>INDEX('01_FASTPPH'!$9:$1048576,MATCH($A39,'01_FASTPPH'!$A$9:$A$1048576,0),MATCH(Q$9,'01_FASTPPH'!$8:$8,0))</f>
        <v>-1.9315800000000001</v>
      </c>
      <c r="R39" s="20">
        <f>INDEX('01_FASTPPH'!$9:$1048576,MATCH($A39,'01_FASTPPH'!$A$9:$A$1048576,0),MATCH(R$9,'01_FASTPPH'!$8:$8,0))</f>
        <v>45.777900000000002</v>
      </c>
      <c r="S39" s="20">
        <f>INDEX('01_FASTPPH'!$9:$1048576,MATCH($A39,'01_FASTPPH'!$A$9:$A$1048576,0),MATCH(S$9,'01_FASTPPH'!$8:$8,0))</f>
        <v>-160.048</v>
      </c>
      <c r="T39" s="24">
        <f>INDEX('01_FASTPPH'!$9:$1048576,MATCH($A39,'01_FASTPPH'!$A$9:$A$1048576,0),MATCH(T$9,'01_FASTPPH'!$8:$8,0))</f>
        <v>-190.53800000000001</v>
      </c>
      <c r="U39" s="23">
        <f>INDEX('01_FASTPPH'!$9:$1048576,MATCH($A39,'01_FASTPPH'!$A$9:$A$1048576,0),MATCH(U$9,'01_FASTPPH'!$8:$8,0))</f>
        <v>-5579.35</v>
      </c>
      <c r="V39" s="20">
        <f>INDEX('01_FASTPPH'!$9:$1048576,MATCH($A39,'01_FASTPPH'!$A$9:$A$1048576,0),MATCH(V$9,'01_FASTPPH'!$8:$8,0))</f>
        <v>568.428</v>
      </c>
      <c r="W39" s="24">
        <f>INDEX('01_FASTPPH'!$9:$1048576,MATCH($A39,'01_FASTPPH'!$A$9:$A$1048576,0),MATCH(W$9,'01_FASTPPH'!$8:$8,0))</f>
        <v>561.71799999999996</v>
      </c>
      <c r="X39" s="20">
        <f>INDEX('01_FASTPPH'!$9:$1048576,MATCH($A39,'01_FASTPPH'!$A$9:$A$1048576,0),MATCH(X$9,'01_FASTPPH'!$8:$8,0))</f>
        <v>0</v>
      </c>
      <c r="Y39" s="20">
        <f>INDEX('01_FASTPPH'!$9:$1048576,MATCH($A39,'01_FASTPPH'!$A$9:$A$1048576,0),MATCH(Y$9,'01_FASTPPH'!$8:$8,0))</f>
        <v>0</v>
      </c>
      <c r="AA39" s="32">
        <f>INDEX('02_PROPERTIES'!$C$10:$I$1048576,MATCH('03_CALCULATIONS'!$D39,'02_PROPERTIES'!$C$10:$C$1048576,0),MATCH('03_CALCULATIONS'!AA$9,'02_PROPERTIES'!$C$10:$I$10,0))</f>
        <v>16.559999999999999</v>
      </c>
      <c r="AB39" s="20">
        <f>INDEX('02_PROPERTIES'!$C$10:$I$1048576,MATCH('03_CALCULATIONS'!$D39,'02_PROPERTIES'!$C$10:$C$1048576,0),MATCH('03_CALCULATIONS'!AB$9,'02_PROPERTIES'!$C$10:$I$10,0))</f>
        <v>79593.867056640505</v>
      </c>
      <c r="AC39" s="20">
        <f>INDEX('02_PROPERTIES'!$C$10:$I$1048576,MATCH('03_CALCULATIONS'!$D39,'02_PROPERTIES'!$C$10:$C$1048576,0),MATCH('03_CALCULATIONS'!AC$9,'02_PROPERTIES'!$C$10:$I$10,0))</f>
        <v>41017.370743551612</v>
      </c>
      <c r="AD39" s="20">
        <f>INDEX('02_PROPERTIES'!$C$10:$I$1048576,MATCH('03_CALCULATIONS'!$D39,'02_PROPERTIES'!$C$10:$C$1048576,0),MATCH('03_CALCULATIONS'!AD$9,'02_PROPERTIES'!$C$10:$I$10,0))</f>
        <v>19846.188560278148</v>
      </c>
      <c r="AE39" s="32">
        <f>INDEX('02_PROPERTIES'!$C$10:$I$1048576,MATCH('03_CALCULATIONS'!$D39,'02_PROPERTIES'!$C$10:$C$1048576,0),MATCH('03_CALCULATIONS'!AE$9,'02_PROPERTIES'!$C$10:$I$10,0))</f>
        <v>0.4142802271075095</v>
      </c>
      <c r="AF39" s="32">
        <f>INDEX('02_PROPERTIES'!$C$10:$I$1048576,MATCH('03_CALCULATIONS'!$D39,'02_PROPERTIES'!$C$10:$C$1048576,0),MATCH('03_CALCULATIONS'!AF$9,'02_PROPERTIES'!$C$10:$I$10,0))</f>
        <v>1</v>
      </c>
      <c r="AH39" s="20">
        <f t="shared" si="0"/>
        <v>4281.7936231884059</v>
      </c>
      <c r="AI39" s="20">
        <f t="shared" si="1"/>
        <v>-207.88375391304351</v>
      </c>
      <c r="AJ39" s="20">
        <f t="shared" si="2"/>
        <v>-363.56901449275364</v>
      </c>
      <c r="AL39" s="20">
        <f t="shared" si="3"/>
        <v>3313.8612088415484</v>
      </c>
      <c r="AM39" s="20">
        <f t="shared" si="4"/>
        <v>-2917.5605698446548</v>
      </c>
      <c r="AN39" s="20">
        <f t="shared" si="5"/>
        <v>-553.12007559885581</v>
      </c>
      <c r="AO39" s="20">
        <f t="shared" si="6"/>
        <v>-78.409718300981069</v>
      </c>
      <c r="AP39" s="20">
        <f t="shared" si="7"/>
        <v>474.71035729787474</v>
      </c>
      <c r="AR39" s="20">
        <f t="shared" si="8"/>
        <v>3326.1112848045677</v>
      </c>
      <c r="AS39" s="20">
        <f t="shared" si="9"/>
        <v>-2929.8106458076745</v>
      </c>
      <c r="AT39" s="20">
        <f t="shared" si="10"/>
        <v>3164.4266722428038</v>
      </c>
    </row>
    <row r="40" spans="1:46" x14ac:dyDescent="0.3">
      <c r="A40" s="18">
        <v>139</v>
      </c>
      <c r="B40" s="20">
        <f>INDEX('01_FASTPPH'!$9:$1048576,MATCH($A40,'01_FASTPPH'!$A$9:$A$1048576,0),MATCH(B$9,'01_FASTPPH'!$8:$8,0))</f>
        <v>24</v>
      </c>
      <c r="C40" s="20">
        <f>INDEX('01_FASTPPH'!$9:$1048576,MATCH($A40,'01_FASTPPH'!$A$9:$A$1048576,0),MATCH(C$9,'01_FASTPPH'!$8:$8,0))</f>
        <v>1102720</v>
      </c>
      <c r="D40" s="20" t="str">
        <f>INDEX('01_FASTPPH'!$9:$1048576,MATCH($A40,'01_FASTPPH'!$A$9:$A$1048576,0),MATCH(D$9,'01_FASTPPH'!$8:$8,0))</f>
        <v>SkinLH</v>
      </c>
      <c r="E40" s="20">
        <f>INDEX('01_FASTPPH'!$9:$1048576,MATCH($A40,'01_FASTPPH'!$A$9:$A$1048576,0),MATCH(E$9,'01_FASTPPH'!$8:$8,0))</f>
        <v>2914010</v>
      </c>
      <c r="F40" s="20">
        <f>INDEX('01_FASTPPH'!$9:$1048576,MATCH($A40,'01_FASTPPH'!$A$9:$A$1048576,0),MATCH(F$9,'01_FASTPPH'!$8:$8,0))</f>
        <v>1914012</v>
      </c>
      <c r="G40" s="20">
        <f>INDEX('01_FASTPPH'!$9:$1048576,MATCH($A40,'01_FASTPPH'!$A$9:$A$1048576,0),MATCH(G$9,'01_FASTPPH'!$8:$8,0))</f>
        <v>3914010</v>
      </c>
      <c r="H40" s="20">
        <f>INDEX('01_FASTPPH'!$9:$1048576,MATCH($A40,'01_FASTPPH'!$A$9:$A$1048576,0),MATCH(H$9,'01_FASTPPH'!$8:$8,0))</f>
        <v>1914013</v>
      </c>
      <c r="I40" s="20">
        <f>INDEX('01_FASTPPH'!$9:$1048576,MATCH($A40,'01_FASTPPH'!$A$9:$A$1048576,0),MATCH(I$9,'01_FASTPPH'!$8:$8,0))</f>
        <v>57.914999999999999</v>
      </c>
      <c r="J40" s="20" t="str">
        <f>INDEX('01_FASTPPH'!$9:$1048576,MATCH($A40,'01_FASTPPH'!$A$9:$A$1048576,0),MATCH(J$9,'01_FASTPPH'!$8:$8,0))</f>
        <v xml:space="preserve">SUBCASE 101 = STLN ULT (INTACT) :STLN ULT (INTACT) </v>
      </c>
      <c r="K40" s="23">
        <f>INDEX('01_FASTPPH'!$9:$1048576,MATCH($A40,'01_FASTPPH'!$A$9:$A$1048576,0),MATCH(K$9,'01_FASTPPH'!$8:$8,0))</f>
        <v>3478.33</v>
      </c>
      <c r="L40" s="20">
        <f>INDEX('01_FASTPPH'!$9:$1048576,MATCH($A40,'01_FASTPPH'!$A$9:$A$1048576,0),MATCH(L$9,'01_FASTPPH'!$8:$8,0))</f>
        <v>-3626.72</v>
      </c>
      <c r="M40" s="20">
        <f>INDEX('01_FASTPPH'!$9:$1048576,MATCH($A40,'01_FASTPPH'!$A$9:$A$1048576,0),MATCH(M$9,'01_FASTPPH'!$8:$8,0))</f>
        <v>-183.584</v>
      </c>
      <c r="N40" s="24">
        <f>INDEX('01_FASTPPH'!$9:$1048576,MATCH($A40,'01_FASTPPH'!$A$9:$A$1048576,0),MATCH(N$9,'01_FASTPPH'!$8:$8,0))</f>
        <v>0</v>
      </c>
      <c r="O40" s="23">
        <f>INDEX('01_FASTPPH'!$9:$1048576,MATCH($A40,'01_FASTPPH'!$A$9:$A$1048576,0),MATCH(O$9,'01_FASTPPH'!$8:$8,0))</f>
        <v>688.80399999999997</v>
      </c>
      <c r="P40" s="20">
        <f>INDEX('01_FASTPPH'!$9:$1048576,MATCH($A40,'01_FASTPPH'!$A$9:$A$1048576,0),MATCH(P$9,'01_FASTPPH'!$8:$8,0))</f>
        <v>762.14700000000005</v>
      </c>
      <c r="Q40" s="20">
        <f>INDEX('01_FASTPPH'!$9:$1048576,MATCH($A40,'01_FASTPPH'!$A$9:$A$1048576,0),MATCH(Q$9,'01_FASTPPH'!$8:$8,0))</f>
        <v>-279.44400000000002</v>
      </c>
      <c r="R40" s="20">
        <f>INDEX('01_FASTPPH'!$9:$1048576,MATCH($A40,'01_FASTPPH'!$A$9:$A$1048576,0),MATCH(R$9,'01_FASTPPH'!$8:$8,0))</f>
        <v>-388.42</v>
      </c>
      <c r="S40" s="20">
        <f>INDEX('01_FASTPPH'!$9:$1048576,MATCH($A40,'01_FASTPPH'!$A$9:$A$1048576,0),MATCH(S$9,'01_FASTPPH'!$8:$8,0))</f>
        <v>-371.43700000000001</v>
      </c>
      <c r="T40" s="24">
        <f>INDEX('01_FASTPPH'!$9:$1048576,MATCH($A40,'01_FASTPPH'!$A$9:$A$1048576,0),MATCH(T$9,'01_FASTPPH'!$8:$8,0))</f>
        <v>-421.23399999999998</v>
      </c>
      <c r="U40" s="23">
        <f>INDEX('01_FASTPPH'!$9:$1048576,MATCH($A40,'01_FASTPPH'!$A$9:$A$1048576,0),MATCH(U$9,'01_FASTPPH'!$8:$8,0))</f>
        <v>-2362.33</v>
      </c>
      <c r="V40" s="20">
        <f>INDEX('01_FASTPPH'!$9:$1048576,MATCH($A40,'01_FASTPPH'!$A$9:$A$1048576,0),MATCH(V$9,'01_FASTPPH'!$8:$8,0))</f>
        <v>-1901.85</v>
      </c>
      <c r="W40" s="24">
        <f>INDEX('01_FASTPPH'!$9:$1048576,MATCH($A40,'01_FASTPPH'!$A$9:$A$1048576,0),MATCH(W$9,'01_FASTPPH'!$8:$8,0))</f>
        <v>348.73899999999998</v>
      </c>
      <c r="X40" s="20">
        <f>INDEX('01_FASTPPH'!$9:$1048576,MATCH($A40,'01_FASTPPH'!$A$9:$A$1048576,0),MATCH(X$9,'01_FASTPPH'!$8:$8,0))</f>
        <v>0</v>
      </c>
      <c r="Y40" s="20">
        <f>INDEX('01_FASTPPH'!$9:$1048576,MATCH($A40,'01_FASTPPH'!$A$9:$A$1048576,0),MATCH(Y$9,'01_FASTPPH'!$8:$8,0))</f>
        <v>0</v>
      </c>
      <c r="AA40" s="32">
        <f>INDEX('02_PROPERTIES'!$C$10:$I$1048576,MATCH('03_CALCULATIONS'!$D40,'02_PROPERTIES'!$C$10:$C$1048576,0),MATCH('03_CALCULATIONS'!AA$9,'02_PROPERTIES'!$C$10:$I$10,0))</f>
        <v>16.559999999999999</v>
      </c>
      <c r="AB40" s="20">
        <f>INDEX('02_PROPERTIES'!$C$10:$I$1048576,MATCH('03_CALCULATIONS'!$D40,'02_PROPERTIES'!$C$10:$C$1048576,0),MATCH('03_CALCULATIONS'!AB$9,'02_PROPERTIES'!$C$10:$I$10,0))</f>
        <v>79593.867056640505</v>
      </c>
      <c r="AC40" s="20">
        <f>INDEX('02_PROPERTIES'!$C$10:$I$1048576,MATCH('03_CALCULATIONS'!$D40,'02_PROPERTIES'!$C$10:$C$1048576,0),MATCH('03_CALCULATIONS'!AC$9,'02_PROPERTIES'!$C$10:$I$10,0))</f>
        <v>41017.370743551612</v>
      </c>
      <c r="AD40" s="20">
        <f>INDEX('02_PROPERTIES'!$C$10:$I$1048576,MATCH('03_CALCULATIONS'!$D40,'02_PROPERTIES'!$C$10:$C$1048576,0),MATCH('03_CALCULATIONS'!AD$9,'02_PROPERTIES'!$C$10:$I$10,0))</f>
        <v>19846.188560278148</v>
      </c>
      <c r="AE40" s="32">
        <f>INDEX('02_PROPERTIES'!$C$10:$I$1048576,MATCH('03_CALCULATIONS'!$D40,'02_PROPERTIES'!$C$10:$C$1048576,0),MATCH('03_CALCULATIONS'!AE$9,'02_PROPERTIES'!$C$10:$I$10,0))</f>
        <v>0.4142802271075095</v>
      </c>
      <c r="AF40" s="32">
        <f>INDEX('02_PROPERTIES'!$C$10:$I$1048576,MATCH('03_CALCULATIONS'!$D40,'02_PROPERTIES'!$C$10:$C$1048576,0),MATCH('03_CALCULATIONS'!AF$9,'02_PROPERTIES'!$C$10:$I$10,0))</f>
        <v>1</v>
      </c>
      <c r="AH40" s="20">
        <f t="shared" si="0"/>
        <v>1544.7206666666666</v>
      </c>
      <c r="AI40" s="20">
        <f t="shared" si="1"/>
        <v>-968.52008695652171</v>
      </c>
      <c r="AJ40" s="20">
        <f t="shared" si="2"/>
        <v>-497.79171014492755</v>
      </c>
      <c r="AL40" s="20">
        <f t="shared" si="3"/>
        <v>1476.3653185823127</v>
      </c>
      <c r="AM40" s="20">
        <f t="shared" si="4"/>
        <v>-2368.0130406537814</v>
      </c>
      <c r="AN40" s="20">
        <f t="shared" si="5"/>
        <v>-757.32138155941186</v>
      </c>
      <c r="AO40" s="20">
        <f t="shared" si="6"/>
        <v>-824.48455181544023</v>
      </c>
      <c r="AP40" s="20">
        <f t="shared" si="7"/>
        <v>-67.163170256028423</v>
      </c>
      <c r="AR40" s="20">
        <f t="shared" si="8"/>
        <v>1513.3073650393503</v>
      </c>
      <c r="AS40" s="20">
        <f t="shared" si="9"/>
        <v>-2404.955087110819</v>
      </c>
      <c r="AT40" s="20">
        <f t="shared" si="10"/>
        <v>2065.9978018400111</v>
      </c>
    </row>
    <row r="41" spans="1:46" x14ac:dyDescent="0.3">
      <c r="A41" s="18">
        <v>9</v>
      </c>
      <c r="B41" s="20">
        <f>INDEX('01_FASTPPH'!$9:$1048576,MATCH($A41,'01_FASTPPH'!$A$9:$A$1048576,0),MATCH(B$9,'01_FASTPPH'!$8:$8,0))</f>
        <v>2</v>
      </c>
      <c r="C41" s="20">
        <f>INDEX('01_FASTPPH'!$9:$1048576,MATCH($A41,'01_FASTPPH'!$A$9:$A$1048576,0),MATCH(C$9,'01_FASTPPH'!$8:$8,0))</f>
        <v>1101897</v>
      </c>
      <c r="D41" s="20" t="str">
        <f>INDEX('01_FASTPPH'!$9:$1048576,MATCH($A41,'01_FASTPPH'!$A$9:$A$1048576,0),MATCH(D$9,'01_FASTPPH'!$8:$8,0))</f>
        <v>SkinLH</v>
      </c>
      <c r="E41" s="20">
        <f>INDEX('01_FASTPPH'!$9:$1048576,MATCH($A41,'01_FASTPPH'!$A$9:$A$1048576,0),MATCH(E$9,'01_FASTPPH'!$8:$8,0))</f>
        <v>2915010</v>
      </c>
      <c r="F41" s="20">
        <f>INDEX('01_FASTPPH'!$9:$1048576,MATCH($A41,'01_FASTPPH'!$A$9:$A$1048576,0),MATCH(F$9,'01_FASTPPH'!$8:$8,0))</f>
        <v>1915012</v>
      </c>
      <c r="G41" s="20">
        <f>INDEX('01_FASTPPH'!$9:$1048576,MATCH($A41,'01_FASTPPH'!$A$9:$A$1048576,0),MATCH(G$9,'01_FASTPPH'!$8:$8,0))</f>
        <v>3915010</v>
      </c>
      <c r="H41" s="20">
        <f>INDEX('01_FASTPPH'!$9:$1048576,MATCH($A41,'01_FASTPPH'!$A$9:$A$1048576,0),MATCH(H$9,'01_FASTPPH'!$8:$8,0))</f>
        <v>1915011</v>
      </c>
      <c r="I41" s="20">
        <f>INDEX('01_FASTPPH'!$9:$1048576,MATCH($A41,'01_FASTPPH'!$A$9:$A$1048576,0),MATCH(I$9,'01_FASTPPH'!$8:$8,0))</f>
        <v>57.914999999999999</v>
      </c>
      <c r="J41" s="20" t="str">
        <f>INDEX('01_FASTPPH'!$9:$1048576,MATCH($A41,'01_FASTPPH'!$A$9:$A$1048576,0),MATCH(J$9,'01_FASTPPH'!$8:$8,0))</f>
        <v xml:space="preserve">SUBCASE 101 = STLN ULT (INTACT) :STLN ULT (INTACT) </v>
      </c>
      <c r="K41" s="23">
        <f>INDEX('01_FASTPPH'!$9:$1048576,MATCH($A41,'01_FASTPPH'!$A$9:$A$1048576,0),MATCH(K$9,'01_FASTPPH'!$8:$8,0))</f>
        <v>-1087.1500000000001</v>
      </c>
      <c r="L41" s="20">
        <f>INDEX('01_FASTPPH'!$9:$1048576,MATCH($A41,'01_FASTPPH'!$A$9:$A$1048576,0),MATCH(L$9,'01_FASTPPH'!$8:$8,0))</f>
        <v>-2631.61</v>
      </c>
      <c r="M41" s="20">
        <f>INDEX('01_FASTPPH'!$9:$1048576,MATCH($A41,'01_FASTPPH'!$A$9:$A$1048576,0),MATCH(M$9,'01_FASTPPH'!$8:$8,0))</f>
        <v>1851.82</v>
      </c>
      <c r="N41" s="24">
        <f>INDEX('01_FASTPPH'!$9:$1048576,MATCH($A41,'01_FASTPPH'!$A$9:$A$1048576,0),MATCH(N$9,'01_FASTPPH'!$8:$8,0))</f>
        <v>34172.199999999997</v>
      </c>
      <c r="O41" s="23">
        <f>INDEX('01_FASTPPH'!$9:$1048576,MATCH($A41,'01_FASTPPH'!$A$9:$A$1048576,0),MATCH(O$9,'01_FASTPPH'!$8:$8,0))</f>
        <v>1631.03</v>
      </c>
      <c r="P41" s="20">
        <f>INDEX('01_FASTPPH'!$9:$1048576,MATCH($A41,'01_FASTPPH'!$A$9:$A$1048576,0),MATCH(P$9,'01_FASTPPH'!$8:$8,0))</f>
        <v>1673</v>
      </c>
      <c r="Q41" s="20">
        <f>INDEX('01_FASTPPH'!$9:$1048576,MATCH($A41,'01_FASTPPH'!$A$9:$A$1048576,0),MATCH(Q$9,'01_FASTPPH'!$8:$8,0))</f>
        <v>-146.61500000000001</v>
      </c>
      <c r="R41" s="20">
        <f>INDEX('01_FASTPPH'!$9:$1048576,MATCH($A41,'01_FASTPPH'!$A$9:$A$1048576,0),MATCH(R$9,'01_FASTPPH'!$8:$8,0))</f>
        <v>-246.614</v>
      </c>
      <c r="S41" s="20">
        <f>INDEX('01_FASTPPH'!$9:$1048576,MATCH($A41,'01_FASTPPH'!$A$9:$A$1048576,0),MATCH(S$9,'01_FASTPPH'!$8:$8,0))</f>
        <v>-339.98399999999998</v>
      </c>
      <c r="T41" s="24">
        <f>INDEX('01_FASTPPH'!$9:$1048576,MATCH($A41,'01_FASTPPH'!$A$9:$A$1048576,0),MATCH(T$9,'01_FASTPPH'!$8:$8,0))</f>
        <v>-408.46899999999999</v>
      </c>
      <c r="U41" s="23">
        <f>INDEX('01_FASTPPH'!$9:$1048576,MATCH($A41,'01_FASTPPH'!$A$9:$A$1048576,0),MATCH(U$9,'01_FASTPPH'!$8:$8,0))</f>
        <v>-1662.18</v>
      </c>
      <c r="V41" s="20">
        <f>INDEX('01_FASTPPH'!$9:$1048576,MATCH($A41,'01_FASTPPH'!$A$9:$A$1048576,0),MATCH(V$9,'01_FASTPPH'!$8:$8,0))</f>
        <v>-642.99400000000003</v>
      </c>
      <c r="W41" s="24">
        <f>INDEX('01_FASTPPH'!$9:$1048576,MATCH($A41,'01_FASTPPH'!$A$9:$A$1048576,0),MATCH(W$9,'01_FASTPPH'!$8:$8,0))</f>
        <v>18.303699999999999</v>
      </c>
      <c r="X41" s="20">
        <f>INDEX('01_FASTPPH'!$9:$1048576,MATCH($A41,'01_FASTPPH'!$A$9:$A$1048576,0),MATCH(X$9,'01_FASTPPH'!$8:$8,0))</f>
        <v>0</v>
      </c>
      <c r="Y41" s="20">
        <f>INDEX('01_FASTPPH'!$9:$1048576,MATCH($A41,'01_FASTPPH'!$A$9:$A$1048576,0),MATCH(Y$9,'01_FASTPPH'!$8:$8,0))</f>
        <v>0</v>
      </c>
      <c r="AA41" s="32">
        <f>INDEX('02_PROPERTIES'!$C$10:$I$1048576,MATCH('03_CALCULATIONS'!$D41,'02_PROPERTIES'!$C$10:$C$1048576,0),MATCH('03_CALCULATIONS'!AA$9,'02_PROPERTIES'!$C$10:$I$10,0))</f>
        <v>16.559999999999999</v>
      </c>
      <c r="AB41" s="20">
        <f>INDEX('02_PROPERTIES'!$C$10:$I$1048576,MATCH('03_CALCULATIONS'!$D41,'02_PROPERTIES'!$C$10:$C$1048576,0),MATCH('03_CALCULATIONS'!AB$9,'02_PROPERTIES'!$C$10:$I$10,0))</f>
        <v>79593.867056640505</v>
      </c>
      <c r="AC41" s="20">
        <f>INDEX('02_PROPERTIES'!$C$10:$I$1048576,MATCH('03_CALCULATIONS'!$D41,'02_PROPERTIES'!$C$10:$C$1048576,0),MATCH('03_CALCULATIONS'!AC$9,'02_PROPERTIES'!$C$10:$I$10,0))</f>
        <v>41017.370743551612</v>
      </c>
      <c r="AD41" s="20">
        <f>INDEX('02_PROPERTIES'!$C$10:$I$1048576,MATCH('03_CALCULATIONS'!$D41,'02_PROPERTIES'!$C$10:$C$1048576,0),MATCH('03_CALCULATIONS'!AD$9,'02_PROPERTIES'!$C$10:$I$10,0))</f>
        <v>19846.188560278148</v>
      </c>
      <c r="AE41" s="32">
        <f>INDEX('02_PROPERTIES'!$C$10:$I$1048576,MATCH('03_CALCULATIONS'!$D41,'02_PROPERTIES'!$C$10:$C$1048576,0),MATCH('03_CALCULATIONS'!AE$9,'02_PROPERTIES'!$C$10:$I$10,0))</f>
        <v>0.4142802271075095</v>
      </c>
      <c r="AF41" s="32">
        <f>INDEX('02_PROPERTIES'!$C$10:$I$1048576,MATCH('03_CALCULATIONS'!$D41,'02_PROPERTIES'!$C$10:$C$1048576,0),MATCH('03_CALCULATIONS'!AF$9,'02_PROPERTIES'!$C$10:$I$10,0))</f>
        <v>1</v>
      </c>
      <c r="AH41" s="20">
        <f t="shared" si="0"/>
        <v>2233.2691304347827</v>
      </c>
      <c r="AI41" s="20">
        <f t="shared" si="1"/>
        <v>-379.58384057971017</v>
      </c>
      <c r="AJ41" s="20">
        <f t="shared" si="2"/>
        <v>-346.6157753623188</v>
      </c>
      <c r="AL41" s="20">
        <f t="shared" si="3"/>
        <v>1813.6481069409033</v>
      </c>
      <c r="AM41" s="20">
        <f t="shared" si="4"/>
        <v>-1920.9239293713579</v>
      </c>
      <c r="AN41" s="20">
        <f t="shared" si="5"/>
        <v>-527.32806215526102</v>
      </c>
      <c r="AO41" s="20">
        <f t="shared" si="6"/>
        <v>-317.3019422928578</v>
      </c>
      <c r="AP41" s="20">
        <f t="shared" si="7"/>
        <v>210.02611986240322</v>
      </c>
      <c r="AR41" s="20">
        <f t="shared" si="8"/>
        <v>1832.1711445710371</v>
      </c>
      <c r="AS41" s="20">
        <f t="shared" si="9"/>
        <v>-1939.4469670014919</v>
      </c>
      <c r="AT41" s="20">
        <f t="shared" si="10"/>
        <v>1940.3174891593899</v>
      </c>
    </row>
    <row r="42" spans="1:46" x14ac:dyDescent="0.3">
      <c r="A42" s="18">
        <v>39</v>
      </c>
      <c r="B42" s="20">
        <f>INDEX('01_FASTPPH'!$9:$1048576,MATCH($A42,'01_FASTPPH'!$A$9:$A$1048576,0),MATCH(B$9,'01_FASTPPH'!$8:$8,0))</f>
        <v>6</v>
      </c>
      <c r="C42" s="20">
        <f>INDEX('01_FASTPPH'!$9:$1048576,MATCH($A42,'01_FASTPPH'!$A$9:$A$1048576,0),MATCH(C$9,'01_FASTPPH'!$8:$8,0))</f>
        <v>1101874</v>
      </c>
      <c r="D42" s="20" t="str">
        <f>INDEX('01_FASTPPH'!$9:$1048576,MATCH($A42,'01_FASTPPH'!$A$9:$A$1048576,0),MATCH(D$9,'01_FASTPPH'!$8:$8,0))</f>
        <v>SkinLH</v>
      </c>
      <c r="E42" s="20">
        <f>INDEX('01_FASTPPH'!$9:$1048576,MATCH($A42,'01_FASTPPH'!$A$9:$A$1048576,0),MATCH(E$9,'01_FASTPPH'!$8:$8,0))</f>
        <v>3916010</v>
      </c>
      <c r="F42" s="20">
        <f>INDEX('01_FASTPPH'!$9:$1048576,MATCH($A42,'01_FASTPPH'!$A$9:$A$1048576,0),MATCH(F$9,'01_FASTPPH'!$8:$8,0))</f>
        <v>1916011</v>
      </c>
      <c r="G42" s="20">
        <f>INDEX('01_FASTPPH'!$9:$1048576,MATCH($A42,'01_FASTPPH'!$A$9:$A$1048576,0),MATCH(G$9,'01_FASTPPH'!$8:$8,0))</f>
        <v>2916010</v>
      </c>
      <c r="H42" s="20">
        <f>INDEX('01_FASTPPH'!$9:$1048576,MATCH($A42,'01_FASTPPH'!$A$9:$A$1048576,0),MATCH(H$9,'01_FASTPPH'!$8:$8,0))</f>
        <v>1916012</v>
      </c>
      <c r="I42" s="20">
        <f>INDEX('01_FASTPPH'!$9:$1048576,MATCH($A42,'01_FASTPPH'!$A$9:$A$1048576,0),MATCH(I$9,'01_FASTPPH'!$8:$8,0))</f>
        <v>57.914999999999999</v>
      </c>
      <c r="J42" s="20" t="str">
        <f>INDEX('01_FASTPPH'!$9:$1048576,MATCH($A42,'01_FASTPPH'!$A$9:$A$1048576,0),MATCH(J$9,'01_FASTPPH'!$8:$8,0))</f>
        <v xml:space="preserve">SUBCASE 101 = STLN ULT (INTACT) :STLN ULT (INTACT) </v>
      </c>
      <c r="K42" s="23">
        <f>INDEX('01_FASTPPH'!$9:$1048576,MATCH($A42,'01_FASTPPH'!$A$9:$A$1048576,0),MATCH(K$9,'01_FASTPPH'!$8:$8,0))</f>
        <v>6731.33</v>
      </c>
      <c r="L42" s="20">
        <f>INDEX('01_FASTPPH'!$9:$1048576,MATCH($A42,'01_FASTPPH'!$A$9:$A$1048576,0),MATCH(L$9,'01_FASTPPH'!$8:$8,0))</f>
        <v>2719.45</v>
      </c>
      <c r="M42" s="20">
        <f>INDEX('01_FASTPPH'!$9:$1048576,MATCH($A42,'01_FASTPPH'!$A$9:$A$1048576,0),MATCH(M$9,'01_FASTPPH'!$8:$8,0))</f>
        <v>6608.51</v>
      </c>
      <c r="N42" s="24">
        <f>INDEX('01_FASTPPH'!$9:$1048576,MATCH($A42,'01_FASTPPH'!$A$9:$A$1048576,0),MATCH(N$9,'01_FASTPPH'!$8:$8,0))</f>
        <v>34305.199999999997</v>
      </c>
      <c r="O42" s="23">
        <f>INDEX('01_FASTPPH'!$9:$1048576,MATCH($A42,'01_FASTPPH'!$A$9:$A$1048576,0),MATCH(O$9,'01_FASTPPH'!$8:$8,0))</f>
        <v>2235.2800000000002</v>
      </c>
      <c r="P42" s="20">
        <f>INDEX('01_FASTPPH'!$9:$1048576,MATCH($A42,'01_FASTPPH'!$A$9:$A$1048576,0),MATCH(P$9,'01_FASTPPH'!$8:$8,0))</f>
        <v>2478.5300000000002</v>
      </c>
      <c r="Q42" s="20">
        <f>INDEX('01_FASTPPH'!$9:$1048576,MATCH($A42,'01_FASTPPH'!$A$9:$A$1048576,0),MATCH(Q$9,'01_FASTPPH'!$8:$8,0))</f>
        <v>-84.541700000000006</v>
      </c>
      <c r="R42" s="20">
        <f>INDEX('01_FASTPPH'!$9:$1048576,MATCH($A42,'01_FASTPPH'!$A$9:$A$1048576,0),MATCH(R$9,'01_FASTPPH'!$8:$8,0))</f>
        <v>-132.76300000000001</v>
      </c>
      <c r="S42" s="20">
        <f>INDEX('01_FASTPPH'!$9:$1048576,MATCH($A42,'01_FASTPPH'!$A$9:$A$1048576,0),MATCH(S$9,'01_FASTPPH'!$8:$8,0))</f>
        <v>-159.934</v>
      </c>
      <c r="T42" s="24">
        <f>INDEX('01_FASTPPH'!$9:$1048576,MATCH($A42,'01_FASTPPH'!$A$9:$A$1048576,0),MATCH(T$9,'01_FASTPPH'!$8:$8,0))</f>
        <v>-296.43099999999998</v>
      </c>
      <c r="U42" s="23">
        <f>INDEX('01_FASTPPH'!$9:$1048576,MATCH($A42,'01_FASTPPH'!$A$9:$A$1048576,0),MATCH(U$9,'01_FASTPPH'!$8:$8,0))</f>
        <v>-36.445700000000002</v>
      </c>
      <c r="V42" s="20">
        <f>INDEX('01_FASTPPH'!$9:$1048576,MATCH($A42,'01_FASTPPH'!$A$9:$A$1048576,0),MATCH(V$9,'01_FASTPPH'!$8:$8,0))</f>
        <v>1589.64</v>
      </c>
      <c r="W42" s="24">
        <f>INDEX('01_FASTPPH'!$9:$1048576,MATCH($A42,'01_FASTPPH'!$A$9:$A$1048576,0),MATCH(W$9,'01_FASTPPH'!$8:$8,0))</f>
        <v>256.78800000000001</v>
      </c>
      <c r="X42" s="20">
        <f>INDEX('01_FASTPPH'!$9:$1048576,MATCH($A42,'01_FASTPPH'!$A$9:$A$1048576,0),MATCH(X$9,'01_FASTPPH'!$8:$8,0))</f>
        <v>0</v>
      </c>
      <c r="Y42" s="20">
        <f>INDEX('01_FASTPPH'!$9:$1048576,MATCH($A42,'01_FASTPPH'!$A$9:$A$1048576,0),MATCH(Y$9,'01_FASTPPH'!$8:$8,0))</f>
        <v>0</v>
      </c>
      <c r="AA42" s="32">
        <f>INDEX('02_PROPERTIES'!$C$10:$I$1048576,MATCH('03_CALCULATIONS'!$D42,'02_PROPERTIES'!$C$10:$C$1048576,0),MATCH('03_CALCULATIONS'!AA$9,'02_PROPERTIES'!$C$10:$I$10,0))</f>
        <v>16.559999999999999</v>
      </c>
      <c r="AB42" s="20">
        <f>INDEX('02_PROPERTIES'!$C$10:$I$1048576,MATCH('03_CALCULATIONS'!$D42,'02_PROPERTIES'!$C$10:$C$1048576,0),MATCH('03_CALCULATIONS'!AB$9,'02_PROPERTIES'!$C$10:$I$10,0))</f>
        <v>79593.867056640505</v>
      </c>
      <c r="AC42" s="20">
        <f>INDEX('02_PROPERTIES'!$C$10:$I$1048576,MATCH('03_CALCULATIONS'!$D42,'02_PROPERTIES'!$C$10:$C$1048576,0),MATCH('03_CALCULATIONS'!AC$9,'02_PROPERTIES'!$C$10:$I$10,0))</f>
        <v>41017.370743551612</v>
      </c>
      <c r="AD42" s="20">
        <f>INDEX('02_PROPERTIES'!$C$10:$I$1048576,MATCH('03_CALCULATIONS'!$D42,'02_PROPERTIES'!$C$10:$C$1048576,0),MATCH('03_CALCULATIONS'!AD$9,'02_PROPERTIES'!$C$10:$I$10,0))</f>
        <v>19846.188560278148</v>
      </c>
      <c r="AE42" s="32">
        <f>INDEX('02_PROPERTIES'!$C$10:$I$1048576,MATCH('03_CALCULATIONS'!$D42,'02_PROPERTIES'!$C$10:$C$1048576,0),MATCH('03_CALCULATIONS'!AE$9,'02_PROPERTIES'!$C$10:$I$10,0))</f>
        <v>0.4142802271075095</v>
      </c>
      <c r="AF42" s="32">
        <f>INDEX('02_PROPERTIES'!$C$10:$I$1048576,MATCH('03_CALCULATIONS'!$D42,'02_PROPERTIES'!$C$10:$C$1048576,0),MATCH('03_CALCULATIONS'!AF$9,'02_PROPERTIES'!$C$10:$I$10,0))</f>
        <v>1</v>
      </c>
      <c r="AH42" s="20">
        <f t="shared" si="0"/>
        <v>2248.4849637681164</v>
      </c>
      <c r="AI42" s="20">
        <f t="shared" si="1"/>
        <v>-660.49822173913049</v>
      </c>
      <c r="AJ42" s="20">
        <f t="shared" si="2"/>
        <v>-252.9731304347826</v>
      </c>
      <c r="AL42" s="20">
        <f t="shared" si="3"/>
        <v>1913.4854932965454</v>
      </c>
      <c r="AM42" s="20">
        <f t="shared" si="4"/>
        <v>-2343.7711722374129</v>
      </c>
      <c r="AN42" s="20">
        <f t="shared" si="5"/>
        <v>-384.86370249617357</v>
      </c>
      <c r="AO42" s="20">
        <f t="shared" si="6"/>
        <v>-407.57469071852051</v>
      </c>
      <c r="AP42" s="20">
        <f t="shared" si="7"/>
        <v>-22.710988222346941</v>
      </c>
      <c r="AR42" s="20">
        <f t="shared" si="8"/>
        <v>1922.1658879793688</v>
      </c>
      <c r="AS42" s="20">
        <f t="shared" si="9"/>
        <v>-2352.4515669202365</v>
      </c>
      <c r="AT42" s="20">
        <f t="shared" si="10"/>
        <v>2163.1409220292126</v>
      </c>
    </row>
    <row r="43" spans="1:46" x14ac:dyDescent="0.3">
      <c r="A43" s="18">
        <v>143</v>
      </c>
      <c r="B43" s="20">
        <f>INDEX('01_FASTPPH'!$9:$1048576,MATCH($A43,'01_FASTPPH'!$A$9:$A$1048576,0),MATCH(B$9,'01_FASTPPH'!$8:$8,0))</f>
        <v>25</v>
      </c>
      <c r="C43" s="20">
        <f>INDEX('01_FASTPPH'!$9:$1048576,MATCH($A43,'01_FASTPPH'!$A$9:$A$1048576,0),MATCH(C$9,'01_FASTPPH'!$8:$8,0))</f>
        <v>1101827</v>
      </c>
      <c r="D43" s="20" t="str">
        <f>INDEX('01_FASTPPH'!$9:$1048576,MATCH($A43,'01_FASTPPH'!$A$9:$A$1048576,0),MATCH(D$9,'01_FASTPPH'!$8:$8,0))</f>
        <v>SkinLH</v>
      </c>
      <c r="E43" s="20">
        <f>INDEX('01_FASTPPH'!$9:$1048576,MATCH($A43,'01_FASTPPH'!$A$9:$A$1048576,0),MATCH(E$9,'01_FASTPPH'!$8:$8,0))</f>
        <v>3917010</v>
      </c>
      <c r="F43" s="20">
        <f>INDEX('01_FASTPPH'!$9:$1048576,MATCH($A43,'01_FASTPPH'!$A$9:$A$1048576,0),MATCH(F$9,'01_FASTPPH'!$8:$8,0))</f>
        <v>1917011</v>
      </c>
      <c r="G43" s="20">
        <f>INDEX('01_FASTPPH'!$9:$1048576,MATCH($A43,'01_FASTPPH'!$A$9:$A$1048576,0),MATCH(G$9,'01_FASTPPH'!$8:$8,0))</f>
        <v>0</v>
      </c>
      <c r="H43" s="20">
        <f>INDEX('01_FASTPPH'!$9:$1048576,MATCH($A43,'01_FASTPPH'!$A$9:$A$1048576,0),MATCH(H$9,'01_FASTPPH'!$8:$8,0))</f>
        <v>0</v>
      </c>
      <c r="I43" s="20">
        <f>INDEX('01_FASTPPH'!$9:$1048576,MATCH($A43,'01_FASTPPH'!$A$9:$A$1048576,0),MATCH(I$9,'01_FASTPPH'!$8:$8,0))</f>
        <v>57.914999999999999</v>
      </c>
      <c r="J43" s="20" t="str">
        <f>INDEX('01_FASTPPH'!$9:$1048576,MATCH($A43,'01_FASTPPH'!$A$9:$A$1048576,0),MATCH(J$9,'01_FASTPPH'!$8:$8,0))</f>
        <v xml:space="preserve">SUBCASE 101 = STLN ULT (INTACT) :STLN ULT (INTACT) </v>
      </c>
      <c r="K43" s="23">
        <f>INDEX('01_FASTPPH'!$9:$1048576,MATCH($A43,'01_FASTPPH'!$A$9:$A$1048576,0),MATCH(K$9,'01_FASTPPH'!$8:$8,0))</f>
        <v>7985.6</v>
      </c>
      <c r="L43" s="20">
        <f>INDEX('01_FASTPPH'!$9:$1048576,MATCH($A43,'01_FASTPPH'!$A$9:$A$1048576,0),MATCH(L$9,'01_FASTPPH'!$8:$8,0))</f>
        <v>-378.15199999999999</v>
      </c>
      <c r="M43" s="20">
        <f>INDEX('01_FASTPPH'!$9:$1048576,MATCH($A43,'01_FASTPPH'!$A$9:$A$1048576,0),MATCH(M$9,'01_FASTPPH'!$8:$8,0))</f>
        <v>7039.75</v>
      </c>
      <c r="N43" s="24">
        <f>INDEX('01_FASTPPH'!$9:$1048576,MATCH($A43,'01_FASTPPH'!$A$9:$A$1048576,0),MATCH(N$9,'01_FASTPPH'!$8:$8,0))</f>
        <v>27867.1</v>
      </c>
      <c r="O43" s="23">
        <f>INDEX('01_FASTPPH'!$9:$1048576,MATCH($A43,'01_FASTPPH'!$A$9:$A$1048576,0),MATCH(O$9,'01_FASTPPH'!$8:$8,0))</f>
        <v>2620.1799999999998</v>
      </c>
      <c r="P43" s="20">
        <f>INDEX('01_FASTPPH'!$9:$1048576,MATCH($A43,'01_FASTPPH'!$A$9:$A$1048576,0),MATCH(P$9,'01_FASTPPH'!$8:$8,0))</f>
        <v>2874.93</v>
      </c>
      <c r="Q43" s="20">
        <f>INDEX('01_FASTPPH'!$9:$1048576,MATCH($A43,'01_FASTPPH'!$A$9:$A$1048576,0),MATCH(Q$9,'01_FASTPPH'!$8:$8,0))</f>
        <v>-25.6785</v>
      </c>
      <c r="R43" s="20">
        <f>INDEX('01_FASTPPH'!$9:$1048576,MATCH($A43,'01_FASTPPH'!$A$9:$A$1048576,0),MATCH(R$9,'01_FASTPPH'!$8:$8,0))</f>
        <v>-64.841700000000003</v>
      </c>
      <c r="S43" s="20">
        <f>INDEX('01_FASTPPH'!$9:$1048576,MATCH($A43,'01_FASTPPH'!$A$9:$A$1048576,0),MATCH(S$9,'01_FASTPPH'!$8:$8,0))</f>
        <v>-72.089699999999993</v>
      </c>
      <c r="T43" s="24">
        <f>INDEX('01_FASTPPH'!$9:$1048576,MATCH($A43,'01_FASTPPH'!$A$9:$A$1048576,0),MATCH(T$9,'01_FASTPPH'!$8:$8,0))</f>
        <v>-162.43799999999999</v>
      </c>
      <c r="U43" s="23">
        <f>INDEX('01_FASTPPH'!$9:$1048576,MATCH($A43,'01_FASTPPH'!$A$9:$A$1048576,0),MATCH(U$9,'01_FASTPPH'!$8:$8,0))</f>
        <v>-294.58100000000002</v>
      </c>
      <c r="V43" s="20">
        <f>INDEX('01_FASTPPH'!$9:$1048576,MATCH($A43,'01_FASTPPH'!$A$9:$A$1048576,0),MATCH(V$9,'01_FASTPPH'!$8:$8,0))</f>
        <v>1152.97</v>
      </c>
      <c r="W43" s="24">
        <f>INDEX('01_FASTPPH'!$9:$1048576,MATCH($A43,'01_FASTPPH'!$A$9:$A$1048576,0),MATCH(W$9,'01_FASTPPH'!$8:$8,0))</f>
        <v>752.99199999999996</v>
      </c>
      <c r="X43" s="20">
        <f>INDEX('01_FASTPPH'!$9:$1048576,MATCH($A43,'01_FASTPPH'!$A$9:$A$1048576,0),MATCH(X$9,'01_FASTPPH'!$8:$8,0))</f>
        <v>0</v>
      </c>
      <c r="Y43" s="20">
        <f>INDEX('01_FASTPPH'!$9:$1048576,MATCH($A43,'01_FASTPPH'!$A$9:$A$1048576,0),MATCH(Y$9,'01_FASTPPH'!$8:$8,0))</f>
        <v>0</v>
      </c>
      <c r="AA43" s="32">
        <f>INDEX('02_PROPERTIES'!$C$10:$I$1048576,MATCH('03_CALCULATIONS'!$D43,'02_PROPERTIES'!$C$10:$C$1048576,0),MATCH('03_CALCULATIONS'!AA$9,'02_PROPERTIES'!$C$10:$I$10,0))</f>
        <v>16.559999999999999</v>
      </c>
      <c r="AB43" s="20">
        <f>INDEX('02_PROPERTIES'!$C$10:$I$1048576,MATCH('03_CALCULATIONS'!$D43,'02_PROPERTIES'!$C$10:$C$1048576,0),MATCH('03_CALCULATIONS'!AB$9,'02_PROPERTIES'!$C$10:$I$10,0))</f>
        <v>79593.867056640505</v>
      </c>
      <c r="AC43" s="20">
        <f>INDEX('02_PROPERTIES'!$C$10:$I$1048576,MATCH('03_CALCULATIONS'!$D43,'02_PROPERTIES'!$C$10:$C$1048576,0),MATCH('03_CALCULATIONS'!AC$9,'02_PROPERTIES'!$C$10:$I$10,0))</f>
        <v>41017.370743551612</v>
      </c>
      <c r="AD43" s="20">
        <f>INDEX('02_PROPERTIES'!$C$10:$I$1048576,MATCH('03_CALCULATIONS'!$D43,'02_PROPERTIES'!$C$10:$C$1048576,0),MATCH('03_CALCULATIONS'!AD$9,'02_PROPERTIES'!$C$10:$I$10,0))</f>
        <v>19846.188560278148</v>
      </c>
      <c r="AE43" s="32">
        <f>INDEX('02_PROPERTIES'!$C$10:$I$1048576,MATCH('03_CALCULATIONS'!$D43,'02_PROPERTIES'!$C$10:$C$1048576,0),MATCH('03_CALCULATIONS'!AE$9,'02_PROPERTIES'!$C$10:$I$10,0))</f>
        <v>0.4142802271075095</v>
      </c>
      <c r="AF43" s="32">
        <f>INDEX('02_PROPERTIES'!$C$10:$I$1048576,MATCH('03_CALCULATIONS'!$D43,'02_PROPERTIES'!$C$10:$C$1048576,0),MATCH('03_CALCULATIONS'!AF$9,'02_PROPERTIES'!$C$10:$I$10,0))</f>
        <v>1</v>
      </c>
      <c r="AH43" s="20">
        <f t="shared" si="0"/>
        <v>2726.9122463768113</v>
      </c>
      <c r="AI43" s="20">
        <f t="shared" si="1"/>
        <v>-443.42125362318842</v>
      </c>
      <c r="AJ43" s="20">
        <f t="shared" si="2"/>
        <v>-344.91288840579705</v>
      </c>
      <c r="AL43" s="20">
        <f t="shared" si="3"/>
        <v>2208.2310521379109</v>
      </c>
      <c r="AM43" s="20">
        <f t="shared" si="4"/>
        <v>-2315.9845401334323</v>
      </c>
      <c r="AN43" s="20">
        <f t="shared" si="5"/>
        <v>-524.73735468410382</v>
      </c>
      <c r="AO43" s="20">
        <f t="shared" si="6"/>
        <v>-316.24542133981265</v>
      </c>
      <c r="AP43" s="20">
        <f t="shared" si="7"/>
        <v>208.49193334429117</v>
      </c>
      <c r="AR43" s="20">
        <f t="shared" si="8"/>
        <v>2223.395528741712</v>
      </c>
      <c r="AS43" s="20">
        <f t="shared" si="9"/>
        <v>-2331.1490167372331</v>
      </c>
      <c r="AT43" s="20">
        <f t="shared" si="10"/>
        <v>2322.1716070821844</v>
      </c>
    </row>
    <row r="44" spans="1:46" x14ac:dyDescent="0.3">
      <c r="A44" s="18">
        <v>160</v>
      </c>
      <c r="B44" s="20">
        <f>INDEX('01_FASTPPH'!$9:$1048576,MATCH($A44,'01_FASTPPH'!$A$9:$A$1048576,0),MATCH(B$9,'01_FASTPPH'!$8:$8,0))</f>
        <v>28</v>
      </c>
      <c r="C44" s="20">
        <f>INDEX('01_FASTPPH'!$9:$1048576,MATCH($A44,'01_FASTPPH'!$A$9:$A$1048576,0),MATCH(C$9,'01_FASTPPH'!$8:$8,0))</f>
        <v>1501578</v>
      </c>
      <c r="D44" s="20" t="str">
        <f>INDEX('01_FASTPPH'!$9:$1048576,MATCH($A44,'01_FASTPPH'!$A$9:$A$1048576,0),MATCH(D$9,'01_FASTPPH'!$8:$8,0))</f>
        <v>SkinRH</v>
      </c>
      <c r="E44" s="20">
        <f>INDEX('01_FASTPPH'!$9:$1048576,MATCH($A44,'01_FASTPPH'!$A$9:$A$1048576,0),MATCH(E$9,'01_FASTPPH'!$8:$8,0))</f>
        <v>2901020</v>
      </c>
      <c r="F44" s="20">
        <f>INDEX('01_FASTPPH'!$9:$1048576,MATCH($A44,'01_FASTPPH'!$A$9:$A$1048576,0),MATCH(F$9,'01_FASTPPH'!$8:$8,0))</f>
        <v>1901022</v>
      </c>
      <c r="G44" s="20">
        <f>INDEX('01_FASTPPH'!$9:$1048576,MATCH($A44,'01_FASTPPH'!$A$9:$A$1048576,0),MATCH(G$9,'01_FASTPPH'!$8:$8,0))</f>
        <v>3901020</v>
      </c>
      <c r="H44" s="20">
        <f>INDEX('01_FASTPPH'!$9:$1048576,MATCH($A44,'01_FASTPPH'!$A$9:$A$1048576,0),MATCH(H$9,'01_FASTPPH'!$8:$8,0))</f>
        <v>1901023</v>
      </c>
      <c r="I44" s="20">
        <f>INDEX('01_FASTPPH'!$9:$1048576,MATCH($A44,'01_FASTPPH'!$A$9:$A$1048576,0),MATCH(I$9,'01_FASTPPH'!$8:$8,0))</f>
        <v>57.914999999999999</v>
      </c>
      <c r="J44" s="20" t="str">
        <f>INDEX('01_FASTPPH'!$9:$1048576,MATCH($A44,'01_FASTPPH'!$A$9:$A$1048576,0),MATCH(J$9,'01_FASTPPH'!$8:$8,0))</f>
        <v xml:space="preserve">SUBCASE 102 = STLP ULT (INTACT) :STLP ULT (INTACT) </v>
      </c>
      <c r="K44" s="23">
        <f>INDEX('01_FASTPPH'!$9:$1048576,MATCH($A44,'01_FASTPPH'!$A$9:$A$1048576,0),MATCH(K$9,'01_FASTPPH'!$8:$8,0))</f>
        <v>-338.85399999999998</v>
      </c>
      <c r="L44" s="20">
        <f>INDEX('01_FASTPPH'!$9:$1048576,MATCH($A44,'01_FASTPPH'!$A$9:$A$1048576,0),MATCH(L$9,'01_FASTPPH'!$8:$8,0))</f>
        <v>898.01400000000001</v>
      </c>
      <c r="M44" s="20">
        <f>INDEX('01_FASTPPH'!$9:$1048576,MATCH($A44,'01_FASTPPH'!$A$9:$A$1048576,0),MATCH(M$9,'01_FASTPPH'!$8:$8,0))</f>
        <v>491.36900000000003</v>
      </c>
      <c r="N44" s="24">
        <f>INDEX('01_FASTPPH'!$9:$1048576,MATCH($A44,'01_FASTPPH'!$A$9:$A$1048576,0),MATCH(N$9,'01_FASTPPH'!$8:$8,0))</f>
        <v>8283.4699999999993</v>
      </c>
      <c r="O44" s="23">
        <f>INDEX('01_FASTPPH'!$9:$1048576,MATCH($A44,'01_FASTPPH'!$A$9:$A$1048576,0),MATCH(O$9,'01_FASTPPH'!$8:$8,0))</f>
        <v>-209.452</v>
      </c>
      <c r="P44" s="20">
        <f>INDEX('01_FASTPPH'!$9:$1048576,MATCH($A44,'01_FASTPPH'!$A$9:$A$1048576,0),MATCH(P$9,'01_FASTPPH'!$8:$8,0))</f>
        <v>-654.6</v>
      </c>
      <c r="Q44" s="20">
        <f>INDEX('01_FASTPPH'!$9:$1048576,MATCH($A44,'01_FASTPPH'!$A$9:$A$1048576,0),MATCH(Q$9,'01_FASTPPH'!$8:$8,0))</f>
        <v>-63.740600000000001</v>
      </c>
      <c r="R44" s="20">
        <f>INDEX('01_FASTPPH'!$9:$1048576,MATCH($A44,'01_FASTPPH'!$A$9:$A$1048576,0),MATCH(R$9,'01_FASTPPH'!$8:$8,0))</f>
        <v>-310.18400000000003</v>
      </c>
      <c r="S44" s="20">
        <f>INDEX('01_FASTPPH'!$9:$1048576,MATCH($A44,'01_FASTPPH'!$A$9:$A$1048576,0),MATCH(S$9,'01_FASTPPH'!$8:$8,0))</f>
        <v>237.75399999999999</v>
      </c>
      <c r="T44" s="24">
        <f>INDEX('01_FASTPPH'!$9:$1048576,MATCH($A44,'01_FASTPPH'!$A$9:$A$1048576,0),MATCH(T$9,'01_FASTPPH'!$8:$8,0))</f>
        <v>682.69100000000003</v>
      </c>
      <c r="U44" s="23">
        <f>INDEX('01_FASTPPH'!$9:$1048576,MATCH($A44,'01_FASTPPH'!$A$9:$A$1048576,0),MATCH(U$9,'01_FASTPPH'!$8:$8,0))</f>
        <v>-8058.96</v>
      </c>
      <c r="V44" s="20">
        <f>INDEX('01_FASTPPH'!$9:$1048576,MATCH($A44,'01_FASTPPH'!$A$9:$A$1048576,0),MATCH(V$9,'01_FASTPPH'!$8:$8,0))</f>
        <v>-1149</v>
      </c>
      <c r="W44" s="24">
        <f>INDEX('01_FASTPPH'!$9:$1048576,MATCH($A44,'01_FASTPPH'!$A$9:$A$1048576,0),MATCH(W$9,'01_FASTPPH'!$8:$8,0))</f>
        <v>1642.06</v>
      </c>
      <c r="X44" s="20">
        <f>INDEX('01_FASTPPH'!$9:$1048576,MATCH($A44,'01_FASTPPH'!$A$9:$A$1048576,0),MATCH(X$9,'01_FASTPPH'!$8:$8,0))</f>
        <v>0</v>
      </c>
      <c r="Y44" s="20">
        <f>INDEX('01_FASTPPH'!$9:$1048576,MATCH($A44,'01_FASTPPH'!$A$9:$A$1048576,0),MATCH(Y$9,'01_FASTPPH'!$8:$8,0))</f>
        <v>0</v>
      </c>
      <c r="AA44" s="32">
        <f>INDEX('02_PROPERTIES'!$C$10:$I$1048576,MATCH('03_CALCULATIONS'!$D44,'02_PROPERTIES'!$C$10:$C$1048576,0),MATCH('03_CALCULATIONS'!AA$9,'02_PROPERTIES'!$C$10:$I$10,0))</f>
        <v>16.559999999999999</v>
      </c>
      <c r="AB44" s="20">
        <f>INDEX('02_PROPERTIES'!$C$10:$I$1048576,MATCH('03_CALCULATIONS'!$D44,'02_PROPERTIES'!$C$10:$C$1048576,0),MATCH('03_CALCULATIONS'!AB$9,'02_PROPERTIES'!$C$10:$I$10,0))</f>
        <v>79593.867056640505</v>
      </c>
      <c r="AC44" s="20">
        <f>INDEX('02_PROPERTIES'!$C$10:$I$1048576,MATCH('03_CALCULATIONS'!$D44,'02_PROPERTIES'!$C$10:$C$1048576,0),MATCH('03_CALCULATIONS'!AC$9,'02_PROPERTIES'!$C$10:$I$10,0))</f>
        <v>41017.370743551612</v>
      </c>
      <c r="AD44" s="20">
        <f>INDEX('02_PROPERTIES'!$C$10:$I$1048576,MATCH('03_CALCULATIONS'!$D44,'02_PROPERTIES'!$C$10:$C$1048576,0),MATCH('03_CALCULATIONS'!AD$9,'02_PROPERTIES'!$C$10:$I$10,0))</f>
        <v>19846.188560278148</v>
      </c>
      <c r="AE44" s="32">
        <f>INDEX('02_PROPERTIES'!$C$10:$I$1048576,MATCH('03_CALCULATIONS'!$D44,'02_PROPERTIES'!$C$10:$C$1048576,0),MATCH('03_CALCULATIONS'!AE$9,'02_PROPERTIES'!$C$10:$I$10,0))</f>
        <v>0.4142802271075095</v>
      </c>
      <c r="AF44" s="32">
        <f>INDEX('02_PROPERTIES'!$C$10:$I$1048576,MATCH('03_CALCULATIONS'!$D44,'02_PROPERTIES'!$C$10:$C$1048576,0),MATCH('03_CALCULATIONS'!AF$9,'02_PROPERTIES'!$C$10:$I$10,0))</f>
        <v>1</v>
      </c>
      <c r="AH44" s="20">
        <f t="shared" si="0"/>
        <v>-3129.3650434782612</v>
      </c>
      <c r="AI44" s="20">
        <f t="shared" si="1"/>
        <v>-480.04494782608697</v>
      </c>
      <c r="AJ44" s="20">
        <f t="shared" si="2"/>
        <v>832.70327536231889</v>
      </c>
      <c r="AL44" s="20">
        <f t="shared" si="3"/>
        <v>-2223.3129085634037</v>
      </c>
      <c r="AM44" s="20">
        <f t="shared" si="4"/>
        <v>1201.9019891411281</v>
      </c>
      <c r="AN44" s="20">
        <f t="shared" si="5"/>
        <v>1266.8431033992877</v>
      </c>
      <c r="AO44" s="20">
        <f t="shared" si="6"/>
        <v>122.71609198850604</v>
      </c>
      <c r="AP44" s="20">
        <f t="shared" si="7"/>
        <v>-1144.1270114107815</v>
      </c>
      <c r="AR44" s="20">
        <f t="shared" si="8"/>
        <v>1315.2866366632827</v>
      </c>
      <c r="AS44" s="20">
        <f t="shared" si="9"/>
        <v>-2336.6975560855581</v>
      </c>
      <c r="AT44" s="20">
        <f t="shared" si="10"/>
        <v>2130.2384191668793</v>
      </c>
    </row>
    <row r="45" spans="1:46" x14ac:dyDescent="0.3">
      <c r="A45" s="18">
        <v>166</v>
      </c>
      <c r="B45" s="20">
        <f>INDEX('01_FASTPPH'!$9:$1048576,MATCH($A45,'01_FASTPPH'!$A$9:$A$1048576,0),MATCH(B$9,'01_FASTPPH'!$8:$8,0))</f>
        <v>29</v>
      </c>
      <c r="C45" s="20">
        <f>INDEX('01_FASTPPH'!$9:$1048576,MATCH($A45,'01_FASTPPH'!$A$9:$A$1048576,0),MATCH(C$9,'01_FASTPPH'!$8:$8,0))</f>
        <v>1501264</v>
      </c>
      <c r="D45" s="20" t="str">
        <f>INDEX('01_FASTPPH'!$9:$1048576,MATCH($A45,'01_FASTPPH'!$A$9:$A$1048576,0),MATCH(D$9,'01_FASTPPH'!$8:$8,0))</f>
        <v>SkinRH</v>
      </c>
      <c r="E45" s="20">
        <f>INDEX('01_FASTPPH'!$9:$1048576,MATCH($A45,'01_FASTPPH'!$A$9:$A$1048576,0),MATCH(E$9,'01_FASTPPH'!$8:$8,0))</f>
        <v>2902020</v>
      </c>
      <c r="F45" s="20">
        <f>INDEX('01_FASTPPH'!$9:$1048576,MATCH($A45,'01_FASTPPH'!$A$9:$A$1048576,0),MATCH(F$9,'01_FASTPPH'!$8:$8,0))</f>
        <v>1902022</v>
      </c>
      <c r="G45" s="20">
        <f>INDEX('01_FASTPPH'!$9:$1048576,MATCH($A45,'01_FASTPPH'!$A$9:$A$1048576,0),MATCH(G$9,'01_FASTPPH'!$8:$8,0))</f>
        <v>3902020</v>
      </c>
      <c r="H45" s="20">
        <f>INDEX('01_FASTPPH'!$9:$1048576,MATCH($A45,'01_FASTPPH'!$A$9:$A$1048576,0),MATCH(H$9,'01_FASTPPH'!$8:$8,0))</f>
        <v>1902021</v>
      </c>
      <c r="I45" s="20">
        <f>INDEX('01_FASTPPH'!$9:$1048576,MATCH($A45,'01_FASTPPH'!$A$9:$A$1048576,0),MATCH(I$9,'01_FASTPPH'!$8:$8,0))</f>
        <v>57.914999999999999</v>
      </c>
      <c r="J45" s="20" t="str">
        <f>INDEX('01_FASTPPH'!$9:$1048576,MATCH($A45,'01_FASTPPH'!$A$9:$A$1048576,0),MATCH(J$9,'01_FASTPPH'!$8:$8,0))</f>
        <v xml:space="preserve">SUBCASE 102 = STLP ULT (INTACT) :STLP ULT (INTACT) </v>
      </c>
      <c r="K45" s="23">
        <f>INDEX('01_FASTPPH'!$9:$1048576,MATCH($A45,'01_FASTPPH'!$A$9:$A$1048576,0),MATCH(K$9,'01_FASTPPH'!$8:$8,0))</f>
        <v>7596.85</v>
      </c>
      <c r="L45" s="20">
        <f>INDEX('01_FASTPPH'!$9:$1048576,MATCH($A45,'01_FASTPPH'!$A$9:$A$1048576,0),MATCH(L$9,'01_FASTPPH'!$8:$8,0))</f>
        <v>1137.8900000000001</v>
      </c>
      <c r="M45" s="20">
        <f>INDEX('01_FASTPPH'!$9:$1048576,MATCH($A45,'01_FASTPPH'!$A$9:$A$1048576,0),MATCH(M$9,'01_FASTPPH'!$8:$8,0))</f>
        <v>-17626.7</v>
      </c>
      <c r="N45" s="24">
        <f>INDEX('01_FASTPPH'!$9:$1048576,MATCH($A45,'01_FASTPPH'!$A$9:$A$1048576,0),MATCH(N$9,'01_FASTPPH'!$8:$8,0))</f>
        <v>0</v>
      </c>
      <c r="O45" s="23">
        <f>INDEX('01_FASTPPH'!$9:$1048576,MATCH($A45,'01_FASTPPH'!$A$9:$A$1048576,0),MATCH(O$9,'01_FASTPPH'!$8:$8,0))</f>
        <v>-649.92999999999995</v>
      </c>
      <c r="P45" s="20">
        <f>INDEX('01_FASTPPH'!$9:$1048576,MATCH($A45,'01_FASTPPH'!$A$9:$A$1048576,0),MATCH(P$9,'01_FASTPPH'!$8:$8,0))</f>
        <v>-1124.97</v>
      </c>
      <c r="Q45" s="20">
        <f>INDEX('01_FASTPPH'!$9:$1048576,MATCH($A45,'01_FASTPPH'!$A$9:$A$1048576,0),MATCH(Q$9,'01_FASTPPH'!$8:$8,0))</f>
        <v>-309.13499999999999</v>
      </c>
      <c r="R45" s="20">
        <f>INDEX('01_FASTPPH'!$9:$1048576,MATCH($A45,'01_FASTPPH'!$A$9:$A$1048576,0),MATCH(R$9,'01_FASTPPH'!$8:$8,0))</f>
        <v>-374.27499999999998</v>
      </c>
      <c r="S45" s="20">
        <f>INDEX('01_FASTPPH'!$9:$1048576,MATCH($A45,'01_FASTPPH'!$A$9:$A$1048576,0),MATCH(S$9,'01_FASTPPH'!$8:$8,0))</f>
        <v>342.03</v>
      </c>
      <c r="T45" s="24">
        <f>INDEX('01_FASTPPH'!$9:$1048576,MATCH($A45,'01_FASTPPH'!$A$9:$A$1048576,0),MATCH(T$9,'01_FASTPPH'!$8:$8,0))</f>
        <v>715.29200000000003</v>
      </c>
      <c r="U45" s="23">
        <f>INDEX('01_FASTPPH'!$9:$1048576,MATCH($A45,'01_FASTPPH'!$A$9:$A$1048576,0),MATCH(U$9,'01_FASTPPH'!$8:$8,0))</f>
        <v>-9090.2999999999993</v>
      </c>
      <c r="V45" s="20">
        <f>INDEX('01_FASTPPH'!$9:$1048576,MATCH($A45,'01_FASTPPH'!$A$9:$A$1048576,0),MATCH(V$9,'01_FASTPPH'!$8:$8,0))</f>
        <v>-1710.41</v>
      </c>
      <c r="W45" s="24">
        <f>INDEX('01_FASTPPH'!$9:$1048576,MATCH($A45,'01_FASTPPH'!$A$9:$A$1048576,0),MATCH(W$9,'01_FASTPPH'!$8:$8,0))</f>
        <v>1992.38</v>
      </c>
      <c r="X45" s="20">
        <f>INDEX('01_FASTPPH'!$9:$1048576,MATCH($A45,'01_FASTPPH'!$A$9:$A$1048576,0),MATCH(X$9,'01_FASTPPH'!$8:$8,0))</f>
        <v>2.6746700000000002E-2</v>
      </c>
      <c r="Y45" s="20" t="str">
        <f>INDEX('01_FASTPPH'!$9:$1048576,MATCH($A45,'01_FASTPPH'!$A$9:$A$1048576,0),MATCH(Y$9,'01_FASTPPH'!$8:$8,0))</f>
        <v>Pt6   modified</v>
      </c>
      <c r="AA45" s="32">
        <f>INDEX('02_PROPERTIES'!$C$10:$I$1048576,MATCH('03_CALCULATIONS'!$D45,'02_PROPERTIES'!$C$10:$C$1048576,0),MATCH('03_CALCULATIONS'!AA$9,'02_PROPERTIES'!$C$10:$I$10,0))</f>
        <v>16.559999999999999</v>
      </c>
      <c r="AB45" s="20">
        <f>INDEX('02_PROPERTIES'!$C$10:$I$1048576,MATCH('03_CALCULATIONS'!$D45,'02_PROPERTIES'!$C$10:$C$1048576,0),MATCH('03_CALCULATIONS'!AB$9,'02_PROPERTIES'!$C$10:$I$10,0))</f>
        <v>79593.867056640505</v>
      </c>
      <c r="AC45" s="20">
        <f>INDEX('02_PROPERTIES'!$C$10:$I$1048576,MATCH('03_CALCULATIONS'!$D45,'02_PROPERTIES'!$C$10:$C$1048576,0),MATCH('03_CALCULATIONS'!AC$9,'02_PROPERTIES'!$C$10:$I$10,0))</f>
        <v>41017.370743551612</v>
      </c>
      <c r="AD45" s="20">
        <f>INDEX('02_PROPERTIES'!$C$10:$I$1048576,MATCH('03_CALCULATIONS'!$D45,'02_PROPERTIES'!$C$10:$C$1048576,0),MATCH('03_CALCULATIONS'!AD$9,'02_PROPERTIES'!$C$10:$I$10,0))</f>
        <v>19846.188560278148</v>
      </c>
      <c r="AE45" s="32">
        <f>INDEX('02_PROPERTIES'!$C$10:$I$1048576,MATCH('03_CALCULATIONS'!$D45,'02_PROPERTIES'!$C$10:$C$1048576,0),MATCH('03_CALCULATIONS'!AE$9,'02_PROPERTIES'!$C$10:$I$10,0))</f>
        <v>0.4142802271075095</v>
      </c>
      <c r="AF45" s="32">
        <f>INDEX('02_PROPERTIES'!$C$10:$I$1048576,MATCH('03_CALCULATIONS'!$D45,'02_PROPERTIES'!$C$10:$C$1048576,0),MATCH('03_CALCULATIONS'!AF$9,'02_PROPERTIES'!$C$10:$I$10,0))</f>
        <v>1</v>
      </c>
      <c r="AH45" s="20">
        <f t="shared" si="0"/>
        <v>-3943.5169565217388</v>
      </c>
      <c r="AI45" s="20">
        <f t="shared" si="1"/>
        <v>-928.84876811594211</v>
      </c>
      <c r="AJ45" s="20">
        <f t="shared" si="2"/>
        <v>1063.906811594203</v>
      </c>
      <c r="AL45" s="20">
        <f t="shared" si="3"/>
        <v>-2699.9334590552585</v>
      </c>
      <c r="AM45" s="20">
        <f t="shared" si="4"/>
        <v>1037.7250806272164</v>
      </c>
      <c r="AN45" s="20">
        <f t="shared" si="5"/>
        <v>1618.5873729645132</v>
      </c>
      <c r="AO45" s="20">
        <f t="shared" si="6"/>
        <v>-21.810502731764473</v>
      </c>
      <c r="AP45" s="20">
        <f t="shared" si="7"/>
        <v>-1640.3978756962777</v>
      </c>
      <c r="AR45" s="20">
        <f t="shared" si="8"/>
        <v>1205.4318676225314</v>
      </c>
      <c r="AS45" s="20">
        <f t="shared" si="9"/>
        <v>-2867.6402460505733</v>
      </c>
      <c r="AT45" s="20">
        <f t="shared" si="10"/>
        <v>2472.31630737968</v>
      </c>
    </row>
    <row r="46" spans="1:46" x14ac:dyDescent="0.3">
      <c r="A46" s="18">
        <v>242</v>
      </c>
      <c r="B46" s="20">
        <f>INDEX('01_FASTPPH'!$9:$1048576,MATCH($A46,'01_FASTPPH'!$A$9:$A$1048576,0),MATCH(B$9,'01_FASTPPH'!$8:$8,0))</f>
        <v>41</v>
      </c>
      <c r="C46" s="20">
        <f>INDEX('01_FASTPPH'!$9:$1048576,MATCH($A46,'01_FASTPPH'!$A$9:$A$1048576,0),MATCH(C$9,'01_FASTPPH'!$8:$8,0))</f>
        <v>1500794</v>
      </c>
      <c r="D46" s="20" t="str">
        <f>INDEX('01_FASTPPH'!$9:$1048576,MATCH($A46,'01_FASTPPH'!$A$9:$A$1048576,0),MATCH(D$9,'01_FASTPPH'!$8:$8,0))</f>
        <v>SkinRH</v>
      </c>
      <c r="E46" s="20">
        <f>INDEX('01_FASTPPH'!$9:$1048576,MATCH($A46,'01_FASTPPH'!$A$9:$A$1048576,0),MATCH(E$9,'01_FASTPPH'!$8:$8,0))</f>
        <v>3903020</v>
      </c>
      <c r="F46" s="20">
        <f>INDEX('01_FASTPPH'!$9:$1048576,MATCH($A46,'01_FASTPPH'!$A$9:$A$1048576,0),MATCH(F$9,'01_FASTPPH'!$8:$8,0))</f>
        <v>1903021</v>
      </c>
      <c r="G46" s="20">
        <f>INDEX('01_FASTPPH'!$9:$1048576,MATCH($A46,'01_FASTPPH'!$A$9:$A$1048576,0),MATCH(G$9,'01_FASTPPH'!$8:$8,0))</f>
        <v>0</v>
      </c>
      <c r="H46" s="20">
        <f>INDEX('01_FASTPPH'!$9:$1048576,MATCH($A46,'01_FASTPPH'!$A$9:$A$1048576,0),MATCH(H$9,'01_FASTPPH'!$8:$8,0))</f>
        <v>0</v>
      </c>
      <c r="I46" s="20">
        <f>INDEX('01_FASTPPH'!$9:$1048576,MATCH($A46,'01_FASTPPH'!$A$9:$A$1048576,0),MATCH(I$9,'01_FASTPPH'!$8:$8,0))</f>
        <v>57.914999999999999</v>
      </c>
      <c r="J46" s="20" t="str">
        <f>INDEX('01_FASTPPH'!$9:$1048576,MATCH($A46,'01_FASTPPH'!$A$9:$A$1048576,0),MATCH(J$9,'01_FASTPPH'!$8:$8,0))</f>
        <v xml:space="preserve">SUBCASE 102 = STLP ULT (INTACT) :STLP ULT (INTACT) </v>
      </c>
      <c r="K46" s="23">
        <f>INDEX('01_FASTPPH'!$9:$1048576,MATCH($A46,'01_FASTPPH'!$A$9:$A$1048576,0),MATCH(K$9,'01_FASTPPH'!$8:$8,0))</f>
        <v>-11179.1</v>
      </c>
      <c r="L46" s="20">
        <f>INDEX('01_FASTPPH'!$9:$1048576,MATCH($A46,'01_FASTPPH'!$A$9:$A$1048576,0),MATCH(L$9,'01_FASTPPH'!$8:$8,0))</f>
        <v>-2763.28</v>
      </c>
      <c r="M46" s="20">
        <f>INDEX('01_FASTPPH'!$9:$1048576,MATCH($A46,'01_FASTPPH'!$A$9:$A$1048576,0),MATCH(M$9,'01_FASTPPH'!$8:$8,0))</f>
        <v>-12951.8</v>
      </c>
      <c r="N46" s="24">
        <f>INDEX('01_FASTPPH'!$9:$1048576,MATCH($A46,'01_FASTPPH'!$A$9:$A$1048576,0),MATCH(N$9,'01_FASTPPH'!$8:$8,0))</f>
        <v>37023.4</v>
      </c>
      <c r="O46" s="23">
        <f>INDEX('01_FASTPPH'!$9:$1048576,MATCH($A46,'01_FASTPPH'!$A$9:$A$1048576,0),MATCH(O$9,'01_FASTPPH'!$8:$8,0))</f>
        <v>955.98900000000003</v>
      </c>
      <c r="P46" s="20">
        <f>INDEX('01_FASTPPH'!$9:$1048576,MATCH($A46,'01_FASTPPH'!$A$9:$A$1048576,0),MATCH(P$9,'01_FASTPPH'!$8:$8,0))</f>
        <v>1458.4</v>
      </c>
      <c r="Q46" s="20">
        <f>INDEX('01_FASTPPH'!$9:$1048576,MATCH($A46,'01_FASTPPH'!$A$9:$A$1048576,0),MATCH(Q$9,'01_FASTPPH'!$8:$8,0))</f>
        <v>-359.05700000000002</v>
      </c>
      <c r="R46" s="20">
        <f>INDEX('01_FASTPPH'!$9:$1048576,MATCH($A46,'01_FASTPPH'!$A$9:$A$1048576,0),MATCH(R$9,'01_FASTPPH'!$8:$8,0))</f>
        <v>-492.45</v>
      </c>
      <c r="S46" s="20">
        <f>INDEX('01_FASTPPH'!$9:$1048576,MATCH($A46,'01_FASTPPH'!$A$9:$A$1048576,0),MATCH(S$9,'01_FASTPPH'!$8:$8,0))</f>
        <v>318.41800000000001</v>
      </c>
      <c r="T46" s="24">
        <f>INDEX('01_FASTPPH'!$9:$1048576,MATCH($A46,'01_FASTPPH'!$A$9:$A$1048576,0),MATCH(T$9,'01_FASTPPH'!$8:$8,0))</f>
        <v>719.06</v>
      </c>
      <c r="U46" s="23">
        <f>INDEX('01_FASTPPH'!$9:$1048576,MATCH($A46,'01_FASTPPH'!$A$9:$A$1048576,0),MATCH(U$9,'01_FASTPPH'!$8:$8,0))</f>
        <v>-10903.2</v>
      </c>
      <c r="V46" s="20">
        <f>INDEX('01_FASTPPH'!$9:$1048576,MATCH($A46,'01_FASTPPH'!$A$9:$A$1048576,0),MATCH(V$9,'01_FASTPPH'!$8:$8,0))</f>
        <v>-2743.16</v>
      </c>
      <c r="W46" s="24">
        <f>INDEX('01_FASTPPH'!$9:$1048576,MATCH($A46,'01_FASTPPH'!$A$9:$A$1048576,0),MATCH(W$9,'01_FASTPPH'!$8:$8,0))</f>
        <v>698.11599999999999</v>
      </c>
      <c r="X46" s="20">
        <f>INDEX('01_FASTPPH'!$9:$1048576,MATCH($A46,'01_FASTPPH'!$A$9:$A$1048576,0),MATCH(X$9,'01_FASTPPH'!$8:$8,0))</f>
        <v>0</v>
      </c>
      <c r="Y46" s="20">
        <f>INDEX('01_FASTPPH'!$9:$1048576,MATCH($A46,'01_FASTPPH'!$A$9:$A$1048576,0),MATCH(Y$9,'01_FASTPPH'!$8:$8,0))</f>
        <v>0</v>
      </c>
      <c r="AA46" s="32">
        <f>INDEX('02_PROPERTIES'!$C$10:$I$1048576,MATCH('03_CALCULATIONS'!$D46,'02_PROPERTIES'!$C$10:$C$1048576,0),MATCH('03_CALCULATIONS'!AA$9,'02_PROPERTIES'!$C$10:$I$10,0))</f>
        <v>16.559999999999999</v>
      </c>
      <c r="AB46" s="20">
        <f>INDEX('02_PROPERTIES'!$C$10:$I$1048576,MATCH('03_CALCULATIONS'!$D46,'02_PROPERTIES'!$C$10:$C$1048576,0),MATCH('03_CALCULATIONS'!AB$9,'02_PROPERTIES'!$C$10:$I$10,0))</f>
        <v>79593.867056640505</v>
      </c>
      <c r="AC46" s="20">
        <f>INDEX('02_PROPERTIES'!$C$10:$I$1048576,MATCH('03_CALCULATIONS'!$D46,'02_PROPERTIES'!$C$10:$C$1048576,0),MATCH('03_CALCULATIONS'!AC$9,'02_PROPERTIES'!$C$10:$I$10,0))</f>
        <v>41017.370743551612</v>
      </c>
      <c r="AD46" s="20">
        <f>INDEX('02_PROPERTIES'!$C$10:$I$1048576,MATCH('03_CALCULATIONS'!$D46,'02_PROPERTIES'!$C$10:$C$1048576,0),MATCH('03_CALCULATIONS'!AD$9,'02_PROPERTIES'!$C$10:$I$10,0))</f>
        <v>19846.188560278148</v>
      </c>
      <c r="AE46" s="32">
        <f>INDEX('02_PROPERTIES'!$C$10:$I$1048576,MATCH('03_CALCULATIONS'!$D46,'02_PROPERTIES'!$C$10:$C$1048576,0),MATCH('03_CALCULATIONS'!AE$9,'02_PROPERTIES'!$C$10:$I$10,0))</f>
        <v>0.4142802271075095</v>
      </c>
      <c r="AF46" s="32">
        <f>INDEX('02_PROPERTIES'!$C$10:$I$1048576,MATCH('03_CALCULATIONS'!$D46,'02_PROPERTIES'!$C$10:$C$1048576,0),MATCH('03_CALCULATIONS'!AF$9,'02_PROPERTIES'!$C$10:$I$10,0))</f>
        <v>1</v>
      </c>
      <c r="AH46" s="20">
        <f t="shared" si="0"/>
        <v>4906.4237826086965</v>
      </c>
      <c r="AI46" s="20">
        <f t="shared" si="1"/>
        <v>-1352.9555507246378</v>
      </c>
      <c r="AJ46" s="20">
        <f t="shared" si="2"/>
        <v>571.35857971014491</v>
      </c>
      <c r="AL46" s="20">
        <f t="shared" si="3"/>
        <v>4147.6614339210591</v>
      </c>
      <c r="AM46" s="20">
        <f t="shared" si="4"/>
        <v>-4984.3232615563966</v>
      </c>
      <c r="AN46" s="20">
        <f t="shared" si="5"/>
        <v>869.24321987188773</v>
      </c>
      <c r="AO46" s="20">
        <f t="shared" si="6"/>
        <v>16.29069611827515</v>
      </c>
      <c r="AP46" s="20">
        <f t="shared" si="7"/>
        <v>-852.95252375361258</v>
      </c>
      <c r="AR46" s="20">
        <f t="shared" si="8"/>
        <v>4168.2998826855692</v>
      </c>
      <c r="AS46" s="20">
        <f t="shared" si="9"/>
        <v>-5004.9617103209057</v>
      </c>
      <c r="AT46" s="20">
        <f t="shared" si="10"/>
        <v>4647.9963312057225</v>
      </c>
    </row>
    <row r="47" spans="1:46" x14ac:dyDescent="0.3">
      <c r="A47" s="18">
        <v>174</v>
      </c>
      <c r="B47" s="20">
        <f>INDEX('01_FASTPPH'!$9:$1048576,MATCH($A47,'01_FASTPPH'!$A$9:$A$1048576,0),MATCH(B$9,'01_FASTPPH'!$8:$8,0))</f>
        <v>30</v>
      </c>
      <c r="C47" s="20">
        <f>INDEX('01_FASTPPH'!$9:$1048576,MATCH($A47,'01_FASTPPH'!$A$9:$A$1048576,0),MATCH(C$9,'01_FASTPPH'!$8:$8,0))</f>
        <v>1500869</v>
      </c>
      <c r="D47" s="20" t="str">
        <f>INDEX('01_FASTPPH'!$9:$1048576,MATCH($A47,'01_FASTPPH'!$A$9:$A$1048576,0),MATCH(D$9,'01_FASTPPH'!$8:$8,0))</f>
        <v>SkinRH</v>
      </c>
      <c r="E47" s="20">
        <f>INDEX('01_FASTPPH'!$9:$1048576,MATCH($A47,'01_FASTPPH'!$A$9:$A$1048576,0),MATCH(E$9,'01_FASTPPH'!$8:$8,0))</f>
        <v>2904020</v>
      </c>
      <c r="F47" s="20">
        <f>INDEX('01_FASTPPH'!$9:$1048576,MATCH($A47,'01_FASTPPH'!$A$9:$A$1048576,0),MATCH(F$9,'01_FASTPPH'!$8:$8,0))</f>
        <v>1904022</v>
      </c>
      <c r="G47" s="20">
        <f>INDEX('01_FASTPPH'!$9:$1048576,MATCH($A47,'01_FASTPPH'!$A$9:$A$1048576,0),MATCH(G$9,'01_FASTPPH'!$8:$8,0))</f>
        <v>3904020</v>
      </c>
      <c r="H47" s="20">
        <f>INDEX('01_FASTPPH'!$9:$1048576,MATCH($A47,'01_FASTPPH'!$A$9:$A$1048576,0),MATCH(H$9,'01_FASTPPH'!$8:$8,0))</f>
        <v>1904021</v>
      </c>
      <c r="I47" s="20">
        <f>INDEX('01_FASTPPH'!$9:$1048576,MATCH($A47,'01_FASTPPH'!$A$9:$A$1048576,0),MATCH(I$9,'01_FASTPPH'!$8:$8,0))</f>
        <v>57.914999999999999</v>
      </c>
      <c r="J47" s="20" t="str">
        <f>INDEX('01_FASTPPH'!$9:$1048576,MATCH($A47,'01_FASTPPH'!$A$9:$A$1048576,0),MATCH(J$9,'01_FASTPPH'!$8:$8,0))</f>
        <v xml:space="preserve">SUBCASE 102 = STLP ULT (INTACT) :STLP ULT (INTACT) </v>
      </c>
      <c r="K47" s="23">
        <f>INDEX('01_FASTPPH'!$9:$1048576,MATCH($A47,'01_FASTPPH'!$A$9:$A$1048576,0),MATCH(K$9,'01_FASTPPH'!$8:$8,0))</f>
        <v>-832.95399999999995</v>
      </c>
      <c r="L47" s="20">
        <f>INDEX('01_FASTPPH'!$9:$1048576,MATCH($A47,'01_FASTPPH'!$A$9:$A$1048576,0),MATCH(L$9,'01_FASTPPH'!$8:$8,0))</f>
        <v>-5730.46</v>
      </c>
      <c r="M47" s="20">
        <f>INDEX('01_FASTPPH'!$9:$1048576,MATCH($A47,'01_FASTPPH'!$A$9:$A$1048576,0),MATCH(M$9,'01_FASTPPH'!$8:$8,0))</f>
        <v>-17947.3</v>
      </c>
      <c r="N47" s="24">
        <f>INDEX('01_FASTPPH'!$9:$1048576,MATCH($A47,'01_FASTPPH'!$A$9:$A$1048576,0),MATCH(N$9,'01_FASTPPH'!$8:$8,0))</f>
        <v>34608.699999999997</v>
      </c>
      <c r="O47" s="23">
        <f>INDEX('01_FASTPPH'!$9:$1048576,MATCH($A47,'01_FASTPPH'!$A$9:$A$1048576,0),MATCH(O$9,'01_FASTPPH'!$8:$8,0))</f>
        <v>1446.2</v>
      </c>
      <c r="P47" s="20">
        <f>INDEX('01_FASTPPH'!$9:$1048576,MATCH($A47,'01_FASTPPH'!$A$9:$A$1048576,0),MATCH(P$9,'01_FASTPPH'!$8:$8,0))</f>
        <v>1495.44</v>
      </c>
      <c r="Q47" s="20">
        <f>INDEX('01_FASTPPH'!$9:$1048576,MATCH($A47,'01_FASTPPH'!$A$9:$A$1048576,0),MATCH(Q$9,'01_FASTPPH'!$8:$8,0))</f>
        <v>-43.433599999999998</v>
      </c>
      <c r="R47" s="20">
        <f>INDEX('01_FASTPPH'!$9:$1048576,MATCH($A47,'01_FASTPPH'!$A$9:$A$1048576,0),MATCH(R$9,'01_FASTPPH'!$8:$8,0))</f>
        <v>-419.12299999999999</v>
      </c>
      <c r="S47" s="20">
        <f>INDEX('01_FASTPPH'!$9:$1048576,MATCH($A47,'01_FASTPPH'!$A$9:$A$1048576,0),MATCH(S$9,'01_FASTPPH'!$8:$8,0))</f>
        <v>744.95399999999995</v>
      </c>
      <c r="T47" s="24">
        <f>INDEX('01_FASTPPH'!$9:$1048576,MATCH($A47,'01_FASTPPH'!$A$9:$A$1048576,0),MATCH(T$9,'01_FASTPPH'!$8:$8,0))</f>
        <v>1199.4100000000001</v>
      </c>
      <c r="U47" s="23">
        <f>INDEX('01_FASTPPH'!$9:$1048576,MATCH($A47,'01_FASTPPH'!$A$9:$A$1048576,0),MATCH(U$9,'01_FASTPPH'!$8:$8,0))</f>
        <v>-11272.7</v>
      </c>
      <c r="V47" s="20">
        <f>INDEX('01_FASTPPH'!$9:$1048576,MATCH($A47,'01_FASTPPH'!$A$9:$A$1048576,0),MATCH(V$9,'01_FASTPPH'!$8:$8,0))</f>
        <v>-1939.95</v>
      </c>
      <c r="W47" s="24">
        <f>INDEX('01_FASTPPH'!$9:$1048576,MATCH($A47,'01_FASTPPH'!$A$9:$A$1048576,0),MATCH(W$9,'01_FASTPPH'!$8:$8,0))</f>
        <v>-569.95899999999995</v>
      </c>
      <c r="X47" s="20">
        <f>INDEX('01_FASTPPH'!$9:$1048576,MATCH($A47,'01_FASTPPH'!$A$9:$A$1048576,0),MATCH(X$9,'01_FASTPPH'!$8:$8,0))</f>
        <v>9.3985400000000004E-3</v>
      </c>
      <c r="Y47" s="20">
        <f>INDEX('01_FASTPPH'!$9:$1048576,MATCH($A47,'01_FASTPPH'!$A$9:$A$1048576,0),MATCH(Y$9,'01_FASTPPH'!$8:$8,0))</f>
        <v>0</v>
      </c>
      <c r="AA47" s="32">
        <f>INDEX('02_PROPERTIES'!$C$10:$I$1048576,MATCH('03_CALCULATIONS'!$D47,'02_PROPERTIES'!$C$10:$C$1048576,0),MATCH('03_CALCULATIONS'!AA$9,'02_PROPERTIES'!$C$10:$I$10,0))</f>
        <v>16.559999999999999</v>
      </c>
      <c r="AB47" s="20">
        <f>INDEX('02_PROPERTIES'!$C$10:$I$1048576,MATCH('03_CALCULATIONS'!$D47,'02_PROPERTIES'!$C$10:$C$1048576,0),MATCH('03_CALCULATIONS'!AB$9,'02_PROPERTIES'!$C$10:$I$10,0))</f>
        <v>79593.867056640505</v>
      </c>
      <c r="AC47" s="20">
        <f>INDEX('02_PROPERTIES'!$C$10:$I$1048576,MATCH('03_CALCULATIONS'!$D47,'02_PROPERTIES'!$C$10:$C$1048576,0),MATCH('03_CALCULATIONS'!AC$9,'02_PROPERTIES'!$C$10:$I$10,0))</f>
        <v>41017.370743551612</v>
      </c>
      <c r="AD47" s="20">
        <f>INDEX('02_PROPERTIES'!$C$10:$I$1048576,MATCH('03_CALCULATIONS'!$D47,'02_PROPERTIES'!$C$10:$C$1048576,0),MATCH('03_CALCULATIONS'!AD$9,'02_PROPERTIES'!$C$10:$I$10,0))</f>
        <v>19846.188560278148</v>
      </c>
      <c r="AE47" s="32">
        <f>INDEX('02_PROPERTIES'!$C$10:$I$1048576,MATCH('03_CALCULATIONS'!$D47,'02_PROPERTIES'!$C$10:$C$1048576,0),MATCH('03_CALCULATIONS'!AE$9,'02_PROPERTIES'!$C$10:$I$10,0))</f>
        <v>0.4142802271075095</v>
      </c>
      <c r="AF47" s="32">
        <f>INDEX('02_PROPERTIES'!$C$10:$I$1048576,MATCH('03_CALCULATIONS'!$D47,'02_PROPERTIES'!$C$10:$C$1048576,0),MATCH('03_CALCULATIONS'!AF$9,'02_PROPERTIES'!$C$10:$I$10,0))</f>
        <v>1</v>
      </c>
      <c r="AH47" s="20">
        <f t="shared" si="0"/>
        <v>5530.5115942028997</v>
      </c>
      <c r="AI47" s="20">
        <f t="shared" si="1"/>
        <v>-746.3140347826087</v>
      </c>
      <c r="AJ47" s="20">
        <f t="shared" si="2"/>
        <v>951.46088405797104</v>
      </c>
      <c r="AL47" s="20">
        <f t="shared" si="3"/>
        <v>4430.4741611240861</v>
      </c>
      <c r="AM47" s="20">
        <f t="shared" si="4"/>
        <v>-4471.8529265548486</v>
      </c>
      <c r="AN47" s="20">
        <f t="shared" si="5"/>
        <v>1447.5164140534544</v>
      </c>
      <c r="AO47" s="20">
        <f t="shared" si="6"/>
        <v>703.06882431134591</v>
      </c>
      <c r="AP47" s="20">
        <f t="shared" si="7"/>
        <v>-744.44758974210845</v>
      </c>
      <c r="AR47" s="20">
        <f t="shared" si="8"/>
        <v>4488.931758383289</v>
      </c>
      <c r="AS47" s="20">
        <f t="shared" si="9"/>
        <v>-4530.3105238140506</v>
      </c>
      <c r="AT47" s="20">
        <f t="shared" si="10"/>
        <v>4680.6154149812073</v>
      </c>
    </row>
    <row r="48" spans="1:46" x14ac:dyDescent="0.3">
      <c r="A48" s="18">
        <v>102</v>
      </c>
      <c r="B48" s="20">
        <f>INDEX('01_FASTPPH'!$9:$1048576,MATCH($A48,'01_FASTPPH'!$A$9:$A$1048576,0),MATCH(B$9,'01_FASTPPH'!$8:$8,0))</f>
        <v>17</v>
      </c>
      <c r="C48" s="20">
        <f>INDEX('01_FASTPPH'!$9:$1048576,MATCH($A48,'01_FASTPPH'!$A$9:$A$1048576,0),MATCH(C$9,'01_FASTPPH'!$8:$8,0))</f>
        <v>1500412</v>
      </c>
      <c r="D48" s="20" t="str">
        <f>INDEX('01_FASTPPH'!$9:$1048576,MATCH($A48,'01_FASTPPH'!$A$9:$A$1048576,0),MATCH(D$9,'01_FASTPPH'!$8:$8,0))</f>
        <v>SkinRH</v>
      </c>
      <c r="E48" s="20">
        <f>INDEX('01_FASTPPH'!$9:$1048576,MATCH($A48,'01_FASTPPH'!$A$9:$A$1048576,0),MATCH(E$9,'01_FASTPPH'!$8:$8,0))</f>
        <v>2905020</v>
      </c>
      <c r="F48" s="20">
        <f>INDEX('01_FASTPPH'!$9:$1048576,MATCH($A48,'01_FASTPPH'!$A$9:$A$1048576,0),MATCH(F$9,'01_FASTPPH'!$8:$8,0))</f>
        <v>1905022</v>
      </c>
      <c r="G48" s="20">
        <f>INDEX('01_FASTPPH'!$9:$1048576,MATCH($A48,'01_FASTPPH'!$A$9:$A$1048576,0),MATCH(G$9,'01_FASTPPH'!$8:$8,0))</f>
        <v>3905020</v>
      </c>
      <c r="H48" s="20">
        <f>INDEX('01_FASTPPH'!$9:$1048576,MATCH($A48,'01_FASTPPH'!$A$9:$A$1048576,0),MATCH(H$9,'01_FASTPPH'!$8:$8,0))</f>
        <v>1905021</v>
      </c>
      <c r="I48" s="20">
        <f>INDEX('01_FASTPPH'!$9:$1048576,MATCH($A48,'01_FASTPPH'!$A$9:$A$1048576,0),MATCH(I$9,'01_FASTPPH'!$8:$8,0))</f>
        <v>57.914999999999999</v>
      </c>
      <c r="J48" s="20" t="str">
        <f>INDEX('01_FASTPPH'!$9:$1048576,MATCH($A48,'01_FASTPPH'!$A$9:$A$1048576,0),MATCH(J$9,'01_FASTPPH'!$8:$8,0))</f>
        <v xml:space="preserve">SUBCASE 102 = STLP ULT (INTACT) :STLP ULT (INTACT) </v>
      </c>
      <c r="K48" s="23">
        <f>INDEX('01_FASTPPH'!$9:$1048576,MATCH($A48,'01_FASTPPH'!$A$9:$A$1048576,0),MATCH(K$9,'01_FASTPPH'!$8:$8,0))</f>
        <v>10686.6</v>
      </c>
      <c r="L48" s="20">
        <f>INDEX('01_FASTPPH'!$9:$1048576,MATCH($A48,'01_FASTPPH'!$A$9:$A$1048576,0),MATCH(L$9,'01_FASTPPH'!$8:$8,0))</f>
        <v>-6450.51</v>
      </c>
      <c r="M48" s="20">
        <f>INDEX('01_FASTPPH'!$9:$1048576,MATCH($A48,'01_FASTPPH'!$A$9:$A$1048576,0),MATCH(M$9,'01_FASTPPH'!$8:$8,0))</f>
        <v>-24020.400000000001</v>
      </c>
      <c r="N48" s="24">
        <f>INDEX('01_FASTPPH'!$9:$1048576,MATCH($A48,'01_FASTPPH'!$A$9:$A$1048576,0),MATCH(N$9,'01_FASTPPH'!$8:$8,0))</f>
        <v>10220.4</v>
      </c>
      <c r="O48" s="23">
        <f>INDEX('01_FASTPPH'!$9:$1048576,MATCH($A48,'01_FASTPPH'!$A$9:$A$1048576,0),MATCH(O$9,'01_FASTPPH'!$8:$8,0))</f>
        <v>1258.6500000000001</v>
      </c>
      <c r="P48" s="20">
        <f>INDEX('01_FASTPPH'!$9:$1048576,MATCH($A48,'01_FASTPPH'!$A$9:$A$1048576,0),MATCH(P$9,'01_FASTPPH'!$8:$8,0))</f>
        <v>1840.74</v>
      </c>
      <c r="Q48" s="20">
        <f>INDEX('01_FASTPPH'!$9:$1048576,MATCH($A48,'01_FASTPPH'!$A$9:$A$1048576,0),MATCH(Q$9,'01_FASTPPH'!$8:$8,0))</f>
        <v>49.885100000000001</v>
      </c>
      <c r="R48" s="20">
        <f>INDEX('01_FASTPPH'!$9:$1048576,MATCH($A48,'01_FASTPPH'!$A$9:$A$1048576,0),MATCH(R$9,'01_FASTPPH'!$8:$8,0))</f>
        <v>63.160699999999999</v>
      </c>
      <c r="S48" s="20">
        <f>INDEX('01_FASTPPH'!$9:$1048576,MATCH($A48,'01_FASTPPH'!$A$9:$A$1048576,0),MATCH(S$9,'01_FASTPPH'!$8:$8,0))</f>
        <v>267.40199999999999</v>
      </c>
      <c r="T48" s="24">
        <f>INDEX('01_FASTPPH'!$9:$1048576,MATCH($A48,'01_FASTPPH'!$A$9:$A$1048576,0),MATCH(T$9,'01_FASTPPH'!$8:$8,0))</f>
        <v>685.77</v>
      </c>
      <c r="U48" s="23">
        <f>INDEX('01_FASTPPH'!$9:$1048576,MATCH($A48,'01_FASTPPH'!$A$9:$A$1048576,0),MATCH(U$9,'01_FASTPPH'!$8:$8,0))</f>
        <v>-10165.1</v>
      </c>
      <c r="V48" s="20">
        <f>INDEX('01_FASTPPH'!$9:$1048576,MATCH($A48,'01_FASTPPH'!$A$9:$A$1048576,0),MATCH(V$9,'01_FASTPPH'!$8:$8,0))</f>
        <v>-347.22699999999998</v>
      </c>
      <c r="W48" s="24">
        <f>INDEX('01_FASTPPH'!$9:$1048576,MATCH($A48,'01_FASTPPH'!$A$9:$A$1048576,0),MATCH(W$9,'01_FASTPPH'!$8:$8,0))</f>
        <v>-865.31600000000003</v>
      </c>
      <c r="X48" s="20">
        <f>INDEX('01_FASTPPH'!$9:$1048576,MATCH($A48,'01_FASTPPH'!$A$9:$A$1048576,0),MATCH(X$9,'01_FASTPPH'!$8:$8,0))</f>
        <v>0.42262899999999998</v>
      </c>
      <c r="Y48" s="20">
        <f>INDEX('01_FASTPPH'!$9:$1048576,MATCH($A48,'01_FASTPPH'!$A$9:$A$1048576,0),MATCH(Y$9,'01_FASTPPH'!$8:$8,0))</f>
        <v>0</v>
      </c>
      <c r="AA48" s="32">
        <f>INDEX('02_PROPERTIES'!$C$10:$I$1048576,MATCH('03_CALCULATIONS'!$D48,'02_PROPERTIES'!$C$10:$C$1048576,0),MATCH('03_CALCULATIONS'!AA$9,'02_PROPERTIES'!$C$10:$I$10,0))</f>
        <v>16.559999999999999</v>
      </c>
      <c r="AB48" s="20">
        <f>INDEX('02_PROPERTIES'!$C$10:$I$1048576,MATCH('03_CALCULATIONS'!$D48,'02_PROPERTIES'!$C$10:$C$1048576,0),MATCH('03_CALCULATIONS'!AB$9,'02_PROPERTIES'!$C$10:$I$10,0))</f>
        <v>79593.867056640505</v>
      </c>
      <c r="AC48" s="20">
        <f>INDEX('02_PROPERTIES'!$C$10:$I$1048576,MATCH('03_CALCULATIONS'!$D48,'02_PROPERTIES'!$C$10:$C$1048576,0),MATCH('03_CALCULATIONS'!AC$9,'02_PROPERTIES'!$C$10:$I$10,0))</f>
        <v>41017.370743551612</v>
      </c>
      <c r="AD48" s="20">
        <f>INDEX('02_PROPERTIES'!$C$10:$I$1048576,MATCH('03_CALCULATIONS'!$D48,'02_PROPERTIES'!$C$10:$C$1048576,0),MATCH('03_CALCULATIONS'!AD$9,'02_PROPERTIES'!$C$10:$I$10,0))</f>
        <v>19846.188560278148</v>
      </c>
      <c r="AE48" s="32">
        <f>INDEX('02_PROPERTIES'!$C$10:$I$1048576,MATCH('03_CALCULATIONS'!$D48,'02_PROPERTIES'!$C$10:$C$1048576,0),MATCH('03_CALCULATIONS'!AE$9,'02_PROPERTIES'!$C$10:$I$10,0))</f>
        <v>0.4142802271075095</v>
      </c>
      <c r="AF48" s="32">
        <f>INDEX('02_PROPERTIES'!$C$10:$I$1048576,MATCH('03_CALCULATIONS'!$D48,'02_PROPERTIES'!$C$10:$C$1048576,0),MATCH('03_CALCULATIONS'!AF$9,'02_PROPERTIES'!$C$10:$I$10,0))</f>
        <v>1</v>
      </c>
      <c r="AH48" s="20">
        <f t="shared" si="0"/>
        <v>4941.6572463768125</v>
      </c>
      <c r="AI48" s="20">
        <f t="shared" si="1"/>
        <v>175.69198405797104</v>
      </c>
      <c r="AJ48" s="20">
        <f t="shared" si="2"/>
        <v>580.92228985507245</v>
      </c>
      <c r="AL48" s="20">
        <f t="shared" si="3"/>
        <v>3693.9275880476571</v>
      </c>
      <c r="AM48" s="20">
        <f t="shared" si="4"/>
        <v>-2755.3115215733396</v>
      </c>
      <c r="AN48" s="20">
        <f t="shared" si="5"/>
        <v>883.79308487000435</v>
      </c>
      <c r="AO48" s="20">
        <f t="shared" si="6"/>
        <v>911.2045756721609</v>
      </c>
      <c r="AP48" s="20">
        <f t="shared" si="7"/>
        <v>27.41149080215655</v>
      </c>
      <c r="AR48" s="20">
        <f t="shared" si="8"/>
        <v>3724.0651405313829</v>
      </c>
      <c r="AS48" s="20">
        <f t="shared" si="9"/>
        <v>-2785.4490740570654</v>
      </c>
      <c r="AT48" s="20">
        <f t="shared" si="10"/>
        <v>3343.5402629743066</v>
      </c>
    </row>
    <row r="49" spans="1:46" x14ac:dyDescent="0.3">
      <c r="A49" s="18">
        <v>248</v>
      </c>
      <c r="B49" s="20">
        <f>INDEX('01_FASTPPH'!$9:$1048576,MATCH($A49,'01_FASTPPH'!$A$9:$A$1048576,0),MATCH(B$9,'01_FASTPPH'!$8:$8,0))</f>
        <v>42</v>
      </c>
      <c r="C49" s="20">
        <f>INDEX('01_FASTPPH'!$9:$1048576,MATCH($A49,'01_FASTPPH'!$A$9:$A$1048576,0),MATCH(C$9,'01_FASTPPH'!$8:$8,0))</f>
        <v>1500504</v>
      </c>
      <c r="D49" s="20" t="str">
        <f>INDEX('01_FASTPPH'!$9:$1048576,MATCH($A49,'01_FASTPPH'!$A$9:$A$1048576,0),MATCH(D$9,'01_FASTPPH'!$8:$8,0))</f>
        <v>SkinRH</v>
      </c>
      <c r="E49" s="20">
        <f>INDEX('01_FASTPPH'!$9:$1048576,MATCH($A49,'01_FASTPPH'!$A$9:$A$1048576,0),MATCH(E$9,'01_FASTPPH'!$8:$8,0))</f>
        <v>3906020</v>
      </c>
      <c r="F49" s="20">
        <f>INDEX('01_FASTPPH'!$9:$1048576,MATCH($A49,'01_FASTPPH'!$A$9:$A$1048576,0),MATCH(F$9,'01_FASTPPH'!$8:$8,0))</f>
        <v>1906021</v>
      </c>
      <c r="G49" s="20">
        <f>INDEX('01_FASTPPH'!$9:$1048576,MATCH($A49,'01_FASTPPH'!$A$9:$A$1048576,0),MATCH(G$9,'01_FASTPPH'!$8:$8,0))</f>
        <v>0</v>
      </c>
      <c r="H49" s="20">
        <f>INDEX('01_FASTPPH'!$9:$1048576,MATCH($A49,'01_FASTPPH'!$A$9:$A$1048576,0),MATCH(H$9,'01_FASTPPH'!$8:$8,0))</f>
        <v>0</v>
      </c>
      <c r="I49" s="20">
        <f>INDEX('01_FASTPPH'!$9:$1048576,MATCH($A49,'01_FASTPPH'!$A$9:$A$1048576,0),MATCH(I$9,'01_FASTPPH'!$8:$8,0))</f>
        <v>57.914999999999999</v>
      </c>
      <c r="J49" s="20" t="str">
        <f>INDEX('01_FASTPPH'!$9:$1048576,MATCH($A49,'01_FASTPPH'!$A$9:$A$1048576,0),MATCH(J$9,'01_FASTPPH'!$8:$8,0))</f>
        <v xml:space="preserve">SUBCASE 102 = STLP ULT (INTACT) :STLP ULT (INTACT) </v>
      </c>
      <c r="K49" s="23">
        <f>INDEX('01_FASTPPH'!$9:$1048576,MATCH($A49,'01_FASTPPH'!$A$9:$A$1048576,0),MATCH(K$9,'01_FASTPPH'!$8:$8,0))</f>
        <v>11492.2</v>
      </c>
      <c r="L49" s="20">
        <f>INDEX('01_FASTPPH'!$9:$1048576,MATCH($A49,'01_FASTPPH'!$A$9:$A$1048576,0),MATCH(L$9,'01_FASTPPH'!$8:$8,0))</f>
        <v>-14099.6</v>
      </c>
      <c r="M49" s="20">
        <f>INDEX('01_FASTPPH'!$9:$1048576,MATCH($A49,'01_FASTPPH'!$A$9:$A$1048576,0),MATCH(M$9,'01_FASTPPH'!$8:$8,0))</f>
        <v>-11456.2</v>
      </c>
      <c r="N49" s="24">
        <f>INDEX('01_FASTPPH'!$9:$1048576,MATCH($A49,'01_FASTPPH'!$A$9:$A$1048576,0),MATCH(N$9,'01_FASTPPH'!$8:$8,0))</f>
        <v>34506.400000000001</v>
      </c>
      <c r="O49" s="23">
        <f>INDEX('01_FASTPPH'!$9:$1048576,MATCH($A49,'01_FASTPPH'!$A$9:$A$1048576,0),MATCH(O$9,'01_FASTPPH'!$8:$8,0))</f>
        <v>1917.3</v>
      </c>
      <c r="P49" s="20">
        <f>INDEX('01_FASTPPH'!$9:$1048576,MATCH($A49,'01_FASTPPH'!$A$9:$A$1048576,0),MATCH(P$9,'01_FASTPPH'!$8:$8,0))</f>
        <v>2204.64</v>
      </c>
      <c r="Q49" s="20">
        <f>INDEX('01_FASTPPH'!$9:$1048576,MATCH($A49,'01_FASTPPH'!$A$9:$A$1048576,0),MATCH(Q$9,'01_FASTPPH'!$8:$8,0))</f>
        <v>-3.2585500000000001</v>
      </c>
      <c r="R49" s="20">
        <f>INDEX('01_FASTPPH'!$9:$1048576,MATCH($A49,'01_FASTPPH'!$A$9:$A$1048576,0),MATCH(R$9,'01_FASTPPH'!$8:$8,0))</f>
        <v>31.255099999999999</v>
      </c>
      <c r="S49" s="20">
        <f>INDEX('01_FASTPPH'!$9:$1048576,MATCH($A49,'01_FASTPPH'!$A$9:$A$1048576,0),MATCH(S$9,'01_FASTPPH'!$8:$8,0))</f>
        <v>179.709</v>
      </c>
      <c r="T49" s="24">
        <f>INDEX('01_FASTPPH'!$9:$1048576,MATCH($A49,'01_FASTPPH'!$A$9:$A$1048576,0),MATCH(T$9,'01_FASTPPH'!$8:$8,0))</f>
        <v>240.614</v>
      </c>
      <c r="U49" s="23">
        <f>INDEX('01_FASTPPH'!$9:$1048576,MATCH($A49,'01_FASTPPH'!$A$9:$A$1048576,0),MATCH(U$9,'01_FASTPPH'!$8:$8,0))</f>
        <v>-10739.9</v>
      </c>
      <c r="V49" s="20">
        <f>INDEX('01_FASTPPH'!$9:$1048576,MATCH($A49,'01_FASTPPH'!$A$9:$A$1048576,0),MATCH(V$9,'01_FASTPPH'!$8:$8,0))</f>
        <v>-138.154</v>
      </c>
      <c r="W49" s="24">
        <f>INDEX('01_FASTPPH'!$9:$1048576,MATCH($A49,'01_FASTPPH'!$A$9:$A$1048576,0),MATCH(W$9,'01_FASTPPH'!$8:$8,0))</f>
        <v>-657.38099999999997</v>
      </c>
      <c r="X49" s="20">
        <f>INDEX('01_FASTPPH'!$9:$1048576,MATCH($A49,'01_FASTPPH'!$A$9:$A$1048576,0),MATCH(X$9,'01_FASTPPH'!$8:$8,0))</f>
        <v>0</v>
      </c>
      <c r="Y49" s="20">
        <f>INDEX('01_FASTPPH'!$9:$1048576,MATCH($A49,'01_FASTPPH'!$A$9:$A$1048576,0),MATCH(Y$9,'01_FASTPPH'!$8:$8,0))</f>
        <v>0</v>
      </c>
      <c r="AA49" s="32">
        <f>INDEX('02_PROPERTIES'!$C$10:$I$1048576,MATCH('03_CALCULATIONS'!$D49,'02_PROPERTIES'!$C$10:$C$1048576,0),MATCH('03_CALCULATIONS'!AA$9,'02_PROPERTIES'!$C$10:$I$10,0))</f>
        <v>16.559999999999999</v>
      </c>
      <c r="AB49" s="20">
        <f>INDEX('02_PROPERTIES'!$C$10:$I$1048576,MATCH('03_CALCULATIONS'!$D49,'02_PROPERTIES'!$C$10:$C$1048576,0),MATCH('03_CALCULATIONS'!AB$9,'02_PROPERTIES'!$C$10:$I$10,0))</f>
        <v>79593.867056640505</v>
      </c>
      <c r="AC49" s="20">
        <f>INDEX('02_PROPERTIES'!$C$10:$I$1048576,MATCH('03_CALCULATIONS'!$D49,'02_PROPERTIES'!$C$10:$C$1048576,0),MATCH('03_CALCULATIONS'!AC$9,'02_PROPERTIES'!$C$10:$I$10,0))</f>
        <v>41017.370743551612</v>
      </c>
      <c r="AD49" s="20">
        <f>INDEX('02_PROPERTIES'!$C$10:$I$1048576,MATCH('03_CALCULATIONS'!$D49,'02_PROPERTIES'!$C$10:$C$1048576,0),MATCH('03_CALCULATIONS'!AD$9,'02_PROPERTIES'!$C$10:$I$10,0))</f>
        <v>19846.188560278148</v>
      </c>
      <c r="AE49" s="32">
        <f>INDEX('02_PROPERTIES'!$C$10:$I$1048576,MATCH('03_CALCULATIONS'!$D49,'02_PROPERTIES'!$C$10:$C$1048576,0),MATCH('03_CALCULATIONS'!AE$9,'02_PROPERTIES'!$C$10:$I$10,0))</f>
        <v>0.4142802271075095</v>
      </c>
      <c r="AF49" s="32">
        <f>INDEX('02_PROPERTIES'!$C$10:$I$1048576,MATCH('03_CALCULATIONS'!$D49,'02_PROPERTIES'!$C$10:$C$1048576,0),MATCH('03_CALCULATIONS'!AF$9,'02_PROPERTIES'!$C$10:$I$10,0))</f>
        <v>1</v>
      </c>
      <c r="AH49" s="20">
        <f t="shared" si="0"/>
        <v>5808.5681159420292</v>
      </c>
      <c r="AI49" s="20">
        <f t="shared" si="1"/>
        <v>-53.314347101449279</v>
      </c>
      <c r="AJ49" s="20">
        <f t="shared" si="2"/>
        <v>417.89052173913046</v>
      </c>
      <c r="AL49" s="20">
        <f t="shared" si="3"/>
        <v>4423.6160156391988</v>
      </c>
      <c r="AM49" s="20">
        <f t="shared" si="4"/>
        <v>-3621.19652661902</v>
      </c>
      <c r="AN49" s="20">
        <f t="shared" si="5"/>
        <v>635.76275139640666</v>
      </c>
      <c r="AO49" s="20">
        <f t="shared" si="6"/>
        <v>719.09112020829275</v>
      </c>
      <c r="AP49" s="20">
        <f t="shared" si="7"/>
        <v>83.328368811886094</v>
      </c>
      <c r="AR49" s="20">
        <f t="shared" si="8"/>
        <v>4436.1571765139524</v>
      </c>
      <c r="AS49" s="20">
        <f t="shared" si="9"/>
        <v>-3633.7376874937736</v>
      </c>
      <c r="AT49" s="20">
        <f t="shared" si="10"/>
        <v>4072.339190941972</v>
      </c>
    </row>
    <row r="50" spans="1:46" x14ac:dyDescent="0.3">
      <c r="A50" s="18">
        <v>254</v>
      </c>
      <c r="B50" s="20">
        <f>INDEX('01_FASTPPH'!$9:$1048576,MATCH($A50,'01_FASTPPH'!$A$9:$A$1048576,0),MATCH(B$9,'01_FASTPPH'!$8:$8,0))</f>
        <v>43</v>
      </c>
      <c r="C50" s="20">
        <f>INDEX('01_FASTPPH'!$9:$1048576,MATCH($A50,'01_FASTPPH'!$A$9:$A$1048576,0),MATCH(C$9,'01_FASTPPH'!$8:$8,0))</f>
        <v>1501149</v>
      </c>
      <c r="D50" s="20" t="str">
        <f>INDEX('01_FASTPPH'!$9:$1048576,MATCH($A50,'01_FASTPPH'!$A$9:$A$1048576,0),MATCH(D$9,'01_FASTPPH'!$8:$8,0))</f>
        <v>SkinRH</v>
      </c>
      <c r="E50" s="20">
        <f>INDEX('01_FASTPPH'!$9:$1048576,MATCH($A50,'01_FASTPPH'!$A$9:$A$1048576,0),MATCH(E$9,'01_FASTPPH'!$8:$8,0))</f>
        <v>3907020</v>
      </c>
      <c r="F50" s="20">
        <f>INDEX('01_FASTPPH'!$9:$1048576,MATCH($A50,'01_FASTPPH'!$A$9:$A$1048576,0),MATCH(F$9,'01_FASTPPH'!$8:$8,0))</f>
        <v>1907021</v>
      </c>
      <c r="G50" s="20">
        <f>INDEX('01_FASTPPH'!$9:$1048576,MATCH($A50,'01_FASTPPH'!$A$9:$A$1048576,0),MATCH(G$9,'01_FASTPPH'!$8:$8,0))</f>
        <v>0</v>
      </c>
      <c r="H50" s="20">
        <f>INDEX('01_FASTPPH'!$9:$1048576,MATCH($A50,'01_FASTPPH'!$A$9:$A$1048576,0),MATCH(H$9,'01_FASTPPH'!$8:$8,0))</f>
        <v>0</v>
      </c>
      <c r="I50" s="20">
        <f>INDEX('01_FASTPPH'!$9:$1048576,MATCH($A50,'01_FASTPPH'!$A$9:$A$1048576,0),MATCH(I$9,'01_FASTPPH'!$8:$8,0))</f>
        <v>57.914999999999999</v>
      </c>
      <c r="J50" s="20" t="str">
        <f>INDEX('01_FASTPPH'!$9:$1048576,MATCH($A50,'01_FASTPPH'!$A$9:$A$1048576,0),MATCH(J$9,'01_FASTPPH'!$8:$8,0))</f>
        <v xml:space="preserve">SUBCASE 102 = STLP ULT (INTACT) :STLP ULT (INTACT) </v>
      </c>
      <c r="K50" s="23">
        <f>INDEX('01_FASTPPH'!$9:$1048576,MATCH($A50,'01_FASTPPH'!$A$9:$A$1048576,0),MATCH(K$9,'01_FASTPPH'!$8:$8,0))</f>
        <v>-713.35500000000002</v>
      </c>
      <c r="L50" s="20">
        <f>INDEX('01_FASTPPH'!$9:$1048576,MATCH($A50,'01_FASTPPH'!$A$9:$A$1048576,0),MATCH(L$9,'01_FASTPPH'!$8:$8,0))</f>
        <v>-63.037100000000002</v>
      </c>
      <c r="M50" s="20">
        <f>INDEX('01_FASTPPH'!$9:$1048576,MATCH($A50,'01_FASTPPH'!$A$9:$A$1048576,0),MATCH(M$9,'01_FASTPPH'!$8:$8,0))</f>
        <v>386.399</v>
      </c>
      <c r="N50" s="24">
        <f>INDEX('01_FASTPPH'!$9:$1048576,MATCH($A50,'01_FASTPPH'!$A$9:$A$1048576,0),MATCH(N$9,'01_FASTPPH'!$8:$8,0))</f>
        <v>735.82500000000005</v>
      </c>
      <c r="O50" s="23">
        <f>INDEX('01_FASTPPH'!$9:$1048576,MATCH($A50,'01_FASTPPH'!$A$9:$A$1048576,0),MATCH(O$9,'01_FASTPPH'!$8:$8,0))</f>
        <v>-948.43799999999999</v>
      </c>
      <c r="P50" s="20">
        <f>INDEX('01_FASTPPH'!$9:$1048576,MATCH($A50,'01_FASTPPH'!$A$9:$A$1048576,0),MATCH(P$9,'01_FASTPPH'!$8:$8,0))</f>
        <v>-1177.97</v>
      </c>
      <c r="Q50" s="20">
        <f>INDEX('01_FASTPPH'!$9:$1048576,MATCH($A50,'01_FASTPPH'!$A$9:$A$1048576,0),MATCH(Q$9,'01_FASTPPH'!$8:$8,0))</f>
        <v>-381.42599999999999</v>
      </c>
      <c r="R50" s="20">
        <f>INDEX('01_FASTPPH'!$9:$1048576,MATCH($A50,'01_FASTPPH'!$A$9:$A$1048576,0),MATCH(R$9,'01_FASTPPH'!$8:$8,0))</f>
        <v>-401.90300000000002</v>
      </c>
      <c r="S50" s="20">
        <f>INDEX('01_FASTPPH'!$9:$1048576,MATCH($A50,'01_FASTPPH'!$A$9:$A$1048576,0),MATCH(S$9,'01_FASTPPH'!$8:$8,0))</f>
        <v>538.76800000000003</v>
      </c>
      <c r="T50" s="24">
        <f>INDEX('01_FASTPPH'!$9:$1048576,MATCH($A50,'01_FASTPPH'!$A$9:$A$1048576,0),MATCH(T$9,'01_FASTPPH'!$8:$8,0))</f>
        <v>775.22400000000005</v>
      </c>
      <c r="U50" s="23">
        <f>INDEX('01_FASTPPH'!$9:$1048576,MATCH($A50,'01_FASTPPH'!$A$9:$A$1048576,0),MATCH(U$9,'01_FASTPPH'!$8:$8,0))</f>
        <v>-4378.1899999999996</v>
      </c>
      <c r="V50" s="20">
        <f>INDEX('01_FASTPPH'!$9:$1048576,MATCH($A50,'01_FASTPPH'!$A$9:$A$1048576,0),MATCH(V$9,'01_FASTPPH'!$8:$8,0))</f>
        <v>-1147.26</v>
      </c>
      <c r="W50" s="24">
        <f>INDEX('01_FASTPPH'!$9:$1048576,MATCH($A50,'01_FASTPPH'!$A$9:$A$1048576,0),MATCH(W$9,'01_FASTPPH'!$8:$8,0))</f>
        <v>941.98699999999997</v>
      </c>
      <c r="X50" s="20">
        <f>INDEX('01_FASTPPH'!$9:$1048576,MATCH($A50,'01_FASTPPH'!$A$9:$A$1048576,0),MATCH(X$9,'01_FASTPPH'!$8:$8,0))</f>
        <v>0</v>
      </c>
      <c r="Y50" s="20" t="str">
        <f>INDEX('01_FASTPPH'!$9:$1048576,MATCH($A50,'01_FASTPPH'!$A$9:$A$1048576,0),MATCH(Y$9,'01_FASTPPH'!$8:$8,0))</f>
        <v>Pt11   modified</v>
      </c>
      <c r="AA50" s="32">
        <f>INDEX('02_PROPERTIES'!$C$10:$I$1048576,MATCH('03_CALCULATIONS'!$D50,'02_PROPERTIES'!$C$10:$C$1048576,0),MATCH('03_CALCULATIONS'!AA$9,'02_PROPERTIES'!$C$10:$I$10,0))</f>
        <v>16.559999999999999</v>
      </c>
      <c r="AB50" s="20">
        <f>INDEX('02_PROPERTIES'!$C$10:$I$1048576,MATCH('03_CALCULATIONS'!$D50,'02_PROPERTIES'!$C$10:$C$1048576,0),MATCH('03_CALCULATIONS'!AB$9,'02_PROPERTIES'!$C$10:$I$10,0))</f>
        <v>79593.867056640505</v>
      </c>
      <c r="AC50" s="20">
        <f>INDEX('02_PROPERTIES'!$C$10:$I$1048576,MATCH('03_CALCULATIONS'!$D50,'02_PROPERTIES'!$C$10:$C$1048576,0),MATCH('03_CALCULATIONS'!AC$9,'02_PROPERTIES'!$C$10:$I$10,0))</f>
        <v>41017.370743551612</v>
      </c>
      <c r="AD50" s="20">
        <f>INDEX('02_PROPERTIES'!$C$10:$I$1048576,MATCH('03_CALCULATIONS'!$D50,'02_PROPERTIES'!$C$10:$C$1048576,0),MATCH('03_CALCULATIONS'!AD$9,'02_PROPERTIES'!$C$10:$I$10,0))</f>
        <v>19846.188560278148</v>
      </c>
      <c r="AE50" s="32">
        <f>INDEX('02_PROPERTIES'!$C$10:$I$1048576,MATCH('03_CALCULATIONS'!$D50,'02_PROPERTIES'!$C$10:$C$1048576,0),MATCH('03_CALCULATIONS'!AE$9,'02_PROPERTIES'!$C$10:$I$10,0))</f>
        <v>0.4142802271075095</v>
      </c>
      <c r="AF50" s="32">
        <f>INDEX('02_PROPERTIES'!$C$10:$I$1048576,MATCH('03_CALCULATIONS'!$D50,'02_PROPERTIES'!$C$10:$C$1048576,0),MATCH('03_CALCULATIONS'!AF$9,'02_PROPERTIES'!$C$10:$I$10,0))</f>
        <v>1</v>
      </c>
      <c r="AH50" s="20">
        <f t="shared" si="0"/>
        <v>-2534.7387246376811</v>
      </c>
      <c r="AI50" s="20">
        <f t="shared" si="1"/>
        <v>-797.09991304347818</v>
      </c>
      <c r="AJ50" s="20">
        <f t="shared" si="2"/>
        <v>880.06763768115945</v>
      </c>
      <c r="AL50" s="20">
        <f t="shared" si="3"/>
        <v>-1672.5276868381927</v>
      </c>
      <c r="AM50" s="20">
        <f t="shared" si="4"/>
        <v>372.45946734498443</v>
      </c>
      <c r="AN50" s="20">
        <f t="shared" si="5"/>
        <v>1338.9014434177295</v>
      </c>
      <c r="AO50" s="20">
        <f t="shared" si="6"/>
        <v>19.416611962260617</v>
      </c>
      <c r="AP50" s="20">
        <f t="shared" si="7"/>
        <v>-1319.4848314554688</v>
      </c>
      <c r="AR50" s="20">
        <f t="shared" si="8"/>
        <v>572.11865647784475</v>
      </c>
      <c r="AS50" s="20">
        <f t="shared" si="9"/>
        <v>-1872.186875971053</v>
      </c>
      <c r="AT50" s="20">
        <f t="shared" si="10"/>
        <v>1684.6810352050716</v>
      </c>
    </row>
    <row r="51" spans="1:46" x14ac:dyDescent="0.3">
      <c r="A51" s="18">
        <v>4</v>
      </c>
      <c r="B51" s="20">
        <f>INDEX('01_FASTPPH'!$9:$1048576,MATCH($A51,'01_FASTPPH'!$A$9:$A$1048576,0),MATCH(B$9,'01_FASTPPH'!$8:$8,0))</f>
        <v>1</v>
      </c>
      <c r="C51" s="20">
        <f>INDEX('01_FASTPPH'!$9:$1048576,MATCH($A51,'01_FASTPPH'!$A$9:$A$1048576,0),MATCH(C$9,'01_FASTPPH'!$8:$8,0))</f>
        <v>1500994</v>
      </c>
      <c r="D51" s="20" t="str">
        <f>INDEX('01_FASTPPH'!$9:$1048576,MATCH($A51,'01_FASTPPH'!$A$9:$A$1048576,0),MATCH(D$9,'01_FASTPPH'!$8:$8,0))</f>
        <v>SkinRH</v>
      </c>
      <c r="E51" s="20">
        <f>INDEX('01_FASTPPH'!$9:$1048576,MATCH($A51,'01_FASTPPH'!$A$9:$A$1048576,0),MATCH(E$9,'01_FASTPPH'!$8:$8,0))</f>
        <v>2908020</v>
      </c>
      <c r="F51" s="20">
        <f>INDEX('01_FASTPPH'!$9:$1048576,MATCH($A51,'01_FASTPPH'!$A$9:$A$1048576,0),MATCH(F$9,'01_FASTPPH'!$8:$8,0))</f>
        <v>1908022</v>
      </c>
      <c r="G51" s="20">
        <f>INDEX('01_FASTPPH'!$9:$1048576,MATCH($A51,'01_FASTPPH'!$A$9:$A$1048576,0),MATCH(G$9,'01_FASTPPH'!$8:$8,0))</f>
        <v>3908020</v>
      </c>
      <c r="H51" s="20">
        <f>INDEX('01_FASTPPH'!$9:$1048576,MATCH($A51,'01_FASTPPH'!$A$9:$A$1048576,0),MATCH(H$9,'01_FASTPPH'!$8:$8,0))</f>
        <v>1908023</v>
      </c>
      <c r="I51" s="20">
        <f>INDEX('01_FASTPPH'!$9:$1048576,MATCH($A51,'01_FASTPPH'!$A$9:$A$1048576,0),MATCH(I$9,'01_FASTPPH'!$8:$8,0))</f>
        <v>57.914999999999999</v>
      </c>
      <c r="J51" s="20" t="str">
        <f>INDEX('01_FASTPPH'!$9:$1048576,MATCH($A51,'01_FASTPPH'!$A$9:$A$1048576,0),MATCH(J$9,'01_FASTPPH'!$8:$8,0))</f>
        <v xml:space="preserve">SUBCASE 102 = STLP ULT (INTACT) :STLP ULT (INTACT) </v>
      </c>
      <c r="K51" s="23">
        <f>INDEX('01_FASTPPH'!$9:$1048576,MATCH($A51,'01_FASTPPH'!$A$9:$A$1048576,0),MATCH(K$9,'01_FASTPPH'!$8:$8,0))</f>
        <v>-717.404</v>
      </c>
      <c r="L51" s="20">
        <f>INDEX('01_FASTPPH'!$9:$1048576,MATCH($A51,'01_FASTPPH'!$A$9:$A$1048576,0),MATCH(L$9,'01_FASTPPH'!$8:$8,0))</f>
        <v>3469.09</v>
      </c>
      <c r="M51" s="20">
        <f>INDEX('01_FASTPPH'!$9:$1048576,MATCH($A51,'01_FASTPPH'!$A$9:$A$1048576,0),MATCH(M$9,'01_FASTPPH'!$8:$8,0))</f>
        <v>-952.38300000000004</v>
      </c>
      <c r="N51" s="24">
        <f>INDEX('01_FASTPPH'!$9:$1048576,MATCH($A51,'01_FASTPPH'!$A$9:$A$1048576,0),MATCH(N$9,'01_FASTPPH'!$8:$8,0))</f>
        <v>0</v>
      </c>
      <c r="O51" s="23">
        <f>INDEX('01_FASTPPH'!$9:$1048576,MATCH($A51,'01_FASTPPH'!$A$9:$A$1048576,0),MATCH(O$9,'01_FASTPPH'!$8:$8,0))</f>
        <v>353.05399999999997</v>
      </c>
      <c r="P51" s="20">
        <f>INDEX('01_FASTPPH'!$9:$1048576,MATCH($A51,'01_FASTPPH'!$A$9:$A$1048576,0),MATCH(P$9,'01_FASTPPH'!$8:$8,0))</f>
        <v>357.36200000000002</v>
      </c>
      <c r="Q51" s="20">
        <f>INDEX('01_FASTPPH'!$9:$1048576,MATCH($A51,'01_FASTPPH'!$A$9:$A$1048576,0),MATCH(Q$9,'01_FASTPPH'!$8:$8,0))</f>
        <v>-382.84500000000003</v>
      </c>
      <c r="R51" s="20">
        <f>INDEX('01_FASTPPH'!$9:$1048576,MATCH($A51,'01_FASTPPH'!$A$9:$A$1048576,0),MATCH(R$9,'01_FASTPPH'!$8:$8,0))</f>
        <v>-384.56900000000002</v>
      </c>
      <c r="S51" s="20">
        <f>INDEX('01_FASTPPH'!$9:$1048576,MATCH($A51,'01_FASTPPH'!$A$9:$A$1048576,0),MATCH(S$9,'01_FASTPPH'!$8:$8,0))</f>
        <v>392.07600000000002</v>
      </c>
      <c r="T51" s="24">
        <f>INDEX('01_FASTPPH'!$9:$1048576,MATCH($A51,'01_FASTPPH'!$A$9:$A$1048576,0),MATCH(T$9,'01_FASTPPH'!$8:$8,0))</f>
        <v>462.65699999999998</v>
      </c>
      <c r="U51" s="23">
        <f>INDEX('01_FASTPPH'!$9:$1048576,MATCH($A51,'01_FASTPPH'!$A$9:$A$1048576,0),MATCH(U$9,'01_FASTPPH'!$8:$8,0))</f>
        <v>-8527.07</v>
      </c>
      <c r="V51" s="20">
        <f>INDEX('01_FASTPPH'!$9:$1048576,MATCH($A51,'01_FASTPPH'!$A$9:$A$1048576,0),MATCH(V$9,'01_FASTPPH'!$8:$8,0))</f>
        <v>-3217</v>
      </c>
      <c r="W51" s="24">
        <f>INDEX('01_FASTPPH'!$9:$1048576,MATCH($A51,'01_FASTPPH'!$A$9:$A$1048576,0),MATCH(W$9,'01_FASTPPH'!$8:$8,0))</f>
        <v>441.75099999999998</v>
      </c>
      <c r="X51" s="20">
        <f>INDEX('01_FASTPPH'!$9:$1048576,MATCH($A51,'01_FASTPPH'!$A$9:$A$1048576,0),MATCH(X$9,'01_FASTPPH'!$8:$8,0))</f>
        <v>7.1524799999999999E-2</v>
      </c>
      <c r="Y51" s="20">
        <f>INDEX('01_FASTPPH'!$9:$1048576,MATCH($A51,'01_FASTPPH'!$A$9:$A$1048576,0),MATCH(Y$9,'01_FASTPPH'!$8:$8,0))</f>
        <v>0</v>
      </c>
      <c r="AA51" s="32">
        <f>INDEX('02_PROPERTIES'!$C$10:$I$1048576,MATCH('03_CALCULATIONS'!$D51,'02_PROPERTIES'!$C$10:$C$1048576,0),MATCH('03_CALCULATIONS'!AA$9,'02_PROPERTIES'!$C$10:$I$10,0))</f>
        <v>16.559999999999999</v>
      </c>
      <c r="AB51" s="20">
        <f>INDEX('02_PROPERTIES'!$C$10:$I$1048576,MATCH('03_CALCULATIONS'!$D51,'02_PROPERTIES'!$C$10:$C$1048576,0),MATCH('03_CALCULATIONS'!AB$9,'02_PROPERTIES'!$C$10:$I$10,0))</f>
        <v>79593.867056640505</v>
      </c>
      <c r="AC51" s="20">
        <f>INDEX('02_PROPERTIES'!$C$10:$I$1048576,MATCH('03_CALCULATIONS'!$D51,'02_PROPERTIES'!$C$10:$C$1048576,0),MATCH('03_CALCULATIONS'!AC$9,'02_PROPERTIES'!$C$10:$I$10,0))</f>
        <v>41017.370743551612</v>
      </c>
      <c r="AD51" s="20">
        <f>INDEX('02_PROPERTIES'!$C$10:$I$1048576,MATCH('03_CALCULATIONS'!$D51,'02_PROPERTIES'!$C$10:$C$1048576,0),MATCH('03_CALCULATIONS'!AD$9,'02_PROPERTIES'!$C$10:$I$10,0))</f>
        <v>19846.188560278148</v>
      </c>
      <c r="AE51" s="32">
        <f>INDEX('02_PROPERTIES'!$C$10:$I$1048576,MATCH('03_CALCULATIONS'!$D51,'02_PROPERTIES'!$C$10:$C$1048576,0),MATCH('03_CALCULATIONS'!AE$9,'02_PROPERTIES'!$C$10:$I$10,0))</f>
        <v>0.4142802271075095</v>
      </c>
      <c r="AF51" s="32">
        <f>INDEX('02_PROPERTIES'!$C$10:$I$1048576,MATCH('03_CALCULATIONS'!$D51,'02_PROPERTIES'!$C$10:$C$1048576,0),MATCH('03_CALCULATIONS'!AF$9,'02_PROPERTIES'!$C$10:$I$10,0))</f>
        <v>1</v>
      </c>
      <c r="AH51" s="20">
        <f t="shared" si="0"/>
        <v>3442.5721159420291</v>
      </c>
      <c r="AI51" s="20">
        <f t="shared" si="1"/>
        <v>-1548.4247101449278</v>
      </c>
      <c r="AJ51" s="20">
        <f t="shared" si="2"/>
        <v>552.13071014492755</v>
      </c>
      <c r="AL51" s="20">
        <f t="shared" si="3"/>
        <v>3098.5001585325781</v>
      </c>
      <c r="AM51" s="20">
        <f t="shared" si="4"/>
        <v>-4379.2779062398822</v>
      </c>
      <c r="AN51" s="20">
        <f t="shared" si="5"/>
        <v>839.99067016724314</v>
      </c>
      <c r="AO51" s="20">
        <f t="shared" si="6"/>
        <v>-220.39353877003049</v>
      </c>
      <c r="AP51" s="20">
        <f t="shared" si="7"/>
        <v>-1060.3842089372736</v>
      </c>
      <c r="AR51" s="20">
        <f t="shared" si="8"/>
        <v>3122.0155804800447</v>
      </c>
      <c r="AS51" s="20">
        <f t="shared" si="9"/>
        <v>-4402.7933281873484</v>
      </c>
      <c r="AT51" s="20">
        <f t="shared" si="10"/>
        <v>3832.0850098172477</v>
      </c>
    </row>
    <row r="52" spans="1:46" x14ac:dyDescent="0.3">
      <c r="A52" s="18">
        <v>190</v>
      </c>
      <c r="B52" s="20">
        <f>INDEX('01_FASTPPH'!$9:$1048576,MATCH($A52,'01_FASTPPH'!$A$9:$A$1048576,0),MATCH(B$9,'01_FASTPPH'!$8:$8,0))</f>
        <v>32</v>
      </c>
      <c r="C52" s="20">
        <f>INDEX('01_FASTPPH'!$9:$1048576,MATCH($A52,'01_FASTPPH'!$A$9:$A$1048576,0),MATCH(C$9,'01_FASTPPH'!$8:$8,0))</f>
        <v>1500944</v>
      </c>
      <c r="D52" s="20" t="str">
        <f>INDEX('01_FASTPPH'!$9:$1048576,MATCH($A52,'01_FASTPPH'!$A$9:$A$1048576,0),MATCH(D$9,'01_FASTPPH'!$8:$8,0))</f>
        <v>SkinRH</v>
      </c>
      <c r="E52" s="20">
        <f>INDEX('01_FASTPPH'!$9:$1048576,MATCH($A52,'01_FASTPPH'!$A$9:$A$1048576,0),MATCH(E$9,'01_FASTPPH'!$8:$8,0))</f>
        <v>2909020</v>
      </c>
      <c r="F52" s="20">
        <f>INDEX('01_FASTPPH'!$9:$1048576,MATCH($A52,'01_FASTPPH'!$A$9:$A$1048576,0),MATCH(F$9,'01_FASTPPH'!$8:$8,0))</f>
        <v>1909022</v>
      </c>
      <c r="G52" s="20">
        <f>INDEX('01_FASTPPH'!$9:$1048576,MATCH($A52,'01_FASTPPH'!$A$9:$A$1048576,0),MATCH(G$9,'01_FASTPPH'!$8:$8,0))</f>
        <v>3909020</v>
      </c>
      <c r="H52" s="20">
        <f>INDEX('01_FASTPPH'!$9:$1048576,MATCH($A52,'01_FASTPPH'!$A$9:$A$1048576,0),MATCH(H$9,'01_FASTPPH'!$8:$8,0))</f>
        <v>1909023</v>
      </c>
      <c r="I52" s="20">
        <f>INDEX('01_FASTPPH'!$9:$1048576,MATCH($A52,'01_FASTPPH'!$A$9:$A$1048576,0),MATCH(I$9,'01_FASTPPH'!$8:$8,0))</f>
        <v>57.914999999999999</v>
      </c>
      <c r="J52" s="20" t="str">
        <f>INDEX('01_FASTPPH'!$9:$1048576,MATCH($A52,'01_FASTPPH'!$A$9:$A$1048576,0),MATCH(J$9,'01_FASTPPH'!$8:$8,0))</f>
        <v xml:space="preserve">SUBCASE 102 = STLP ULT (INTACT) :STLP ULT (INTACT) </v>
      </c>
      <c r="K52" s="23">
        <f>INDEX('01_FASTPPH'!$9:$1048576,MATCH($A52,'01_FASTPPH'!$A$9:$A$1048576,0),MATCH(K$9,'01_FASTPPH'!$8:$8,0))</f>
        <v>-2117.09</v>
      </c>
      <c r="L52" s="20">
        <f>INDEX('01_FASTPPH'!$9:$1048576,MATCH($A52,'01_FASTPPH'!$A$9:$A$1048576,0),MATCH(L$9,'01_FASTPPH'!$8:$8,0))</f>
        <v>6571.47</v>
      </c>
      <c r="M52" s="20">
        <f>INDEX('01_FASTPPH'!$9:$1048576,MATCH($A52,'01_FASTPPH'!$A$9:$A$1048576,0),MATCH(M$9,'01_FASTPPH'!$8:$8,0))</f>
        <v>-258.70800000000003</v>
      </c>
      <c r="N52" s="24">
        <f>INDEX('01_FASTPPH'!$9:$1048576,MATCH($A52,'01_FASTPPH'!$A$9:$A$1048576,0),MATCH(N$9,'01_FASTPPH'!$8:$8,0))</f>
        <v>0</v>
      </c>
      <c r="O52" s="23">
        <f>INDEX('01_FASTPPH'!$9:$1048576,MATCH($A52,'01_FASTPPH'!$A$9:$A$1048576,0),MATCH(O$9,'01_FASTPPH'!$8:$8,0))</f>
        <v>-44.969499999999996</v>
      </c>
      <c r="P52" s="20">
        <f>INDEX('01_FASTPPH'!$9:$1048576,MATCH($A52,'01_FASTPPH'!$A$9:$A$1048576,0),MATCH(P$9,'01_FASTPPH'!$8:$8,0))</f>
        <v>-174.22399999999999</v>
      </c>
      <c r="Q52" s="20">
        <f>INDEX('01_FASTPPH'!$9:$1048576,MATCH($A52,'01_FASTPPH'!$A$9:$A$1048576,0),MATCH(Q$9,'01_FASTPPH'!$8:$8,0))</f>
        <v>-367.56200000000001</v>
      </c>
      <c r="R52" s="20">
        <f>INDEX('01_FASTPPH'!$9:$1048576,MATCH($A52,'01_FASTPPH'!$A$9:$A$1048576,0),MATCH(R$9,'01_FASTPPH'!$8:$8,0))</f>
        <v>-466.56599999999997</v>
      </c>
      <c r="S52" s="20">
        <f>INDEX('01_FASTPPH'!$9:$1048576,MATCH($A52,'01_FASTPPH'!$A$9:$A$1048576,0),MATCH(S$9,'01_FASTPPH'!$8:$8,0))</f>
        <v>437.642</v>
      </c>
      <c r="T52" s="24">
        <f>INDEX('01_FASTPPH'!$9:$1048576,MATCH($A52,'01_FASTPPH'!$A$9:$A$1048576,0),MATCH(T$9,'01_FASTPPH'!$8:$8,0))</f>
        <v>594.35299999999995</v>
      </c>
      <c r="U52" s="23">
        <f>INDEX('01_FASTPPH'!$9:$1048576,MATCH($A52,'01_FASTPPH'!$A$9:$A$1048576,0),MATCH(U$9,'01_FASTPPH'!$8:$8,0))</f>
        <v>-3913.26</v>
      </c>
      <c r="V52" s="20">
        <f>INDEX('01_FASTPPH'!$9:$1048576,MATCH($A52,'01_FASTPPH'!$A$9:$A$1048576,0),MATCH(V$9,'01_FASTPPH'!$8:$8,0))</f>
        <v>-1990.61</v>
      </c>
      <c r="W52" s="24">
        <f>INDEX('01_FASTPPH'!$9:$1048576,MATCH($A52,'01_FASTPPH'!$A$9:$A$1048576,0),MATCH(W$9,'01_FASTPPH'!$8:$8,0))</f>
        <v>-141.077</v>
      </c>
      <c r="X52" s="20">
        <f>INDEX('01_FASTPPH'!$9:$1048576,MATCH($A52,'01_FASTPPH'!$A$9:$A$1048576,0),MATCH(X$9,'01_FASTPPH'!$8:$8,0))</f>
        <v>0.270592</v>
      </c>
      <c r="Y52" s="20">
        <f>INDEX('01_FASTPPH'!$9:$1048576,MATCH($A52,'01_FASTPPH'!$A$9:$A$1048576,0),MATCH(Y$9,'01_FASTPPH'!$8:$8,0))</f>
        <v>0</v>
      </c>
      <c r="AA52" s="32">
        <f>INDEX('02_PROPERTIES'!$C$10:$I$1048576,MATCH('03_CALCULATIONS'!$D52,'02_PROPERTIES'!$C$10:$C$1048576,0),MATCH('03_CALCULATIONS'!AA$9,'02_PROPERTIES'!$C$10:$I$10,0))</f>
        <v>16.559999999999999</v>
      </c>
      <c r="AB52" s="20">
        <f>INDEX('02_PROPERTIES'!$C$10:$I$1048576,MATCH('03_CALCULATIONS'!$D52,'02_PROPERTIES'!$C$10:$C$1048576,0),MATCH('03_CALCULATIONS'!AB$9,'02_PROPERTIES'!$C$10:$I$10,0))</f>
        <v>79593.867056640505</v>
      </c>
      <c r="AC52" s="20">
        <f>INDEX('02_PROPERTIES'!$C$10:$I$1048576,MATCH('03_CALCULATIONS'!$D52,'02_PROPERTIES'!$C$10:$C$1048576,0),MATCH('03_CALCULATIONS'!AC$9,'02_PROPERTIES'!$C$10:$I$10,0))</f>
        <v>41017.370743551612</v>
      </c>
      <c r="AD52" s="20">
        <f>INDEX('02_PROPERTIES'!$C$10:$I$1048576,MATCH('03_CALCULATIONS'!$D52,'02_PROPERTIES'!$C$10:$C$1048576,0),MATCH('03_CALCULATIONS'!AD$9,'02_PROPERTIES'!$C$10:$I$10,0))</f>
        <v>19846.188560278148</v>
      </c>
      <c r="AE52" s="32">
        <f>INDEX('02_PROPERTIES'!$C$10:$I$1048576,MATCH('03_CALCULATIONS'!$D52,'02_PROPERTIES'!$C$10:$C$1048576,0),MATCH('03_CALCULATIONS'!AE$9,'02_PROPERTIES'!$C$10:$I$10,0))</f>
        <v>0.4142802271075095</v>
      </c>
      <c r="AF52" s="32">
        <f>INDEX('02_PROPERTIES'!$C$10:$I$1048576,MATCH('03_CALCULATIONS'!$D52,'02_PROPERTIES'!$C$10:$C$1048576,0),MATCH('03_CALCULATIONS'!AF$9,'02_PROPERTIES'!$C$10:$I$10,0))</f>
        <v>1</v>
      </c>
      <c r="AH52" s="20">
        <f t="shared" si="0"/>
        <v>-1462.8173260869567</v>
      </c>
      <c r="AI52" s="20">
        <f t="shared" si="1"/>
        <v>-1088.7975072463769</v>
      </c>
      <c r="AJ52" s="20">
        <f t="shared" si="2"/>
        <v>488.75685507246374</v>
      </c>
      <c r="AL52" s="20">
        <f t="shared" si="3"/>
        <v>-767.59704762539616</v>
      </c>
      <c r="AM52" s="20">
        <f t="shared" si="4"/>
        <v>-710.75874376108948</v>
      </c>
      <c r="AN52" s="20">
        <f t="shared" si="5"/>
        <v>743.57609656124407</v>
      </c>
      <c r="AO52" s="20">
        <f t="shared" si="6"/>
        <v>-367.38984741262078</v>
      </c>
      <c r="AP52" s="20">
        <f t="shared" si="7"/>
        <v>-1110.9659439738648</v>
      </c>
      <c r="AR52" s="20">
        <f t="shared" si="8"/>
        <v>-366.30526188800235</v>
      </c>
      <c r="AS52" s="20">
        <f t="shared" si="9"/>
        <v>-1112.0505294984832</v>
      </c>
      <c r="AT52" s="20">
        <f t="shared" si="10"/>
        <v>744.11898213511495</v>
      </c>
    </row>
    <row r="53" spans="1:46" x14ac:dyDescent="0.3">
      <c r="A53" s="18">
        <v>196</v>
      </c>
      <c r="B53" s="20">
        <f>INDEX('01_FASTPPH'!$9:$1048576,MATCH($A53,'01_FASTPPH'!$A$9:$A$1048576,0),MATCH(B$9,'01_FASTPPH'!$8:$8,0))</f>
        <v>33</v>
      </c>
      <c r="C53" s="20">
        <f>INDEX('01_FASTPPH'!$9:$1048576,MATCH($A53,'01_FASTPPH'!$A$9:$A$1048576,0),MATCH(C$9,'01_FASTPPH'!$8:$8,0))</f>
        <v>1501042</v>
      </c>
      <c r="D53" s="20" t="str">
        <f>INDEX('01_FASTPPH'!$9:$1048576,MATCH($A53,'01_FASTPPH'!$A$9:$A$1048576,0),MATCH(D$9,'01_FASTPPH'!$8:$8,0))</f>
        <v>SkinRH</v>
      </c>
      <c r="E53" s="20">
        <f>INDEX('01_FASTPPH'!$9:$1048576,MATCH($A53,'01_FASTPPH'!$A$9:$A$1048576,0),MATCH(E$9,'01_FASTPPH'!$8:$8,0))</f>
        <v>2910020</v>
      </c>
      <c r="F53" s="20">
        <f>INDEX('01_FASTPPH'!$9:$1048576,MATCH($A53,'01_FASTPPH'!$A$9:$A$1048576,0),MATCH(F$9,'01_FASTPPH'!$8:$8,0))</f>
        <v>1910022</v>
      </c>
      <c r="G53" s="20">
        <f>INDEX('01_FASTPPH'!$9:$1048576,MATCH($A53,'01_FASTPPH'!$A$9:$A$1048576,0),MATCH(G$9,'01_FASTPPH'!$8:$8,0))</f>
        <v>3910020</v>
      </c>
      <c r="H53" s="20">
        <f>INDEX('01_FASTPPH'!$9:$1048576,MATCH($A53,'01_FASTPPH'!$A$9:$A$1048576,0),MATCH(H$9,'01_FASTPPH'!$8:$8,0))</f>
        <v>1910023</v>
      </c>
      <c r="I53" s="20">
        <f>INDEX('01_FASTPPH'!$9:$1048576,MATCH($A53,'01_FASTPPH'!$A$9:$A$1048576,0),MATCH(I$9,'01_FASTPPH'!$8:$8,0))</f>
        <v>57.914999999999999</v>
      </c>
      <c r="J53" s="20" t="str">
        <f>INDEX('01_FASTPPH'!$9:$1048576,MATCH($A53,'01_FASTPPH'!$A$9:$A$1048576,0),MATCH(J$9,'01_FASTPPH'!$8:$8,0))</f>
        <v xml:space="preserve">SUBCASE 102 = STLP ULT (INTACT) :STLP ULT (INTACT) </v>
      </c>
      <c r="K53" s="23">
        <f>INDEX('01_FASTPPH'!$9:$1048576,MATCH($A53,'01_FASTPPH'!$A$9:$A$1048576,0),MATCH(K$9,'01_FASTPPH'!$8:$8,0))</f>
        <v>2244.63</v>
      </c>
      <c r="L53" s="20">
        <f>INDEX('01_FASTPPH'!$9:$1048576,MATCH($A53,'01_FASTPPH'!$A$9:$A$1048576,0),MATCH(L$9,'01_FASTPPH'!$8:$8,0))</f>
        <v>3507.28</v>
      </c>
      <c r="M53" s="20">
        <f>INDEX('01_FASTPPH'!$9:$1048576,MATCH($A53,'01_FASTPPH'!$A$9:$A$1048576,0),MATCH(M$9,'01_FASTPPH'!$8:$8,0))</f>
        <v>141.5</v>
      </c>
      <c r="N53" s="24">
        <f>INDEX('01_FASTPPH'!$9:$1048576,MATCH($A53,'01_FASTPPH'!$A$9:$A$1048576,0),MATCH(N$9,'01_FASTPPH'!$8:$8,0))</f>
        <v>0</v>
      </c>
      <c r="O53" s="23">
        <f>INDEX('01_FASTPPH'!$9:$1048576,MATCH($A53,'01_FASTPPH'!$A$9:$A$1048576,0),MATCH(O$9,'01_FASTPPH'!$8:$8,0))</f>
        <v>833.846</v>
      </c>
      <c r="P53" s="20">
        <f>INDEX('01_FASTPPH'!$9:$1048576,MATCH($A53,'01_FASTPPH'!$A$9:$A$1048576,0),MATCH(P$9,'01_FASTPPH'!$8:$8,0))</f>
        <v>837.08199999999999</v>
      </c>
      <c r="Q53" s="20">
        <f>INDEX('01_FASTPPH'!$9:$1048576,MATCH($A53,'01_FASTPPH'!$A$9:$A$1048576,0),MATCH(Q$9,'01_FASTPPH'!$8:$8,0))</f>
        <v>-270.05200000000002</v>
      </c>
      <c r="R53" s="20">
        <f>INDEX('01_FASTPPH'!$9:$1048576,MATCH($A53,'01_FASTPPH'!$A$9:$A$1048576,0),MATCH(R$9,'01_FASTPPH'!$8:$8,0))</f>
        <v>-369.52699999999999</v>
      </c>
      <c r="S53" s="20">
        <f>INDEX('01_FASTPPH'!$9:$1048576,MATCH($A53,'01_FASTPPH'!$A$9:$A$1048576,0),MATCH(S$9,'01_FASTPPH'!$8:$8,0))</f>
        <v>433.29</v>
      </c>
      <c r="T53" s="24">
        <f>INDEX('01_FASTPPH'!$9:$1048576,MATCH($A53,'01_FASTPPH'!$A$9:$A$1048576,0),MATCH(T$9,'01_FASTPPH'!$8:$8,0))</f>
        <v>485.37599999999998</v>
      </c>
      <c r="U53" s="23">
        <f>INDEX('01_FASTPPH'!$9:$1048576,MATCH($A53,'01_FASTPPH'!$A$9:$A$1048576,0),MATCH(U$9,'01_FASTPPH'!$8:$8,0))</f>
        <v>-5097.99</v>
      </c>
      <c r="V53" s="20">
        <f>INDEX('01_FASTPPH'!$9:$1048576,MATCH($A53,'01_FASTPPH'!$A$9:$A$1048576,0),MATCH(V$9,'01_FASTPPH'!$8:$8,0))</f>
        <v>-2918.39</v>
      </c>
      <c r="W53" s="24">
        <f>INDEX('01_FASTPPH'!$9:$1048576,MATCH($A53,'01_FASTPPH'!$A$9:$A$1048576,0),MATCH(W$9,'01_FASTPPH'!$8:$8,0))</f>
        <v>-259.12900000000002</v>
      </c>
      <c r="X53" s="20">
        <f>INDEX('01_FASTPPH'!$9:$1048576,MATCH($A53,'01_FASTPPH'!$A$9:$A$1048576,0),MATCH(X$9,'01_FASTPPH'!$8:$8,0))</f>
        <v>0</v>
      </c>
      <c r="Y53" s="20">
        <f>INDEX('01_FASTPPH'!$9:$1048576,MATCH($A53,'01_FASTPPH'!$A$9:$A$1048576,0),MATCH(Y$9,'01_FASTPPH'!$8:$8,0))</f>
        <v>0</v>
      </c>
      <c r="AA53" s="32">
        <f>INDEX('02_PROPERTIES'!$C$10:$I$1048576,MATCH('03_CALCULATIONS'!$D53,'02_PROPERTIES'!$C$10:$C$1048576,0),MATCH('03_CALCULATIONS'!AA$9,'02_PROPERTIES'!$C$10:$I$10,0))</f>
        <v>16.559999999999999</v>
      </c>
      <c r="AB53" s="20">
        <f>INDEX('02_PROPERTIES'!$C$10:$I$1048576,MATCH('03_CALCULATIONS'!$D53,'02_PROPERTIES'!$C$10:$C$1048576,0),MATCH('03_CALCULATIONS'!AB$9,'02_PROPERTIES'!$C$10:$I$10,0))</f>
        <v>79593.867056640505</v>
      </c>
      <c r="AC53" s="20">
        <f>INDEX('02_PROPERTIES'!$C$10:$I$1048576,MATCH('03_CALCULATIONS'!$D53,'02_PROPERTIES'!$C$10:$C$1048576,0),MATCH('03_CALCULATIONS'!AC$9,'02_PROPERTIES'!$C$10:$I$10,0))</f>
        <v>41017.370743551612</v>
      </c>
      <c r="AD53" s="20">
        <f>INDEX('02_PROPERTIES'!$C$10:$I$1048576,MATCH('03_CALCULATIONS'!$D53,'02_PROPERTIES'!$C$10:$C$1048576,0),MATCH('03_CALCULATIONS'!AD$9,'02_PROPERTIES'!$C$10:$I$10,0))</f>
        <v>19846.188560278148</v>
      </c>
      <c r="AE53" s="32">
        <f>INDEX('02_PROPERTIES'!$C$10:$I$1048576,MATCH('03_CALCULATIONS'!$D53,'02_PROPERTIES'!$C$10:$C$1048576,0),MATCH('03_CALCULATIONS'!AE$9,'02_PROPERTIES'!$C$10:$I$10,0))</f>
        <v>0.4142802271075095</v>
      </c>
      <c r="AF53" s="32">
        <f>INDEX('02_PROPERTIES'!$C$10:$I$1048576,MATCH('03_CALCULATIONS'!$D53,'02_PROPERTIES'!$C$10:$C$1048576,0),MATCH('03_CALCULATIONS'!AF$9,'02_PROPERTIES'!$C$10:$I$10,0))</f>
        <v>1</v>
      </c>
      <c r="AH53" s="20">
        <f t="shared" si="0"/>
        <v>2680.9438260869565</v>
      </c>
      <c r="AI53" s="20">
        <f t="shared" si="1"/>
        <v>-1327.4396811594206</v>
      </c>
      <c r="AJ53" s="20">
        <f t="shared" si="2"/>
        <v>527.1773188405798</v>
      </c>
      <c r="AL53" s="20">
        <f t="shared" si="3"/>
        <v>2451.2089335781725</v>
      </c>
      <c r="AM53" s="20">
        <f t="shared" si="4"/>
        <v>-3589.414941879189</v>
      </c>
      <c r="AN53" s="20">
        <f t="shared" si="5"/>
        <v>802.02752937548632</v>
      </c>
      <c r="AO53" s="20">
        <f t="shared" si="6"/>
        <v>-168.08923946276508</v>
      </c>
      <c r="AP53" s="20">
        <f t="shared" si="7"/>
        <v>-970.11676883825135</v>
      </c>
      <c r="AR53" s="20">
        <f t="shared" si="8"/>
        <v>2477.714391207378</v>
      </c>
      <c r="AS53" s="20">
        <f t="shared" si="9"/>
        <v>-3615.9203995083944</v>
      </c>
      <c r="AT53" s="20">
        <f t="shared" si="10"/>
        <v>3124.9851774148506</v>
      </c>
    </row>
    <row r="54" spans="1:46" x14ac:dyDescent="0.3">
      <c r="A54" s="18">
        <v>128</v>
      </c>
      <c r="B54" s="20">
        <f>INDEX('01_FASTPPH'!$9:$1048576,MATCH($A54,'01_FASTPPH'!$A$9:$A$1048576,0),MATCH(B$9,'01_FASTPPH'!$8:$8,0))</f>
        <v>22</v>
      </c>
      <c r="C54" s="20">
        <f>INDEX('01_FASTPPH'!$9:$1048576,MATCH($A54,'01_FASTPPH'!$A$9:$A$1048576,0),MATCH(C$9,'01_FASTPPH'!$8:$8,0))</f>
        <v>1501012</v>
      </c>
      <c r="D54" s="20" t="str">
        <f>INDEX('01_FASTPPH'!$9:$1048576,MATCH($A54,'01_FASTPPH'!$A$9:$A$1048576,0),MATCH(D$9,'01_FASTPPH'!$8:$8,0))</f>
        <v>SkinRH</v>
      </c>
      <c r="E54" s="20">
        <f>INDEX('01_FASTPPH'!$9:$1048576,MATCH($A54,'01_FASTPPH'!$A$9:$A$1048576,0),MATCH(E$9,'01_FASTPPH'!$8:$8,0))</f>
        <v>2911020</v>
      </c>
      <c r="F54" s="20">
        <f>INDEX('01_FASTPPH'!$9:$1048576,MATCH($A54,'01_FASTPPH'!$A$9:$A$1048576,0),MATCH(F$9,'01_FASTPPH'!$8:$8,0))</f>
        <v>1911022</v>
      </c>
      <c r="G54" s="20">
        <f>INDEX('01_FASTPPH'!$9:$1048576,MATCH($A54,'01_FASTPPH'!$A$9:$A$1048576,0),MATCH(G$9,'01_FASTPPH'!$8:$8,0))</f>
        <v>3911020</v>
      </c>
      <c r="H54" s="20">
        <f>INDEX('01_FASTPPH'!$9:$1048576,MATCH($A54,'01_FASTPPH'!$A$9:$A$1048576,0),MATCH(H$9,'01_FASTPPH'!$8:$8,0))</f>
        <v>1911021</v>
      </c>
      <c r="I54" s="20">
        <f>INDEX('01_FASTPPH'!$9:$1048576,MATCH($A54,'01_FASTPPH'!$A$9:$A$1048576,0),MATCH(I$9,'01_FASTPPH'!$8:$8,0))</f>
        <v>57.914999999999999</v>
      </c>
      <c r="J54" s="20" t="str">
        <f>INDEX('01_FASTPPH'!$9:$1048576,MATCH($A54,'01_FASTPPH'!$A$9:$A$1048576,0),MATCH(J$9,'01_FASTPPH'!$8:$8,0))</f>
        <v xml:space="preserve">SUBCASE 102 = STLP ULT (INTACT) :STLP ULT (INTACT) </v>
      </c>
      <c r="K54" s="23">
        <f>INDEX('01_FASTPPH'!$9:$1048576,MATCH($A54,'01_FASTPPH'!$A$9:$A$1048576,0),MATCH(K$9,'01_FASTPPH'!$8:$8,0))</f>
        <v>-566.66800000000001</v>
      </c>
      <c r="L54" s="20">
        <f>INDEX('01_FASTPPH'!$9:$1048576,MATCH($A54,'01_FASTPPH'!$A$9:$A$1048576,0),MATCH(L$9,'01_FASTPPH'!$8:$8,0))</f>
        <v>-1827.44</v>
      </c>
      <c r="M54" s="20">
        <f>INDEX('01_FASTPPH'!$9:$1048576,MATCH($A54,'01_FASTPPH'!$A$9:$A$1048576,0),MATCH(M$9,'01_FASTPPH'!$8:$8,0))</f>
        <v>2624.22</v>
      </c>
      <c r="N54" s="24">
        <f>INDEX('01_FASTPPH'!$9:$1048576,MATCH($A54,'01_FASTPPH'!$A$9:$A$1048576,0),MATCH(N$9,'01_FASTPPH'!$8:$8,0))</f>
        <v>37417.599999999999</v>
      </c>
      <c r="O54" s="23">
        <f>INDEX('01_FASTPPH'!$9:$1048576,MATCH($A54,'01_FASTPPH'!$A$9:$A$1048576,0),MATCH(O$9,'01_FASTPPH'!$8:$8,0))</f>
        <v>1471.79</v>
      </c>
      <c r="P54" s="20">
        <f>INDEX('01_FASTPPH'!$9:$1048576,MATCH($A54,'01_FASTPPH'!$A$9:$A$1048576,0),MATCH(P$9,'01_FASTPPH'!$8:$8,0))</f>
        <v>1558.17</v>
      </c>
      <c r="Q54" s="20">
        <f>INDEX('01_FASTPPH'!$9:$1048576,MATCH($A54,'01_FASTPPH'!$A$9:$A$1048576,0),MATCH(Q$9,'01_FASTPPH'!$8:$8,0))</f>
        <v>-85.184100000000001</v>
      </c>
      <c r="R54" s="20">
        <f>INDEX('01_FASTPPH'!$9:$1048576,MATCH($A54,'01_FASTPPH'!$A$9:$A$1048576,0),MATCH(R$9,'01_FASTPPH'!$8:$8,0))</f>
        <v>-252.55600000000001</v>
      </c>
      <c r="S54" s="20">
        <f>INDEX('01_FASTPPH'!$9:$1048576,MATCH($A54,'01_FASTPPH'!$A$9:$A$1048576,0),MATCH(S$9,'01_FASTPPH'!$8:$8,0))</f>
        <v>417.37400000000002</v>
      </c>
      <c r="T54" s="24">
        <f>INDEX('01_FASTPPH'!$9:$1048576,MATCH($A54,'01_FASTPPH'!$A$9:$A$1048576,0),MATCH(T$9,'01_FASTPPH'!$8:$8,0))</f>
        <v>610.63400000000001</v>
      </c>
      <c r="U54" s="23">
        <f>INDEX('01_FASTPPH'!$9:$1048576,MATCH($A54,'01_FASTPPH'!$A$9:$A$1048576,0),MATCH(U$9,'01_FASTPPH'!$8:$8,0))</f>
        <v>-5030.76</v>
      </c>
      <c r="V54" s="20">
        <f>INDEX('01_FASTPPH'!$9:$1048576,MATCH($A54,'01_FASTPPH'!$A$9:$A$1048576,0),MATCH(V$9,'01_FASTPPH'!$8:$8,0))</f>
        <v>-1473.25</v>
      </c>
      <c r="W54" s="24">
        <f>INDEX('01_FASTPPH'!$9:$1048576,MATCH($A54,'01_FASTPPH'!$A$9:$A$1048576,0),MATCH(W$9,'01_FASTPPH'!$8:$8,0))</f>
        <v>-554.17899999999997</v>
      </c>
      <c r="X54" s="20">
        <f>INDEX('01_FASTPPH'!$9:$1048576,MATCH($A54,'01_FASTPPH'!$A$9:$A$1048576,0),MATCH(X$9,'01_FASTPPH'!$8:$8,0))</f>
        <v>0</v>
      </c>
      <c r="Y54" s="20">
        <f>INDEX('01_FASTPPH'!$9:$1048576,MATCH($A54,'01_FASTPPH'!$A$9:$A$1048576,0),MATCH(Y$9,'01_FASTPPH'!$8:$8,0))</f>
        <v>0</v>
      </c>
      <c r="AA54" s="32">
        <f>INDEX('02_PROPERTIES'!$C$10:$I$1048576,MATCH('03_CALCULATIONS'!$D54,'02_PROPERTIES'!$C$10:$C$1048576,0),MATCH('03_CALCULATIONS'!AA$9,'02_PROPERTIES'!$C$10:$I$10,0))</f>
        <v>16.559999999999999</v>
      </c>
      <c r="AB54" s="20">
        <f>INDEX('02_PROPERTIES'!$C$10:$I$1048576,MATCH('03_CALCULATIONS'!$D54,'02_PROPERTIES'!$C$10:$C$1048576,0),MATCH('03_CALCULATIONS'!AB$9,'02_PROPERTIES'!$C$10:$I$10,0))</f>
        <v>79593.867056640505</v>
      </c>
      <c r="AC54" s="20">
        <f>INDEX('02_PROPERTIES'!$C$10:$I$1048576,MATCH('03_CALCULATIONS'!$D54,'02_PROPERTIES'!$C$10:$C$1048576,0),MATCH('03_CALCULATIONS'!AC$9,'02_PROPERTIES'!$C$10:$I$10,0))</f>
        <v>41017.370743551612</v>
      </c>
      <c r="AD54" s="20">
        <f>INDEX('02_PROPERTIES'!$C$10:$I$1048576,MATCH('03_CALCULATIONS'!$D54,'02_PROPERTIES'!$C$10:$C$1048576,0),MATCH('03_CALCULATIONS'!AD$9,'02_PROPERTIES'!$C$10:$I$10,0))</f>
        <v>19846.188560278148</v>
      </c>
      <c r="AE54" s="32">
        <f>INDEX('02_PROPERTIES'!$C$10:$I$1048576,MATCH('03_CALCULATIONS'!$D54,'02_PROPERTIES'!$C$10:$C$1048576,0),MATCH('03_CALCULATIONS'!AE$9,'02_PROPERTIES'!$C$10:$I$10,0))</f>
        <v>0.4142802271075095</v>
      </c>
      <c r="AF54" s="32">
        <f>INDEX('02_PROPERTIES'!$C$10:$I$1048576,MATCH('03_CALCULATIONS'!$D54,'02_PROPERTIES'!$C$10:$C$1048576,0),MATCH('03_CALCULATIONS'!AF$9,'02_PROPERTIES'!$C$10:$I$10,0))</f>
        <v>1</v>
      </c>
      <c r="AH54" s="20">
        <f t="shared" si="0"/>
        <v>3294.5291304347829</v>
      </c>
      <c r="AI54" s="20">
        <f t="shared" si="1"/>
        <v>-618.97033188405794</v>
      </c>
      <c r="AJ54" s="20">
        <f t="shared" si="2"/>
        <v>618.16349275362325</v>
      </c>
      <c r="AL54" s="20">
        <f t="shared" si="3"/>
        <v>2694.048375791911</v>
      </c>
      <c r="AM54" s="20">
        <f t="shared" si="4"/>
        <v>-2920.6263436735339</v>
      </c>
      <c r="AN54" s="20">
        <f t="shared" si="5"/>
        <v>940.45043503329589</v>
      </c>
      <c r="AO54" s="20">
        <f t="shared" si="6"/>
        <v>356.93623357583647</v>
      </c>
      <c r="AP54" s="20">
        <f t="shared" si="7"/>
        <v>-583.51420145745942</v>
      </c>
      <c r="AR54" s="20">
        <f t="shared" si="8"/>
        <v>2733.1570117773008</v>
      </c>
      <c r="AS54" s="20">
        <f t="shared" si="9"/>
        <v>-2959.7349796589233</v>
      </c>
      <c r="AT54" s="20">
        <f t="shared" si="10"/>
        <v>2960.6739219484152</v>
      </c>
    </row>
    <row r="55" spans="1:46" x14ac:dyDescent="0.3">
      <c r="A55" s="18">
        <v>184</v>
      </c>
      <c r="B55" s="20">
        <f>INDEX('01_FASTPPH'!$9:$1048576,MATCH($A55,'01_FASTPPH'!$A$9:$A$1048576,0),MATCH(B$9,'01_FASTPPH'!$8:$8,0))</f>
        <v>31</v>
      </c>
      <c r="C55" s="20">
        <f>INDEX('01_FASTPPH'!$9:$1048576,MATCH($A55,'01_FASTPPH'!$A$9:$A$1048576,0),MATCH(C$9,'01_FASTPPH'!$8:$8,0))</f>
        <v>1500570</v>
      </c>
      <c r="D55" s="20" t="str">
        <f>INDEX('01_FASTPPH'!$9:$1048576,MATCH($A55,'01_FASTPPH'!$A$9:$A$1048576,0),MATCH(D$9,'01_FASTPPH'!$8:$8,0))</f>
        <v>SkinRH</v>
      </c>
      <c r="E55" s="20">
        <f>INDEX('01_FASTPPH'!$9:$1048576,MATCH($A55,'01_FASTPPH'!$A$9:$A$1048576,0),MATCH(E$9,'01_FASTPPH'!$8:$8,0))</f>
        <v>3912020</v>
      </c>
      <c r="F55" s="20">
        <f>INDEX('01_FASTPPH'!$9:$1048576,MATCH($A55,'01_FASTPPH'!$A$9:$A$1048576,0),MATCH(F$9,'01_FASTPPH'!$8:$8,0))</f>
        <v>1912021</v>
      </c>
      <c r="G55" s="20">
        <f>INDEX('01_FASTPPH'!$9:$1048576,MATCH($A55,'01_FASTPPH'!$A$9:$A$1048576,0),MATCH(G$9,'01_FASTPPH'!$8:$8,0))</f>
        <v>2912020</v>
      </c>
      <c r="H55" s="20">
        <f>INDEX('01_FASTPPH'!$9:$1048576,MATCH($A55,'01_FASTPPH'!$A$9:$A$1048576,0),MATCH(H$9,'01_FASTPPH'!$8:$8,0))</f>
        <v>1912022</v>
      </c>
      <c r="I55" s="20">
        <f>INDEX('01_FASTPPH'!$9:$1048576,MATCH($A55,'01_FASTPPH'!$A$9:$A$1048576,0),MATCH(I$9,'01_FASTPPH'!$8:$8,0))</f>
        <v>57.914999999999999</v>
      </c>
      <c r="J55" s="20" t="str">
        <f>INDEX('01_FASTPPH'!$9:$1048576,MATCH($A55,'01_FASTPPH'!$A$9:$A$1048576,0),MATCH(J$9,'01_FASTPPH'!$8:$8,0))</f>
        <v xml:space="preserve">SUBCASE 102 = STLP ULT (INTACT) :STLP ULT (INTACT) </v>
      </c>
      <c r="K55" s="23">
        <f>INDEX('01_FASTPPH'!$9:$1048576,MATCH($A55,'01_FASTPPH'!$A$9:$A$1048576,0),MATCH(K$9,'01_FASTPPH'!$8:$8,0))</f>
        <v>6248.78</v>
      </c>
      <c r="L55" s="20">
        <f>INDEX('01_FASTPPH'!$9:$1048576,MATCH($A55,'01_FASTPPH'!$A$9:$A$1048576,0),MATCH(L$9,'01_FASTPPH'!$8:$8,0))</f>
        <v>-4337.04</v>
      </c>
      <c r="M55" s="20">
        <f>INDEX('01_FASTPPH'!$9:$1048576,MATCH($A55,'01_FASTPPH'!$A$9:$A$1048576,0),MATCH(M$9,'01_FASTPPH'!$8:$8,0))</f>
        <v>15993.4</v>
      </c>
      <c r="N55" s="24">
        <f>INDEX('01_FASTPPH'!$9:$1048576,MATCH($A55,'01_FASTPPH'!$A$9:$A$1048576,0),MATCH(N$9,'01_FASTPPH'!$8:$8,0))</f>
        <v>38887.4</v>
      </c>
      <c r="O55" s="23">
        <f>INDEX('01_FASTPPH'!$9:$1048576,MATCH($A55,'01_FASTPPH'!$A$9:$A$1048576,0),MATCH(O$9,'01_FASTPPH'!$8:$8,0))</f>
        <v>1899.76</v>
      </c>
      <c r="P55" s="20">
        <f>INDEX('01_FASTPPH'!$9:$1048576,MATCH($A55,'01_FASTPPH'!$A$9:$A$1048576,0),MATCH(P$9,'01_FASTPPH'!$8:$8,0))</f>
        <v>2171.7800000000002</v>
      </c>
      <c r="Q55" s="20">
        <f>INDEX('01_FASTPPH'!$9:$1048576,MATCH($A55,'01_FASTPPH'!$A$9:$A$1048576,0),MATCH(Q$9,'01_FASTPPH'!$8:$8,0))</f>
        <v>3.6915100000000001</v>
      </c>
      <c r="R55" s="20">
        <f>INDEX('01_FASTPPH'!$9:$1048576,MATCH($A55,'01_FASTPPH'!$A$9:$A$1048576,0),MATCH(R$9,'01_FASTPPH'!$8:$8,0))</f>
        <v>-31.355699999999999</v>
      </c>
      <c r="S55" s="20">
        <f>INDEX('01_FASTPPH'!$9:$1048576,MATCH($A55,'01_FASTPPH'!$A$9:$A$1048576,0),MATCH(S$9,'01_FASTPPH'!$8:$8,0))</f>
        <v>230.64099999999999</v>
      </c>
      <c r="T55" s="24">
        <f>INDEX('01_FASTPPH'!$9:$1048576,MATCH($A55,'01_FASTPPH'!$A$9:$A$1048576,0),MATCH(T$9,'01_FASTPPH'!$8:$8,0))</f>
        <v>398.25400000000002</v>
      </c>
      <c r="U55" s="23">
        <f>INDEX('01_FASTPPH'!$9:$1048576,MATCH($A55,'01_FASTPPH'!$A$9:$A$1048576,0),MATCH(U$9,'01_FASTPPH'!$8:$8,0))</f>
        <v>-3991.06</v>
      </c>
      <c r="V55" s="20">
        <f>INDEX('01_FASTPPH'!$9:$1048576,MATCH($A55,'01_FASTPPH'!$A$9:$A$1048576,0),MATCH(V$9,'01_FASTPPH'!$8:$8,0))</f>
        <v>938.23699999999997</v>
      </c>
      <c r="W55" s="24">
        <f>INDEX('01_FASTPPH'!$9:$1048576,MATCH($A55,'01_FASTPPH'!$A$9:$A$1048576,0),MATCH(W$9,'01_FASTPPH'!$8:$8,0))</f>
        <v>-606.53800000000001</v>
      </c>
      <c r="X55" s="20">
        <f>INDEX('01_FASTPPH'!$9:$1048576,MATCH($A55,'01_FASTPPH'!$A$9:$A$1048576,0),MATCH(X$9,'01_FASTPPH'!$8:$8,0))</f>
        <v>0</v>
      </c>
      <c r="Y55" s="20">
        <f>INDEX('01_FASTPPH'!$9:$1048576,MATCH($A55,'01_FASTPPH'!$A$9:$A$1048576,0),MATCH(Y$9,'01_FASTPPH'!$8:$8,0))</f>
        <v>0</v>
      </c>
      <c r="AA55" s="32">
        <f>INDEX('02_PROPERTIES'!$C$10:$I$1048576,MATCH('03_CALCULATIONS'!$D55,'02_PROPERTIES'!$C$10:$C$1048576,0),MATCH('03_CALCULATIONS'!AA$9,'02_PROPERTIES'!$C$10:$I$10,0))</f>
        <v>16.559999999999999</v>
      </c>
      <c r="AB55" s="20">
        <f>INDEX('02_PROPERTIES'!$C$10:$I$1048576,MATCH('03_CALCULATIONS'!$D55,'02_PROPERTIES'!$C$10:$C$1048576,0),MATCH('03_CALCULATIONS'!AB$9,'02_PROPERTIES'!$C$10:$I$10,0))</f>
        <v>79593.867056640505</v>
      </c>
      <c r="AC55" s="20">
        <f>INDEX('02_PROPERTIES'!$C$10:$I$1048576,MATCH('03_CALCULATIONS'!$D55,'02_PROPERTIES'!$C$10:$C$1048576,0),MATCH('03_CALCULATIONS'!AC$9,'02_PROPERTIES'!$C$10:$I$10,0))</f>
        <v>41017.370743551612</v>
      </c>
      <c r="AD55" s="20">
        <f>INDEX('02_PROPERTIES'!$C$10:$I$1048576,MATCH('03_CALCULATIONS'!$D55,'02_PROPERTIES'!$C$10:$C$1048576,0),MATCH('03_CALCULATIONS'!AD$9,'02_PROPERTIES'!$C$10:$I$10,0))</f>
        <v>19846.188560278148</v>
      </c>
      <c r="AE55" s="32">
        <f>INDEX('02_PROPERTIES'!$C$10:$I$1048576,MATCH('03_CALCULATIONS'!$D55,'02_PROPERTIES'!$C$10:$C$1048576,0),MATCH('03_CALCULATIONS'!AE$9,'02_PROPERTIES'!$C$10:$I$10,0))</f>
        <v>0.4142802271075095</v>
      </c>
      <c r="AF55" s="32">
        <f>INDEX('02_PROPERTIES'!$C$10:$I$1048576,MATCH('03_CALCULATIONS'!$D55,'02_PROPERTIES'!$C$10:$C$1048576,0),MATCH('03_CALCULATIONS'!AF$9,'02_PROPERTIES'!$C$10:$I$10,0))</f>
        <v>1</v>
      </c>
      <c r="AH55" s="20">
        <f t="shared" si="0"/>
        <v>3345.7962318840582</v>
      </c>
      <c r="AI55" s="20">
        <f t="shared" si="1"/>
        <v>343.63245202898548</v>
      </c>
      <c r="AJ55" s="20">
        <f t="shared" si="2"/>
        <v>450.40114492753628</v>
      </c>
      <c r="AL55" s="20">
        <f t="shared" si="3"/>
        <v>2430.3908854827068</v>
      </c>
      <c r="AM55" s="20">
        <f t="shared" si="4"/>
        <v>-1534.7344317954339</v>
      </c>
      <c r="AN55" s="20">
        <f t="shared" si="5"/>
        <v>685.2231774473604</v>
      </c>
      <c r="AO55" s="20">
        <f t="shared" si="6"/>
        <v>790.4398155673166</v>
      </c>
      <c r="AP55" s="20">
        <f t="shared" si="7"/>
        <v>105.21663811995626</v>
      </c>
      <c r="AR55" s="20">
        <f t="shared" si="8"/>
        <v>2459.7768832853917</v>
      </c>
      <c r="AS55" s="20">
        <f t="shared" si="9"/>
        <v>-1564.1204295981186</v>
      </c>
      <c r="AT55" s="20">
        <f t="shared" si="10"/>
        <v>2097.6380761087162</v>
      </c>
    </row>
    <row r="56" spans="1:46" x14ac:dyDescent="0.3">
      <c r="A56" s="18">
        <v>260</v>
      </c>
      <c r="B56" s="20">
        <f>INDEX('01_FASTPPH'!$9:$1048576,MATCH($A56,'01_FASTPPH'!$A$9:$A$1048576,0),MATCH(B$9,'01_FASTPPH'!$8:$8,0))</f>
        <v>44</v>
      </c>
      <c r="C56" s="20">
        <f>INDEX('01_FASTPPH'!$9:$1048576,MATCH($A56,'01_FASTPPH'!$A$9:$A$1048576,0),MATCH(C$9,'01_FASTPPH'!$8:$8,0))</f>
        <v>1500671</v>
      </c>
      <c r="D56" s="20" t="str">
        <f>INDEX('01_FASTPPH'!$9:$1048576,MATCH($A56,'01_FASTPPH'!$A$9:$A$1048576,0),MATCH(D$9,'01_FASTPPH'!$8:$8,0))</f>
        <v>SkinRH</v>
      </c>
      <c r="E56" s="20">
        <f>INDEX('01_FASTPPH'!$9:$1048576,MATCH($A56,'01_FASTPPH'!$A$9:$A$1048576,0),MATCH(E$9,'01_FASTPPH'!$8:$8,0))</f>
        <v>3913020</v>
      </c>
      <c r="F56" s="20">
        <f>INDEX('01_FASTPPH'!$9:$1048576,MATCH($A56,'01_FASTPPH'!$A$9:$A$1048576,0),MATCH(F$9,'01_FASTPPH'!$8:$8,0))</f>
        <v>1913021</v>
      </c>
      <c r="G56" s="20">
        <f>INDEX('01_FASTPPH'!$9:$1048576,MATCH($A56,'01_FASTPPH'!$A$9:$A$1048576,0),MATCH(G$9,'01_FASTPPH'!$8:$8,0))</f>
        <v>0</v>
      </c>
      <c r="H56" s="20">
        <f>INDEX('01_FASTPPH'!$9:$1048576,MATCH($A56,'01_FASTPPH'!$A$9:$A$1048576,0),MATCH(H$9,'01_FASTPPH'!$8:$8,0))</f>
        <v>0</v>
      </c>
      <c r="I56" s="20">
        <f>INDEX('01_FASTPPH'!$9:$1048576,MATCH($A56,'01_FASTPPH'!$A$9:$A$1048576,0),MATCH(I$9,'01_FASTPPH'!$8:$8,0))</f>
        <v>57.914999999999999</v>
      </c>
      <c r="J56" s="20" t="str">
        <f>INDEX('01_FASTPPH'!$9:$1048576,MATCH($A56,'01_FASTPPH'!$A$9:$A$1048576,0),MATCH(J$9,'01_FASTPPH'!$8:$8,0))</f>
        <v xml:space="preserve">SUBCASE 102 = STLP ULT (INTACT) :STLP ULT (INTACT) </v>
      </c>
      <c r="K56" s="23">
        <f>INDEX('01_FASTPPH'!$9:$1048576,MATCH($A56,'01_FASTPPH'!$A$9:$A$1048576,0),MATCH(K$9,'01_FASTPPH'!$8:$8,0))</f>
        <v>11412.2</v>
      </c>
      <c r="L56" s="20">
        <f>INDEX('01_FASTPPH'!$9:$1048576,MATCH($A56,'01_FASTPPH'!$A$9:$A$1048576,0),MATCH(L$9,'01_FASTPPH'!$8:$8,0))</f>
        <v>-7209.73</v>
      </c>
      <c r="M56" s="20">
        <f>INDEX('01_FASTPPH'!$9:$1048576,MATCH($A56,'01_FASTPPH'!$A$9:$A$1048576,0),MATCH(M$9,'01_FASTPPH'!$8:$8,0))</f>
        <v>6548.42</v>
      </c>
      <c r="N56" s="24">
        <f>INDEX('01_FASTPPH'!$9:$1048576,MATCH($A56,'01_FASTPPH'!$A$9:$A$1048576,0),MATCH(N$9,'01_FASTPPH'!$8:$8,0))</f>
        <v>31857.5</v>
      </c>
      <c r="O56" s="23">
        <f>INDEX('01_FASTPPH'!$9:$1048576,MATCH($A56,'01_FASTPPH'!$A$9:$A$1048576,0),MATCH(O$9,'01_FASTPPH'!$8:$8,0))</f>
        <v>2214.54</v>
      </c>
      <c r="P56" s="20">
        <f>INDEX('01_FASTPPH'!$9:$1048576,MATCH($A56,'01_FASTPPH'!$A$9:$A$1048576,0),MATCH(P$9,'01_FASTPPH'!$8:$8,0))</f>
        <v>2548.08</v>
      </c>
      <c r="Q56" s="20">
        <f>INDEX('01_FASTPPH'!$9:$1048576,MATCH($A56,'01_FASTPPH'!$A$9:$A$1048576,0),MATCH(Q$9,'01_FASTPPH'!$8:$8,0))</f>
        <v>-11.2965</v>
      </c>
      <c r="R56" s="20">
        <f>INDEX('01_FASTPPH'!$9:$1048576,MATCH($A56,'01_FASTPPH'!$A$9:$A$1048576,0),MATCH(R$9,'01_FASTPPH'!$8:$8,0))</f>
        <v>38.771099999999997</v>
      </c>
      <c r="S56" s="20">
        <f>INDEX('01_FASTPPH'!$9:$1048576,MATCH($A56,'01_FASTPPH'!$A$9:$A$1048576,0),MATCH(S$9,'01_FASTPPH'!$8:$8,0))</f>
        <v>176.19499999999999</v>
      </c>
      <c r="T56" s="24">
        <f>INDEX('01_FASTPPH'!$9:$1048576,MATCH($A56,'01_FASTPPH'!$A$9:$A$1048576,0),MATCH(T$9,'01_FASTPPH'!$8:$8,0))</f>
        <v>212.001</v>
      </c>
      <c r="U56" s="23">
        <f>INDEX('01_FASTPPH'!$9:$1048576,MATCH($A56,'01_FASTPPH'!$A$9:$A$1048576,0),MATCH(U$9,'01_FASTPPH'!$8:$8,0))</f>
        <v>-5318.05</v>
      </c>
      <c r="V56" s="20">
        <f>INDEX('01_FASTPPH'!$9:$1048576,MATCH($A56,'01_FASTPPH'!$A$9:$A$1048576,0),MATCH(V$9,'01_FASTPPH'!$8:$8,0))</f>
        <v>660.05100000000004</v>
      </c>
      <c r="W56" s="24">
        <f>INDEX('01_FASTPPH'!$9:$1048576,MATCH($A56,'01_FASTPPH'!$A$9:$A$1048576,0),MATCH(W$9,'01_FASTPPH'!$8:$8,0))</f>
        <v>-621.745</v>
      </c>
      <c r="X56" s="20">
        <f>INDEX('01_FASTPPH'!$9:$1048576,MATCH($A56,'01_FASTPPH'!$A$9:$A$1048576,0),MATCH(X$9,'01_FASTPPH'!$8:$8,0))</f>
        <v>0</v>
      </c>
      <c r="Y56" s="20">
        <f>INDEX('01_FASTPPH'!$9:$1048576,MATCH($A56,'01_FASTPPH'!$A$9:$A$1048576,0),MATCH(Y$9,'01_FASTPPH'!$8:$8,0))</f>
        <v>0</v>
      </c>
      <c r="AA56" s="32">
        <f>INDEX('02_PROPERTIES'!$C$10:$I$1048576,MATCH('03_CALCULATIONS'!$D56,'02_PROPERTIES'!$C$10:$C$1048576,0),MATCH('03_CALCULATIONS'!AA$9,'02_PROPERTIES'!$C$10:$I$10,0))</f>
        <v>16.559999999999999</v>
      </c>
      <c r="AB56" s="20">
        <f>INDEX('02_PROPERTIES'!$C$10:$I$1048576,MATCH('03_CALCULATIONS'!$D56,'02_PROPERTIES'!$C$10:$C$1048576,0),MATCH('03_CALCULATIONS'!AB$9,'02_PROPERTIES'!$C$10:$I$10,0))</f>
        <v>79593.867056640505</v>
      </c>
      <c r="AC56" s="20">
        <f>INDEX('02_PROPERTIES'!$C$10:$I$1048576,MATCH('03_CALCULATIONS'!$D56,'02_PROPERTIES'!$C$10:$C$1048576,0),MATCH('03_CALCULATIONS'!AC$9,'02_PROPERTIES'!$C$10:$I$10,0))</f>
        <v>41017.370743551612</v>
      </c>
      <c r="AD56" s="20">
        <f>INDEX('02_PROPERTIES'!$C$10:$I$1048576,MATCH('03_CALCULATIONS'!$D56,'02_PROPERTIES'!$C$10:$C$1048576,0),MATCH('03_CALCULATIONS'!AD$9,'02_PROPERTIES'!$C$10:$I$10,0))</f>
        <v>19846.188560278148</v>
      </c>
      <c r="AE56" s="32">
        <f>INDEX('02_PROPERTIES'!$C$10:$I$1048576,MATCH('03_CALCULATIONS'!$D56,'02_PROPERTIES'!$C$10:$C$1048576,0),MATCH('03_CALCULATIONS'!AE$9,'02_PROPERTIES'!$C$10:$I$10,0))</f>
        <v>0.4142802271075095</v>
      </c>
      <c r="AF56" s="32">
        <f>INDEX('02_PROPERTIES'!$C$10:$I$1048576,MATCH('03_CALCULATIONS'!$D56,'02_PROPERTIES'!$C$10:$C$1048576,0),MATCH('03_CALCULATIONS'!AF$9,'02_PROPERTIES'!$C$10:$I$10,0))</f>
        <v>1</v>
      </c>
      <c r="AH56" s="20">
        <f t="shared" si="0"/>
        <v>4141.3697101449279</v>
      </c>
      <c r="AI56" s="20">
        <f t="shared" si="1"/>
        <v>-250.44541304347831</v>
      </c>
      <c r="AJ56" s="20">
        <f t="shared" si="2"/>
        <v>401.46492753623193</v>
      </c>
      <c r="AL56" s="20">
        <f t="shared" si="3"/>
        <v>3220.7014785181959</v>
      </c>
      <c r="AM56" s="20">
        <f t="shared" si="4"/>
        <v>-2894.5745628443037</v>
      </c>
      <c r="AN56" s="20">
        <f t="shared" si="5"/>
        <v>610.77347688427835</v>
      </c>
      <c r="AO56" s="20">
        <f t="shared" si="6"/>
        <v>468.45019627908528</v>
      </c>
      <c r="AP56" s="20">
        <f t="shared" si="7"/>
        <v>-142.32328060519308</v>
      </c>
      <c r="AR56" s="20">
        <f t="shared" si="8"/>
        <v>3235.9141417348601</v>
      </c>
      <c r="AS56" s="20">
        <f t="shared" si="9"/>
        <v>-2909.7872260609684</v>
      </c>
      <c r="AT56" s="20">
        <f t="shared" si="10"/>
        <v>3118.0433777580552</v>
      </c>
    </row>
    <row r="57" spans="1:46" x14ac:dyDescent="0.3">
      <c r="A57" s="18">
        <v>154</v>
      </c>
      <c r="B57" s="20">
        <f>INDEX('01_FASTPPH'!$9:$1048576,MATCH($A57,'01_FASTPPH'!$A$9:$A$1048576,0),MATCH(B$9,'01_FASTPPH'!$8:$8,0))</f>
        <v>27</v>
      </c>
      <c r="C57" s="20">
        <f>INDEX('01_FASTPPH'!$9:$1048576,MATCH($A57,'01_FASTPPH'!$A$9:$A$1048576,0),MATCH(C$9,'01_FASTPPH'!$8:$8,0))</f>
        <v>1502993</v>
      </c>
      <c r="D57" s="20" t="str">
        <f>INDEX('01_FASTPPH'!$9:$1048576,MATCH($A57,'01_FASTPPH'!$A$9:$A$1048576,0),MATCH(D$9,'01_FASTPPH'!$8:$8,0))</f>
        <v>SkinRH</v>
      </c>
      <c r="E57" s="20">
        <f>INDEX('01_FASTPPH'!$9:$1048576,MATCH($A57,'01_FASTPPH'!$A$9:$A$1048576,0),MATCH(E$9,'01_FASTPPH'!$8:$8,0))</f>
        <v>2914020</v>
      </c>
      <c r="F57" s="20">
        <f>INDEX('01_FASTPPH'!$9:$1048576,MATCH($A57,'01_FASTPPH'!$A$9:$A$1048576,0),MATCH(F$9,'01_FASTPPH'!$8:$8,0))</f>
        <v>1914022</v>
      </c>
      <c r="G57" s="20">
        <f>INDEX('01_FASTPPH'!$9:$1048576,MATCH($A57,'01_FASTPPH'!$A$9:$A$1048576,0),MATCH(G$9,'01_FASTPPH'!$8:$8,0))</f>
        <v>0</v>
      </c>
      <c r="H57" s="20">
        <f>INDEX('01_FASTPPH'!$9:$1048576,MATCH($A57,'01_FASTPPH'!$A$9:$A$1048576,0),MATCH(H$9,'01_FASTPPH'!$8:$8,0))</f>
        <v>0</v>
      </c>
      <c r="I57" s="20">
        <f>INDEX('01_FASTPPH'!$9:$1048576,MATCH($A57,'01_FASTPPH'!$A$9:$A$1048576,0),MATCH(I$9,'01_FASTPPH'!$8:$8,0))</f>
        <v>57.914999999999999</v>
      </c>
      <c r="J57" s="20" t="str">
        <f>INDEX('01_FASTPPH'!$9:$1048576,MATCH($A57,'01_FASTPPH'!$A$9:$A$1048576,0),MATCH(J$9,'01_FASTPPH'!$8:$8,0))</f>
        <v xml:space="preserve">SUBCASE 102 = STLP ULT (INTACT) :STLP ULT (INTACT) </v>
      </c>
      <c r="K57" s="23">
        <f>INDEX('01_FASTPPH'!$9:$1048576,MATCH($A57,'01_FASTPPH'!$A$9:$A$1048576,0),MATCH(K$9,'01_FASTPPH'!$8:$8,0))</f>
        <v>11367.1</v>
      </c>
      <c r="L57" s="20">
        <f>INDEX('01_FASTPPH'!$9:$1048576,MATCH($A57,'01_FASTPPH'!$A$9:$A$1048576,0),MATCH(L$9,'01_FASTPPH'!$8:$8,0))</f>
        <v>401.63099999999997</v>
      </c>
      <c r="M57" s="20">
        <f>INDEX('01_FASTPPH'!$9:$1048576,MATCH($A57,'01_FASTPPH'!$A$9:$A$1048576,0),MATCH(M$9,'01_FASTPPH'!$8:$8,0))</f>
        <v>-173.81100000000001</v>
      </c>
      <c r="N57" s="24">
        <f>INDEX('01_FASTPPH'!$9:$1048576,MATCH($A57,'01_FASTPPH'!$A$9:$A$1048576,0),MATCH(N$9,'01_FASTPPH'!$8:$8,0))</f>
        <v>0</v>
      </c>
      <c r="O57" s="23">
        <f>INDEX('01_FASTPPH'!$9:$1048576,MATCH($A57,'01_FASTPPH'!$A$9:$A$1048576,0),MATCH(O$9,'01_FASTPPH'!$8:$8,0))</f>
        <v>659.61099999999999</v>
      </c>
      <c r="P57" s="20">
        <f>INDEX('01_FASTPPH'!$9:$1048576,MATCH($A57,'01_FASTPPH'!$A$9:$A$1048576,0),MATCH(P$9,'01_FASTPPH'!$8:$8,0))</f>
        <v>730.99</v>
      </c>
      <c r="Q57" s="20">
        <f>INDEX('01_FASTPPH'!$9:$1048576,MATCH($A57,'01_FASTPPH'!$A$9:$A$1048576,0),MATCH(Q$9,'01_FASTPPH'!$8:$8,0))</f>
        <v>-290.73399999999998</v>
      </c>
      <c r="R57" s="20">
        <f>INDEX('01_FASTPPH'!$9:$1048576,MATCH($A57,'01_FASTPPH'!$A$9:$A$1048576,0),MATCH(R$9,'01_FASTPPH'!$8:$8,0))</f>
        <v>-397.10300000000001</v>
      </c>
      <c r="S57" s="20">
        <f>INDEX('01_FASTPPH'!$9:$1048576,MATCH($A57,'01_FASTPPH'!$A$9:$A$1048576,0),MATCH(S$9,'01_FASTPPH'!$8:$8,0))</f>
        <v>369.99799999999999</v>
      </c>
      <c r="T57" s="24">
        <f>INDEX('01_FASTPPH'!$9:$1048576,MATCH($A57,'01_FASTPPH'!$A$9:$A$1048576,0),MATCH(T$9,'01_FASTPPH'!$8:$8,0))</f>
        <v>416.64499999999998</v>
      </c>
      <c r="U57" s="23">
        <f>INDEX('01_FASTPPH'!$9:$1048576,MATCH($A57,'01_FASTPPH'!$A$9:$A$1048576,0),MATCH(U$9,'01_FASTPPH'!$8:$8,0))</f>
        <v>-2580.4</v>
      </c>
      <c r="V57" s="20">
        <f>INDEX('01_FASTPPH'!$9:$1048576,MATCH($A57,'01_FASTPPH'!$A$9:$A$1048576,0),MATCH(V$9,'01_FASTPPH'!$8:$8,0))</f>
        <v>-2102.9</v>
      </c>
      <c r="W57" s="24">
        <f>INDEX('01_FASTPPH'!$9:$1048576,MATCH($A57,'01_FASTPPH'!$A$9:$A$1048576,0),MATCH(W$9,'01_FASTPPH'!$8:$8,0))</f>
        <v>-356.40100000000001</v>
      </c>
      <c r="X57" s="20">
        <f>INDEX('01_FASTPPH'!$9:$1048576,MATCH($A57,'01_FASTPPH'!$A$9:$A$1048576,0),MATCH(X$9,'01_FASTPPH'!$8:$8,0))</f>
        <v>0</v>
      </c>
      <c r="Y57" s="20">
        <f>INDEX('01_FASTPPH'!$9:$1048576,MATCH($A57,'01_FASTPPH'!$A$9:$A$1048576,0),MATCH(Y$9,'01_FASTPPH'!$8:$8,0))</f>
        <v>0</v>
      </c>
      <c r="AA57" s="32">
        <f>INDEX('02_PROPERTIES'!$C$10:$I$1048576,MATCH('03_CALCULATIONS'!$D57,'02_PROPERTIES'!$C$10:$C$1048576,0),MATCH('03_CALCULATIONS'!AA$9,'02_PROPERTIES'!$C$10:$I$10,0))</f>
        <v>16.559999999999999</v>
      </c>
      <c r="AB57" s="20">
        <f>INDEX('02_PROPERTIES'!$C$10:$I$1048576,MATCH('03_CALCULATIONS'!$D57,'02_PROPERTIES'!$C$10:$C$1048576,0),MATCH('03_CALCULATIONS'!AB$9,'02_PROPERTIES'!$C$10:$I$10,0))</f>
        <v>79593.867056640505</v>
      </c>
      <c r="AC57" s="20">
        <f>INDEX('02_PROPERTIES'!$C$10:$I$1048576,MATCH('03_CALCULATIONS'!$D57,'02_PROPERTIES'!$C$10:$C$1048576,0),MATCH('03_CALCULATIONS'!AC$9,'02_PROPERTIES'!$C$10:$I$10,0))</f>
        <v>41017.370743551612</v>
      </c>
      <c r="AD57" s="20">
        <f>INDEX('02_PROPERTIES'!$C$10:$I$1048576,MATCH('03_CALCULATIONS'!$D57,'02_PROPERTIES'!$C$10:$C$1048576,0),MATCH('03_CALCULATIONS'!AD$9,'02_PROPERTIES'!$C$10:$I$10,0))</f>
        <v>19846.188560278148</v>
      </c>
      <c r="AE57" s="32">
        <f>INDEX('02_PROPERTIES'!$C$10:$I$1048576,MATCH('03_CALCULATIONS'!$D57,'02_PROPERTIES'!$C$10:$C$1048576,0),MATCH('03_CALCULATIONS'!AE$9,'02_PROPERTIES'!$C$10:$I$10,0))</f>
        <v>0.4142802271075095</v>
      </c>
      <c r="AF57" s="32">
        <f>INDEX('02_PROPERTIES'!$C$10:$I$1048576,MATCH('03_CALCULATIONS'!$D57,'02_PROPERTIES'!$C$10:$C$1048576,0),MATCH('03_CALCULATIONS'!AF$9,'02_PROPERTIES'!$C$10:$I$10,0))</f>
        <v>1</v>
      </c>
      <c r="AH57" s="20">
        <f t="shared" si="0"/>
        <v>1594.5385362318843</v>
      </c>
      <c r="AI57" s="20">
        <f t="shared" si="1"/>
        <v>-1052.6542898550726</v>
      </c>
      <c r="AJ57" s="20">
        <f t="shared" si="2"/>
        <v>499.12879710144927</v>
      </c>
      <c r="AL57" s="20">
        <f t="shared" si="3"/>
        <v>1540.6052459938473</v>
      </c>
      <c r="AM57" s="20">
        <f t="shared" si="4"/>
        <v>-2522.2612883269903</v>
      </c>
      <c r="AN57" s="20">
        <f t="shared" si="5"/>
        <v>759.35557481844239</v>
      </c>
      <c r="AO57" s="20">
        <f t="shared" si="6"/>
        <v>-111.15023375735029</v>
      </c>
      <c r="AP57" s="20">
        <f t="shared" si="7"/>
        <v>-870.50580857579268</v>
      </c>
      <c r="AR57" s="20">
        <f t="shared" si="8"/>
        <v>1575.7818455421925</v>
      </c>
      <c r="AS57" s="20">
        <f t="shared" si="9"/>
        <v>-2557.4378878753355</v>
      </c>
      <c r="AT57" s="20">
        <f t="shared" si="10"/>
        <v>2168.7189785525234</v>
      </c>
    </row>
    <row r="58" spans="1:46" x14ac:dyDescent="0.3">
      <c r="A58" s="18">
        <v>202</v>
      </c>
      <c r="B58" s="20">
        <f>INDEX('01_FASTPPH'!$9:$1048576,MATCH($A58,'01_FASTPPH'!$A$9:$A$1048576,0),MATCH(B$9,'01_FASTPPH'!$8:$8,0))</f>
        <v>34</v>
      </c>
      <c r="C58" s="20">
        <f>INDEX('01_FASTPPH'!$9:$1048576,MATCH($A58,'01_FASTPPH'!$A$9:$A$1048576,0),MATCH(C$9,'01_FASTPPH'!$8:$8,0))</f>
        <v>1502047</v>
      </c>
      <c r="D58" s="20" t="str">
        <f>INDEX('01_FASTPPH'!$9:$1048576,MATCH($A58,'01_FASTPPH'!$A$9:$A$1048576,0),MATCH(D$9,'01_FASTPPH'!$8:$8,0))</f>
        <v>SkinRH</v>
      </c>
      <c r="E58" s="20">
        <f>INDEX('01_FASTPPH'!$9:$1048576,MATCH($A58,'01_FASTPPH'!$A$9:$A$1048576,0),MATCH(E$9,'01_FASTPPH'!$8:$8,0))</f>
        <v>2915020</v>
      </c>
      <c r="F58" s="20">
        <f>INDEX('01_FASTPPH'!$9:$1048576,MATCH($A58,'01_FASTPPH'!$A$9:$A$1048576,0),MATCH(F$9,'01_FASTPPH'!$8:$8,0))</f>
        <v>1915022</v>
      </c>
      <c r="G58" s="20">
        <f>INDEX('01_FASTPPH'!$9:$1048576,MATCH($A58,'01_FASTPPH'!$A$9:$A$1048576,0),MATCH(G$9,'01_FASTPPH'!$8:$8,0))</f>
        <v>3915020</v>
      </c>
      <c r="H58" s="20">
        <f>INDEX('01_FASTPPH'!$9:$1048576,MATCH($A58,'01_FASTPPH'!$A$9:$A$1048576,0),MATCH(H$9,'01_FASTPPH'!$8:$8,0))</f>
        <v>1915021</v>
      </c>
      <c r="I58" s="20">
        <f>INDEX('01_FASTPPH'!$9:$1048576,MATCH($A58,'01_FASTPPH'!$A$9:$A$1048576,0),MATCH(I$9,'01_FASTPPH'!$8:$8,0))</f>
        <v>57.914999999999999</v>
      </c>
      <c r="J58" s="20" t="str">
        <f>INDEX('01_FASTPPH'!$9:$1048576,MATCH($A58,'01_FASTPPH'!$A$9:$A$1048576,0),MATCH(J$9,'01_FASTPPH'!$8:$8,0))</f>
        <v xml:space="preserve">SUBCASE 102 = STLP ULT (INTACT) :STLP ULT (INTACT) </v>
      </c>
      <c r="K58" s="23">
        <f>INDEX('01_FASTPPH'!$9:$1048576,MATCH($A58,'01_FASTPPH'!$A$9:$A$1048576,0),MATCH(K$9,'01_FASTPPH'!$8:$8,0))</f>
        <v>-2506.17</v>
      </c>
      <c r="L58" s="20">
        <f>INDEX('01_FASTPPH'!$9:$1048576,MATCH($A58,'01_FASTPPH'!$A$9:$A$1048576,0),MATCH(L$9,'01_FASTPPH'!$8:$8,0))</f>
        <v>4164.91</v>
      </c>
      <c r="M58" s="20">
        <f>INDEX('01_FASTPPH'!$9:$1048576,MATCH($A58,'01_FASTPPH'!$A$9:$A$1048576,0),MATCH(M$9,'01_FASTPPH'!$8:$8,0))</f>
        <v>2077.58</v>
      </c>
      <c r="N58" s="24">
        <f>INDEX('01_FASTPPH'!$9:$1048576,MATCH($A58,'01_FASTPPH'!$A$9:$A$1048576,0),MATCH(N$9,'01_FASTPPH'!$8:$8,0))</f>
        <v>37566.199999999997</v>
      </c>
      <c r="O58" s="23">
        <f>INDEX('01_FASTPPH'!$9:$1048576,MATCH($A58,'01_FASTPPH'!$A$9:$A$1048576,0),MATCH(O$9,'01_FASTPPH'!$8:$8,0))</f>
        <v>1581.22</v>
      </c>
      <c r="P58" s="20">
        <f>INDEX('01_FASTPPH'!$9:$1048576,MATCH($A58,'01_FASTPPH'!$A$9:$A$1048576,0),MATCH(P$9,'01_FASTPPH'!$8:$8,0))</f>
        <v>1619.44</v>
      </c>
      <c r="Q58" s="20">
        <f>INDEX('01_FASTPPH'!$9:$1048576,MATCH($A58,'01_FASTPPH'!$A$9:$A$1048576,0),MATCH(Q$9,'01_FASTPPH'!$8:$8,0))</f>
        <v>-145.018</v>
      </c>
      <c r="R58" s="20">
        <f>INDEX('01_FASTPPH'!$9:$1048576,MATCH($A58,'01_FASTPPH'!$A$9:$A$1048576,0),MATCH(R$9,'01_FASTPPH'!$8:$8,0))</f>
        <v>-261.20800000000003</v>
      </c>
      <c r="S58" s="20">
        <f>INDEX('01_FASTPPH'!$9:$1048576,MATCH($A58,'01_FASTPPH'!$A$9:$A$1048576,0),MATCH(S$9,'01_FASTPPH'!$8:$8,0))</f>
        <v>318.23500000000001</v>
      </c>
      <c r="T58" s="24">
        <f>INDEX('01_FASTPPH'!$9:$1048576,MATCH($A58,'01_FASTPPH'!$A$9:$A$1048576,0),MATCH(T$9,'01_FASTPPH'!$8:$8,0))</f>
        <v>392.80099999999999</v>
      </c>
      <c r="U58" s="23">
        <f>INDEX('01_FASTPPH'!$9:$1048576,MATCH($A58,'01_FASTPPH'!$A$9:$A$1048576,0),MATCH(U$9,'01_FASTPPH'!$8:$8,0))</f>
        <v>-1862.19</v>
      </c>
      <c r="V58" s="20">
        <f>INDEX('01_FASTPPH'!$9:$1048576,MATCH($A58,'01_FASTPPH'!$A$9:$A$1048576,0),MATCH(V$9,'01_FASTPPH'!$8:$8,0))</f>
        <v>-818.37199999999996</v>
      </c>
      <c r="W58" s="24">
        <f>INDEX('01_FASTPPH'!$9:$1048576,MATCH($A58,'01_FASTPPH'!$A$9:$A$1048576,0),MATCH(W$9,'01_FASTPPH'!$8:$8,0))</f>
        <v>-27.9373</v>
      </c>
      <c r="X58" s="20">
        <f>INDEX('01_FASTPPH'!$9:$1048576,MATCH($A58,'01_FASTPPH'!$A$9:$A$1048576,0),MATCH(X$9,'01_FASTPPH'!$8:$8,0))</f>
        <v>0</v>
      </c>
      <c r="Y58" s="20">
        <f>INDEX('01_FASTPPH'!$9:$1048576,MATCH($A58,'01_FASTPPH'!$A$9:$A$1048576,0),MATCH(Y$9,'01_FASTPPH'!$8:$8,0))</f>
        <v>0</v>
      </c>
      <c r="AA58" s="32">
        <f>INDEX('02_PROPERTIES'!$C$10:$I$1048576,MATCH('03_CALCULATIONS'!$D58,'02_PROPERTIES'!$C$10:$C$1048576,0),MATCH('03_CALCULATIONS'!AA$9,'02_PROPERTIES'!$C$10:$I$10,0))</f>
        <v>16.559999999999999</v>
      </c>
      <c r="AB58" s="20">
        <f>INDEX('02_PROPERTIES'!$C$10:$I$1048576,MATCH('03_CALCULATIONS'!$D58,'02_PROPERTIES'!$C$10:$C$1048576,0),MATCH('03_CALCULATIONS'!AB$9,'02_PROPERTIES'!$C$10:$I$10,0))</f>
        <v>79593.867056640505</v>
      </c>
      <c r="AC58" s="20">
        <f>INDEX('02_PROPERTIES'!$C$10:$I$1048576,MATCH('03_CALCULATIONS'!$D58,'02_PROPERTIES'!$C$10:$C$1048576,0),MATCH('03_CALCULATIONS'!AC$9,'02_PROPERTIES'!$C$10:$I$10,0))</f>
        <v>41017.370743551612</v>
      </c>
      <c r="AD58" s="20">
        <f>INDEX('02_PROPERTIES'!$C$10:$I$1048576,MATCH('03_CALCULATIONS'!$D58,'02_PROPERTIES'!$C$10:$C$1048576,0),MATCH('03_CALCULATIONS'!AD$9,'02_PROPERTIES'!$C$10:$I$10,0))</f>
        <v>19846.188560278148</v>
      </c>
      <c r="AE58" s="32">
        <f>INDEX('02_PROPERTIES'!$C$10:$I$1048576,MATCH('03_CALCULATIONS'!$D58,'02_PROPERTIES'!$C$10:$C$1048576,0),MATCH('03_CALCULATIONS'!AE$9,'02_PROPERTIES'!$C$10:$I$10,0))</f>
        <v>0.4142802271075095</v>
      </c>
      <c r="AF58" s="32">
        <f>INDEX('02_PROPERTIES'!$C$10:$I$1048576,MATCH('03_CALCULATIONS'!$D58,'02_PROPERTIES'!$C$10:$C$1048576,0),MATCH('03_CALCULATIONS'!AF$9,'02_PROPERTIES'!$C$10:$I$10,0))</f>
        <v>1</v>
      </c>
      <c r="AH58" s="20">
        <f t="shared" si="0"/>
        <v>2255.9265217391303</v>
      </c>
      <c r="AI58" s="20">
        <f t="shared" si="1"/>
        <v>-441.52959420289858</v>
      </c>
      <c r="AJ58" s="20">
        <f t="shared" si="2"/>
        <v>328.35721014492754</v>
      </c>
      <c r="AL58" s="20">
        <f t="shared" si="3"/>
        <v>1850.3078666432755</v>
      </c>
      <c r="AM58" s="20">
        <f t="shared" si="4"/>
        <v>-2025.9405044590626</v>
      </c>
      <c r="AN58" s="20">
        <f t="shared" si="5"/>
        <v>499.55017523203048</v>
      </c>
      <c r="AO58" s="20">
        <f t="shared" si="6"/>
        <v>161.95876870812168</v>
      </c>
      <c r="AP58" s="20">
        <f t="shared" si="7"/>
        <v>-337.5914065239088</v>
      </c>
      <c r="AR58" s="20">
        <f t="shared" si="8"/>
        <v>1866.3364266603667</v>
      </c>
      <c r="AS58" s="20">
        <f t="shared" si="9"/>
        <v>-2041.969064476154</v>
      </c>
      <c r="AT58" s="20">
        <f t="shared" si="10"/>
        <v>2001.4683950022129</v>
      </c>
    </row>
    <row r="59" spans="1:46" x14ac:dyDescent="0.3">
      <c r="A59" s="18">
        <v>210</v>
      </c>
      <c r="B59" s="20">
        <f>INDEX('01_FASTPPH'!$9:$1048576,MATCH($A59,'01_FASTPPH'!$A$9:$A$1048576,0),MATCH(B$9,'01_FASTPPH'!$8:$8,0))</f>
        <v>35</v>
      </c>
      <c r="C59" s="20">
        <f>INDEX('01_FASTPPH'!$9:$1048576,MATCH($A59,'01_FASTPPH'!$A$9:$A$1048576,0),MATCH(C$9,'01_FASTPPH'!$8:$8,0))</f>
        <v>1502020</v>
      </c>
      <c r="D59" s="20" t="str">
        <f>INDEX('01_FASTPPH'!$9:$1048576,MATCH($A59,'01_FASTPPH'!$A$9:$A$1048576,0),MATCH(D$9,'01_FASTPPH'!$8:$8,0))</f>
        <v>SkinRH</v>
      </c>
      <c r="E59" s="20">
        <f>INDEX('01_FASTPPH'!$9:$1048576,MATCH($A59,'01_FASTPPH'!$A$9:$A$1048576,0),MATCH(E$9,'01_FASTPPH'!$8:$8,0))</f>
        <v>2916020</v>
      </c>
      <c r="F59" s="20">
        <f>INDEX('01_FASTPPH'!$9:$1048576,MATCH($A59,'01_FASTPPH'!$A$9:$A$1048576,0),MATCH(F$9,'01_FASTPPH'!$8:$8,0))</f>
        <v>1916022</v>
      </c>
      <c r="G59" s="20">
        <f>INDEX('01_FASTPPH'!$9:$1048576,MATCH($A59,'01_FASTPPH'!$A$9:$A$1048576,0),MATCH(G$9,'01_FASTPPH'!$8:$8,0))</f>
        <v>3916020</v>
      </c>
      <c r="H59" s="20">
        <f>INDEX('01_FASTPPH'!$9:$1048576,MATCH($A59,'01_FASTPPH'!$A$9:$A$1048576,0),MATCH(H$9,'01_FASTPPH'!$8:$8,0))</f>
        <v>1916021</v>
      </c>
      <c r="I59" s="20">
        <f>INDEX('01_FASTPPH'!$9:$1048576,MATCH($A59,'01_FASTPPH'!$A$9:$A$1048576,0),MATCH(I$9,'01_FASTPPH'!$8:$8,0))</f>
        <v>57.914999999999999</v>
      </c>
      <c r="J59" s="20" t="str">
        <f>INDEX('01_FASTPPH'!$9:$1048576,MATCH($A59,'01_FASTPPH'!$A$9:$A$1048576,0),MATCH(J$9,'01_FASTPPH'!$8:$8,0))</f>
        <v xml:space="preserve">SUBCASE 102 = STLP ULT (INTACT) :STLP ULT (INTACT) </v>
      </c>
      <c r="K59" s="23">
        <f>INDEX('01_FASTPPH'!$9:$1048576,MATCH($A59,'01_FASTPPH'!$A$9:$A$1048576,0),MATCH(K$9,'01_FASTPPH'!$8:$8,0))</f>
        <v>5658.68</v>
      </c>
      <c r="L59" s="20">
        <f>INDEX('01_FASTPPH'!$9:$1048576,MATCH($A59,'01_FASTPPH'!$A$9:$A$1048576,0),MATCH(L$9,'01_FASTPPH'!$8:$8,0))</f>
        <v>-2830.1</v>
      </c>
      <c r="M59" s="20">
        <f>INDEX('01_FASTPPH'!$9:$1048576,MATCH($A59,'01_FASTPPH'!$A$9:$A$1048576,0),MATCH(M$9,'01_FASTPPH'!$8:$8,0))</f>
        <v>6925.04</v>
      </c>
      <c r="N59" s="24">
        <f>INDEX('01_FASTPPH'!$9:$1048576,MATCH($A59,'01_FASTPPH'!$A$9:$A$1048576,0),MATCH(N$9,'01_FASTPPH'!$8:$8,0))</f>
        <v>36287.9</v>
      </c>
      <c r="O59" s="23">
        <f>INDEX('01_FASTPPH'!$9:$1048576,MATCH($A59,'01_FASTPPH'!$A$9:$A$1048576,0),MATCH(O$9,'01_FASTPPH'!$8:$8,0))</f>
        <v>2197.54</v>
      </c>
      <c r="P59" s="20">
        <f>INDEX('01_FASTPPH'!$9:$1048576,MATCH($A59,'01_FASTPPH'!$A$9:$A$1048576,0),MATCH(P$9,'01_FASTPPH'!$8:$8,0))</f>
        <v>2409.3000000000002</v>
      </c>
      <c r="Q59" s="20">
        <f>INDEX('01_FASTPPH'!$9:$1048576,MATCH($A59,'01_FASTPPH'!$A$9:$A$1048576,0),MATCH(Q$9,'01_FASTPPH'!$8:$8,0))</f>
        <v>-86.382999999999996</v>
      </c>
      <c r="R59" s="20">
        <f>INDEX('01_FASTPPH'!$9:$1048576,MATCH($A59,'01_FASTPPH'!$A$9:$A$1048576,0),MATCH(R$9,'01_FASTPPH'!$8:$8,0))</f>
        <v>-132.488</v>
      </c>
      <c r="S59" s="20">
        <f>INDEX('01_FASTPPH'!$9:$1048576,MATCH($A59,'01_FASTPPH'!$A$9:$A$1048576,0),MATCH(S$9,'01_FASTPPH'!$8:$8,0))</f>
        <v>154.56200000000001</v>
      </c>
      <c r="T59" s="24">
        <f>INDEX('01_FASTPPH'!$9:$1048576,MATCH($A59,'01_FASTPPH'!$A$9:$A$1048576,0),MATCH(T$9,'01_FASTPPH'!$8:$8,0))</f>
        <v>279.46300000000002</v>
      </c>
      <c r="U59" s="23">
        <f>INDEX('01_FASTPPH'!$9:$1048576,MATCH($A59,'01_FASTPPH'!$A$9:$A$1048576,0),MATCH(U$9,'01_FASTPPH'!$8:$8,0))</f>
        <v>-90.9696</v>
      </c>
      <c r="V59" s="20">
        <f>INDEX('01_FASTPPH'!$9:$1048576,MATCH($A59,'01_FASTPPH'!$A$9:$A$1048576,0),MATCH(V$9,'01_FASTPPH'!$8:$8,0))</f>
        <v>1645.31</v>
      </c>
      <c r="W59" s="24">
        <f>INDEX('01_FASTPPH'!$9:$1048576,MATCH($A59,'01_FASTPPH'!$A$9:$A$1048576,0),MATCH(W$9,'01_FASTPPH'!$8:$8,0))</f>
        <v>-302.70600000000002</v>
      </c>
      <c r="X59" s="20">
        <f>INDEX('01_FASTPPH'!$9:$1048576,MATCH($A59,'01_FASTPPH'!$A$9:$A$1048576,0),MATCH(X$9,'01_FASTPPH'!$8:$8,0))</f>
        <v>0</v>
      </c>
      <c r="Y59" s="20">
        <f>INDEX('01_FASTPPH'!$9:$1048576,MATCH($A59,'01_FASTPPH'!$A$9:$A$1048576,0),MATCH(Y$9,'01_FASTPPH'!$8:$8,0))</f>
        <v>0</v>
      </c>
      <c r="AA59" s="32">
        <f>INDEX('02_PROPERTIES'!$C$10:$I$1048576,MATCH('03_CALCULATIONS'!$D59,'02_PROPERTIES'!$C$10:$C$1048576,0),MATCH('03_CALCULATIONS'!AA$9,'02_PROPERTIES'!$C$10:$I$10,0))</f>
        <v>16.559999999999999</v>
      </c>
      <c r="AB59" s="20">
        <f>INDEX('02_PROPERTIES'!$C$10:$I$1048576,MATCH('03_CALCULATIONS'!$D59,'02_PROPERTIES'!$C$10:$C$1048576,0),MATCH('03_CALCULATIONS'!AB$9,'02_PROPERTIES'!$C$10:$I$10,0))</f>
        <v>79593.867056640505</v>
      </c>
      <c r="AC59" s="20">
        <f>INDEX('02_PROPERTIES'!$C$10:$I$1048576,MATCH('03_CALCULATIONS'!$D59,'02_PROPERTIES'!$C$10:$C$1048576,0),MATCH('03_CALCULATIONS'!AC$9,'02_PROPERTIES'!$C$10:$I$10,0))</f>
        <v>41017.370743551612</v>
      </c>
      <c r="AD59" s="20">
        <f>INDEX('02_PROPERTIES'!$C$10:$I$1048576,MATCH('03_CALCULATIONS'!$D59,'02_PROPERTIES'!$C$10:$C$1048576,0),MATCH('03_CALCULATIONS'!AD$9,'02_PROPERTIES'!$C$10:$I$10,0))</f>
        <v>19846.188560278148</v>
      </c>
      <c r="AE59" s="32">
        <f>INDEX('02_PROPERTIES'!$C$10:$I$1048576,MATCH('03_CALCULATIONS'!$D59,'02_PROPERTIES'!$C$10:$C$1048576,0),MATCH('03_CALCULATIONS'!AE$9,'02_PROPERTIES'!$C$10:$I$10,0))</f>
        <v>0.4142802271075095</v>
      </c>
      <c r="AF59" s="32">
        <f>INDEX('02_PROPERTIES'!$C$10:$I$1048576,MATCH('03_CALCULATIONS'!$D59,'02_PROPERTIES'!$C$10:$C$1048576,0),MATCH('03_CALCULATIONS'!AF$9,'02_PROPERTIES'!$C$10:$I$10,0))</f>
        <v>1</v>
      </c>
      <c r="AH59" s="20">
        <f t="shared" si="0"/>
        <v>2230.5</v>
      </c>
      <c r="AI59" s="20">
        <f t="shared" si="1"/>
        <v>-682.50981159420303</v>
      </c>
      <c r="AJ59" s="20">
        <f t="shared" si="2"/>
        <v>264.23808695652178</v>
      </c>
      <c r="AL59" s="20">
        <f t="shared" si="3"/>
        <v>1906.7590163501204</v>
      </c>
      <c r="AM59" s="20">
        <f t="shared" si="4"/>
        <v>-2365.207793735869</v>
      </c>
      <c r="AN59" s="20">
        <f t="shared" si="5"/>
        <v>402.0017790498519</v>
      </c>
      <c r="AO59" s="20">
        <f t="shared" si="6"/>
        <v>-28.223499167948347</v>
      </c>
      <c r="AP59" s="20">
        <f t="shared" si="7"/>
        <v>-430.22527821780022</v>
      </c>
      <c r="AR59" s="20">
        <f t="shared" si="8"/>
        <v>1916.1954919386246</v>
      </c>
      <c r="AS59" s="20">
        <f t="shared" si="9"/>
        <v>-2374.6442693243735</v>
      </c>
      <c r="AT59" s="20">
        <f t="shared" si="10"/>
        <v>2173.4835028079488</v>
      </c>
    </row>
    <row r="60" spans="1:46" x14ac:dyDescent="0.3">
      <c r="A60" s="18">
        <v>272</v>
      </c>
      <c r="B60" s="20">
        <f>INDEX('01_FASTPPH'!$9:$1048576,MATCH($A60,'01_FASTPPH'!$A$9:$A$1048576,0),MATCH(B$9,'01_FASTPPH'!$8:$8,0))</f>
        <v>46</v>
      </c>
      <c r="C60" s="20">
        <f>INDEX('01_FASTPPH'!$9:$1048576,MATCH($A60,'01_FASTPPH'!$A$9:$A$1048576,0),MATCH(C$9,'01_FASTPPH'!$8:$8,0))</f>
        <v>1502143</v>
      </c>
      <c r="D60" s="20" t="str">
        <f>INDEX('01_FASTPPH'!$9:$1048576,MATCH($A60,'01_FASTPPH'!$A$9:$A$1048576,0),MATCH(D$9,'01_FASTPPH'!$8:$8,0))</f>
        <v>SkinRH</v>
      </c>
      <c r="E60" s="20">
        <f>INDEX('01_FASTPPH'!$9:$1048576,MATCH($A60,'01_FASTPPH'!$A$9:$A$1048576,0),MATCH(E$9,'01_FASTPPH'!$8:$8,0))</f>
        <v>3917020</v>
      </c>
      <c r="F60" s="20">
        <f>INDEX('01_FASTPPH'!$9:$1048576,MATCH($A60,'01_FASTPPH'!$A$9:$A$1048576,0),MATCH(F$9,'01_FASTPPH'!$8:$8,0))</f>
        <v>1917021</v>
      </c>
      <c r="G60" s="20">
        <f>INDEX('01_FASTPPH'!$9:$1048576,MATCH($A60,'01_FASTPPH'!$A$9:$A$1048576,0),MATCH(G$9,'01_FASTPPH'!$8:$8,0))</f>
        <v>0</v>
      </c>
      <c r="H60" s="20">
        <f>INDEX('01_FASTPPH'!$9:$1048576,MATCH($A60,'01_FASTPPH'!$A$9:$A$1048576,0),MATCH(H$9,'01_FASTPPH'!$8:$8,0))</f>
        <v>0</v>
      </c>
      <c r="I60" s="20">
        <f>INDEX('01_FASTPPH'!$9:$1048576,MATCH($A60,'01_FASTPPH'!$A$9:$A$1048576,0),MATCH(I$9,'01_FASTPPH'!$8:$8,0))</f>
        <v>57.914999999999999</v>
      </c>
      <c r="J60" s="20" t="str">
        <f>INDEX('01_FASTPPH'!$9:$1048576,MATCH($A60,'01_FASTPPH'!$A$9:$A$1048576,0),MATCH(J$9,'01_FASTPPH'!$8:$8,0))</f>
        <v xml:space="preserve">SUBCASE 102 = STLP ULT (INTACT) :STLP ULT (INTACT) </v>
      </c>
      <c r="K60" s="23">
        <f>INDEX('01_FASTPPH'!$9:$1048576,MATCH($A60,'01_FASTPPH'!$A$9:$A$1048576,0),MATCH(K$9,'01_FASTPPH'!$8:$8,0))</f>
        <v>8915.7000000000007</v>
      </c>
      <c r="L60" s="20">
        <f>INDEX('01_FASTPPH'!$9:$1048576,MATCH($A60,'01_FASTPPH'!$A$9:$A$1048576,0),MATCH(L$9,'01_FASTPPH'!$8:$8,0))</f>
        <v>-358.89699999999999</v>
      </c>
      <c r="M60" s="20">
        <f>INDEX('01_FASTPPH'!$9:$1048576,MATCH($A60,'01_FASTPPH'!$A$9:$A$1048576,0),MATCH(M$9,'01_FASTPPH'!$8:$8,0))</f>
        <v>7186.33</v>
      </c>
      <c r="N60" s="24">
        <f>INDEX('01_FASTPPH'!$9:$1048576,MATCH($A60,'01_FASTPPH'!$A$9:$A$1048576,0),MATCH(N$9,'01_FASTPPH'!$8:$8,0))</f>
        <v>0</v>
      </c>
      <c r="O60" s="23">
        <f>INDEX('01_FASTPPH'!$9:$1048576,MATCH($A60,'01_FASTPPH'!$A$9:$A$1048576,0),MATCH(O$9,'01_FASTPPH'!$8:$8,0))</f>
        <v>2559.64</v>
      </c>
      <c r="P60" s="20">
        <f>INDEX('01_FASTPPH'!$9:$1048576,MATCH($A60,'01_FASTPPH'!$A$9:$A$1048576,0),MATCH(P$9,'01_FASTPPH'!$8:$8,0))</f>
        <v>2905.93</v>
      </c>
      <c r="Q60" s="20">
        <f>INDEX('01_FASTPPH'!$9:$1048576,MATCH($A60,'01_FASTPPH'!$A$9:$A$1048576,0),MATCH(Q$9,'01_FASTPPH'!$8:$8,0))</f>
        <v>-25.803799999999999</v>
      </c>
      <c r="R60" s="20">
        <f>INDEX('01_FASTPPH'!$9:$1048576,MATCH($A60,'01_FASTPPH'!$A$9:$A$1048576,0),MATCH(R$9,'01_FASTPPH'!$8:$8,0))</f>
        <v>-66.249700000000004</v>
      </c>
      <c r="S60" s="20">
        <f>INDEX('01_FASTPPH'!$9:$1048576,MATCH($A60,'01_FASTPPH'!$A$9:$A$1048576,0),MATCH(S$9,'01_FASTPPH'!$8:$8,0))</f>
        <v>76.311599999999999</v>
      </c>
      <c r="T60" s="24">
        <f>INDEX('01_FASTPPH'!$9:$1048576,MATCH($A60,'01_FASTPPH'!$A$9:$A$1048576,0),MATCH(T$9,'01_FASTPPH'!$8:$8,0))</f>
        <v>173.15</v>
      </c>
      <c r="U60" s="23">
        <f>INDEX('01_FASTPPH'!$9:$1048576,MATCH($A60,'01_FASTPPH'!$A$9:$A$1048576,0),MATCH(U$9,'01_FASTPPH'!$8:$8,0))</f>
        <v>-437.5</v>
      </c>
      <c r="V60" s="20">
        <f>INDEX('01_FASTPPH'!$9:$1048576,MATCH($A60,'01_FASTPPH'!$A$9:$A$1048576,0),MATCH(V$9,'01_FASTPPH'!$8:$8,0))</f>
        <v>1183.53</v>
      </c>
      <c r="W60" s="24">
        <f>INDEX('01_FASTPPH'!$9:$1048576,MATCH($A60,'01_FASTPPH'!$A$9:$A$1048576,0),MATCH(W$9,'01_FASTPPH'!$8:$8,0))</f>
        <v>-778.01900000000001</v>
      </c>
      <c r="X60" s="20">
        <f>INDEX('01_FASTPPH'!$9:$1048576,MATCH($A60,'01_FASTPPH'!$A$9:$A$1048576,0),MATCH(X$9,'01_FASTPPH'!$8:$8,0))</f>
        <v>0</v>
      </c>
      <c r="Y60" s="20">
        <f>INDEX('01_FASTPPH'!$9:$1048576,MATCH($A60,'01_FASTPPH'!$A$9:$A$1048576,0),MATCH(Y$9,'01_FASTPPH'!$8:$8,0))</f>
        <v>0</v>
      </c>
      <c r="AA60" s="32">
        <f>INDEX('02_PROPERTIES'!$C$10:$I$1048576,MATCH('03_CALCULATIONS'!$D60,'02_PROPERTIES'!$C$10:$C$1048576,0),MATCH('03_CALCULATIONS'!AA$9,'02_PROPERTIES'!$C$10:$I$10,0))</f>
        <v>16.559999999999999</v>
      </c>
      <c r="AB60" s="20">
        <f>INDEX('02_PROPERTIES'!$C$10:$I$1048576,MATCH('03_CALCULATIONS'!$D60,'02_PROPERTIES'!$C$10:$C$1048576,0),MATCH('03_CALCULATIONS'!AB$9,'02_PROPERTIES'!$C$10:$I$10,0))</f>
        <v>79593.867056640505</v>
      </c>
      <c r="AC60" s="20">
        <f>INDEX('02_PROPERTIES'!$C$10:$I$1048576,MATCH('03_CALCULATIONS'!$D60,'02_PROPERTIES'!$C$10:$C$1048576,0),MATCH('03_CALCULATIONS'!AC$9,'02_PROPERTIES'!$C$10:$I$10,0))</f>
        <v>41017.370743551612</v>
      </c>
      <c r="AD60" s="20">
        <f>INDEX('02_PROPERTIES'!$C$10:$I$1048576,MATCH('03_CALCULATIONS'!$D60,'02_PROPERTIES'!$C$10:$C$1048576,0),MATCH('03_CALCULATIONS'!AD$9,'02_PROPERTIES'!$C$10:$I$10,0))</f>
        <v>19846.188560278148</v>
      </c>
      <c r="AE60" s="32">
        <f>INDEX('02_PROPERTIES'!$C$10:$I$1048576,MATCH('03_CALCULATIONS'!$D60,'02_PROPERTIES'!$C$10:$C$1048576,0),MATCH('03_CALCULATIONS'!AE$9,'02_PROPERTIES'!$C$10:$I$10,0))</f>
        <v>0.4142802271075095</v>
      </c>
      <c r="AF60" s="32">
        <f>INDEX('02_PROPERTIES'!$C$10:$I$1048576,MATCH('03_CALCULATIONS'!$D60,'02_PROPERTIES'!$C$10:$C$1048576,0),MATCH('03_CALCULATIONS'!AF$9,'02_PROPERTIES'!$C$10:$I$10,0))</f>
        <v>1</v>
      </c>
      <c r="AH60" s="20">
        <f t="shared" si="0"/>
        <v>2718.1544927536229</v>
      </c>
      <c r="AI60" s="20">
        <f t="shared" si="1"/>
        <v>-454.6190173913044</v>
      </c>
      <c r="AJ60" s="20">
        <f t="shared" si="2"/>
        <v>358.20254202898548</v>
      </c>
      <c r="AL60" s="20">
        <f t="shared" si="3"/>
        <v>2205.106235066839</v>
      </c>
      <c r="AM60" s="20">
        <f t="shared" si="4"/>
        <v>-2327.1286338997247</v>
      </c>
      <c r="AN60" s="20">
        <f t="shared" si="5"/>
        <v>544.95572842807189</v>
      </c>
      <c r="AO60" s="20">
        <f t="shared" si="6"/>
        <v>211.46666479759307</v>
      </c>
      <c r="AP60" s="20">
        <f t="shared" si="7"/>
        <v>-333.48906363047882</v>
      </c>
      <c r="AR60" s="20">
        <f t="shared" si="8"/>
        <v>2221.428813673876</v>
      </c>
      <c r="AS60" s="20">
        <f t="shared" si="9"/>
        <v>-2343.4512125067613</v>
      </c>
      <c r="AT60" s="20">
        <f t="shared" si="10"/>
        <v>2330.7219853117749</v>
      </c>
    </row>
    <row r="61" spans="1:46" x14ac:dyDescent="0.3">
      <c r="A61" s="18">
        <v>24</v>
      </c>
      <c r="B61" s="20">
        <f>INDEX('01_FASTPPH'!$9:$1048576,MATCH($A61,'01_FASTPPH'!$A$9:$A$1048576,0),MATCH(B$9,'01_FASTPPH'!$8:$8,0))</f>
        <v>4</v>
      </c>
      <c r="C61" s="20">
        <f>INDEX('01_FASTPPH'!$9:$1048576,MATCH($A61,'01_FASTPPH'!$A$9:$A$1048576,0),MATCH(C$9,'01_FASTPPH'!$8:$8,0))</f>
        <v>1100882</v>
      </c>
      <c r="D61" s="20" t="str">
        <f>INDEX('01_FASTPPH'!$9:$1048576,MATCH($A61,'01_FASTPPH'!$A$9:$A$1048576,0),MATCH(D$9,'01_FASTPPH'!$8:$8,0))</f>
        <v>SkinLH</v>
      </c>
      <c r="E61" s="20">
        <f>INDEX('01_FASTPPH'!$9:$1048576,MATCH($A61,'01_FASTPPH'!$A$9:$A$1048576,0),MATCH(E$9,'01_FASTPPH'!$8:$8,0))</f>
        <v>2901010</v>
      </c>
      <c r="F61" s="20">
        <f>INDEX('01_FASTPPH'!$9:$1048576,MATCH($A61,'01_FASTPPH'!$A$9:$A$1048576,0),MATCH(F$9,'01_FASTPPH'!$8:$8,0))</f>
        <v>1901012</v>
      </c>
      <c r="G61" s="20">
        <f>INDEX('01_FASTPPH'!$9:$1048576,MATCH($A61,'01_FASTPPH'!$A$9:$A$1048576,0),MATCH(G$9,'01_FASTPPH'!$8:$8,0))</f>
        <v>3901010</v>
      </c>
      <c r="H61" s="20">
        <f>INDEX('01_FASTPPH'!$9:$1048576,MATCH($A61,'01_FASTPPH'!$A$9:$A$1048576,0),MATCH(H$9,'01_FASTPPH'!$8:$8,0))</f>
        <v>1901013</v>
      </c>
      <c r="I61" s="20">
        <f>INDEX('01_FASTPPH'!$9:$1048576,MATCH($A61,'01_FASTPPH'!$A$9:$A$1048576,0),MATCH(I$9,'01_FASTPPH'!$8:$8,0))</f>
        <v>57.914999999999999</v>
      </c>
      <c r="J61" s="20" t="str">
        <f>INDEX('01_FASTPPH'!$9:$1048576,MATCH($A61,'01_FASTPPH'!$A$9:$A$1048576,0),MATCH(J$9,'01_FASTPPH'!$8:$8,0))</f>
        <v xml:space="preserve">SUBCASE 102 = STLP ULT (INTACT) :STLP ULT (INTACT) </v>
      </c>
      <c r="K61" s="23">
        <f>INDEX('01_FASTPPH'!$9:$1048576,MATCH($A61,'01_FASTPPH'!$A$9:$A$1048576,0),MATCH(K$9,'01_FASTPPH'!$8:$8,0))</f>
        <v>304.13799999999998</v>
      </c>
      <c r="L61" s="20">
        <f>INDEX('01_FASTPPH'!$9:$1048576,MATCH($A61,'01_FASTPPH'!$A$9:$A$1048576,0),MATCH(L$9,'01_FASTPPH'!$8:$8,0))</f>
        <v>425.20699999999999</v>
      </c>
      <c r="M61" s="20">
        <f>INDEX('01_FASTPPH'!$9:$1048576,MATCH($A61,'01_FASTPPH'!$A$9:$A$1048576,0),MATCH(M$9,'01_FASTPPH'!$8:$8,0))</f>
        <v>-564.59299999999996</v>
      </c>
      <c r="N61" s="24">
        <f>INDEX('01_FASTPPH'!$9:$1048576,MATCH($A61,'01_FASTPPH'!$A$9:$A$1048576,0),MATCH(N$9,'01_FASTPPH'!$8:$8,0))</f>
        <v>0</v>
      </c>
      <c r="O61" s="23">
        <f>INDEX('01_FASTPPH'!$9:$1048576,MATCH($A61,'01_FASTPPH'!$A$9:$A$1048576,0),MATCH(O$9,'01_FASTPPH'!$8:$8,0))</f>
        <v>227.732</v>
      </c>
      <c r="P61" s="20">
        <f>INDEX('01_FASTPPH'!$9:$1048576,MATCH($A61,'01_FASTPPH'!$A$9:$A$1048576,0),MATCH(P$9,'01_FASTPPH'!$8:$8,0))</f>
        <v>231.96100000000001</v>
      </c>
      <c r="Q61" s="20">
        <f>INDEX('01_FASTPPH'!$9:$1048576,MATCH($A61,'01_FASTPPH'!$A$9:$A$1048576,0),MATCH(Q$9,'01_FASTPPH'!$8:$8,0))</f>
        <v>250.74799999999999</v>
      </c>
      <c r="R61" s="20">
        <f>INDEX('01_FASTPPH'!$9:$1048576,MATCH($A61,'01_FASTPPH'!$A$9:$A$1048576,0),MATCH(R$9,'01_FASTPPH'!$8:$8,0))</f>
        <v>494.24400000000003</v>
      </c>
      <c r="S61" s="20">
        <f>INDEX('01_FASTPPH'!$9:$1048576,MATCH($A61,'01_FASTPPH'!$A$9:$A$1048576,0),MATCH(S$9,'01_FASTPPH'!$8:$8,0))</f>
        <v>277.98899999999998</v>
      </c>
      <c r="T61" s="24">
        <f>INDEX('01_FASTPPH'!$9:$1048576,MATCH($A61,'01_FASTPPH'!$A$9:$A$1048576,0),MATCH(T$9,'01_FASTPPH'!$8:$8,0))</f>
        <v>542.84500000000003</v>
      </c>
      <c r="U61" s="23">
        <f>INDEX('01_FASTPPH'!$9:$1048576,MATCH($A61,'01_FASTPPH'!$A$9:$A$1048576,0),MATCH(U$9,'01_FASTPPH'!$8:$8,0))</f>
        <v>5352.27</v>
      </c>
      <c r="V61" s="20">
        <f>INDEX('01_FASTPPH'!$9:$1048576,MATCH($A61,'01_FASTPPH'!$A$9:$A$1048576,0),MATCH(V$9,'01_FASTPPH'!$8:$8,0))</f>
        <v>1442.15</v>
      </c>
      <c r="W61" s="24">
        <f>INDEX('01_FASTPPH'!$9:$1048576,MATCH($A61,'01_FASTPPH'!$A$9:$A$1048576,0),MATCH(W$9,'01_FASTPPH'!$8:$8,0))</f>
        <v>1447.3</v>
      </c>
      <c r="X61" s="20">
        <f>INDEX('01_FASTPPH'!$9:$1048576,MATCH($A61,'01_FASTPPH'!$A$9:$A$1048576,0),MATCH(X$9,'01_FASTPPH'!$8:$8,0))</f>
        <v>0</v>
      </c>
      <c r="Y61" s="20">
        <f>INDEX('01_FASTPPH'!$9:$1048576,MATCH($A61,'01_FASTPPH'!$A$9:$A$1048576,0),MATCH(Y$9,'01_FASTPPH'!$8:$8,0))</f>
        <v>0</v>
      </c>
      <c r="AA61" s="32">
        <f>INDEX('02_PROPERTIES'!$C$10:$I$1048576,MATCH('03_CALCULATIONS'!$D61,'02_PROPERTIES'!$C$10:$C$1048576,0),MATCH('03_CALCULATIONS'!AA$9,'02_PROPERTIES'!$C$10:$I$10,0))</f>
        <v>16.559999999999999</v>
      </c>
      <c r="AB61" s="20">
        <f>INDEX('02_PROPERTIES'!$C$10:$I$1048576,MATCH('03_CALCULATIONS'!$D61,'02_PROPERTIES'!$C$10:$C$1048576,0),MATCH('03_CALCULATIONS'!AB$9,'02_PROPERTIES'!$C$10:$I$10,0))</f>
        <v>79593.867056640505</v>
      </c>
      <c r="AC61" s="20">
        <f>INDEX('02_PROPERTIES'!$C$10:$I$1048576,MATCH('03_CALCULATIONS'!$D61,'02_PROPERTIES'!$C$10:$C$1048576,0),MATCH('03_CALCULATIONS'!AC$9,'02_PROPERTIES'!$C$10:$I$10,0))</f>
        <v>41017.370743551612</v>
      </c>
      <c r="AD61" s="20">
        <f>INDEX('02_PROPERTIES'!$C$10:$I$1048576,MATCH('03_CALCULATIONS'!$D61,'02_PROPERTIES'!$C$10:$C$1048576,0),MATCH('03_CALCULATIONS'!AD$9,'02_PROPERTIES'!$C$10:$I$10,0))</f>
        <v>19846.188560278148</v>
      </c>
      <c r="AE61" s="32">
        <f>INDEX('02_PROPERTIES'!$C$10:$I$1048576,MATCH('03_CALCULATIONS'!$D61,'02_PROPERTIES'!$C$10:$C$1048576,0),MATCH('03_CALCULATIONS'!AE$9,'02_PROPERTIES'!$C$10:$I$10,0))</f>
        <v>0.4142802271075095</v>
      </c>
      <c r="AF61" s="32">
        <f>INDEX('02_PROPERTIES'!$C$10:$I$1048576,MATCH('03_CALCULATIONS'!$D61,'02_PROPERTIES'!$C$10:$C$1048576,0),MATCH('03_CALCULATIONS'!AF$9,'02_PROPERTIES'!$C$10:$I$10,0))</f>
        <v>1</v>
      </c>
      <c r="AH61" s="20">
        <f t="shared" si="0"/>
        <v>2166.9602608695654</v>
      </c>
      <c r="AI61" s="20">
        <f t="shared" si="1"/>
        <v>773.26611594202905</v>
      </c>
      <c r="AJ61" s="20">
        <f t="shared" si="2"/>
        <v>802.37305797101453</v>
      </c>
      <c r="AL61" s="20">
        <f t="shared" si="3"/>
        <v>1400.9917382988897</v>
      </c>
      <c r="AM61" s="20">
        <f t="shared" si="4"/>
        <v>-183.23607202880808</v>
      </c>
      <c r="AN61" s="20">
        <f t="shared" si="5"/>
        <v>1220.6998638280772</v>
      </c>
      <c r="AO61" s="20">
        <f t="shared" si="6"/>
        <v>1219.2277650490794</v>
      </c>
      <c r="AP61" s="20">
        <f t="shared" si="7"/>
        <v>-1.4720987789978608</v>
      </c>
      <c r="AR61" s="20">
        <f t="shared" si="8"/>
        <v>1608.8635721040496</v>
      </c>
      <c r="AS61" s="20">
        <f t="shared" si="9"/>
        <v>-391.10790583396806</v>
      </c>
      <c r="AT61" s="20">
        <f t="shared" si="10"/>
        <v>1455.1812932771675</v>
      </c>
    </row>
    <row r="62" spans="1:46" x14ac:dyDescent="0.3">
      <c r="A62" s="18">
        <v>46</v>
      </c>
      <c r="B62" s="20">
        <f>INDEX('01_FASTPPH'!$9:$1048576,MATCH($A62,'01_FASTPPH'!$A$9:$A$1048576,0),MATCH(B$9,'01_FASTPPH'!$8:$8,0))</f>
        <v>7</v>
      </c>
      <c r="C62" s="20">
        <f>INDEX('01_FASTPPH'!$9:$1048576,MATCH($A62,'01_FASTPPH'!$A$9:$A$1048576,0),MATCH(C$9,'01_FASTPPH'!$8:$8,0))</f>
        <v>1107611</v>
      </c>
      <c r="D62" s="20" t="str">
        <f>INDEX('01_FASTPPH'!$9:$1048576,MATCH($A62,'01_FASTPPH'!$A$9:$A$1048576,0),MATCH(D$9,'01_FASTPPH'!$8:$8,0))</f>
        <v>SkinLH</v>
      </c>
      <c r="E62" s="20">
        <f>INDEX('01_FASTPPH'!$9:$1048576,MATCH($A62,'01_FASTPPH'!$A$9:$A$1048576,0),MATCH(E$9,'01_FASTPPH'!$8:$8,0))</f>
        <v>2902010</v>
      </c>
      <c r="F62" s="20">
        <f>INDEX('01_FASTPPH'!$9:$1048576,MATCH($A62,'01_FASTPPH'!$A$9:$A$1048576,0),MATCH(F$9,'01_FASTPPH'!$8:$8,0))</f>
        <v>1902012</v>
      </c>
      <c r="G62" s="20">
        <f>INDEX('01_FASTPPH'!$9:$1048576,MATCH($A62,'01_FASTPPH'!$A$9:$A$1048576,0),MATCH(G$9,'01_FASTPPH'!$8:$8,0))</f>
        <v>3902010</v>
      </c>
      <c r="H62" s="20">
        <f>INDEX('01_FASTPPH'!$9:$1048576,MATCH($A62,'01_FASTPPH'!$A$9:$A$1048576,0),MATCH(H$9,'01_FASTPPH'!$8:$8,0))</f>
        <v>1902011</v>
      </c>
      <c r="I62" s="20">
        <f>INDEX('01_FASTPPH'!$9:$1048576,MATCH($A62,'01_FASTPPH'!$A$9:$A$1048576,0),MATCH(I$9,'01_FASTPPH'!$8:$8,0))</f>
        <v>57.914999999999999</v>
      </c>
      <c r="J62" s="20" t="str">
        <f>INDEX('01_FASTPPH'!$9:$1048576,MATCH($A62,'01_FASTPPH'!$A$9:$A$1048576,0),MATCH(J$9,'01_FASTPPH'!$8:$8,0))</f>
        <v xml:space="preserve">SUBCASE 102 = STLP ULT (INTACT) :STLP ULT (INTACT) </v>
      </c>
      <c r="K62" s="23">
        <f>INDEX('01_FASTPPH'!$9:$1048576,MATCH($A62,'01_FASTPPH'!$A$9:$A$1048576,0),MATCH(K$9,'01_FASTPPH'!$8:$8,0))</f>
        <v>-7251.47</v>
      </c>
      <c r="L62" s="20">
        <f>INDEX('01_FASTPPH'!$9:$1048576,MATCH($A62,'01_FASTPPH'!$A$9:$A$1048576,0),MATCH(L$9,'01_FASTPPH'!$8:$8,0))</f>
        <v>1206.79</v>
      </c>
      <c r="M62" s="20">
        <f>INDEX('01_FASTPPH'!$9:$1048576,MATCH($A62,'01_FASTPPH'!$A$9:$A$1048576,0),MATCH(M$9,'01_FASTPPH'!$8:$8,0))</f>
        <v>14477.2</v>
      </c>
      <c r="N62" s="24">
        <f>INDEX('01_FASTPPH'!$9:$1048576,MATCH($A62,'01_FASTPPH'!$A$9:$A$1048576,0),MATCH(N$9,'01_FASTPPH'!$8:$8,0))</f>
        <v>68260.800000000003</v>
      </c>
      <c r="O62" s="23">
        <f>INDEX('01_FASTPPH'!$9:$1048576,MATCH($A62,'01_FASTPPH'!$A$9:$A$1048576,0),MATCH(O$9,'01_FASTPPH'!$8:$8,0))</f>
        <v>572.91999999999996</v>
      </c>
      <c r="P62" s="20">
        <f>INDEX('01_FASTPPH'!$9:$1048576,MATCH($A62,'01_FASTPPH'!$A$9:$A$1048576,0),MATCH(P$9,'01_FASTPPH'!$8:$8,0))</f>
        <v>732.90599999999995</v>
      </c>
      <c r="Q62" s="20">
        <f>INDEX('01_FASTPPH'!$9:$1048576,MATCH($A62,'01_FASTPPH'!$A$9:$A$1048576,0),MATCH(Q$9,'01_FASTPPH'!$8:$8,0))</f>
        <v>354.60199999999998</v>
      </c>
      <c r="R62" s="20">
        <f>INDEX('01_FASTPPH'!$9:$1048576,MATCH($A62,'01_FASTPPH'!$A$9:$A$1048576,0),MATCH(R$9,'01_FASTPPH'!$8:$8,0))</f>
        <v>387.98700000000002</v>
      </c>
      <c r="S62" s="20">
        <f>INDEX('01_FASTPPH'!$9:$1048576,MATCH($A62,'01_FASTPPH'!$A$9:$A$1048576,0),MATCH(S$9,'01_FASTPPH'!$8:$8,0))</f>
        <v>565.33100000000002</v>
      </c>
      <c r="T62" s="24">
        <f>INDEX('01_FASTPPH'!$9:$1048576,MATCH($A62,'01_FASTPPH'!$A$9:$A$1048576,0),MATCH(T$9,'01_FASTPPH'!$8:$8,0))</f>
        <v>630.31299999999999</v>
      </c>
      <c r="U62" s="23">
        <f>INDEX('01_FASTPPH'!$9:$1048576,MATCH($A62,'01_FASTPPH'!$A$9:$A$1048576,0),MATCH(U$9,'01_FASTPPH'!$8:$8,0))</f>
        <v>7217.44</v>
      </c>
      <c r="V62" s="20">
        <f>INDEX('01_FASTPPH'!$9:$1048576,MATCH($A62,'01_FASTPPH'!$A$9:$A$1048576,0),MATCH(V$9,'01_FASTPPH'!$8:$8,0))</f>
        <v>1735.91</v>
      </c>
      <c r="W62" s="24">
        <f>INDEX('01_FASTPPH'!$9:$1048576,MATCH($A62,'01_FASTPPH'!$A$9:$A$1048576,0),MATCH(W$9,'01_FASTPPH'!$8:$8,0))</f>
        <v>1877.87</v>
      </c>
      <c r="X62" s="20">
        <f>INDEX('01_FASTPPH'!$9:$1048576,MATCH($A62,'01_FASTPPH'!$A$9:$A$1048576,0),MATCH(X$9,'01_FASTPPH'!$8:$8,0))</f>
        <v>0</v>
      </c>
      <c r="Y62" s="20" t="str">
        <f>INDEX('01_FASTPPH'!$9:$1048576,MATCH($A62,'01_FASTPPH'!$A$9:$A$1048576,0),MATCH(Y$9,'01_FASTPPH'!$8:$8,0))</f>
        <v>Pt11   modified</v>
      </c>
      <c r="AA62" s="32">
        <f>INDEX('02_PROPERTIES'!$C$10:$I$1048576,MATCH('03_CALCULATIONS'!$D62,'02_PROPERTIES'!$C$10:$C$1048576,0),MATCH('03_CALCULATIONS'!AA$9,'02_PROPERTIES'!$C$10:$I$10,0))</f>
        <v>16.559999999999999</v>
      </c>
      <c r="AB62" s="20">
        <f>INDEX('02_PROPERTIES'!$C$10:$I$1048576,MATCH('03_CALCULATIONS'!$D62,'02_PROPERTIES'!$C$10:$C$1048576,0),MATCH('03_CALCULATIONS'!AB$9,'02_PROPERTIES'!$C$10:$I$10,0))</f>
        <v>79593.867056640505</v>
      </c>
      <c r="AC62" s="20">
        <f>INDEX('02_PROPERTIES'!$C$10:$I$1048576,MATCH('03_CALCULATIONS'!$D62,'02_PROPERTIES'!$C$10:$C$1048576,0),MATCH('03_CALCULATIONS'!AC$9,'02_PROPERTIES'!$C$10:$I$10,0))</f>
        <v>41017.370743551612</v>
      </c>
      <c r="AD62" s="20">
        <f>INDEX('02_PROPERTIES'!$C$10:$I$1048576,MATCH('03_CALCULATIONS'!$D62,'02_PROPERTIES'!$C$10:$C$1048576,0),MATCH('03_CALCULATIONS'!AD$9,'02_PROPERTIES'!$C$10:$I$10,0))</f>
        <v>19846.188560278148</v>
      </c>
      <c r="AE62" s="32">
        <f>INDEX('02_PROPERTIES'!$C$10:$I$1048576,MATCH('03_CALCULATIONS'!$D62,'02_PROPERTIES'!$C$10:$C$1048576,0),MATCH('03_CALCULATIONS'!AE$9,'02_PROPERTIES'!$C$10:$I$10,0))</f>
        <v>0.4142802271075095</v>
      </c>
      <c r="AF62" s="32">
        <f>INDEX('02_PROPERTIES'!$C$10:$I$1048576,MATCH('03_CALCULATIONS'!$D62,'02_PROPERTIES'!$C$10:$C$1048576,0),MATCH('03_CALCULATIONS'!AF$9,'02_PROPERTIES'!$C$10:$I$10,0))</f>
        <v>1</v>
      </c>
      <c r="AH62" s="20">
        <f t="shared" si="0"/>
        <v>3187.9344927536235</v>
      </c>
      <c r="AI62" s="20">
        <f t="shared" si="1"/>
        <v>983.55489855072472</v>
      </c>
      <c r="AJ62" s="20">
        <f t="shared" si="2"/>
        <v>1245.7186811594202</v>
      </c>
      <c r="AL62" s="20">
        <f t="shared" si="3"/>
        <v>2109.4917440795166</v>
      </c>
      <c r="AM62" s="20">
        <f t="shared" si="4"/>
        <v>-496.3481616598055</v>
      </c>
      <c r="AN62" s="20">
        <f t="shared" si="5"/>
        <v>1895.1890387554977</v>
      </c>
      <c r="AO62" s="20">
        <f t="shared" si="6"/>
        <v>1754.1663105876044</v>
      </c>
      <c r="AP62" s="20">
        <f t="shared" si="7"/>
        <v>-141.02272816789332</v>
      </c>
      <c r="AR62" s="20">
        <f t="shared" si="8"/>
        <v>2417.6384492785483</v>
      </c>
      <c r="AS62" s="20">
        <f t="shared" si="9"/>
        <v>-804.49486685883721</v>
      </c>
      <c r="AT62" s="20">
        <f t="shared" si="10"/>
        <v>2299.8569295077614</v>
      </c>
    </row>
    <row r="63" spans="1:46" x14ac:dyDescent="0.3">
      <c r="A63" s="18">
        <v>54</v>
      </c>
      <c r="B63" s="20">
        <f>INDEX('01_FASTPPH'!$9:$1048576,MATCH($A63,'01_FASTPPH'!$A$9:$A$1048576,0),MATCH(B$9,'01_FASTPPH'!$8:$8,0))</f>
        <v>8</v>
      </c>
      <c r="C63" s="20">
        <f>INDEX('01_FASTPPH'!$9:$1048576,MATCH($A63,'01_FASTPPH'!$A$9:$A$1048576,0),MATCH(C$9,'01_FASTPPH'!$8:$8,0))</f>
        <v>1101343</v>
      </c>
      <c r="D63" s="20" t="str">
        <f>INDEX('01_FASTPPH'!$9:$1048576,MATCH($A63,'01_FASTPPH'!$A$9:$A$1048576,0),MATCH(D$9,'01_FASTPPH'!$8:$8,0))</f>
        <v>SkinLH</v>
      </c>
      <c r="E63" s="20">
        <f>INDEX('01_FASTPPH'!$9:$1048576,MATCH($A63,'01_FASTPPH'!$A$9:$A$1048576,0),MATCH(E$9,'01_FASTPPH'!$8:$8,0))</f>
        <v>2903010</v>
      </c>
      <c r="F63" s="20">
        <f>INDEX('01_FASTPPH'!$9:$1048576,MATCH($A63,'01_FASTPPH'!$A$9:$A$1048576,0),MATCH(F$9,'01_FASTPPH'!$8:$8,0))</f>
        <v>1903012</v>
      </c>
      <c r="G63" s="20">
        <f>INDEX('01_FASTPPH'!$9:$1048576,MATCH($A63,'01_FASTPPH'!$A$9:$A$1048576,0),MATCH(G$9,'01_FASTPPH'!$8:$8,0))</f>
        <v>3903010</v>
      </c>
      <c r="H63" s="20">
        <f>INDEX('01_FASTPPH'!$9:$1048576,MATCH($A63,'01_FASTPPH'!$A$9:$A$1048576,0),MATCH(H$9,'01_FASTPPH'!$8:$8,0))</f>
        <v>1903011</v>
      </c>
      <c r="I63" s="20">
        <f>INDEX('01_FASTPPH'!$9:$1048576,MATCH($A63,'01_FASTPPH'!$A$9:$A$1048576,0),MATCH(I$9,'01_FASTPPH'!$8:$8,0))</f>
        <v>57.914999999999999</v>
      </c>
      <c r="J63" s="20" t="str">
        <f>INDEX('01_FASTPPH'!$9:$1048576,MATCH($A63,'01_FASTPPH'!$A$9:$A$1048576,0),MATCH(J$9,'01_FASTPPH'!$8:$8,0))</f>
        <v xml:space="preserve">SUBCASE 102 = STLP ULT (INTACT) :STLP ULT (INTACT) </v>
      </c>
      <c r="K63" s="23">
        <f>INDEX('01_FASTPPH'!$9:$1048576,MATCH($A63,'01_FASTPPH'!$A$9:$A$1048576,0),MATCH(K$9,'01_FASTPPH'!$8:$8,0))</f>
        <v>4612.47</v>
      </c>
      <c r="L63" s="20">
        <f>INDEX('01_FASTPPH'!$9:$1048576,MATCH($A63,'01_FASTPPH'!$A$9:$A$1048576,0),MATCH(L$9,'01_FASTPPH'!$8:$8,0))</f>
        <v>-2900.54</v>
      </c>
      <c r="M63" s="20">
        <f>INDEX('01_FASTPPH'!$9:$1048576,MATCH($A63,'01_FASTPPH'!$A$9:$A$1048576,0),MATCH(M$9,'01_FASTPPH'!$8:$8,0))</f>
        <v>14475.3</v>
      </c>
      <c r="N63" s="24">
        <f>INDEX('01_FASTPPH'!$9:$1048576,MATCH($A63,'01_FASTPPH'!$A$9:$A$1048576,0),MATCH(N$9,'01_FASTPPH'!$8:$8,0))</f>
        <v>5467.71</v>
      </c>
      <c r="O63" s="23">
        <f>INDEX('01_FASTPPH'!$9:$1048576,MATCH($A63,'01_FASTPPH'!$A$9:$A$1048576,0),MATCH(O$9,'01_FASTPPH'!$8:$8,0))</f>
        <v>-418.11200000000002</v>
      </c>
      <c r="P63" s="20">
        <f>INDEX('01_FASTPPH'!$9:$1048576,MATCH($A63,'01_FASTPPH'!$A$9:$A$1048576,0),MATCH(P$9,'01_FASTPPH'!$8:$8,0))</f>
        <v>-469.26900000000001</v>
      </c>
      <c r="Q63" s="20">
        <f>INDEX('01_FASTPPH'!$9:$1048576,MATCH($A63,'01_FASTPPH'!$A$9:$A$1048576,0),MATCH(Q$9,'01_FASTPPH'!$8:$8,0))</f>
        <v>327.63200000000001</v>
      </c>
      <c r="R63" s="20">
        <f>INDEX('01_FASTPPH'!$9:$1048576,MATCH($A63,'01_FASTPPH'!$A$9:$A$1048576,0),MATCH(R$9,'01_FASTPPH'!$8:$8,0))</f>
        <v>370.31400000000002</v>
      </c>
      <c r="S63" s="20">
        <f>INDEX('01_FASTPPH'!$9:$1048576,MATCH($A63,'01_FASTPPH'!$A$9:$A$1048576,0),MATCH(S$9,'01_FASTPPH'!$8:$8,0))</f>
        <v>434.93900000000002</v>
      </c>
      <c r="T63" s="24">
        <f>INDEX('01_FASTPPH'!$9:$1048576,MATCH($A63,'01_FASTPPH'!$A$9:$A$1048576,0),MATCH(T$9,'01_FASTPPH'!$8:$8,0))</f>
        <v>552.21199999999999</v>
      </c>
      <c r="U63" s="23">
        <f>INDEX('01_FASTPPH'!$9:$1048576,MATCH($A63,'01_FASTPPH'!$A$9:$A$1048576,0),MATCH(U$9,'01_FASTPPH'!$8:$8,0))</f>
        <v>8853.34</v>
      </c>
      <c r="V63" s="20">
        <f>INDEX('01_FASTPPH'!$9:$1048576,MATCH($A63,'01_FASTPPH'!$A$9:$A$1048576,0),MATCH(V$9,'01_FASTPPH'!$8:$8,0))</f>
        <v>1866.43</v>
      </c>
      <c r="W63" s="24">
        <f>INDEX('01_FASTPPH'!$9:$1048576,MATCH($A63,'01_FASTPPH'!$A$9:$A$1048576,0),MATCH(W$9,'01_FASTPPH'!$8:$8,0))</f>
        <v>1305.49</v>
      </c>
      <c r="X63" s="20">
        <f>INDEX('01_FASTPPH'!$9:$1048576,MATCH($A63,'01_FASTPPH'!$A$9:$A$1048576,0),MATCH(X$9,'01_FASTPPH'!$8:$8,0))</f>
        <v>0</v>
      </c>
      <c r="Y63" s="20">
        <f>INDEX('01_FASTPPH'!$9:$1048576,MATCH($A63,'01_FASTPPH'!$A$9:$A$1048576,0),MATCH(Y$9,'01_FASTPPH'!$8:$8,0))</f>
        <v>0</v>
      </c>
      <c r="AA63" s="32">
        <f>INDEX('02_PROPERTIES'!$C$10:$I$1048576,MATCH('03_CALCULATIONS'!$D63,'02_PROPERTIES'!$C$10:$C$1048576,0),MATCH('03_CALCULATIONS'!AA$9,'02_PROPERTIES'!$C$10:$I$10,0))</f>
        <v>16.559999999999999</v>
      </c>
      <c r="AB63" s="20">
        <f>INDEX('02_PROPERTIES'!$C$10:$I$1048576,MATCH('03_CALCULATIONS'!$D63,'02_PROPERTIES'!$C$10:$C$1048576,0),MATCH('03_CALCULATIONS'!AB$9,'02_PROPERTIES'!$C$10:$I$10,0))</f>
        <v>79593.867056640505</v>
      </c>
      <c r="AC63" s="20">
        <f>INDEX('02_PROPERTIES'!$C$10:$I$1048576,MATCH('03_CALCULATIONS'!$D63,'02_PROPERTIES'!$C$10:$C$1048576,0),MATCH('03_CALCULATIONS'!AC$9,'02_PROPERTIES'!$C$10:$I$10,0))</f>
        <v>41017.370743551612</v>
      </c>
      <c r="AD63" s="20">
        <f>INDEX('02_PROPERTIES'!$C$10:$I$1048576,MATCH('03_CALCULATIONS'!$D63,'02_PROPERTIES'!$C$10:$C$1048576,0),MATCH('03_CALCULATIONS'!AD$9,'02_PROPERTIES'!$C$10:$I$10,0))</f>
        <v>19846.188560278148</v>
      </c>
      <c r="AE63" s="32">
        <f>INDEX('02_PROPERTIES'!$C$10:$I$1048576,MATCH('03_CALCULATIONS'!$D63,'02_PROPERTIES'!$C$10:$C$1048576,0),MATCH('03_CALCULATIONS'!AE$9,'02_PROPERTIES'!$C$10:$I$10,0))</f>
        <v>0.4142802271075095</v>
      </c>
      <c r="AF63" s="32">
        <f>INDEX('02_PROPERTIES'!$C$10:$I$1048576,MATCH('03_CALCULATIONS'!$D63,'02_PROPERTIES'!$C$10:$C$1048576,0),MATCH('03_CALCULATIONS'!AF$9,'02_PROPERTIES'!$C$10:$I$10,0))</f>
        <v>1</v>
      </c>
      <c r="AH63" s="20">
        <f t="shared" si="0"/>
        <v>-3625.8438840579715</v>
      </c>
      <c r="AI63" s="20">
        <f t="shared" si="1"/>
        <v>1003.8747536231886</v>
      </c>
      <c r="AJ63" s="20">
        <f t="shared" si="2"/>
        <v>907.94262318840583</v>
      </c>
      <c r="AL63" s="20">
        <f t="shared" si="3"/>
        <v>-3066.3892926297508</v>
      </c>
      <c r="AM63" s="20">
        <f t="shared" si="4"/>
        <v>3689.3615256076505</v>
      </c>
      <c r="AN63" s="20">
        <f t="shared" si="5"/>
        <v>1381.3093865495073</v>
      </c>
      <c r="AO63" s="20">
        <f t="shared" si="6"/>
        <v>1002.1408097637035</v>
      </c>
      <c r="AP63" s="20">
        <f t="shared" si="7"/>
        <v>-379.16857678580379</v>
      </c>
      <c r="AR63" s="20">
        <f t="shared" si="8"/>
        <v>3759.2457056818034</v>
      </c>
      <c r="AS63" s="20">
        <f t="shared" si="9"/>
        <v>-3136.2734727039037</v>
      </c>
      <c r="AT63" s="20">
        <f t="shared" si="10"/>
        <v>3649.3914425419757</v>
      </c>
    </row>
    <row r="64" spans="1:46" x14ac:dyDescent="0.3">
      <c r="A64" s="18">
        <v>62</v>
      </c>
      <c r="B64" s="20">
        <f>INDEX('01_FASTPPH'!$9:$1048576,MATCH($A64,'01_FASTPPH'!$A$9:$A$1048576,0),MATCH(B$9,'01_FASTPPH'!$8:$8,0))</f>
        <v>9</v>
      </c>
      <c r="C64" s="20">
        <f>INDEX('01_FASTPPH'!$9:$1048576,MATCH($A64,'01_FASTPPH'!$A$9:$A$1048576,0),MATCH(C$9,'01_FASTPPH'!$8:$8,0))</f>
        <v>1101310</v>
      </c>
      <c r="D64" s="20" t="str">
        <f>INDEX('01_FASTPPH'!$9:$1048576,MATCH($A64,'01_FASTPPH'!$A$9:$A$1048576,0),MATCH(D$9,'01_FASTPPH'!$8:$8,0))</f>
        <v>SkinLH</v>
      </c>
      <c r="E64" s="20">
        <f>INDEX('01_FASTPPH'!$9:$1048576,MATCH($A64,'01_FASTPPH'!$A$9:$A$1048576,0),MATCH(E$9,'01_FASTPPH'!$8:$8,0))</f>
        <v>3904010</v>
      </c>
      <c r="F64" s="20">
        <f>INDEX('01_FASTPPH'!$9:$1048576,MATCH($A64,'01_FASTPPH'!$A$9:$A$1048576,0),MATCH(F$9,'01_FASTPPH'!$8:$8,0))</f>
        <v>1904011</v>
      </c>
      <c r="G64" s="20">
        <f>INDEX('01_FASTPPH'!$9:$1048576,MATCH($A64,'01_FASTPPH'!$A$9:$A$1048576,0),MATCH(G$9,'01_FASTPPH'!$8:$8,0))</f>
        <v>2904010</v>
      </c>
      <c r="H64" s="20">
        <f>INDEX('01_FASTPPH'!$9:$1048576,MATCH($A64,'01_FASTPPH'!$A$9:$A$1048576,0),MATCH(H$9,'01_FASTPPH'!$8:$8,0))</f>
        <v>1904012</v>
      </c>
      <c r="I64" s="20">
        <f>INDEX('01_FASTPPH'!$9:$1048576,MATCH($A64,'01_FASTPPH'!$A$9:$A$1048576,0),MATCH(I$9,'01_FASTPPH'!$8:$8,0))</f>
        <v>57.914999999999999</v>
      </c>
      <c r="J64" s="20" t="str">
        <f>INDEX('01_FASTPPH'!$9:$1048576,MATCH($A64,'01_FASTPPH'!$A$9:$A$1048576,0),MATCH(J$9,'01_FASTPPH'!$8:$8,0))</f>
        <v xml:space="preserve">SUBCASE 102 = STLP ULT (INTACT) :STLP ULT (INTACT) </v>
      </c>
      <c r="K64" s="23">
        <f>INDEX('01_FASTPPH'!$9:$1048576,MATCH($A64,'01_FASTPPH'!$A$9:$A$1048576,0),MATCH(K$9,'01_FASTPPH'!$8:$8,0))</f>
        <v>2579.2800000000002</v>
      </c>
      <c r="L64" s="20">
        <f>INDEX('01_FASTPPH'!$9:$1048576,MATCH($A64,'01_FASTPPH'!$A$9:$A$1048576,0),MATCH(L$9,'01_FASTPPH'!$8:$8,0))</f>
        <v>-4512.92</v>
      </c>
      <c r="M64" s="20">
        <f>INDEX('01_FASTPPH'!$9:$1048576,MATCH($A64,'01_FASTPPH'!$A$9:$A$1048576,0),MATCH(M$9,'01_FASTPPH'!$8:$8,0))</f>
        <v>19515.400000000001</v>
      </c>
      <c r="N64" s="24">
        <f>INDEX('01_FASTPPH'!$9:$1048576,MATCH($A64,'01_FASTPPH'!$A$9:$A$1048576,0),MATCH(N$9,'01_FASTPPH'!$8:$8,0))</f>
        <v>17029.5</v>
      </c>
      <c r="O64" s="23">
        <f>INDEX('01_FASTPPH'!$9:$1048576,MATCH($A64,'01_FASTPPH'!$A$9:$A$1048576,0),MATCH(O$9,'01_FASTPPH'!$8:$8,0))</f>
        <v>-1655.12</v>
      </c>
      <c r="P64" s="20">
        <f>INDEX('01_FASTPPH'!$9:$1048576,MATCH($A64,'01_FASTPPH'!$A$9:$A$1048576,0),MATCH(P$9,'01_FASTPPH'!$8:$8,0))</f>
        <v>-1726.19</v>
      </c>
      <c r="Q64" s="20">
        <f>INDEX('01_FASTPPH'!$9:$1048576,MATCH($A64,'01_FASTPPH'!$A$9:$A$1048576,0),MATCH(Q$9,'01_FASTPPH'!$8:$8,0))</f>
        <v>283.18599999999998</v>
      </c>
      <c r="R64" s="20">
        <f>INDEX('01_FASTPPH'!$9:$1048576,MATCH($A64,'01_FASTPPH'!$A$9:$A$1048576,0),MATCH(R$9,'01_FASTPPH'!$8:$8,0))</f>
        <v>321.96699999999998</v>
      </c>
      <c r="S64" s="20">
        <f>INDEX('01_FASTPPH'!$9:$1048576,MATCH($A64,'01_FASTPPH'!$A$9:$A$1048576,0),MATCH(S$9,'01_FASTPPH'!$8:$8,0))</f>
        <v>327.149</v>
      </c>
      <c r="T64" s="24">
        <f>INDEX('01_FASTPPH'!$9:$1048576,MATCH($A64,'01_FASTPPH'!$A$9:$A$1048576,0),MATCH(T$9,'01_FASTPPH'!$8:$8,0))</f>
        <v>401.98399999999998</v>
      </c>
      <c r="U64" s="23">
        <f>INDEX('01_FASTPPH'!$9:$1048576,MATCH($A64,'01_FASTPPH'!$A$9:$A$1048576,0),MATCH(U$9,'01_FASTPPH'!$8:$8,0))</f>
        <v>10403.5</v>
      </c>
      <c r="V64" s="20">
        <f>INDEX('01_FASTPPH'!$9:$1048576,MATCH($A64,'01_FASTPPH'!$A$9:$A$1048576,0),MATCH(V$9,'01_FASTPPH'!$8:$8,0))</f>
        <v>1441.81</v>
      </c>
      <c r="W64" s="24">
        <f>INDEX('01_FASTPPH'!$9:$1048576,MATCH($A64,'01_FASTPPH'!$A$9:$A$1048576,0),MATCH(W$9,'01_FASTPPH'!$8:$8,0))</f>
        <v>-854.09500000000003</v>
      </c>
      <c r="X64" s="20">
        <f>INDEX('01_FASTPPH'!$9:$1048576,MATCH($A64,'01_FASTPPH'!$A$9:$A$1048576,0),MATCH(X$9,'01_FASTPPH'!$8:$8,0))</f>
        <v>0</v>
      </c>
      <c r="Y64" s="20">
        <f>INDEX('01_FASTPPH'!$9:$1048576,MATCH($A64,'01_FASTPPH'!$A$9:$A$1048576,0),MATCH(Y$9,'01_FASTPPH'!$8:$8,0))</f>
        <v>0</v>
      </c>
      <c r="AA64" s="32">
        <f>INDEX('02_PROPERTIES'!$C$10:$I$1048576,MATCH('03_CALCULATIONS'!$D64,'02_PROPERTIES'!$C$10:$C$1048576,0),MATCH('03_CALCULATIONS'!AA$9,'02_PROPERTIES'!$C$10:$I$10,0))</f>
        <v>16.559999999999999</v>
      </c>
      <c r="AB64" s="20">
        <f>INDEX('02_PROPERTIES'!$C$10:$I$1048576,MATCH('03_CALCULATIONS'!$D64,'02_PROPERTIES'!$C$10:$C$1048576,0),MATCH('03_CALCULATIONS'!AB$9,'02_PROPERTIES'!$C$10:$I$10,0))</f>
        <v>79593.867056640505</v>
      </c>
      <c r="AC64" s="20">
        <f>INDEX('02_PROPERTIES'!$C$10:$I$1048576,MATCH('03_CALCULATIONS'!$D64,'02_PROPERTIES'!$C$10:$C$1048576,0),MATCH('03_CALCULATIONS'!AC$9,'02_PROPERTIES'!$C$10:$I$10,0))</f>
        <v>41017.370743551612</v>
      </c>
      <c r="AD64" s="20">
        <f>INDEX('02_PROPERTIES'!$C$10:$I$1048576,MATCH('03_CALCULATIONS'!$D64,'02_PROPERTIES'!$C$10:$C$1048576,0),MATCH('03_CALCULATIONS'!AD$9,'02_PROPERTIES'!$C$10:$I$10,0))</f>
        <v>19846.188560278148</v>
      </c>
      <c r="AE64" s="32">
        <f>INDEX('02_PROPERTIES'!$C$10:$I$1048576,MATCH('03_CALCULATIONS'!$D64,'02_PROPERTIES'!$C$10:$C$1048576,0),MATCH('03_CALCULATIONS'!AE$9,'02_PROPERTIES'!$C$10:$I$10,0))</f>
        <v>0.4142802271075095</v>
      </c>
      <c r="AF64" s="32">
        <f>INDEX('02_PROPERTIES'!$C$10:$I$1048576,MATCH('03_CALCULATIONS'!$D64,'02_PROPERTIES'!$C$10:$C$1048576,0),MATCH('03_CALCULATIONS'!AF$9,'02_PROPERTIES'!$C$10:$I$10,0))</f>
        <v>1</v>
      </c>
      <c r="AH64" s="20">
        <f t="shared" si="0"/>
        <v>-5424.5040579710148</v>
      </c>
      <c r="AI64" s="20">
        <f t="shared" si="1"/>
        <v>805.58092753623191</v>
      </c>
      <c r="AJ64" s="20">
        <f t="shared" si="2"/>
        <v>636.60371014492762</v>
      </c>
      <c r="AL64" s="20">
        <f t="shared" si="3"/>
        <v>-4368.6761077931578</v>
      </c>
      <c r="AM64" s="20">
        <f t="shared" si="4"/>
        <v>4494.4515566029404</v>
      </c>
      <c r="AN64" s="20">
        <f t="shared" si="5"/>
        <v>968.50468066742405</v>
      </c>
      <c r="AO64" s="20">
        <f t="shared" si="6"/>
        <v>547.14006473860331</v>
      </c>
      <c r="AP64" s="20">
        <f t="shared" si="7"/>
        <v>-421.36461592882074</v>
      </c>
      <c r="AR64" s="20">
        <f t="shared" si="8"/>
        <v>4520.8310089212537</v>
      </c>
      <c r="AS64" s="20">
        <f t="shared" si="9"/>
        <v>-4395.055560111472</v>
      </c>
      <c r="AT64" s="20">
        <f t="shared" si="10"/>
        <v>4536.1612973218416</v>
      </c>
    </row>
    <row r="65" spans="1:46" x14ac:dyDescent="0.3">
      <c r="A65" s="18">
        <v>220</v>
      </c>
      <c r="B65" s="20">
        <f>INDEX('01_FASTPPH'!$9:$1048576,MATCH($A65,'01_FASTPPH'!$A$9:$A$1048576,0),MATCH(B$9,'01_FASTPPH'!$8:$8,0))</f>
        <v>37</v>
      </c>
      <c r="C65" s="20">
        <f>INDEX('01_FASTPPH'!$9:$1048576,MATCH($A65,'01_FASTPPH'!$A$9:$A$1048576,0),MATCH(C$9,'01_FASTPPH'!$8:$8,0))</f>
        <v>1101744</v>
      </c>
      <c r="D65" s="20" t="str">
        <f>INDEX('01_FASTPPH'!$9:$1048576,MATCH($A65,'01_FASTPPH'!$A$9:$A$1048576,0),MATCH(D$9,'01_FASTPPH'!$8:$8,0))</f>
        <v>SkinLH</v>
      </c>
      <c r="E65" s="20">
        <f>INDEX('01_FASTPPH'!$9:$1048576,MATCH($A65,'01_FASTPPH'!$A$9:$A$1048576,0),MATCH(E$9,'01_FASTPPH'!$8:$8,0))</f>
        <v>3905010</v>
      </c>
      <c r="F65" s="20">
        <f>INDEX('01_FASTPPH'!$9:$1048576,MATCH($A65,'01_FASTPPH'!$A$9:$A$1048576,0),MATCH(F$9,'01_FASTPPH'!$8:$8,0))</f>
        <v>1905011</v>
      </c>
      <c r="G65" s="20">
        <f>INDEX('01_FASTPPH'!$9:$1048576,MATCH($A65,'01_FASTPPH'!$A$9:$A$1048576,0),MATCH(G$9,'01_FASTPPH'!$8:$8,0))</f>
        <v>0</v>
      </c>
      <c r="H65" s="20">
        <f>INDEX('01_FASTPPH'!$9:$1048576,MATCH($A65,'01_FASTPPH'!$A$9:$A$1048576,0),MATCH(H$9,'01_FASTPPH'!$8:$8,0))</f>
        <v>0</v>
      </c>
      <c r="I65" s="20">
        <f>INDEX('01_FASTPPH'!$9:$1048576,MATCH($A65,'01_FASTPPH'!$A$9:$A$1048576,0),MATCH(I$9,'01_FASTPPH'!$8:$8,0))</f>
        <v>57.914999999999999</v>
      </c>
      <c r="J65" s="20" t="str">
        <f>INDEX('01_FASTPPH'!$9:$1048576,MATCH($A65,'01_FASTPPH'!$A$9:$A$1048576,0),MATCH(J$9,'01_FASTPPH'!$8:$8,0))</f>
        <v xml:space="preserve">SUBCASE 102 = STLP ULT (INTACT) :STLP ULT (INTACT) </v>
      </c>
      <c r="K65" s="23">
        <f>INDEX('01_FASTPPH'!$9:$1048576,MATCH($A65,'01_FASTPPH'!$A$9:$A$1048576,0),MATCH(K$9,'01_FASTPPH'!$8:$8,0))</f>
        <v>10544.4</v>
      </c>
      <c r="L65" s="20">
        <f>INDEX('01_FASTPPH'!$9:$1048576,MATCH($A65,'01_FASTPPH'!$A$9:$A$1048576,0),MATCH(L$9,'01_FASTPPH'!$8:$8,0))</f>
        <v>-6962.31</v>
      </c>
      <c r="M65" s="20">
        <f>INDEX('01_FASTPPH'!$9:$1048576,MATCH($A65,'01_FASTPPH'!$A$9:$A$1048576,0),MATCH(M$9,'01_FASTPPH'!$8:$8,0))</f>
        <v>22086.1</v>
      </c>
      <c r="N65" s="24">
        <f>INDEX('01_FASTPPH'!$9:$1048576,MATCH($A65,'01_FASTPPH'!$A$9:$A$1048576,0),MATCH(N$9,'01_FASTPPH'!$8:$8,0))</f>
        <v>0</v>
      </c>
      <c r="O65" s="23">
        <f>INDEX('01_FASTPPH'!$9:$1048576,MATCH($A65,'01_FASTPPH'!$A$9:$A$1048576,0),MATCH(O$9,'01_FASTPPH'!$8:$8,0))</f>
        <v>-2490.3200000000002</v>
      </c>
      <c r="P65" s="20">
        <f>INDEX('01_FASTPPH'!$9:$1048576,MATCH($A65,'01_FASTPPH'!$A$9:$A$1048576,0),MATCH(P$9,'01_FASTPPH'!$8:$8,0))</f>
        <v>-2639.19</v>
      </c>
      <c r="Q65" s="20">
        <f>INDEX('01_FASTPPH'!$9:$1048576,MATCH($A65,'01_FASTPPH'!$A$9:$A$1048576,0),MATCH(Q$9,'01_FASTPPH'!$8:$8,0))</f>
        <v>104.05500000000001</v>
      </c>
      <c r="R65" s="20">
        <f>INDEX('01_FASTPPH'!$9:$1048576,MATCH($A65,'01_FASTPPH'!$A$9:$A$1048576,0),MATCH(R$9,'01_FASTPPH'!$8:$8,0))</f>
        <v>263.74599999999998</v>
      </c>
      <c r="S65" s="20">
        <f>INDEX('01_FASTPPH'!$9:$1048576,MATCH($A65,'01_FASTPPH'!$A$9:$A$1048576,0),MATCH(S$9,'01_FASTPPH'!$8:$8,0))</f>
        <v>453.02600000000001</v>
      </c>
      <c r="T65" s="24">
        <f>INDEX('01_FASTPPH'!$9:$1048576,MATCH($A65,'01_FASTPPH'!$A$9:$A$1048576,0),MATCH(T$9,'01_FASTPPH'!$8:$8,0))</f>
        <v>770.77700000000004</v>
      </c>
      <c r="U65" s="23">
        <f>INDEX('01_FASTPPH'!$9:$1048576,MATCH($A65,'01_FASTPPH'!$A$9:$A$1048576,0),MATCH(U$9,'01_FASTPPH'!$8:$8,0))</f>
        <v>9060.68</v>
      </c>
      <c r="V65" s="20">
        <f>INDEX('01_FASTPPH'!$9:$1048576,MATCH($A65,'01_FASTPPH'!$A$9:$A$1048576,0),MATCH(V$9,'01_FASTPPH'!$8:$8,0))</f>
        <v>902.35900000000004</v>
      </c>
      <c r="W65" s="24">
        <f>INDEX('01_FASTPPH'!$9:$1048576,MATCH($A65,'01_FASTPPH'!$A$9:$A$1048576,0),MATCH(W$9,'01_FASTPPH'!$8:$8,0))</f>
        <v>-976.87</v>
      </c>
      <c r="X65" s="20">
        <f>INDEX('01_FASTPPH'!$9:$1048576,MATCH($A65,'01_FASTPPH'!$A$9:$A$1048576,0),MATCH(X$9,'01_FASTPPH'!$8:$8,0))</f>
        <v>0</v>
      </c>
      <c r="Y65" s="20">
        <f>INDEX('01_FASTPPH'!$9:$1048576,MATCH($A65,'01_FASTPPH'!$A$9:$A$1048576,0),MATCH(Y$9,'01_FASTPPH'!$8:$8,0))</f>
        <v>0</v>
      </c>
      <c r="AA65" s="32">
        <f>INDEX('02_PROPERTIES'!$C$10:$I$1048576,MATCH('03_CALCULATIONS'!$D65,'02_PROPERTIES'!$C$10:$C$1048576,0),MATCH('03_CALCULATIONS'!AA$9,'02_PROPERTIES'!$C$10:$I$10,0))</f>
        <v>16.559999999999999</v>
      </c>
      <c r="AB65" s="20">
        <f>INDEX('02_PROPERTIES'!$C$10:$I$1048576,MATCH('03_CALCULATIONS'!$D65,'02_PROPERTIES'!$C$10:$C$1048576,0),MATCH('03_CALCULATIONS'!AB$9,'02_PROPERTIES'!$C$10:$I$10,0))</f>
        <v>79593.867056640505</v>
      </c>
      <c r="AC65" s="20">
        <f>INDEX('02_PROPERTIES'!$C$10:$I$1048576,MATCH('03_CALCULATIONS'!$D65,'02_PROPERTIES'!$C$10:$C$1048576,0),MATCH('03_CALCULATIONS'!AC$9,'02_PROPERTIES'!$C$10:$I$10,0))</f>
        <v>41017.370743551612</v>
      </c>
      <c r="AD65" s="20">
        <f>INDEX('02_PROPERTIES'!$C$10:$I$1048576,MATCH('03_CALCULATIONS'!$D65,'02_PROPERTIES'!$C$10:$C$1048576,0),MATCH('03_CALCULATIONS'!AD$9,'02_PROPERTIES'!$C$10:$I$10,0))</f>
        <v>19846.188560278148</v>
      </c>
      <c r="AE65" s="32">
        <f>INDEX('02_PROPERTIES'!$C$10:$I$1048576,MATCH('03_CALCULATIONS'!$D65,'02_PROPERTIES'!$C$10:$C$1048576,0),MATCH('03_CALCULATIONS'!AE$9,'02_PROPERTIES'!$C$10:$I$10,0))</f>
        <v>0.4142802271075095</v>
      </c>
      <c r="AF65" s="32">
        <f>INDEX('02_PROPERTIES'!$C$10:$I$1048576,MATCH('03_CALCULATIONS'!$D65,'02_PROPERTIES'!$C$10:$C$1048576,0),MATCH('03_CALCULATIONS'!AF$9,'02_PROPERTIES'!$C$10:$I$10,0))</f>
        <v>1</v>
      </c>
      <c r="AH65" s="20">
        <f t="shared" si="0"/>
        <v>-5773.1750724637686</v>
      </c>
      <c r="AI65" s="20">
        <f t="shared" si="1"/>
        <v>430.99666666666673</v>
      </c>
      <c r="AJ65" s="20">
        <f t="shared" si="2"/>
        <v>806.96440579710156</v>
      </c>
      <c r="AL65" s="20">
        <f t="shared" si="3"/>
        <v>-4515.4721886390753</v>
      </c>
      <c r="AM65" s="20">
        <f t="shared" si="4"/>
        <v>4155.6402989172966</v>
      </c>
      <c r="AN65" s="20">
        <f t="shared" si="5"/>
        <v>1227.6849658456656</v>
      </c>
      <c r="AO65" s="20">
        <f t="shared" si="6"/>
        <v>433.92653806194346</v>
      </c>
      <c r="AP65" s="20">
        <f t="shared" si="7"/>
        <v>-793.75842778372214</v>
      </c>
      <c r="AR65" s="20">
        <f t="shared" si="8"/>
        <v>4198.8796129158018</v>
      </c>
      <c r="AS65" s="20">
        <f t="shared" si="9"/>
        <v>-4558.7115026375814</v>
      </c>
      <c r="AT65" s="20">
        <f t="shared" si="10"/>
        <v>4506.0246690766671</v>
      </c>
    </row>
    <row r="66" spans="1:46" x14ac:dyDescent="0.3">
      <c r="A66" s="18">
        <v>226</v>
      </c>
      <c r="B66" s="20">
        <f>INDEX('01_FASTPPH'!$9:$1048576,MATCH($A66,'01_FASTPPH'!$A$9:$A$1048576,0),MATCH(B$9,'01_FASTPPH'!$8:$8,0))</f>
        <v>38</v>
      </c>
      <c r="C66" s="20">
        <f>INDEX('01_FASTPPH'!$9:$1048576,MATCH($A66,'01_FASTPPH'!$A$9:$A$1048576,0),MATCH(C$9,'01_FASTPPH'!$8:$8,0))</f>
        <v>1101655</v>
      </c>
      <c r="D66" s="20" t="str">
        <f>INDEX('01_FASTPPH'!$9:$1048576,MATCH($A66,'01_FASTPPH'!$A$9:$A$1048576,0),MATCH(D$9,'01_FASTPPH'!$8:$8,0))</f>
        <v>SkinLH</v>
      </c>
      <c r="E66" s="20">
        <f>INDEX('01_FASTPPH'!$9:$1048576,MATCH($A66,'01_FASTPPH'!$A$9:$A$1048576,0),MATCH(E$9,'01_FASTPPH'!$8:$8,0))</f>
        <v>3906010</v>
      </c>
      <c r="F66" s="20">
        <f>INDEX('01_FASTPPH'!$9:$1048576,MATCH($A66,'01_FASTPPH'!$A$9:$A$1048576,0),MATCH(F$9,'01_FASTPPH'!$8:$8,0))</f>
        <v>1906011</v>
      </c>
      <c r="G66" s="20">
        <f>INDEX('01_FASTPPH'!$9:$1048576,MATCH($A66,'01_FASTPPH'!$A$9:$A$1048576,0),MATCH(G$9,'01_FASTPPH'!$8:$8,0))</f>
        <v>0</v>
      </c>
      <c r="H66" s="20">
        <f>INDEX('01_FASTPPH'!$9:$1048576,MATCH($A66,'01_FASTPPH'!$A$9:$A$1048576,0),MATCH(H$9,'01_FASTPPH'!$8:$8,0))</f>
        <v>0</v>
      </c>
      <c r="I66" s="20">
        <f>INDEX('01_FASTPPH'!$9:$1048576,MATCH($A66,'01_FASTPPH'!$A$9:$A$1048576,0),MATCH(I$9,'01_FASTPPH'!$8:$8,0))</f>
        <v>57.914999999999999</v>
      </c>
      <c r="J66" s="20" t="str">
        <f>INDEX('01_FASTPPH'!$9:$1048576,MATCH($A66,'01_FASTPPH'!$A$9:$A$1048576,0),MATCH(J$9,'01_FASTPPH'!$8:$8,0))</f>
        <v xml:space="preserve">SUBCASE 102 = STLP ULT (INTACT) :STLP ULT (INTACT) </v>
      </c>
      <c r="K66" s="23">
        <f>INDEX('01_FASTPPH'!$9:$1048576,MATCH($A66,'01_FASTPPH'!$A$9:$A$1048576,0),MATCH(K$9,'01_FASTPPH'!$8:$8,0))</f>
        <v>-9138.2000000000007</v>
      </c>
      <c r="L66" s="20">
        <f>INDEX('01_FASTPPH'!$9:$1048576,MATCH($A66,'01_FASTPPH'!$A$9:$A$1048576,0),MATCH(L$9,'01_FASTPPH'!$8:$8,0))</f>
        <v>-15533.9</v>
      </c>
      <c r="M66" s="20">
        <f>INDEX('01_FASTPPH'!$9:$1048576,MATCH($A66,'01_FASTPPH'!$A$9:$A$1048576,0),MATCH(M$9,'01_FASTPPH'!$8:$8,0))</f>
        <v>10485.4</v>
      </c>
      <c r="N66" s="24">
        <f>INDEX('01_FASTPPH'!$9:$1048576,MATCH($A66,'01_FASTPPH'!$A$9:$A$1048576,0),MATCH(N$9,'01_FASTPPH'!$8:$8,0))</f>
        <v>9116.59</v>
      </c>
      <c r="O66" s="23">
        <f>INDEX('01_FASTPPH'!$9:$1048576,MATCH($A66,'01_FASTPPH'!$A$9:$A$1048576,0),MATCH(O$9,'01_FASTPPH'!$8:$8,0))</f>
        <v>-1375.19</v>
      </c>
      <c r="P66" s="20">
        <f>INDEX('01_FASTPPH'!$9:$1048576,MATCH($A66,'01_FASTPPH'!$A$9:$A$1048576,0),MATCH(P$9,'01_FASTPPH'!$8:$8,0))</f>
        <v>-2057.33</v>
      </c>
      <c r="Q66" s="20">
        <f>INDEX('01_FASTPPH'!$9:$1048576,MATCH($A66,'01_FASTPPH'!$A$9:$A$1048576,0),MATCH(Q$9,'01_FASTPPH'!$8:$8,0))</f>
        <v>-6.9270899999999997</v>
      </c>
      <c r="R66" s="20">
        <f>INDEX('01_FASTPPH'!$9:$1048576,MATCH($A66,'01_FASTPPH'!$A$9:$A$1048576,0),MATCH(R$9,'01_FASTPPH'!$8:$8,0))</f>
        <v>-15.0726</v>
      </c>
      <c r="S66" s="20">
        <f>INDEX('01_FASTPPH'!$9:$1048576,MATCH($A66,'01_FASTPPH'!$A$9:$A$1048576,0),MATCH(S$9,'01_FASTPPH'!$8:$8,0))</f>
        <v>330.28399999999999</v>
      </c>
      <c r="T66" s="24">
        <f>INDEX('01_FASTPPH'!$9:$1048576,MATCH($A66,'01_FASTPPH'!$A$9:$A$1048576,0),MATCH(T$9,'01_FASTPPH'!$8:$8,0))</f>
        <v>759.93100000000004</v>
      </c>
      <c r="U66" s="23">
        <f>INDEX('01_FASTPPH'!$9:$1048576,MATCH($A66,'01_FASTPPH'!$A$9:$A$1048576,0),MATCH(U$9,'01_FASTPPH'!$8:$8,0))</f>
        <v>9218.77</v>
      </c>
      <c r="V66" s="20">
        <f>INDEX('01_FASTPPH'!$9:$1048576,MATCH($A66,'01_FASTPPH'!$A$9:$A$1048576,0),MATCH(V$9,'01_FASTPPH'!$8:$8,0))</f>
        <v>211.881</v>
      </c>
      <c r="W66" s="24">
        <f>INDEX('01_FASTPPH'!$9:$1048576,MATCH($A66,'01_FASTPPH'!$A$9:$A$1048576,0),MATCH(W$9,'01_FASTPPH'!$8:$8,0))</f>
        <v>-332.86900000000003</v>
      </c>
      <c r="X66" s="20">
        <f>INDEX('01_FASTPPH'!$9:$1048576,MATCH($A66,'01_FASTPPH'!$A$9:$A$1048576,0),MATCH(X$9,'01_FASTPPH'!$8:$8,0))</f>
        <v>0</v>
      </c>
      <c r="Y66" s="20">
        <f>INDEX('01_FASTPPH'!$9:$1048576,MATCH($A66,'01_FASTPPH'!$A$9:$A$1048576,0),MATCH(Y$9,'01_FASTPPH'!$8:$8,0))</f>
        <v>0</v>
      </c>
      <c r="AA66" s="32">
        <f>INDEX('02_PROPERTIES'!$C$10:$I$1048576,MATCH('03_CALCULATIONS'!$D66,'02_PROPERTIES'!$C$10:$C$1048576,0),MATCH('03_CALCULATIONS'!AA$9,'02_PROPERTIES'!$C$10:$I$10,0))</f>
        <v>16.559999999999999</v>
      </c>
      <c r="AB66" s="20">
        <f>INDEX('02_PROPERTIES'!$C$10:$I$1048576,MATCH('03_CALCULATIONS'!$D66,'02_PROPERTIES'!$C$10:$C$1048576,0),MATCH('03_CALCULATIONS'!AB$9,'02_PROPERTIES'!$C$10:$I$10,0))</f>
        <v>79593.867056640505</v>
      </c>
      <c r="AC66" s="20">
        <f>INDEX('02_PROPERTIES'!$C$10:$I$1048576,MATCH('03_CALCULATIONS'!$D66,'02_PROPERTIES'!$C$10:$C$1048576,0),MATCH('03_CALCULATIONS'!AC$9,'02_PROPERTIES'!$C$10:$I$10,0))</f>
        <v>41017.370743551612</v>
      </c>
      <c r="AD66" s="20">
        <f>INDEX('02_PROPERTIES'!$C$10:$I$1048576,MATCH('03_CALCULATIONS'!$D66,'02_PROPERTIES'!$C$10:$C$1048576,0),MATCH('03_CALCULATIONS'!AD$9,'02_PROPERTIES'!$C$10:$I$10,0))</f>
        <v>19846.188560278148</v>
      </c>
      <c r="AE66" s="32">
        <f>INDEX('02_PROPERTIES'!$C$10:$I$1048576,MATCH('03_CALCULATIONS'!$D66,'02_PROPERTIES'!$C$10:$C$1048576,0),MATCH('03_CALCULATIONS'!AE$9,'02_PROPERTIES'!$C$10:$I$10,0))</f>
        <v>0.4142802271075095</v>
      </c>
      <c r="AF66" s="32">
        <f>INDEX('02_PROPERTIES'!$C$10:$I$1048576,MATCH('03_CALCULATIONS'!$D66,'02_PROPERTIES'!$C$10:$C$1048576,0),MATCH('03_CALCULATIONS'!AF$9,'02_PROPERTIES'!$C$10:$I$10,0))</f>
        <v>1</v>
      </c>
      <c r="AH66" s="20">
        <f t="shared" si="0"/>
        <v>-4715.3240579710146</v>
      </c>
      <c r="AI66" s="20">
        <f t="shared" si="1"/>
        <v>-83.695568260869578</v>
      </c>
      <c r="AJ66" s="20">
        <f t="shared" si="2"/>
        <v>450.88871014492753</v>
      </c>
      <c r="AL66" s="20">
        <f t="shared" si="3"/>
        <v>-3551.1276923175647</v>
      </c>
      <c r="AM66" s="20">
        <f t="shared" si="4"/>
        <v>2752.7072448079443</v>
      </c>
      <c r="AN66" s="20">
        <f t="shared" si="5"/>
        <v>685.96494063165994</v>
      </c>
      <c r="AO66" s="20">
        <f t="shared" si="6"/>
        <v>-56.227753438980187</v>
      </c>
      <c r="AP66" s="20">
        <f t="shared" si="7"/>
        <v>-742.19269407064007</v>
      </c>
      <c r="AR66" s="20">
        <f t="shared" si="8"/>
        <v>2771.313503261752</v>
      </c>
      <c r="AS66" s="20">
        <f t="shared" si="9"/>
        <v>-3569.7339507713723</v>
      </c>
      <c r="AT66" s="20">
        <f t="shared" si="10"/>
        <v>3225.698626407439</v>
      </c>
    </row>
    <row r="67" spans="1:46" x14ac:dyDescent="0.3">
      <c r="A67" s="18">
        <v>90</v>
      </c>
      <c r="B67" s="20">
        <f>INDEX('01_FASTPPH'!$9:$1048576,MATCH($A67,'01_FASTPPH'!$A$9:$A$1048576,0),MATCH(B$9,'01_FASTPPH'!$8:$8,0))</f>
        <v>15</v>
      </c>
      <c r="C67" s="20">
        <f>INDEX('01_FASTPPH'!$9:$1048576,MATCH($A67,'01_FASTPPH'!$A$9:$A$1048576,0),MATCH(C$9,'01_FASTPPH'!$8:$8,0))</f>
        <v>1107550</v>
      </c>
      <c r="D67" s="20" t="str">
        <f>INDEX('01_FASTPPH'!$9:$1048576,MATCH($A67,'01_FASTPPH'!$A$9:$A$1048576,0),MATCH(D$9,'01_FASTPPH'!$8:$8,0))</f>
        <v>SkinLH</v>
      </c>
      <c r="E67" s="20">
        <f>INDEX('01_FASTPPH'!$9:$1048576,MATCH($A67,'01_FASTPPH'!$A$9:$A$1048576,0),MATCH(E$9,'01_FASTPPH'!$8:$8,0))</f>
        <v>2907010</v>
      </c>
      <c r="F67" s="20">
        <f>INDEX('01_FASTPPH'!$9:$1048576,MATCH($A67,'01_FASTPPH'!$A$9:$A$1048576,0),MATCH(F$9,'01_FASTPPH'!$8:$8,0))</f>
        <v>1907012</v>
      </c>
      <c r="G67" s="20">
        <f>INDEX('01_FASTPPH'!$9:$1048576,MATCH($A67,'01_FASTPPH'!$A$9:$A$1048576,0),MATCH(G$9,'01_FASTPPH'!$8:$8,0))</f>
        <v>3907010</v>
      </c>
      <c r="H67" s="20">
        <f>INDEX('01_FASTPPH'!$9:$1048576,MATCH($A67,'01_FASTPPH'!$A$9:$A$1048576,0),MATCH(H$9,'01_FASTPPH'!$8:$8,0))</f>
        <v>1907011</v>
      </c>
      <c r="I67" s="20">
        <f>INDEX('01_FASTPPH'!$9:$1048576,MATCH($A67,'01_FASTPPH'!$A$9:$A$1048576,0),MATCH(I$9,'01_FASTPPH'!$8:$8,0))</f>
        <v>57.914999999999999</v>
      </c>
      <c r="J67" s="20" t="str">
        <f>INDEX('01_FASTPPH'!$9:$1048576,MATCH($A67,'01_FASTPPH'!$A$9:$A$1048576,0),MATCH(J$9,'01_FASTPPH'!$8:$8,0))</f>
        <v xml:space="preserve">SUBCASE 102 = STLP ULT (INTACT) :STLP ULT (INTACT) </v>
      </c>
      <c r="K67" s="23">
        <f>INDEX('01_FASTPPH'!$9:$1048576,MATCH($A67,'01_FASTPPH'!$A$9:$A$1048576,0),MATCH(K$9,'01_FASTPPH'!$8:$8,0))</f>
        <v>-590.11300000000006</v>
      </c>
      <c r="L67" s="20">
        <f>INDEX('01_FASTPPH'!$9:$1048576,MATCH($A67,'01_FASTPPH'!$A$9:$A$1048576,0),MATCH(L$9,'01_FASTPPH'!$8:$8,0))</f>
        <v>3185.98</v>
      </c>
      <c r="M67" s="20">
        <f>INDEX('01_FASTPPH'!$9:$1048576,MATCH($A67,'01_FASTPPH'!$A$9:$A$1048576,0),MATCH(M$9,'01_FASTPPH'!$8:$8,0))</f>
        <v>-63.0428</v>
      </c>
      <c r="N67" s="24">
        <f>INDEX('01_FASTPPH'!$9:$1048576,MATCH($A67,'01_FASTPPH'!$A$9:$A$1048576,0),MATCH(N$9,'01_FASTPPH'!$8:$8,0))</f>
        <v>36987.800000000003</v>
      </c>
      <c r="O67" s="23">
        <f>INDEX('01_FASTPPH'!$9:$1048576,MATCH($A67,'01_FASTPPH'!$A$9:$A$1048576,0),MATCH(O$9,'01_FASTPPH'!$8:$8,0))</f>
        <v>908.78099999999995</v>
      </c>
      <c r="P67" s="20">
        <f>INDEX('01_FASTPPH'!$9:$1048576,MATCH($A67,'01_FASTPPH'!$A$9:$A$1048576,0),MATCH(P$9,'01_FASTPPH'!$8:$8,0))</f>
        <v>1033.94</v>
      </c>
      <c r="Q67" s="20">
        <f>INDEX('01_FASTPPH'!$9:$1048576,MATCH($A67,'01_FASTPPH'!$A$9:$A$1048576,0),MATCH(Q$9,'01_FASTPPH'!$8:$8,0))</f>
        <v>401.09800000000001</v>
      </c>
      <c r="R67" s="20">
        <f>INDEX('01_FASTPPH'!$9:$1048576,MATCH($A67,'01_FASTPPH'!$A$9:$A$1048576,0),MATCH(R$9,'01_FASTPPH'!$8:$8,0))</f>
        <v>402.87599999999998</v>
      </c>
      <c r="S67" s="20">
        <f>INDEX('01_FASTPPH'!$9:$1048576,MATCH($A67,'01_FASTPPH'!$A$9:$A$1048576,0),MATCH(S$9,'01_FASTPPH'!$8:$8,0))</f>
        <v>627.65300000000002</v>
      </c>
      <c r="T67" s="24">
        <f>INDEX('01_FASTPPH'!$9:$1048576,MATCH($A67,'01_FASTPPH'!$A$9:$A$1048576,0),MATCH(T$9,'01_FASTPPH'!$8:$8,0))</f>
        <v>760.64200000000005</v>
      </c>
      <c r="U67" s="23">
        <f>INDEX('01_FASTPPH'!$9:$1048576,MATCH($A67,'01_FASTPPH'!$A$9:$A$1048576,0),MATCH(U$9,'01_FASTPPH'!$8:$8,0))</f>
        <v>3404.69</v>
      </c>
      <c r="V67" s="20">
        <f>INDEX('01_FASTPPH'!$9:$1048576,MATCH($A67,'01_FASTPPH'!$A$9:$A$1048576,0),MATCH(V$9,'01_FASTPPH'!$8:$8,0))</f>
        <v>935.03899999999999</v>
      </c>
      <c r="W67" s="24">
        <f>INDEX('01_FASTPPH'!$9:$1048576,MATCH($A67,'01_FASTPPH'!$A$9:$A$1048576,0),MATCH(W$9,'01_FASTPPH'!$8:$8,0))</f>
        <v>816.96100000000001</v>
      </c>
      <c r="X67" s="20">
        <f>INDEX('01_FASTPPH'!$9:$1048576,MATCH($A67,'01_FASTPPH'!$A$9:$A$1048576,0),MATCH(X$9,'01_FASTPPH'!$8:$8,0))</f>
        <v>0.32326199999999999</v>
      </c>
      <c r="Y67" s="20" t="str">
        <f>INDEX('01_FASTPPH'!$9:$1048576,MATCH($A67,'01_FASTPPH'!$A$9:$A$1048576,0),MATCH(Y$9,'01_FASTPPH'!$8:$8,0))</f>
        <v>Pt11   modified</v>
      </c>
      <c r="AA67" s="32">
        <f>INDEX('02_PROPERTIES'!$C$10:$I$1048576,MATCH('03_CALCULATIONS'!$D67,'02_PROPERTIES'!$C$10:$C$1048576,0),MATCH('03_CALCULATIONS'!AA$9,'02_PROPERTIES'!$C$10:$I$10,0))</f>
        <v>16.559999999999999</v>
      </c>
      <c r="AB67" s="20">
        <f>INDEX('02_PROPERTIES'!$C$10:$I$1048576,MATCH('03_CALCULATIONS'!$D67,'02_PROPERTIES'!$C$10:$C$1048576,0),MATCH('03_CALCULATIONS'!AB$9,'02_PROPERTIES'!$C$10:$I$10,0))</f>
        <v>79593.867056640505</v>
      </c>
      <c r="AC67" s="20">
        <f>INDEX('02_PROPERTIES'!$C$10:$I$1048576,MATCH('03_CALCULATIONS'!$D67,'02_PROPERTIES'!$C$10:$C$1048576,0),MATCH('03_CALCULATIONS'!AC$9,'02_PROPERTIES'!$C$10:$I$10,0))</f>
        <v>41017.370743551612</v>
      </c>
      <c r="AD67" s="20">
        <f>INDEX('02_PROPERTIES'!$C$10:$I$1048576,MATCH('03_CALCULATIONS'!$D67,'02_PROPERTIES'!$C$10:$C$1048576,0),MATCH('03_CALCULATIONS'!AD$9,'02_PROPERTIES'!$C$10:$I$10,0))</f>
        <v>19846.188560278148</v>
      </c>
      <c r="AE67" s="32">
        <f>INDEX('02_PROPERTIES'!$C$10:$I$1048576,MATCH('03_CALCULATIONS'!$D67,'02_PROPERTIES'!$C$10:$C$1048576,0),MATCH('03_CALCULATIONS'!AE$9,'02_PROPERTIES'!$C$10:$I$10,0))</f>
        <v>0.4142802271075095</v>
      </c>
      <c r="AF67" s="32">
        <f>INDEX('02_PROPERTIES'!$C$10:$I$1048576,MATCH('03_CALCULATIONS'!$D67,'02_PROPERTIES'!$C$10:$C$1048576,0),MATCH('03_CALCULATIONS'!AF$9,'02_PROPERTIES'!$C$10:$I$10,0))</f>
        <v>1</v>
      </c>
      <c r="AH67" s="20">
        <f t="shared" si="0"/>
        <v>2142.3643333333334</v>
      </c>
      <c r="AI67" s="20">
        <f t="shared" si="1"/>
        <v>739.88024637681167</v>
      </c>
      <c r="AJ67" s="20">
        <f t="shared" si="2"/>
        <v>923.65336231884066</v>
      </c>
      <c r="AL67" s="20">
        <f t="shared" si="3"/>
        <v>1392.8246563826619</v>
      </c>
      <c r="AM67" s="20">
        <f t="shared" si="4"/>
        <v>-217.38600658465316</v>
      </c>
      <c r="AN67" s="20">
        <f t="shared" si="5"/>
        <v>1405.2111077334869</v>
      </c>
      <c r="AO67" s="20">
        <f t="shared" si="6"/>
        <v>1290.3248787657478</v>
      </c>
      <c r="AP67" s="20">
        <f t="shared" si="7"/>
        <v>-114.88622896773904</v>
      </c>
      <c r="AR67" s="20">
        <f t="shared" si="8"/>
        <v>1656.2927473215364</v>
      </c>
      <c r="AS67" s="20">
        <f t="shared" si="9"/>
        <v>-480.85409752352768</v>
      </c>
      <c r="AT67" s="20">
        <f t="shared" si="10"/>
        <v>1619.5100654460234</v>
      </c>
    </row>
    <row r="68" spans="1:46" x14ac:dyDescent="0.3">
      <c r="A68" s="18">
        <v>80</v>
      </c>
      <c r="B68" s="20">
        <f>INDEX('01_FASTPPH'!$9:$1048576,MATCH($A68,'01_FASTPPH'!$A$9:$A$1048576,0),MATCH(B$9,'01_FASTPPH'!$8:$8,0))</f>
        <v>13</v>
      </c>
      <c r="C68" s="20">
        <f>INDEX('01_FASTPPH'!$9:$1048576,MATCH($A68,'01_FASTPPH'!$A$9:$A$1048576,0),MATCH(C$9,'01_FASTPPH'!$8:$8,0))</f>
        <v>1101388</v>
      </c>
      <c r="D68" s="20" t="str">
        <f>INDEX('01_FASTPPH'!$9:$1048576,MATCH($A68,'01_FASTPPH'!$A$9:$A$1048576,0),MATCH(D$9,'01_FASTPPH'!$8:$8,0))</f>
        <v>SkinLH</v>
      </c>
      <c r="E68" s="20">
        <f>INDEX('01_FASTPPH'!$9:$1048576,MATCH($A68,'01_FASTPPH'!$A$9:$A$1048576,0),MATCH(E$9,'01_FASTPPH'!$8:$8,0))</f>
        <v>3908010</v>
      </c>
      <c r="F68" s="20">
        <f>INDEX('01_FASTPPH'!$9:$1048576,MATCH($A68,'01_FASTPPH'!$A$9:$A$1048576,0),MATCH(F$9,'01_FASTPPH'!$8:$8,0))</f>
        <v>1908013</v>
      </c>
      <c r="G68" s="20">
        <f>INDEX('01_FASTPPH'!$9:$1048576,MATCH($A68,'01_FASTPPH'!$A$9:$A$1048576,0),MATCH(G$9,'01_FASTPPH'!$8:$8,0))</f>
        <v>2908010</v>
      </c>
      <c r="H68" s="20">
        <f>INDEX('01_FASTPPH'!$9:$1048576,MATCH($A68,'01_FASTPPH'!$A$9:$A$1048576,0),MATCH(H$9,'01_FASTPPH'!$8:$8,0))</f>
        <v>1908012</v>
      </c>
      <c r="I68" s="20">
        <f>INDEX('01_FASTPPH'!$9:$1048576,MATCH($A68,'01_FASTPPH'!$A$9:$A$1048576,0),MATCH(I$9,'01_FASTPPH'!$8:$8,0))</f>
        <v>57.914999999999999</v>
      </c>
      <c r="J68" s="20" t="str">
        <f>INDEX('01_FASTPPH'!$9:$1048576,MATCH($A68,'01_FASTPPH'!$A$9:$A$1048576,0),MATCH(J$9,'01_FASTPPH'!$8:$8,0))</f>
        <v xml:space="preserve">SUBCASE 102 = STLP ULT (INTACT) :STLP ULT (INTACT) </v>
      </c>
      <c r="K68" s="23">
        <f>INDEX('01_FASTPPH'!$9:$1048576,MATCH($A68,'01_FASTPPH'!$A$9:$A$1048576,0),MATCH(K$9,'01_FASTPPH'!$8:$8,0))</f>
        <v>335.577</v>
      </c>
      <c r="L68" s="20">
        <f>INDEX('01_FASTPPH'!$9:$1048576,MATCH($A68,'01_FASTPPH'!$A$9:$A$1048576,0),MATCH(L$9,'01_FASTPPH'!$8:$8,0))</f>
        <v>3697.03</v>
      </c>
      <c r="M68" s="20">
        <f>INDEX('01_FASTPPH'!$9:$1048576,MATCH($A68,'01_FASTPPH'!$A$9:$A$1048576,0),MATCH(M$9,'01_FASTPPH'!$8:$8,0))</f>
        <v>762.43700000000001</v>
      </c>
      <c r="N68" s="24">
        <f>INDEX('01_FASTPPH'!$9:$1048576,MATCH($A68,'01_FASTPPH'!$A$9:$A$1048576,0),MATCH(N$9,'01_FASTPPH'!$8:$8,0))</f>
        <v>8080.94</v>
      </c>
      <c r="O68" s="23">
        <f>INDEX('01_FASTPPH'!$9:$1048576,MATCH($A68,'01_FASTPPH'!$A$9:$A$1048576,0),MATCH(O$9,'01_FASTPPH'!$8:$8,0))</f>
        <v>-36.410600000000002</v>
      </c>
      <c r="P68" s="20">
        <f>INDEX('01_FASTPPH'!$9:$1048576,MATCH($A68,'01_FASTPPH'!$A$9:$A$1048576,0),MATCH(P$9,'01_FASTPPH'!$8:$8,0))</f>
        <v>-178.328</v>
      </c>
      <c r="Q68" s="20">
        <f>INDEX('01_FASTPPH'!$9:$1048576,MATCH($A68,'01_FASTPPH'!$A$9:$A$1048576,0),MATCH(Q$9,'01_FASTPPH'!$8:$8,0))</f>
        <v>271.96499999999997</v>
      </c>
      <c r="R68" s="20">
        <f>INDEX('01_FASTPPH'!$9:$1048576,MATCH($A68,'01_FASTPPH'!$A$9:$A$1048576,0),MATCH(R$9,'01_FASTPPH'!$8:$8,0))</f>
        <v>390.51499999999999</v>
      </c>
      <c r="S68" s="20">
        <f>INDEX('01_FASTPPH'!$9:$1048576,MATCH($A68,'01_FASTPPH'!$A$9:$A$1048576,0),MATCH(S$9,'01_FASTPPH'!$8:$8,0))</f>
        <v>444.63</v>
      </c>
      <c r="T68" s="24">
        <f>INDEX('01_FASTPPH'!$9:$1048576,MATCH($A68,'01_FASTPPH'!$A$9:$A$1048576,0),MATCH(T$9,'01_FASTPPH'!$8:$8,0))</f>
        <v>583.31600000000003</v>
      </c>
      <c r="U68" s="23">
        <f>INDEX('01_FASTPPH'!$9:$1048576,MATCH($A68,'01_FASTPPH'!$A$9:$A$1048576,0),MATCH(U$9,'01_FASTPPH'!$8:$8,0))</f>
        <v>7155.99</v>
      </c>
      <c r="V68" s="20">
        <f>INDEX('01_FASTPPH'!$9:$1048576,MATCH($A68,'01_FASTPPH'!$A$9:$A$1048576,0),MATCH(V$9,'01_FASTPPH'!$8:$8,0))</f>
        <v>2670.99</v>
      </c>
      <c r="W68" s="24">
        <f>INDEX('01_FASTPPH'!$9:$1048576,MATCH($A68,'01_FASTPPH'!$A$9:$A$1048576,0),MATCH(W$9,'01_FASTPPH'!$8:$8,0))</f>
        <v>635.90200000000004</v>
      </c>
      <c r="X68" s="20">
        <f>INDEX('01_FASTPPH'!$9:$1048576,MATCH($A68,'01_FASTPPH'!$A$9:$A$1048576,0),MATCH(X$9,'01_FASTPPH'!$8:$8,0))</f>
        <v>0</v>
      </c>
      <c r="Y68" s="20">
        <f>INDEX('01_FASTPPH'!$9:$1048576,MATCH($A68,'01_FASTPPH'!$A$9:$A$1048576,0),MATCH(Y$9,'01_FASTPPH'!$8:$8,0))</f>
        <v>0</v>
      </c>
      <c r="AA68" s="32">
        <f>INDEX('02_PROPERTIES'!$C$10:$I$1048576,MATCH('03_CALCULATIONS'!$D68,'02_PROPERTIES'!$C$10:$C$1048576,0),MATCH('03_CALCULATIONS'!AA$9,'02_PROPERTIES'!$C$10:$I$10,0))</f>
        <v>16.559999999999999</v>
      </c>
      <c r="AB68" s="20">
        <f>INDEX('02_PROPERTIES'!$C$10:$I$1048576,MATCH('03_CALCULATIONS'!$D68,'02_PROPERTIES'!$C$10:$C$1048576,0),MATCH('03_CALCULATIONS'!AB$9,'02_PROPERTIES'!$C$10:$I$10,0))</f>
        <v>79593.867056640505</v>
      </c>
      <c r="AC68" s="20">
        <f>INDEX('02_PROPERTIES'!$C$10:$I$1048576,MATCH('03_CALCULATIONS'!$D68,'02_PROPERTIES'!$C$10:$C$1048576,0),MATCH('03_CALCULATIONS'!AC$9,'02_PROPERTIES'!$C$10:$I$10,0))</f>
        <v>41017.370743551612</v>
      </c>
      <c r="AD68" s="20">
        <f>INDEX('02_PROPERTIES'!$C$10:$I$1048576,MATCH('03_CALCULATIONS'!$D68,'02_PROPERTIES'!$C$10:$C$1048576,0),MATCH('03_CALCULATIONS'!AD$9,'02_PROPERTIES'!$C$10:$I$10,0))</f>
        <v>19846.188560278148</v>
      </c>
      <c r="AE68" s="32">
        <f>INDEX('02_PROPERTIES'!$C$10:$I$1048576,MATCH('03_CALCULATIONS'!$D68,'02_PROPERTIES'!$C$10:$C$1048576,0),MATCH('03_CALCULATIONS'!AE$9,'02_PROPERTIES'!$C$10:$I$10,0))</f>
        <v>0.4142802271075095</v>
      </c>
      <c r="AF68" s="32">
        <f>INDEX('02_PROPERTIES'!$C$10:$I$1048576,MATCH('03_CALCULATIONS'!$D68,'02_PROPERTIES'!$C$10:$C$1048576,0),MATCH('03_CALCULATIONS'!AF$9,'02_PROPERTIES'!$C$10:$I$10,0))</f>
        <v>1</v>
      </c>
      <c r="AH68" s="20">
        <f t="shared" si="0"/>
        <v>-2629.1606000000006</v>
      </c>
      <c r="AI68" s="20">
        <f t="shared" si="1"/>
        <v>1239.7149999999999</v>
      </c>
      <c r="AJ68" s="20">
        <f t="shared" si="2"/>
        <v>675.02927536231891</v>
      </c>
      <c r="AL68" s="20">
        <f t="shared" si="3"/>
        <v>-2384.3494115744579</v>
      </c>
      <c r="AM68" s="20">
        <f t="shared" si="4"/>
        <v>3428.6820393892094</v>
      </c>
      <c r="AN68" s="20">
        <f t="shared" si="5"/>
        <v>1026.9638746326343</v>
      </c>
      <c r="AO68" s="20">
        <f t="shared" si="6"/>
        <v>1035.648251223693</v>
      </c>
      <c r="AP68" s="20">
        <f t="shared" si="7"/>
        <v>8.6843765910585944</v>
      </c>
      <c r="AR68" s="20">
        <f t="shared" si="8"/>
        <v>3473.6908966312444</v>
      </c>
      <c r="AS68" s="20">
        <f t="shared" si="9"/>
        <v>-2429.3582688164929</v>
      </c>
      <c r="AT68" s="20">
        <f t="shared" si="10"/>
        <v>3082.6106569389626</v>
      </c>
    </row>
    <row r="69" spans="1:46" x14ac:dyDescent="0.3">
      <c r="A69" s="18">
        <v>114</v>
      </c>
      <c r="B69" s="20">
        <f>INDEX('01_FASTPPH'!$9:$1048576,MATCH($A69,'01_FASTPPH'!$A$9:$A$1048576,0),MATCH(B$9,'01_FASTPPH'!$8:$8,0))</f>
        <v>19</v>
      </c>
      <c r="C69" s="20">
        <f>INDEX('01_FASTPPH'!$9:$1048576,MATCH($A69,'01_FASTPPH'!$A$9:$A$1048576,0),MATCH(C$9,'01_FASTPPH'!$8:$8,0))</f>
        <v>1101201</v>
      </c>
      <c r="D69" s="20" t="str">
        <f>INDEX('01_FASTPPH'!$9:$1048576,MATCH($A69,'01_FASTPPH'!$A$9:$A$1048576,0),MATCH(D$9,'01_FASTPPH'!$8:$8,0))</f>
        <v>SkinLH</v>
      </c>
      <c r="E69" s="20">
        <f>INDEX('01_FASTPPH'!$9:$1048576,MATCH($A69,'01_FASTPPH'!$A$9:$A$1048576,0),MATCH(E$9,'01_FASTPPH'!$8:$8,0))</f>
        <v>2909010</v>
      </c>
      <c r="F69" s="20">
        <f>INDEX('01_FASTPPH'!$9:$1048576,MATCH($A69,'01_FASTPPH'!$A$9:$A$1048576,0),MATCH(F$9,'01_FASTPPH'!$8:$8,0))</f>
        <v>1909012</v>
      </c>
      <c r="G69" s="20">
        <f>INDEX('01_FASTPPH'!$9:$1048576,MATCH($A69,'01_FASTPPH'!$A$9:$A$1048576,0),MATCH(G$9,'01_FASTPPH'!$8:$8,0))</f>
        <v>3909010</v>
      </c>
      <c r="H69" s="20">
        <f>INDEX('01_FASTPPH'!$9:$1048576,MATCH($A69,'01_FASTPPH'!$A$9:$A$1048576,0),MATCH(H$9,'01_FASTPPH'!$8:$8,0))</f>
        <v>1909013</v>
      </c>
      <c r="I69" s="20">
        <f>INDEX('01_FASTPPH'!$9:$1048576,MATCH($A69,'01_FASTPPH'!$A$9:$A$1048576,0),MATCH(I$9,'01_FASTPPH'!$8:$8,0))</f>
        <v>57.914999999999999</v>
      </c>
      <c r="J69" s="20" t="str">
        <f>INDEX('01_FASTPPH'!$9:$1048576,MATCH($A69,'01_FASTPPH'!$A$9:$A$1048576,0),MATCH(J$9,'01_FASTPPH'!$8:$8,0))</f>
        <v xml:space="preserve">SUBCASE 102 = STLP ULT (INTACT) :STLP ULT (INTACT) </v>
      </c>
      <c r="K69" s="23">
        <f>INDEX('01_FASTPPH'!$9:$1048576,MATCH($A69,'01_FASTPPH'!$A$9:$A$1048576,0),MATCH(K$9,'01_FASTPPH'!$8:$8,0))</f>
        <v>2109.21</v>
      </c>
      <c r="L69" s="20">
        <f>INDEX('01_FASTPPH'!$9:$1048576,MATCH($A69,'01_FASTPPH'!$A$9:$A$1048576,0),MATCH(L$9,'01_FASTPPH'!$8:$8,0))</f>
        <v>6825.71</v>
      </c>
      <c r="M69" s="20">
        <f>INDEX('01_FASTPPH'!$9:$1048576,MATCH($A69,'01_FASTPPH'!$A$9:$A$1048576,0),MATCH(M$9,'01_FASTPPH'!$8:$8,0))</f>
        <v>183.07499999999999</v>
      </c>
      <c r="N69" s="24">
        <f>INDEX('01_FASTPPH'!$9:$1048576,MATCH($A69,'01_FASTPPH'!$A$9:$A$1048576,0),MATCH(N$9,'01_FASTPPH'!$8:$8,0))</f>
        <v>8165.33</v>
      </c>
      <c r="O69" s="23">
        <f>INDEX('01_FASTPPH'!$9:$1048576,MATCH($A69,'01_FASTPPH'!$A$9:$A$1048576,0),MATCH(O$9,'01_FASTPPH'!$8:$8,0))</f>
        <v>73.895899999999997</v>
      </c>
      <c r="P69" s="20">
        <f>INDEX('01_FASTPPH'!$9:$1048576,MATCH($A69,'01_FASTPPH'!$A$9:$A$1048576,0),MATCH(P$9,'01_FASTPPH'!$8:$8,0))</f>
        <v>227.37299999999999</v>
      </c>
      <c r="Q69" s="20">
        <f>INDEX('01_FASTPPH'!$9:$1048576,MATCH($A69,'01_FASTPPH'!$A$9:$A$1048576,0),MATCH(Q$9,'01_FASTPPH'!$8:$8,0))</f>
        <v>323.19499999999999</v>
      </c>
      <c r="R69" s="20">
        <f>INDEX('01_FASTPPH'!$9:$1048576,MATCH($A69,'01_FASTPPH'!$A$9:$A$1048576,0),MATCH(R$9,'01_FASTPPH'!$8:$8,0))</f>
        <v>467.95299999999997</v>
      </c>
      <c r="S69" s="20">
        <f>INDEX('01_FASTPPH'!$9:$1048576,MATCH($A69,'01_FASTPPH'!$A$9:$A$1048576,0),MATCH(S$9,'01_FASTPPH'!$8:$8,0))</f>
        <v>463.71499999999997</v>
      </c>
      <c r="T69" s="24">
        <f>INDEX('01_FASTPPH'!$9:$1048576,MATCH($A69,'01_FASTPPH'!$A$9:$A$1048576,0),MATCH(T$9,'01_FASTPPH'!$8:$8,0))</f>
        <v>640.83600000000001</v>
      </c>
      <c r="U69" s="23">
        <f>INDEX('01_FASTPPH'!$9:$1048576,MATCH($A69,'01_FASTPPH'!$A$9:$A$1048576,0),MATCH(U$9,'01_FASTPPH'!$8:$8,0))</f>
        <v>3403.66</v>
      </c>
      <c r="V69" s="20">
        <f>INDEX('01_FASTPPH'!$9:$1048576,MATCH($A69,'01_FASTPPH'!$A$9:$A$1048576,0),MATCH(V$9,'01_FASTPPH'!$8:$8,0))</f>
        <v>1636.68</v>
      </c>
      <c r="W69" s="24">
        <f>INDEX('01_FASTPPH'!$9:$1048576,MATCH($A69,'01_FASTPPH'!$A$9:$A$1048576,0),MATCH(W$9,'01_FASTPPH'!$8:$8,0))</f>
        <v>-98.560299999999998</v>
      </c>
      <c r="X69" s="20">
        <f>INDEX('01_FASTPPH'!$9:$1048576,MATCH($A69,'01_FASTPPH'!$A$9:$A$1048576,0),MATCH(X$9,'01_FASTPPH'!$8:$8,0))</f>
        <v>0.30682900000000002</v>
      </c>
      <c r="Y69" s="20">
        <f>INDEX('01_FASTPPH'!$9:$1048576,MATCH($A69,'01_FASTPPH'!$A$9:$A$1048576,0),MATCH(Y$9,'01_FASTPPH'!$8:$8,0))</f>
        <v>0</v>
      </c>
      <c r="AA69" s="32">
        <f>INDEX('02_PROPERTIES'!$C$10:$I$1048576,MATCH('03_CALCULATIONS'!$D69,'02_PROPERTIES'!$C$10:$C$1048576,0),MATCH('03_CALCULATIONS'!AA$9,'02_PROPERTIES'!$C$10:$I$10,0))</f>
        <v>16.559999999999999</v>
      </c>
      <c r="AB69" s="20">
        <f>INDEX('02_PROPERTIES'!$C$10:$I$1048576,MATCH('03_CALCULATIONS'!$D69,'02_PROPERTIES'!$C$10:$C$1048576,0),MATCH('03_CALCULATIONS'!AB$9,'02_PROPERTIES'!$C$10:$I$10,0))</f>
        <v>79593.867056640505</v>
      </c>
      <c r="AC69" s="20">
        <f>INDEX('02_PROPERTIES'!$C$10:$I$1048576,MATCH('03_CALCULATIONS'!$D69,'02_PROPERTIES'!$C$10:$C$1048576,0),MATCH('03_CALCULATIONS'!AC$9,'02_PROPERTIES'!$C$10:$I$10,0))</f>
        <v>41017.370743551612</v>
      </c>
      <c r="AD69" s="20">
        <f>INDEX('02_PROPERTIES'!$C$10:$I$1048576,MATCH('03_CALCULATIONS'!$D69,'02_PROPERTIES'!$C$10:$C$1048576,0),MATCH('03_CALCULATIONS'!AD$9,'02_PROPERTIES'!$C$10:$I$10,0))</f>
        <v>19846.188560278148</v>
      </c>
      <c r="AE69" s="32">
        <f>INDEX('02_PROPERTIES'!$C$10:$I$1048576,MATCH('03_CALCULATIONS'!$D69,'02_PROPERTIES'!$C$10:$C$1048576,0),MATCH('03_CALCULATIONS'!AE$9,'02_PROPERTIES'!$C$10:$I$10,0))</f>
        <v>0.4142802271075095</v>
      </c>
      <c r="AF69" s="32">
        <f>INDEX('02_PROPERTIES'!$C$10:$I$1048576,MATCH('03_CALCULATIONS'!$D69,'02_PROPERTIES'!$C$10:$C$1048576,0),MATCH('03_CALCULATIONS'!AF$9,'02_PROPERTIES'!$C$10:$I$10,0))</f>
        <v>1</v>
      </c>
      <c r="AH69" s="20">
        <f t="shared" si="0"/>
        <v>1307.1060449275362</v>
      </c>
      <c r="AI69" s="20">
        <f t="shared" si="1"/>
        <v>916.19499999999994</v>
      </c>
      <c r="AJ69" s="20">
        <f t="shared" si="2"/>
        <v>499.42525362318838</v>
      </c>
      <c r="AL69" s="20">
        <f t="shared" si="3"/>
        <v>703.71182779169783</v>
      </c>
      <c r="AM69" s="20">
        <f t="shared" si="4"/>
        <v>551.62031934323102</v>
      </c>
      <c r="AN69" s="20">
        <f t="shared" si="5"/>
        <v>759.80659249921166</v>
      </c>
      <c r="AO69" s="20">
        <f t="shared" si="6"/>
        <v>1007.5693698170703</v>
      </c>
      <c r="AP69" s="20">
        <f t="shared" si="7"/>
        <v>247.76277731785859</v>
      </c>
      <c r="AR69" s="20">
        <f t="shared" si="8"/>
        <v>1015.1057091713199</v>
      </c>
      <c r="AS69" s="20">
        <f t="shared" si="9"/>
        <v>240.22643796360899</v>
      </c>
      <c r="AT69" s="20">
        <f t="shared" si="10"/>
        <v>763.6026550116203</v>
      </c>
    </row>
    <row r="70" spans="1:46" x14ac:dyDescent="0.3">
      <c r="A70" s="18">
        <v>18</v>
      </c>
      <c r="B70" s="20">
        <f>INDEX('01_FASTPPH'!$9:$1048576,MATCH($A70,'01_FASTPPH'!$A$9:$A$1048576,0),MATCH(B$9,'01_FASTPPH'!$8:$8,0))</f>
        <v>3</v>
      </c>
      <c r="C70" s="20">
        <f>INDEX('01_FASTPPH'!$9:$1048576,MATCH($A70,'01_FASTPPH'!$A$9:$A$1048576,0),MATCH(C$9,'01_FASTPPH'!$8:$8,0))</f>
        <v>1101227</v>
      </c>
      <c r="D70" s="20" t="str">
        <f>INDEX('01_FASTPPH'!$9:$1048576,MATCH($A70,'01_FASTPPH'!$A$9:$A$1048576,0),MATCH(D$9,'01_FASTPPH'!$8:$8,0))</f>
        <v>SkinLH</v>
      </c>
      <c r="E70" s="20">
        <f>INDEX('01_FASTPPH'!$9:$1048576,MATCH($A70,'01_FASTPPH'!$A$9:$A$1048576,0),MATCH(E$9,'01_FASTPPH'!$8:$8,0))</f>
        <v>3910010</v>
      </c>
      <c r="F70" s="20">
        <f>INDEX('01_FASTPPH'!$9:$1048576,MATCH($A70,'01_FASTPPH'!$A$9:$A$1048576,0),MATCH(F$9,'01_FASTPPH'!$8:$8,0))</f>
        <v>1910013</v>
      </c>
      <c r="G70" s="20">
        <f>INDEX('01_FASTPPH'!$9:$1048576,MATCH($A70,'01_FASTPPH'!$A$9:$A$1048576,0),MATCH(G$9,'01_FASTPPH'!$8:$8,0))</f>
        <v>2910010</v>
      </c>
      <c r="H70" s="20">
        <f>INDEX('01_FASTPPH'!$9:$1048576,MATCH($A70,'01_FASTPPH'!$A$9:$A$1048576,0),MATCH(H$9,'01_FASTPPH'!$8:$8,0))</f>
        <v>1910012</v>
      </c>
      <c r="I70" s="20">
        <f>INDEX('01_FASTPPH'!$9:$1048576,MATCH($A70,'01_FASTPPH'!$A$9:$A$1048576,0),MATCH(I$9,'01_FASTPPH'!$8:$8,0))</f>
        <v>57.914999999999999</v>
      </c>
      <c r="J70" s="20" t="str">
        <f>INDEX('01_FASTPPH'!$9:$1048576,MATCH($A70,'01_FASTPPH'!$A$9:$A$1048576,0),MATCH(J$9,'01_FASTPPH'!$8:$8,0))</f>
        <v xml:space="preserve">SUBCASE 102 = STLP ULT (INTACT) :STLP ULT (INTACT) </v>
      </c>
      <c r="K70" s="23">
        <f>INDEX('01_FASTPPH'!$9:$1048576,MATCH($A70,'01_FASTPPH'!$A$9:$A$1048576,0),MATCH(K$9,'01_FASTPPH'!$8:$8,0))</f>
        <v>-2597.38</v>
      </c>
      <c r="L70" s="20">
        <f>INDEX('01_FASTPPH'!$9:$1048576,MATCH($A70,'01_FASTPPH'!$A$9:$A$1048576,0),MATCH(L$9,'01_FASTPPH'!$8:$8,0))</f>
        <v>3852.76</v>
      </c>
      <c r="M70" s="20">
        <f>INDEX('01_FASTPPH'!$9:$1048576,MATCH($A70,'01_FASTPPH'!$A$9:$A$1048576,0),MATCH(M$9,'01_FASTPPH'!$8:$8,0))</f>
        <v>-50.116</v>
      </c>
      <c r="N70" s="24">
        <f>INDEX('01_FASTPPH'!$9:$1048576,MATCH($A70,'01_FASTPPH'!$A$9:$A$1048576,0),MATCH(N$9,'01_FASTPPH'!$8:$8,0))</f>
        <v>15727.3</v>
      </c>
      <c r="O70" s="23">
        <f>INDEX('01_FASTPPH'!$9:$1048576,MATCH($A70,'01_FASTPPH'!$A$9:$A$1048576,0),MATCH(O$9,'01_FASTPPH'!$8:$8,0))</f>
        <v>-620.45100000000002</v>
      </c>
      <c r="P70" s="20">
        <f>INDEX('01_FASTPPH'!$9:$1048576,MATCH($A70,'01_FASTPPH'!$A$9:$A$1048576,0),MATCH(P$9,'01_FASTPPH'!$8:$8,0))</f>
        <v>-775.03399999999999</v>
      </c>
      <c r="Q70" s="20">
        <f>INDEX('01_FASTPPH'!$9:$1048576,MATCH($A70,'01_FASTPPH'!$A$9:$A$1048576,0),MATCH(Q$9,'01_FASTPPH'!$8:$8,0))</f>
        <v>238.08</v>
      </c>
      <c r="R70" s="20">
        <f>INDEX('01_FASTPPH'!$9:$1048576,MATCH($A70,'01_FASTPPH'!$A$9:$A$1048576,0),MATCH(R$9,'01_FASTPPH'!$8:$8,0))</f>
        <v>320.161</v>
      </c>
      <c r="S70" s="20">
        <f>INDEX('01_FASTPPH'!$9:$1048576,MATCH($A70,'01_FASTPPH'!$A$9:$A$1048576,0),MATCH(S$9,'01_FASTPPH'!$8:$8,0))</f>
        <v>349.43099999999998</v>
      </c>
      <c r="T70" s="24">
        <f>INDEX('01_FASTPPH'!$9:$1048576,MATCH($A70,'01_FASTPPH'!$A$9:$A$1048576,0),MATCH(T$9,'01_FASTPPH'!$8:$8,0))</f>
        <v>446.15699999999998</v>
      </c>
      <c r="U70" s="23">
        <f>INDEX('01_FASTPPH'!$9:$1048576,MATCH($A70,'01_FASTPPH'!$A$9:$A$1048576,0),MATCH(U$9,'01_FASTPPH'!$8:$8,0))</f>
        <v>4715.01</v>
      </c>
      <c r="V70" s="20">
        <f>INDEX('01_FASTPPH'!$9:$1048576,MATCH($A70,'01_FASTPPH'!$A$9:$A$1048576,0),MATCH(V$9,'01_FASTPPH'!$8:$8,0))</f>
        <v>2524.61</v>
      </c>
      <c r="W70" s="24">
        <f>INDEX('01_FASTPPH'!$9:$1048576,MATCH($A70,'01_FASTPPH'!$A$9:$A$1048576,0),MATCH(W$9,'01_FASTPPH'!$8:$8,0))</f>
        <v>-230.54</v>
      </c>
      <c r="X70" s="20">
        <f>INDEX('01_FASTPPH'!$9:$1048576,MATCH($A70,'01_FASTPPH'!$A$9:$A$1048576,0),MATCH(X$9,'01_FASTPPH'!$8:$8,0))</f>
        <v>0</v>
      </c>
      <c r="Y70" s="20">
        <f>INDEX('01_FASTPPH'!$9:$1048576,MATCH($A70,'01_FASTPPH'!$A$9:$A$1048576,0),MATCH(Y$9,'01_FASTPPH'!$8:$8,0))</f>
        <v>0</v>
      </c>
      <c r="AA70" s="32">
        <f>INDEX('02_PROPERTIES'!$C$10:$I$1048576,MATCH('03_CALCULATIONS'!$D70,'02_PROPERTIES'!$C$10:$C$1048576,0),MATCH('03_CALCULATIONS'!AA$9,'02_PROPERTIES'!$C$10:$I$10,0))</f>
        <v>16.559999999999999</v>
      </c>
      <c r="AB70" s="20">
        <f>INDEX('02_PROPERTIES'!$C$10:$I$1048576,MATCH('03_CALCULATIONS'!$D70,'02_PROPERTIES'!$C$10:$C$1048576,0),MATCH('03_CALCULATIONS'!AB$9,'02_PROPERTIES'!$C$10:$I$10,0))</f>
        <v>79593.867056640505</v>
      </c>
      <c r="AC70" s="20">
        <f>INDEX('02_PROPERTIES'!$C$10:$I$1048576,MATCH('03_CALCULATIONS'!$D70,'02_PROPERTIES'!$C$10:$C$1048576,0),MATCH('03_CALCULATIONS'!AC$9,'02_PROPERTIES'!$C$10:$I$10,0))</f>
        <v>41017.370743551612</v>
      </c>
      <c r="AD70" s="20">
        <f>INDEX('02_PROPERTIES'!$C$10:$I$1048576,MATCH('03_CALCULATIONS'!$D70,'02_PROPERTIES'!$C$10:$C$1048576,0),MATCH('03_CALCULATIONS'!AD$9,'02_PROPERTIES'!$C$10:$I$10,0))</f>
        <v>19846.188560278148</v>
      </c>
      <c r="AE70" s="32">
        <f>INDEX('02_PROPERTIES'!$C$10:$I$1048576,MATCH('03_CALCULATIONS'!$D70,'02_PROPERTIES'!$C$10:$C$1048576,0),MATCH('03_CALCULATIONS'!AE$9,'02_PROPERTIES'!$C$10:$I$10,0))</f>
        <v>0.4142802271075095</v>
      </c>
      <c r="AF70" s="32">
        <f>INDEX('02_PROPERTIES'!$C$10:$I$1048576,MATCH('03_CALCULATIONS'!$D70,'02_PROPERTIES'!$C$10:$C$1048576,0),MATCH('03_CALCULATIONS'!AF$9,'02_PROPERTIES'!$C$10:$I$10,0))</f>
        <v>1</v>
      </c>
      <c r="AH70" s="20">
        <f t="shared" si="0"/>
        <v>-2328.787956521739</v>
      </c>
      <c r="AI70" s="20">
        <f t="shared" si="1"/>
        <v>1152.7937681159422</v>
      </c>
      <c r="AJ70" s="20">
        <f t="shared" si="2"/>
        <v>432.95998550724636</v>
      </c>
      <c r="AL70" s="20">
        <f t="shared" si="3"/>
        <v>-2129.1419806821696</v>
      </c>
      <c r="AM70" s="20">
        <f t="shared" si="4"/>
        <v>3117.5147120073434</v>
      </c>
      <c r="AN70" s="20">
        <f t="shared" si="5"/>
        <v>658.68886062571949</v>
      </c>
      <c r="AO70" s="20">
        <f t="shared" si="6"/>
        <v>823.53079597544661</v>
      </c>
      <c r="AP70" s="20">
        <f t="shared" si="7"/>
        <v>164.84193534972718</v>
      </c>
      <c r="AR70" s="20">
        <f t="shared" si="8"/>
        <v>3138.1075760079361</v>
      </c>
      <c r="AS70" s="20">
        <f t="shared" si="9"/>
        <v>-2149.7348446827623</v>
      </c>
      <c r="AT70" s="20">
        <f t="shared" si="10"/>
        <v>2704.7592550628833</v>
      </c>
    </row>
    <row r="71" spans="1:46" x14ac:dyDescent="0.3">
      <c r="A71" s="18">
        <v>30</v>
      </c>
      <c r="B71" s="20">
        <f>INDEX('01_FASTPPH'!$9:$1048576,MATCH($A71,'01_FASTPPH'!$A$9:$A$1048576,0),MATCH(B$9,'01_FASTPPH'!$8:$8,0))</f>
        <v>5</v>
      </c>
      <c r="C71" s="20">
        <f>INDEX('01_FASTPPH'!$9:$1048576,MATCH($A71,'01_FASTPPH'!$A$9:$A$1048576,0),MATCH(C$9,'01_FASTPPH'!$8:$8,0))</f>
        <v>1101134</v>
      </c>
      <c r="D71" s="20" t="str">
        <f>INDEX('01_FASTPPH'!$9:$1048576,MATCH($A71,'01_FASTPPH'!$A$9:$A$1048576,0),MATCH(D$9,'01_FASTPPH'!$8:$8,0))</f>
        <v>SkinLH</v>
      </c>
      <c r="E71" s="20">
        <f>INDEX('01_FASTPPH'!$9:$1048576,MATCH($A71,'01_FASTPPH'!$A$9:$A$1048576,0),MATCH(E$9,'01_FASTPPH'!$8:$8,0))</f>
        <v>2911010</v>
      </c>
      <c r="F71" s="20">
        <f>INDEX('01_FASTPPH'!$9:$1048576,MATCH($A71,'01_FASTPPH'!$A$9:$A$1048576,0),MATCH(F$9,'01_FASTPPH'!$8:$8,0))</f>
        <v>1911012</v>
      </c>
      <c r="G71" s="20">
        <f>INDEX('01_FASTPPH'!$9:$1048576,MATCH($A71,'01_FASTPPH'!$A$9:$A$1048576,0),MATCH(G$9,'01_FASTPPH'!$8:$8,0))</f>
        <v>3911010</v>
      </c>
      <c r="H71" s="20">
        <f>INDEX('01_FASTPPH'!$9:$1048576,MATCH($A71,'01_FASTPPH'!$A$9:$A$1048576,0),MATCH(H$9,'01_FASTPPH'!$8:$8,0))</f>
        <v>1911011</v>
      </c>
      <c r="I71" s="20">
        <f>INDEX('01_FASTPPH'!$9:$1048576,MATCH($A71,'01_FASTPPH'!$A$9:$A$1048576,0),MATCH(I$9,'01_FASTPPH'!$8:$8,0))</f>
        <v>57.914999999999999</v>
      </c>
      <c r="J71" s="20" t="str">
        <f>INDEX('01_FASTPPH'!$9:$1048576,MATCH($A71,'01_FASTPPH'!$A$9:$A$1048576,0),MATCH(J$9,'01_FASTPPH'!$8:$8,0))</f>
        <v xml:space="preserve">SUBCASE 102 = STLP ULT (INTACT) :STLP ULT (INTACT) </v>
      </c>
      <c r="K71" s="23">
        <f>INDEX('01_FASTPPH'!$9:$1048576,MATCH($A71,'01_FASTPPH'!$A$9:$A$1048576,0),MATCH(K$9,'01_FASTPPH'!$8:$8,0))</f>
        <v>-88.460899999999995</v>
      </c>
      <c r="L71" s="20">
        <f>INDEX('01_FASTPPH'!$9:$1048576,MATCH($A71,'01_FASTPPH'!$A$9:$A$1048576,0),MATCH(L$9,'01_FASTPPH'!$8:$8,0))</f>
        <v>-1444.71</v>
      </c>
      <c r="M71" s="20">
        <f>INDEX('01_FASTPPH'!$9:$1048576,MATCH($A71,'01_FASTPPH'!$A$9:$A$1048576,0),MATCH(M$9,'01_FASTPPH'!$8:$8,0))</f>
        <v>-2886.85</v>
      </c>
      <c r="N71" s="24">
        <f>INDEX('01_FASTPPH'!$9:$1048576,MATCH($A71,'01_FASTPPH'!$A$9:$A$1048576,0),MATCH(N$9,'01_FASTPPH'!$8:$8,0))</f>
        <v>20184</v>
      </c>
      <c r="O71" s="23">
        <f>INDEX('01_FASTPPH'!$9:$1048576,MATCH($A71,'01_FASTPPH'!$A$9:$A$1048576,0),MATCH(O$9,'01_FASTPPH'!$8:$8,0))</f>
        <v>-1676.78</v>
      </c>
      <c r="P71" s="20">
        <f>INDEX('01_FASTPPH'!$9:$1048576,MATCH($A71,'01_FASTPPH'!$A$9:$A$1048576,0),MATCH(P$9,'01_FASTPPH'!$8:$8,0))</f>
        <v>-1712.69</v>
      </c>
      <c r="Q71" s="20">
        <f>INDEX('01_FASTPPH'!$9:$1048576,MATCH($A71,'01_FASTPPH'!$A$9:$A$1048576,0),MATCH(Q$9,'01_FASTPPH'!$8:$8,0))</f>
        <v>235.77600000000001</v>
      </c>
      <c r="R71" s="20">
        <f>INDEX('01_FASTPPH'!$9:$1048576,MATCH($A71,'01_FASTPPH'!$A$9:$A$1048576,0),MATCH(R$9,'01_FASTPPH'!$8:$8,0))</f>
        <v>238.70599999999999</v>
      </c>
      <c r="S71" s="20">
        <f>INDEX('01_FASTPPH'!$9:$1048576,MATCH($A71,'01_FASTPPH'!$A$9:$A$1048576,0),MATCH(S$9,'01_FASTPPH'!$8:$8,0))</f>
        <v>302.01799999999997</v>
      </c>
      <c r="T71" s="24">
        <f>INDEX('01_FASTPPH'!$9:$1048576,MATCH($A71,'01_FASTPPH'!$A$9:$A$1048576,0),MATCH(T$9,'01_FASTPPH'!$8:$8,0))</f>
        <v>332.54599999999999</v>
      </c>
      <c r="U71" s="23">
        <f>INDEX('01_FASTPPH'!$9:$1048576,MATCH($A71,'01_FASTPPH'!$A$9:$A$1048576,0),MATCH(U$9,'01_FASTPPH'!$8:$8,0))</f>
        <v>4887.17</v>
      </c>
      <c r="V71" s="20">
        <f>INDEX('01_FASTPPH'!$9:$1048576,MATCH($A71,'01_FASTPPH'!$A$9:$A$1048576,0),MATCH(V$9,'01_FASTPPH'!$8:$8,0))</f>
        <v>1533.39</v>
      </c>
      <c r="W71" s="24">
        <f>INDEX('01_FASTPPH'!$9:$1048576,MATCH($A71,'01_FASTPPH'!$A$9:$A$1048576,0),MATCH(W$9,'01_FASTPPH'!$8:$8,0))</f>
        <v>-630.31200000000001</v>
      </c>
      <c r="X71" s="20">
        <f>INDEX('01_FASTPPH'!$9:$1048576,MATCH($A71,'01_FASTPPH'!$A$9:$A$1048576,0),MATCH(X$9,'01_FASTPPH'!$8:$8,0))</f>
        <v>0.32093500000000003</v>
      </c>
      <c r="Y71" s="20">
        <f>INDEX('01_FASTPPH'!$9:$1048576,MATCH($A71,'01_FASTPPH'!$A$9:$A$1048576,0),MATCH(Y$9,'01_FASTPPH'!$8:$8,0))</f>
        <v>0</v>
      </c>
      <c r="AA71" s="32">
        <f>INDEX('02_PROPERTIES'!$C$10:$I$1048576,MATCH('03_CALCULATIONS'!$D71,'02_PROPERTIES'!$C$10:$C$1048576,0),MATCH('03_CALCULATIONS'!AA$9,'02_PROPERTIES'!$C$10:$I$10,0))</f>
        <v>16.559999999999999</v>
      </c>
      <c r="AB71" s="20">
        <f>INDEX('02_PROPERTIES'!$C$10:$I$1048576,MATCH('03_CALCULATIONS'!$D71,'02_PROPERTIES'!$C$10:$C$1048576,0),MATCH('03_CALCULATIONS'!AB$9,'02_PROPERTIES'!$C$10:$I$10,0))</f>
        <v>79593.867056640505</v>
      </c>
      <c r="AC71" s="20">
        <f>INDEX('02_PROPERTIES'!$C$10:$I$1048576,MATCH('03_CALCULATIONS'!$D71,'02_PROPERTIES'!$C$10:$C$1048576,0),MATCH('03_CALCULATIONS'!AC$9,'02_PROPERTIES'!$C$10:$I$10,0))</f>
        <v>41017.370743551612</v>
      </c>
      <c r="AD71" s="20">
        <f>INDEX('02_PROPERTIES'!$C$10:$I$1048576,MATCH('03_CALCULATIONS'!$D71,'02_PROPERTIES'!$C$10:$C$1048576,0),MATCH('03_CALCULATIONS'!AD$9,'02_PROPERTIES'!$C$10:$I$10,0))</f>
        <v>19846.188560278148</v>
      </c>
      <c r="AE71" s="32">
        <f>INDEX('02_PROPERTIES'!$C$10:$I$1048576,MATCH('03_CALCULATIONS'!$D71,'02_PROPERTIES'!$C$10:$C$1048576,0),MATCH('03_CALCULATIONS'!AE$9,'02_PROPERTIES'!$C$10:$I$10,0))</f>
        <v>0.4142802271075095</v>
      </c>
      <c r="AF71" s="32">
        <f>INDEX('02_PROPERTIES'!$C$10:$I$1048576,MATCH('03_CALCULATIONS'!$D71,'02_PROPERTIES'!$C$10:$C$1048576,0),MATCH('03_CALCULATIONS'!AF$9,'02_PROPERTIES'!$C$10:$I$10,0))</f>
        <v>1</v>
      </c>
      <c r="AH71" s="20">
        <f t="shared" si="0"/>
        <v>-3447.4937681159422</v>
      </c>
      <c r="AI71" s="20">
        <f t="shared" si="1"/>
        <v>791.35208695652182</v>
      </c>
      <c r="AJ71" s="20">
        <f t="shared" si="2"/>
        <v>530.39191304347833</v>
      </c>
      <c r="AL71" s="20">
        <f t="shared" si="3"/>
        <v>-2864.2807873879319</v>
      </c>
      <c r="AM71" s="20">
        <f t="shared" si="4"/>
        <v>3267.7044330988033</v>
      </c>
      <c r="AN71" s="20">
        <f t="shared" si="5"/>
        <v>806.91809077552091</v>
      </c>
      <c r="AO71" s="20">
        <f t="shared" si="6"/>
        <v>605.17086824319608</v>
      </c>
      <c r="AP71" s="20">
        <f t="shared" si="7"/>
        <v>-201.74722253232477</v>
      </c>
      <c r="AR71" s="20">
        <f t="shared" si="8"/>
        <v>3294.1364197328021</v>
      </c>
      <c r="AS71" s="20">
        <f t="shared" si="9"/>
        <v>-2890.7127740219303</v>
      </c>
      <c r="AT71" s="20">
        <f t="shared" si="10"/>
        <v>3170.3986328674428</v>
      </c>
    </row>
    <row r="72" spans="1:46" x14ac:dyDescent="0.3">
      <c r="A72" s="18">
        <v>232</v>
      </c>
      <c r="B72" s="20">
        <f>INDEX('01_FASTPPH'!$9:$1048576,MATCH($A72,'01_FASTPPH'!$A$9:$A$1048576,0),MATCH(B$9,'01_FASTPPH'!$8:$8,0))</f>
        <v>39</v>
      </c>
      <c r="C72" s="20">
        <f>INDEX('01_FASTPPH'!$9:$1048576,MATCH($A72,'01_FASTPPH'!$A$9:$A$1048576,0),MATCH(C$9,'01_FASTPPH'!$8:$8,0))</f>
        <v>1101517</v>
      </c>
      <c r="D72" s="20" t="str">
        <f>INDEX('01_FASTPPH'!$9:$1048576,MATCH($A72,'01_FASTPPH'!$A$9:$A$1048576,0),MATCH(D$9,'01_FASTPPH'!$8:$8,0))</f>
        <v>SkinLH</v>
      </c>
      <c r="E72" s="20">
        <f>INDEX('01_FASTPPH'!$9:$1048576,MATCH($A72,'01_FASTPPH'!$A$9:$A$1048576,0),MATCH(E$9,'01_FASTPPH'!$8:$8,0))</f>
        <v>3912010</v>
      </c>
      <c r="F72" s="20">
        <f>INDEX('01_FASTPPH'!$9:$1048576,MATCH($A72,'01_FASTPPH'!$A$9:$A$1048576,0),MATCH(F$9,'01_FASTPPH'!$8:$8,0))</f>
        <v>1912011</v>
      </c>
      <c r="G72" s="20">
        <f>INDEX('01_FASTPPH'!$9:$1048576,MATCH($A72,'01_FASTPPH'!$A$9:$A$1048576,0),MATCH(G$9,'01_FASTPPH'!$8:$8,0))</f>
        <v>0</v>
      </c>
      <c r="H72" s="20">
        <f>INDEX('01_FASTPPH'!$9:$1048576,MATCH($A72,'01_FASTPPH'!$A$9:$A$1048576,0),MATCH(H$9,'01_FASTPPH'!$8:$8,0))</f>
        <v>0</v>
      </c>
      <c r="I72" s="20">
        <f>INDEX('01_FASTPPH'!$9:$1048576,MATCH($A72,'01_FASTPPH'!$A$9:$A$1048576,0),MATCH(I$9,'01_FASTPPH'!$8:$8,0))</f>
        <v>57.914999999999999</v>
      </c>
      <c r="J72" s="20" t="str">
        <f>INDEX('01_FASTPPH'!$9:$1048576,MATCH($A72,'01_FASTPPH'!$A$9:$A$1048576,0),MATCH(J$9,'01_FASTPPH'!$8:$8,0))</f>
        <v xml:space="preserve">SUBCASE 102 = STLP ULT (INTACT) :STLP ULT (INTACT) </v>
      </c>
      <c r="K72" s="23">
        <f>INDEX('01_FASTPPH'!$9:$1048576,MATCH($A72,'01_FASTPPH'!$A$9:$A$1048576,0),MATCH(K$9,'01_FASTPPH'!$8:$8,0))</f>
        <v>10479.700000000001</v>
      </c>
      <c r="L72" s="20">
        <f>INDEX('01_FASTPPH'!$9:$1048576,MATCH($A72,'01_FASTPPH'!$A$9:$A$1048576,0),MATCH(L$9,'01_FASTPPH'!$8:$8,0))</f>
        <v>-1348.64</v>
      </c>
      <c r="M72" s="20">
        <f>INDEX('01_FASTPPH'!$9:$1048576,MATCH($A72,'01_FASTPPH'!$A$9:$A$1048576,0),MATCH(M$9,'01_FASTPPH'!$8:$8,0))</f>
        <v>-16574.3</v>
      </c>
      <c r="N72" s="24">
        <f>INDEX('01_FASTPPH'!$9:$1048576,MATCH($A72,'01_FASTPPH'!$A$9:$A$1048576,0),MATCH(N$9,'01_FASTPPH'!$8:$8,0))</f>
        <v>0</v>
      </c>
      <c r="O72" s="23">
        <f>INDEX('01_FASTPPH'!$9:$1048576,MATCH($A72,'01_FASTPPH'!$A$9:$A$1048576,0),MATCH(O$9,'01_FASTPPH'!$8:$8,0))</f>
        <v>-2468.2199999999998</v>
      </c>
      <c r="P72" s="20">
        <f>INDEX('01_FASTPPH'!$9:$1048576,MATCH($A72,'01_FASTPPH'!$A$9:$A$1048576,0),MATCH(P$9,'01_FASTPPH'!$8:$8,0))</f>
        <v>-2471.5500000000002</v>
      </c>
      <c r="Q72" s="20">
        <f>INDEX('01_FASTPPH'!$9:$1048576,MATCH($A72,'01_FASTPPH'!$A$9:$A$1048576,0),MATCH(Q$9,'01_FASTPPH'!$8:$8,0))</f>
        <v>149.83799999999999</v>
      </c>
      <c r="R72" s="20">
        <f>INDEX('01_FASTPPH'!$9:$1048576,MATCH($A72,'01_FASTPPH'!$A$9:$A$1048576,0),MATCH(R$9,'01_FASTPPH'!$8:$8,0))</f>
        <v>222.11</v>
      </c>
      <c r="S72" s="20">
        <f>INDEX('01_FASTPPH'!$9:$1048576,MATCH($A72,'01_FASTPPH'!$A$9:$A$1048576,0),MATCH(S$9,'01_FASTPPH'!$8:$8,0))</f>
        <v>305.97199999999998</v>
      </c>
      <c r="T72" s="24">
        <f>INDEX('01_FASTPPH'!$9:$1048576,MATCH($A72,'01_FASTPPH'!$A$9:$A$1048576,0),MATCH(T$9,'01_FASTPPH'!$8:$8,0))</f>
        <v>461.87200000000001</v>
      </c>
      <c r="U72" s="23">
        <f>INDEX('01_FASTPPH'!$9:$1048576,MATCH($A72,'01_FASTPPH'!$A$9:$A$1048576,0),MATCH(U$9,'01_FASTPPH'!$8:$8,0))</f>
        <v>3665.19</v>
      </c>
      <c r="V72" s="20">
        <f>INDEX('01_FASTPPH'!$9:$1048576,MATCH($A72,'01_FASTPPH'!$A$9:$A$1048576,0),MATCH(V$9,'01_FASTPPH'!$8:$8,0))</f>
        <v>-572.90800000000002</v>
      </c>
      <c r="W72" s="24">
        <f>INDEX('01_FASTPPH'!$9:$1048576,MATCH($A72,'01_FASTPPH'!$A$9:$A$1048576,0),MATCH(W$9,'01_FASTPPH'!$8:$8,0))</f>
        <v>-591.34799999999996</v>
      </c>
      <c r="X72" s="20">
        <f>INDEX('01_FASTPPH'!$9:$1048576,MATCH($A72,'01_FASTPPH'!$A$9:$A$1048576,0),MATCH(X$9,'01_FASTPPH'!$8:$8,0))</f>
        <v>0</v>
      </c>
      <c r="Y72" s="20">
        <f>INDEX('01_FASTPPH'!$9:$1048576,MATCH($A72,'01_FASTPPH'!$A$9:$A$1048576,0),MATCH(Y$9,'01_FASTPPH'!$8:$8,0))</f>
        <v>0</v>
      </c>
      <c r="AA72" s="32">
        <f>INDEX('02_PROPERTIES'!$C$10:$I$1048576,MATCH('03_CALCULATIONS'!$D72,'02_PROPERTIES'!$C$10:$C$1048576,0),MATCH('03_CALCULATIONS'!AA$9,'02_PROPERTIES'!$C$10:$I$10,0))</f>
        <v>16.559999999999999</v>
      </c>
      <c r="AB72" s="20">
        <f>INDEX('02_PROPERTIES'!$C$10:$I$1048576,MATCH('03_CALCULATIONS'!$D72,'02_PROPERTIES'!$C$10:$C$1048576,0),MATCH('03_CALCULATIONS'!AB$9,'02_PROPERTIES'!$C$10:$I$10,0))</f>
        <v>79593.867056640505</v>
      </c>
      <c r="AC72" s="20">
        <f>INDEX('02_PROPERTIES'!$C$10:$I$1048576,MATCH('03_CALCULATIONS'!$D72,'02_PROPERTIES'!$C$10:$C$1048576,0),MATCH('03_CALCULATIONS'!AC$9,'02_PROPERTIES'!$C$10:$I$10,0))</f>
        <v>41017.370743551612</v>
      </c>
      <c r="AD72" s="20">
        <f>INDEX('02_PROPERTIES'!$C$10:$I$1048576,MATCH('03_CALCULATIONS'!$D72,'02_PROPERTIES'!$C$10:$C$1048576,0),MATCH('03_CALCULATIONS'!AD$9,'02_PROPERTIES'!$C$10:$I$10,0))</f>
        <v>19846.188560278148</v>
      </c>
      <c r="AE72" s="32">
        <f>INDEX('02_PROPERTIES'!$C$10:$I$1048576,MATCH('03_CALCULATIONS'!$D72,'02_PROPERTIES'!$C$10:$C$1048576,0),MATCH('03_CALCULATIONS'!AE$9,'02_PROPERTIES'!$C$10:$I$10,0))</f>
        <v>0.4142802271075095</v>
      </c>
      <c r="AF72" s="32">
        <f>INDEX('02_PROPERTIES'!$C$10:$I$1048576,MATCH('03_CALCULATIONS'!$D72,'02_PROPERTIES'!$C$10:$C$1048576,0),MATCH('03_CALCULATIONS'!AF$9,'02_PROPERTIES'!$C$10:$I$10,0))</f>
        <v>1</v>
      </c>
      <c r="AH72" s="20">
        <f t="shared" si="0"/>
        <v>-3796.1873913043478</v>
      </c>
      <c r="AI72" s="20">
        <f t="shared" si="1"/>
        <v>357.4133623188406</v>
      </c>
      <c r="AJ72" s="20">
        <f t="shared" si="2"/>
        <v>520.22852173913043</v>
      </c>
      <c r="AL72" s="20">
        <f t="shared" si="3"/>
        <v>-2992.4384883994071</v>
      </c>
      <c r="AM72" s="20">
        <f t="shared" si="4"/>
        <v>2841.5243098729002</v>
      </c>
      <c r="AN72" s="20">
        <f t="shared" si="5"/>
        <v>791.455893661598</v>
      </c>
      <c r="AO72" s="20">
        <f t="shared" si="6"/>
        <v>320.27085756754553</v>
      </c>
      <c r="AP72" s="20">
        <f t="shared" si="7"/>
        <v>-471.18503609405246</v>
      </c>
      <c r="AR72" s="20">
        <f t="shared" si="8"/>
        <v>2868.2448472121823</v>
      </c>
      <c r="AS72" s="20">
        <f t="shared" si="9"/>
        <v>-3019.1590257386897</v>
      </c>
      <c r="AT72" s="20">
        <f t="shared" si="10"/>
        <v>3022.4465114403583</v>
      </c>
    </row>
    <row r="73" spans="1:46" x14ac:dyDescent="0.3">
      <c r="A73" s="18">
        <v>240</v>
      </c>
      <c r="B73" s="20">
        <f>INDEX('01_FASTPPH'!$9:$1048576,MATCH($A73,'01_FASTPPH'!$A$9:$A$1048576,0),MATCH(B$9,'01_FASTPPH'!$8:$8,0))</f>
        <v>40</v>
      </c>
      <c r="C73" s="20">
        <f>INDEX('01_FASTPPH'!$9:$1048576,MATCH($A73,'01_FASTPPH'!$A$9:$A$1048576,0),MATCH(C$9,'01_FASTPPH'!$8:$8,0))</f>
        <v>1101456</v>
      </c>
      <c r="D73" s="20" t="str">
        <f>INDEX('01_FASTPPH'!$9:$1048576,MATCH($A73,'01_FASTPPH'!$A$9:$A$1048576,0),MATCH(D$9,'01_FASTPPH'!$8:$8,0))</f>
        <v>SkinLH</v>
      </c>
      <c r="E73" s="20">
        <f>INDEX('01_FASTPPH'!$9:$1048576,MATCH($A73,'01_FASTPPH'!$A$9:$A$1048576,0),MATCH(E$9,'01_FASTPPH'!$8:$8,0))</f>
        <v>3913010</v>
      </c>
      <c r="F73" s="20">
        <f>INDEX('01_FASTPPH'!$9:$1048576,MATCH($A73,'01_FASTPPH'!$A$9:$A$1048576,0),MATCH(F$9,'01_FASTPPH'!$8:$8,0))</f>
        <v>1913011</v>
      </c>
      <c r="G73" s="20">
        <f>INDEX('01_FASTPPH'!$9:$1048576,MATCH($A73,'01_FASTPPH'!$A$9:$A$1048576,0),MATCH(G$9,'01_FASTPPH'!$8:$8,0))</f>
        <v>0</v>
      </c>
      <c r="H73" s="20">
        <f>INDEX('01_FASTPPH'!$9:$1048576,MATCH($A73,'01_FASTPPH'!$A$9:$A$1048576,0),MATCH(H$9,'01_FASTPPH'!$8:$8,0))</f>
        <v>0</v>
      </c>
      <c r="I73" s="20">
        <f>INDEX('01_FASTPPH'!$9:$1048576,MATCH($A73,'01_FASTPPH'!$A$9:$A$1048576,0),MATCH(I$9,'01_FASTPPH'!$8:$8,0))</f>
        <v>57.914999999999999</v>
      </c>
      <c r="J73" s="20" t="str">
        <f>INDEX('01_FASTPPH'!$9:$1048576,MATCH($A73,'01_FASTPPH'!$A$9:$A$1048576,0),MATCH(J$9,'01_FASTPPH'!$8:$8,0))</f>
        <v xml:space="preserve">SUBCASE 102 = STLP ULT (INTACT) :STLP ULT (INTACT) </v>
      </c>
      <c r="K73" s="23">
        <f>INDEX('01_FASTPPH'!$9:$1048576,MATCH($A73,'01_FASTPPH'!$A$9:$A$1048576,0),MATCH(K$9,'01_FASTPPH'!$8:$8,0))</f>
        <v>-9524.42</v>
      </c>
      <c r="L73" s="20">
        <f>INDEX('01_FASTPPH'!$9:$1048576,MATCH($A73,'01_FASTPPH'!$A$9:$A$1048576,0),MATCH(L$9,'01_FASTPPH'!$8:$8,0))</f>
        <v>-6589.82</v>
      </c>
      <c r="M73" s="20">
        <f>INDEX('01_FASTPPH'!$9:$1048576,MATCH($A73,'01_FASTPPH'!$A$9:$A$1048576,0),MATCH(M$9,'01_FASTPPH'!$8:$8,0))</f>
        <v>-4789.7299999999996</v>
      </c>
      <c r="N73" s="24">
        <f>INDEX('01_FASTPPH'!$9:$1048576,MATCH($A73,'01_FASTPPH'!$A$9:$A$1048576,0),MATCH(N$9,'01_FASTPPH'!$8:$8,0))</f>
        <v>9490.92</v>
      </c>
      <c r="O73" s="23">
        <f>INDEX('01_FASTPPH'!$9:$1048576,MATCH($A73,'01_FASTPPH'!$A$9:$A$1048576,0),MATCH(O$9,'01_FASTPPH'!$8:$8,0))</f>
        <v>-2123.59</v>
      </c>
      <c r="P73" s="20">
        <f>INDEX('01_FASTPPH'!$9:$1048576,MATCH($A73,'01_FASTPPH'!$A$9:$A$1048576,0),MATCH(P$9,'01_FASTPPH'!$8:$8,0))</f>
        <v>-2568.7600000000002</v>
      </c>
      <c r="Q73" s="20">
        <f>INDEX('01_FASTPPH'!$9:$1048576,MATCH($A73,'01_FASTPPH'!$A$9:$A$1048576,0),MATCH(Q$9,'01_FASTPPH'!$8:$8,0))</f>
        <v>18.2742</v>
      </c>
      <c r="R73" s="20">
        <f>INDEX('01_FASTPPH'!$9:$1048576,MATCH($A73,'01_FASTPPH'!$A$9:$A$1048576,0),MATCH(R$9,'01_FASTPPH'!$8:$8,0))</f>
        <v>97.342600000000004</v>
      </c>
      <c r="S73" s="20">
        <f>INDEX('01_FASTPPH'!$9:$1048576,MATCH($A73,'01_FASTPPH'!$A$9:$A$1048576,0),MATCH(S$9,'01_FASTPPH'!$8:$8,0))</f>
        <v>286.13</v>
      </c>
      <c r="T73" s="24">
        <f>INDEX('01_FASTPPH'!$9:$1048576,MATCH($A73,'01_FASTPPH'!$A$9:$A$1048576,0),MATCH(T$9,'01_FASTPPH'!$8:$8,0))</f>
        <v>489.18799999999999</v>
      </c>
      <c r="U73" s="23">
        <f>INDEX('01_FASTPPH'!$9:$1048576,MATCH($A73,'01_FASTPPH'!$A$9:$A$1048576,0),MATCH(U$9,'01_FASTPPH'!$8:$8,0))</f>
        <v>4913.8500000000004</v>
      </c>
      <c r="V73" s="20">
        <f>INDEX('01_FASTPPH'!$9:$1048576,MATCH($A73,'01_FASTPPH'!$A$9:$A$1048576,0),MATCH(V$9,'01_FASTPPH'!$8:$8,0))</f>
        <v>-498.702</v>
      </c>
      <c r="W73" s="24">
        <f>INDEX('01_FASTPPH'!$9:$1048576,MATCH($A73,'01_FASTPPH'!$A$9:$A$1048576,0),MATCH(W$9,'01_FASTPPH'!$8:$8,0))</f>
        <v>-441.75700000000001</v>
      </c>
      <c r="X73" s="20">
        <f>INDEX('01_FASTPPH'!$9:$1048576,MATCH($A73,'01_FASTPPH'!$A$9:$A$1048576,0),MATCH(X$9,'01_FASTPPH'!$8:$8,0))</f>
        <v>0</v>
      </c>
      <c r="Y73" s="20">
        <f>INDEX('01_FASTPPH'!$9:$1048576,MATCH($A73,'01_FASTPPH'!$A$9:$A$1048576,0),MATCH(Y$9,'01_FASTPPH'!$8:$8,0))</f>
        <v>0</v>
      </c>
      <c r="AA73" s="32">
        <f>INDEX('02_PROPERTIES'!$C$10:$I$1048576,MATCH('03_CALCULATIONS'!$D73,'02_PROPERTIES'!$C$10:$C$1048576,0),MATCH('03_CALCULATIONS'!AA$9,'02_PROPERTIES'!$C$10:$I$10,0))</f>
        <v>16.559999999999999</v>
      </c>
      <c r="AB73" s="20">
        <f>INDEX('02_PROPERTIES'!$C$10:$I$1048576,MATCH('03_CALCULATIONS'!$D73,'02_PROPERTIES'!$C$10:$C$1048576,0),MATCH('03_CALCULATIONS'!AB$9,'02_PROPERTIES'!$C$10:$I$10,0))</f>
        <v>79593.867056640505</v>
      </c>
      <c r="AC73" s="20">
        <f>INDEX('02_PROPERTIES'!$C$10:$I$1048576,MATCH('03_CALCULATIONS'!$D73,'02_PROPERTIES'!$C$10:$C$1048576,0),MATCH('03_CALCULATIONS'!AC$9,'02_PROPERTIES'!$C$10:$I$10,0))</f>
        <v>41017.370743551612</v>
      </c>
      <c r="AD73" s="20">
        <f>INDEX('02_PROPERTIES'!$C$10:$I$1048576,MATCH('03_CALCULATIONS'!$D73,'02_PROPERTIES'!$C$10:$C$1048576,0),MATCH('03_CALCULATIONS'!AD$9,'02_PROPERTIES'!$C$10:$I$10,0))</f>
        <v>19846.188560278148</v>
      </c>
      <c r="AE73" s="32">
        <f>INDEX('02_PROPERTIES'!$C$10:$I$1048576,MATCH('03_CALCULATIONS'!$D73,'02_PROPERTIES'!$C$10:$C$1048576,0),MATCH('03_CALCULATIONS'!AE$9,'02_PROPERTIES'!$C$10:$I$10,0))</f>
        <v>0.4142802271075095</v>
      </c>
      <c r="AF73" s="32">
        <f>INDEX('02_PROPERTIES'!$C$10:$I$1048576,MATCH('03_CALCULATIONS'!$D73,'02_PROPERTIES'!$C$10:$C$1048576,0),MATCH('03_CALCULATIONS'!AF$9,'02_PROPERTIES'!$C$10:$I$10,0))</f>
        <v>1</v>
      </c>
      <c r="AH73" s="20">
        <f t="shared" si="0"/>
        <v>-3903.9704347826091</v>
      </c>
      <c r="AI73" s="20">
        <f t="shared" si="1"/>
        <v>198.96333043478262</v>
      </c>
      <c r="AJ73" s="20">
        <f t="shared" si="2"/>
        <v>446.18688405797104</v>
      </c>
      <c r="AL73" s="20">
        <f t="shared" si="3"/>
        <v>-3024.4096176881612</v>
      </c>
      <c r="AM73" s="20">
        <f t="shared" si="4"/>
        <v>2673.9894695834264</v>
      </c>
      <c r="AN73" s="20">
        <f t="shared" si="5"/>
        <v>678.81176118841597</v>
      </c>
      <c r="AO73" s="20">
        <f t="shared" si="6"/>
        <v>164.19580654184057</v>
      </c>
      <c r="AP73" s="20">
        <f t="shared" si="7"/>
        <v>-514.61595464657535</v>
      </c>
      <c r="AR73" s="20">
        <f t="shared" si="8"/>
        <v>2694.1338215510063</v>
      </c>
      <c r="AS73" s="20">
        <f t="shared" si="9"/>
        <v>-3044.5539696557412</v>
      </c>
      <c r="AT73" s="20">
        <f t="shared" si="10"/>
        <v>2928.9457909941138</v>
      </c>
    </row>
    <row r="74" spans="1:46" x14ac:dyDescent="0.3">
      <c r="A74" s="18">
        <v>140</v>
      </c>
      <c r="B74" s="20">
        <f>INDEX('01_FASTPPH'!$9:$1048576,MATCH($A74,'01_FASTPPH'!$A$9:$A$1048576,0),MATCH(B$9,'01_FASTPPH'!$8:$8,0))</f>
        <v>24</v>
      </c>
      <c r="C74" s="20">
        <f>INDEX('01_FASTPPH'!$9:$1048576,MATCH($A74,'01_FASTPPH'!$A$9:$A$1048576,0),MATCH(C$9,'01_FASTPPH'!$8:$8,0))</f>
        <v>1102720</v>
      </c>
      <c r="D74" s="20" t="str">
        <f>INDEX('01_FASTPPH'!$9:$1048576,MATCH($A74,'01_FASTPPH'!$A$9:$A$1048576,0),MATCH(D$9,'01_FASTPPH'!$8:$8,0))</f>
        <v>SkinLH</v>
      </c>
      <c r="E74" s="20">
        <f>INDEX('01_FASTPPH'!$9:$1048576,MATCH($A74,'01_FASTPPH'!$A$9:$A$1048576,0),MATCH(E$9,'01_FASTPPH'!$8:$8,0))</f>
        <v>2914010</v>
      </c>
      <c r="F74" s="20">
        <f>INDEX('01_FASTPPH'!$9:$1048576,MATCH($A74,'01_FASTPPH'!$A$9:$A$1048576,0),MATCH(F$9,'01_FASTPPH'!$8:$8,0))</f>
        <v>1914012</v>
      </c>
      <c r="G74" s="20">
        <f>INDEX('01_FASTPPH'!$9:$1048576,MATCH($A74,'01_FASTPPH'!$A$9:$A$1048576,0),MATCH(G$9,'01_FASTPPH'!$8:$8,0))</f>
        <v>3914010</v>
      </c>
      <c r="H74" s="20">
        <f>INDEX('01_FASTPPH'!$9:$1048576,MATCH($A74,'01_FASTPPH'!$A$9:$A$1048576,0),MATCH(H$9,'01_FASTPPH'!$8:$8,0))</f>
        <v>1914013</v>
      </c>
      <c r="I74" s="20">
        <f>INDEX('01_FASTPPH'!$9:$1048576,MATCH($A74,'01_FASTPPH'!$A$9:$A$1048576,0),MATCH(I$9,'01_FASTPPH'!$8:$8,0))</f>
        <v>57.914999999999999</v>
      </c>
      <c r="J74" s="20" t="str">
        <f>INDEX('01_FASTPPH'!$9:$1048576,MATCH($A74,'01_FASTPPH'!$A$9:$A$1048576,0),MATCH(J$9,'01_FASTPPH'!$8:$8,0))</f>
        <v xml:space="preserve">SUBCASE 102 = STLP ULT (INTACT) :STLP ULT (INTACT) </v>
      </c>
      <c r="K74" s="23">
        <f>INDEX('01_FASTPPH'!$9:$1048576,MATCH($A74,'01_FASTPPH'!$A$9:$A$1048576,0),MATCH(K$9,'01_FASTPPH'!$8:$8,0))</f>
        <v>-3115.87</v>
      </c>
      <c r="L74" s="20">
        <f>INDEX('01_FASTPPH'!$9:$1048576,MATCH($A74,'01_FASTPPH'!$A$9:$A$1048576,0),MATCH(L$9,'01_FASTPPH'!$8:$8,0))</f>
        <v>3350.7</v>
      </c>
      <c r="M74" s="20">
        <f>INDEX('01_FASTPPH'!$9:$1048576,MATCH($A74,'01_FASTPPH'!$A$9:$A$1048576,0),MATCH(M$9,'01_FASTPPH'!$8:$8,0))</f>
        <v>155.87799999999999</v>
      </c>
      <c r="N74" s="24">
        <f>INDEX('01_FASTPPH'!$9:$1048576,MATCH($A74,'01_FASTPPH'!$A$9:$A$1048576,0),MATCH(N$9,'01_FASTPPH'!$8:$8,0))</f>
        <v>10759.4</v>
      </c>
      <c r="O74" s="23">
        <f>INDEX('01_FASTPPH'!$9:$1048576,MATCH($A74,'01_FASTPPH'!$A$9:$A$1048576,0),MATCH(O$9,'01_FASTPPH'!$8:$8,0))</f>
        <v>-602.44200000000001</v>
      </c>
      <c r="P74" s="20">
        <f>INDEX('01_FASTPPH'!$9:$1048576,MATCH($A74,'01_FASTPPH'!$A$9:$A$1048576,0),MATCH(P$9,'01_FASTPPH'!$8:$8,0))</f>
        <v>-722.14400000000001</v>
      </c>
      <c r="Q74" s="20">
        <f>INDEX('01_FASTPPH'!$9:$1048576,MATCH($A74,'01_FASTPPH'!$A$9:$A$1048576,0),MATCH(Q$9,'01_FASTPPH'!$8:$8,0))</f>
        <v>279.79899999999998</v>
      </c>
      <c r="R74" s="20">
        <f>INDEX('01_FASTPPH'!$9:$1048576,MATCH($A74,'01_FASTPPH'!$A$9:$A$1048576,0),MATCH(R$9,'01_FASTPPH'!$8:$8,0))</f>
        <v>373.88499999999999</v>
      </c>
      <c r="S74" s="20">
        <f>INDEX('01_FASTPPH'!$9:$1048576,MATCH($A74,'01_FASTPPH'!$A$9:$A$1048576,0),MATCH(S$9,'01_FASTPPH'!$8:$8,0))</f>
        <v>341.48500000000001</v>
      </c>
      <c r="T74" s="24">
        <f>INDEX('01_FASTPPH'!$9:$1048576,MATCH($A74,'01_FASTPPH'!$A$9:$A$1048576,0),MATCH(T$9,'01_FASTPPH'!$8:$8,0))</f>
        <v>414.82100000000003</v>
      </c>
      <c r="U74" s="23">
        <f>INDEX('01_FASTPPH'!$9:$1048576,MATCH($A74,'01_FASTPPH'!$A$9:$A$1048576,0),MATCH(U$9,'01_FASTPPH'!$8:$8,0))</f>
        <v>2434.1799999999998</v>
      </c>
      <c r="V74" s="20">
        <f>INDEX('01_FASTPPH'!$9:$1048576,MATCH($A74,'01_FASTPPH'!$A$9:$A$1048576,0),MATCH(V$9,'01_FASTPPH'!$8:$8,0))</f>
        <v>1831.94</v>
      </c>
      <c r="W74" s="24">
        <f>INDEX('01_FASTPPH'!$9:$1048576,MATCH($A74,'01_FASTPPH'!$A$9:$A$1048576,0),MATCH(W$9,'01_FASTPPH'!$8:$8,0))</f>
        <v>-368.02199999999999</v>
      </c>
      <c r="X74" s="20">
        <f>INDEX('01_FASTPPH'!$9:$1048576,MATCH($A74,'01_FASTPPH'!$A$9:$A$1048576,0),MATCH(X$9,'01_FASTPPH'!$8:$8,0))</f>
        <v>0</v>
      </c>
      <c r="Y74" s="20">
        <f>INDEX('01_FASTPPH'!$9:$1048576,MATCH($A74,'01_FASTPPH'!$A$9:$A$1048576,0),MATCH(Y$9,'01_FASTPPH'!$8:$8,0))</f>
        <v>0</v>
      </c>
      <c r="AA74" s="32">
        <f>INDEX('02_PROPERTIES'!$C$10:$I$1048576,MATCH('03_CALCULATIONS'!$D74,'02_PROPERTIES'!$C$10:$C$1048576,0),MATCH('03_CALCULATIONS'!AA$9,'02_PROPERTIES'!$C$10:$I$10,0))</f>
        <v>16.559999999999999</v>
      </c>
      <c r="AB74" s="20">
        <f>INDEX('02_PROPERTIES'!$C$10:$I$1048576,MATCH('03_CALCULATIONS'!$D74,'02_PROPERTIES'!$C$10:$C$1048576,0),MATCH('03_CALCULATIONS'!AB$9,'02_PROPERTIES'!$C$10:$I$10,0))</f>
        <v>79593.867056640505</v>
      </c>
      <c r="AC74" s="20">
        <f>INDEX('02_PROPERTIES'!$C$10:$I$1048576,MATCH('03_CALCULATIONS'!$D74,'02_PROPERTIES'!$C$10:$C$1048576,0),MATCH('03_CALCULATIONS'!AC$9,'02_PROPERTIES'!$C$10:$I$10,0))</f>
        <v>41017.370743551612</v>
      </c>
      <c r="AD74" s="20">
        <f>INDEX('02_PROPERTIES'!$C$10:$I$1048576,MATCH('03_CALCULATIONS'!$D74,'02_PROPERTIES'!$C$10:$C$1048576,0),MATCH('03_CALCULATIONS'!AD$9,'02_PROPERTIES'!$C$10:$I$10,0))</f>
        <v>19846.188560278148</v>
      </c>
      <c r="AE74" s="32">
        <f>INDEX('02_PROPERTIES'!$C$10:$I$1048576,MATCH('03_CALCULATIONS'!$D74,'02_PROPERTIES'!$C$10:$C$1048576,0),MATCH('03_CALCULATIONS'!AE$9,'02_PROPERTIES'!$C$10:$I$10,0))</f>
        <v>0.4142802271075095</v>
      </c>
      <c r="AF74" s="32">
        <f>INDEX('02_PROPERTIES'!$C$10:$I$1048576,MATCH('03_CALCULATIONS'!$D74,'02_PROPERTIES'!$C$10:$C$1048576,0),MATCH('03_CALCULATIONS'!AF$9,'02_PROPERTIES'!$C$10:$I$10,0))</f>
        <v>1</v>
      </c>
      <c r="AH74" s="20">
        <f t="shared" si="0"/>
        <v>-1484.3912753623188</v>
      </c>
      <c r="AI74" s="20">
        <f t="shared" si="1"/>
        <v>943.54537681159422</v>
      </c>
      <c r="AJ74" s="20">
        <f t="shared" si="2"/>
        <v>474.82630434782612</v>
      </c>
      <c r="AL74" s="20">
        <f t="shared" si="3"/>
        <v>-1422.7447355310117</v>
      </c>
      <c r="AM74" s="20">
        <f t="shared" si="4"/>
        <v>2294.4493214772438</v>
      </c>
      <c r="AN74" s="20">
        <f t="shared" si="5"/>
        <v>722.38268633431505</v>
      </c>
      <c r="AO74" s="20">
        <f t="shared" si="6"/>
        <v>797.04363614027352</v>
      </c>
      <c r="AP74" s="20">
        <f t="shared" si="7"/>
        <v>74.660949805958523</v>
      </c>
      <c r="AR74" s="20">
        <f t="shared" si="8"/>
        <v>2329.2202183228796</v>
      </c>
      <c r="AS74" s="20">
        <f t="shared" si="9"/>
        <v>-1457.5156323766478</v>
      </c>
      <c r="AT74" s="20">
        <f t="shared" si="10"/>
        <v>1994.0460525975709</v>
      </c>
    </row>
    <row r="75" spans="1:46" x14ac:dyDescent="0.3">
      <c r="A75" s="18">
        <v>10</v>
      </c>
      <c r="B75" s="20">
        <f>INDEX('01_FASTPPH'!$9:$1048576,MATCH($A75,'01_FASTPPH'!$A$9:$A$1048576,0),MATCH(B$9,'01_FASTPPH'!$8:$8,0))</f>
        <v>2</v>
      </c>
      <c r="C75" s="20">
        <f>INDEX('01_FASTPPH'!$9:$1048576,MATCH($A75,'01_FASTPPH'!$A$9:$A$1048576,0),MATCH(C$9,'01_FASTPPH'!$8:$8,0))</f>
        <v>1101897</v>
      </c>
      <c r="D75" s="20" t="str">
        <f>INDEX('01_FASTPPH'!$9:$1048576,MATCH($A75,'01_FASTPPH'!$A$9:$A$1048576,0),MATCH(D$9,'01_FASTPPH'!$8:$8,0))</f>
        <v>SkinLH</v>
      </c>
      <c r="E75" s="20">
        <f>INDEX('01_FASTPPH'!$9:$1048576,MATCH($A75,'01_FASTPPH'!$A$9:$A$1048576,0),MATCH(E$9,'01_FASTPPH'!$8:$8,0))</f>
        <v>2915010</v>
      </c>
      <c r="F75" s="20">
        <f>INDEX('01_FASTPPH'!$9:$1048576,MATCH($A75,'01_FASTPPH'!$A$9:$A$1048576,0),MATCH(F$9,'01_FASTPPH'!$8:$8,0))</f>
        <v>1915012</v>
      </c>
      <c r="G75" s="20">
        <f>INDEX('01_FASTPPH'!$9:$1048576,MATCH($A75,'01_FASTPPH'!$A$9:$A$1048576,0),MATCH(G$9,'01_FASTPPH'!$8:$8,0))</f>
        <v>3915010</v>
      </c>
      <c r="H75" s="20">
        <f>INDEX('01_FASTPPH'!$9:$1048576,MATCH($A75,'01_FASTPPH'!$A$9:$A$1048576,0),MATCH(H$9,'01_FASTPPH'!$8:$8,0))</f>
        <v>1915011</v>
      </c>
      <c r="I75" s="20">
        <f>INDEX('01_FASTPPH'!$9:$1048576,MATCH($A75,'01_FASTPPH'!$A$9:$A$1048576,0),MATCH(I$9,'01_FASTPPH'!$8:$8,0))</f>
        <v>57.914999999999999</v>
      </c>
      <c r="J75" s="20" t="str">
        <f>INDEX('01_FASTPPH'!$9:$1048576,MATCH($A75,'01_FASTPPH'!$A$9:$A$1048576,0),MATCH(J$9,'01_FASTPPH'!$8:$8,0))</f>
        <v xml:space="preserve">SUBCASE 102 = STLP ULT (INTACT) :STLP ULT (INTACT) </v>
      </c>
      <c r="K75" s="23">
        <f>INDEX('01_FASTPPH'!$9:$1048576,MATCH($A75,'01_FASTPPH'!$A$9:$A$1048576,0),MATCH(K$9,'01_FASTPPH'!$8:$8,0))</f>
        <v>2633.15</v>
      </c>
      <c r="L75" s="20">
        <f>INDEX('01_FASTPPH'!$9:$1048576,MATCH($A75,'01_FASTPPH'!$A$9:$A$1048576,0),MATCH(L$9,'01_FASTPPH'!$8:$8,0))</f>
        <v>3153.74</v>
      </c>
      <c r="M75" s="20">
        <f>INDEX('01_FASTPPH'!$9:$1048576,MATCH($A75,'01_FASTPPH'!$A$9:$A$1048576,0),MATCH(M$9,'01_FASTPPH'!$8:$8,0))</f>
        <v>-1763.74</v>
      </c>
      <c r="N75" s="24">
        <f>INDEX('01_FASTPPH'!$9:$1048576,MATCH($A75,'01_FASTPPH'!$A$9:$A$1048576,0),MATCH(N$9,'01_FASTPPH'!$8:$8,0))</f>
        <v>12578.8</v>
      </c>
      <c r="O75" s="23">
        <f>INDEX('01_FASTPPH'!$9:$1048576,MATCH($A75,'01_FASTPPH'!$A$9:$A$1048576,0),MATCH(O$9,'01_FASTPPH'!$8:$8,0))</f>
        <v>-1712.97</v>
      </c>
      <c r="P75" s="20">
        <f>INDEX('01_FASTPPH'!$9:$1048576,MATCH($A75,'01_FASTPPH'!$A$9:$A$1048576,0),MATCH(P$9,'01_FASTPPH'!$8:$8,0))</f>
        <v>-1719.4</v>
      </c>
      <c r="Q75" s="20">
        <f>INDEX('01_FASTPPH'!$9:$1048576,MATCH($A75,'01_FASTPPH'!$A$9:$A$1048576,0),MATCH(Q$9,'01_FASTPPH'!$8:$8,0))</f>
        <v>224.69900000000001</v>
      </c>
      <c r="R75" s="20">
        <f>INDEX('01_FASTPPH'!$9:$1048576,MATCH($A75,'01_FASTPPH'!$A$9:$A$1048576,0),MATCH(R$9,'01_FASTPPH'!$8:$8,0))</f>
        <v>267.41800000000001</v>
      </c>
      <c r="S75" s="20">
        <f>INDEX('01_FASTPPH'!$9:$1048576,MATCH($A75,'01_FASTPPH'!$A$9:$A$1048576,0),MATCH(S$9,'01_FASTPPH'!$8:$8,0))</f>
        <v>285.45499999999998</v>
      </c>
      <c r="T75" s="24">
        <f>INDEX('01_FASTPPH'!$9:$1048576,MATCH($A75,'01_FASTPPH'!$A$9:$A$1048576,0),MATCH(T$9,'01_FASTPPH'!$8:$8,0))</f>
        <v>323.37299999999999</v>
      </c>
      <c r="U75" s="23">
        <f>INDEX('01_FASTPPH'!$9:$1048576,MATCH($A75,'01_FASTPPH'!$A$9:$A$1048576,0),MATCH(U$9,'01_FASTPPH'!$8:$8,0))</f>
        <v>1867.6</v>
      </c>
      <c r="V75" s="20">
        <f>INDEX('01_FASTPPH'!$9:$1048576,MATCH($A75,'01_FASTPPH'!$A$9:$A$1048576,0),MATCH(V$9,'01_FASTPPH'!$8:$8,0))</f>
        <v>889.01400000000001</v>
      </c>
      <c r="W75" s="24">
        <f>INDEX('01_FASTPPH'!$9:$1048576,MATCH($A75,'01_FASTPPH'!$A$9:$A$1048576,0),MATCH(W$9,'01_FASTPPH'!$8:$8,0))</f>
        <v>-95.206500000000005</v>
      </c>
      <c r="X75" s="20">
        <f>INDEX('01_FASTPPH'!$9:$1048576,MATCH($A75,'01_FASTPPH'!$A$9:$A$1048576,0),MATCH(X$9,'01_FASTPPH'!$8:$8,0))</f>
        <v>0</v>
      </c>
      <c r="Y75" s="20">
        <f>INDEX('01_FASTPPH'!$9:$1048576,MATCH($A75,'01_FASTPPH'!$A$9:$A$1048576,0),MATCH(Y$9,'01_FASTPPH'!$8:$8,0))</f>
        <v>0</v>
      </c>
      <c r="AA75" s="32">
        <f>INDEX('02_PROPERTIES'!$C$10:$I$1048576,MATCH('03_CALCULATIONS'!$D75,'02_PROPERTIES'!$C$10:$C$1048576,0),MATCH('03_CALCULATIONS'!AA$9,'02_PROPERTIES'!$C$10:$I$10,0))</f>
        <v>16.559999999999999</v>
      </c>
      <c r="AB75" s="20">
        <f>INDEX('02_PROPERTIES'!$C$10:$I$1048576,MATCH('03_CALCULATIONS'!$D75,'02_PROPERTIES'!$C$10:$C$1048576,0),MATCH('03_CALCULATIONS'!AB$9,'02_PROPERTIES'!$C$10:$I$10,0))</f>
        <v>79593.867056640505</v>
      </c>
      <c r="AC75" s="20">
        <f>INDEX('02_PROPERTIES'!$C$10:$I$1048576,MATCH('03_CALCULATIONS'!$D75,'02_PROPERTIES'!$C$10:$C$1048576,0),MATCH('03_CALCULATIONS'!AC$9,'02_PROPERTIES'!$C$10:$I$10,0))</f>
        <v>41017.370743551612</v>
      </c>
      <c r="AD75" s="20">
        <f>INDEX('02_PROPERTIES'!$C$10:$I$1048576,MATCH('03_CALCULATIONS'!$D75,'02_PROPERTIES'!$C$10:$C$1048576,0),MATCH('03_CALCULATIONS'!AD$9,'02_PROPERTIES'!$C$10:$I$10,0))</f>
        <v>19846.188560278148</v>
      </c>
      <c r="AE75" s="32">
        <f>INDEX('02_PROPERTIES'!$C$10:$I$1048576,MATCH('03_CALCULATIONS'!$D75,'02_PROPERTIES'!$C$10:$C$1048576,0),MATCH('03_CALCULATIONS'!AE$9,'02_PROPERTIES'!$C$10:$I$10,0))</f>
        <v>0.4142802271075095</v>
      </c>
      <c r="AF75" s="32">
        <f>INDEX('02_PROPERTIES'!$C$10:$I$1048576,MATCH('03_CALCULATIONS'!$D75,'02_PROPERTIES'!$C$10:$C$1048576,0),MATCH('03_CALCULATIONS'!AF$9,'02_PROPERTIES'!$C$10:$I$10,0))</f>
        <v>1</v>
      </c>
      <c r="AH75" s="20">
        <f t="shared" ref="AH75:AH138" si="11">O75+SIGN(O75)*ABS(AF75*6*U75/AA75)</f>
        <v>-2389.6366666666668</v>
      </c>
      <c r="AI75" s="20">
        <f t="shared" ref="AI75:AI138" si="12">Q75+SIGN(Q75)*ABS(AF75*6*V75/AA75)</f>
        <v>546.80552173913043</v>
      </c>
      <c r="AJ75" s="20">
        <f t="shared" ref="AJ75:AJ138" si="13">S75+SIGN(S75)*ABS(AF75*6*W75/AA75)</f>
        <v>319.95010869565215</v>
      </c>
      <c r="AL75" s="20">
        <f t="shared" ref="AL75:AL138" si="14">(AH75/(AB75*AA75)-AI75*AE75/(AB75*AA75))*1000000</f>
        <v>-1984.8403899381312</v>
      </c>
      <c r="AM75" s="20">
        <f t="shared" ref="AM75:AM138" si="15">(AI75/(AC75*AA75)-AH75*AE75/(AC75*AA75))*1000000</f>
        <v>2262.4807331858478</v>
      </c>
      <c r="AN75" s="20">
        <f t="shared" ref="AN75:AN138" si="16">0.5*(AJ75/(AD75*AA75))*1000000</f>
        <v>486.75993072871859</v>
      </c>
      <c r="AO75" s="20">
        <f t="shared" ref="AO75:AO138" si="17">0.5*(AL75+AM75+AN75)</f>
        <v>382.20013698821759</v>
      </c>
      <c r="AP75" s="20">
        <f t="shared" ref="AP75:AP138" si="18">0.5*(AL75+AM75-AN75)</f>
        <v>-104.55979374050099</v>
      </c>
      <c r="AR75" s="20">
        <f t="shared" ref="AR75:AR138" si="19">0.5*(AL75+AM75)+SQRT(0.25*(AL75-AM75)^2+0.25*AN75^2)</f>
        <v>2276.3813960744096</v>
      </c>
      <c r="AS75" s="20">
        <f t="shared" ref="AS75:AS138" si="20">0.5*(AL75+AM75)-SQRT(0.25*(AL75-AM75)^2+0.25*AN75^2)</f>
        <v>-1998.7410528266932</v>
      </c>
      <c r="AT75" s="20">
        <f t="shared" ref="AT75:AT138" si="21">0.5*SQRT((AL75-AM75)^2+(2*AN75)^2)</f>
        <v>2178.731146997447</v>
      </c>
    </row>
    <row r="76" spans="1:46" x14ac:dyDescent="0.3">
      <c r="A76" s="18">
        <v>40</v>
      </c>
      <c r="B76" s="20">
        <f>INDEX('01_FASTPPH'!$9:$1048576,MATCH($A76,'01_FASTPPH'!$A$9:$A$1048576,0),MATCH(B$9,'01_FASTPPH'!$8:$8,0))</f>
        <v>6</v>
      </c>
      <c r="C76" s="20">
        <f>INDEX('01_FASTPPH'!$9:$1048576,MATCH($A76,'01_FASTPPH'!$A$9:$A$1048576,0),MATCH(C$9,'01_FASTPPH'!$8:$8,0))</f>
        <v>1101874</v>
      </c>
      <c r="D76" s="20" t="str">
        <f>INDEX('01_FASTPPH'!$9:$1048576,MATCH($A76,'01_FASTPPH'!$A$9:$A$1048576,0),MATCH(D$9,'01_FASTPPH'!$8:$8,0))</f>
        <v>SkinLH</v>
      </c>
      <c r="E76" s="20">
        <f>INDEX('01_FASTPPH'!$9:$1048576,MATCH($A76,'01_FASTPPH'!$A$9:$A$1048576,0),MATCH(E$9,'01_FASTPPH'!$8:$8,0))</f>
        <v>3916010</v>
      </c>
      <c r="F76" s="20">
        <f>INDEX('01_FASTPPH'!$9:$1048576,MATCH($A76,'01_FASTPPH'!$A$9:$A$1048576,0),MATCH(F$9,'01_FASTPPH'!$8:$8,0))</f>
        <v>1916011</v>
      </c>
      <c r="G76" s="20">
        <f>INDEX('01_FASTPPH'!$9:$1048576,MATCH($A76,'01_FASTPPH'!$A$9:$A$1048576,0),MATCH(G$9,'01_FASTPPH'!$8:$8,0))</f>
        <v>2916010</v>
      </c>
      <c r="H76" s="20">
        <f>INDEX('01_FASTPPH'!$9:$1048576,MATCH($A76,'01_FASTPPH'!$A$9:$A$1048576,0),MATCH(H$9,'01_FASTPPH'!$8:$8,0))</f>
        <v>1916012</v>
      </c>
      <c r="I76" s="20">
        <f>INDEX('01_FASTPPH'!$9:$1048576,MATCH($A76,'01_FASTPPH'!$A$9:$A$1048576,0),MATCH(I$9,'01_FASTPPH'!$8:$8,0))</f>
        <v>57.914999999999999</v>
      </c>
      <c r="J76" s="20" t="str">
        <f>INDEX('01_FASTPPH'!$9:$1048576,MATCH($A76,'01_FASTPPH'!$A$9:$A$1048576,0),MATCH(J$9,'01_FASTPPH'!$8:$8,0))</f>
        <v xml:space="preserve">SUBCASE 102 = STLP ULT (INTACT) :STLP ULT (INTACT) </v>
      </c>
      <c r="K76" s="23">
        <f>INDEX('01_FASTPPH'!$9:$1048576,MATCH($A76,'01_FASTPPH'!$A$9:$A$1048576,0),MATCH(K$9,'01_FASTPPH'!$8:$8,0))</f>
        <v>-5219.6000000000004</v>
      </c>
      <c r="L76" s="20">
        <f>INDEX('01_FASTPPH'!$9:$1048576,MATCH($A76,'01_FASTPPH'!$A$9:$A$1048576,0),MATCH(L$9,'01_FASTPPH'!$8:$8,0))</f>
        <v>-2605.86</v>
      </c>
      <c r="M76" s="20">
        <f>INDEX('01_FASTPPH'!$9:$1048576,MATCH($A76,'01_FASTPPH'!$A$9:$A$1048576,0),MATCH(M$9,'01_FASTPPH'!$8:$8,0))</f>
        <v>-6321.56</v>
      </c>
      <c r="N76" s="24">
        <f>INDEX('01_FASTPPH'!$9:$1048576,MATCH($A76,'01_FASTPPH'!$A$9:$A$1048576,0),MATCH(N$9,'01_FASTPPH'!$8:$8,0))</f>
        <v>14200.5</v>
      </c>
      <c r="O76" s="23">
        <f>INDEX('01_FASTPPH'!$9:$1048576,MATCH($A76,'01_FASTPPH'!$A$9:$A$1048576,0),MATCH(O$9,'01_FASTPPH'!$8:$8,0))</f>
        <v>-2459.06</v>
      </c>
      <c r="P76" s="20">
        <f>INDEX('01_FASTPPH'!$9:$1048576,MATCH($A76,'01_FASTPPH'!$A$9:$A$1048576,0),MATCH(P$9,'01_FASTPPH'!$8:$8,0))</f>
        <v>-2581.91</v>
      </c>
      <c r="Q76" s="20">
        <f>INDEX('01_FASTPPH'!$9:$1048576,MATCH($A76,'01_FASTPPH'!$A$9:$A$1048576,0),MATCH(Q$9,'01_FASTPPH'!$8:$8,0))</f>
        <v>159.78200000000001</v>
      </c>
      <c r="R76" s="20">
        <f>INDEX('01_FASTPPH'!$9:$1048576,MATCH($A76,'01_FASTPPH'!$A$9:$A$1048576,0),MATCH(R$9,'01_FASTPPH'!$8:$8,0))</f>
        <v>227.44200000000001</v>
      </c>
      <c r="S76" s="20">
        <f>INDEX('01_FASTPPH'!$9:$1048576,MATCH($A76,'01_FASTPPH'!$A$9:$A$1048576,0),MATCH(S$9,'01_FASTPPH'!$8:$8,0))</f>
        <v>186.19800000000001</v>
      </c>
      <c r="T76" s="24">
        <f>INDEX('01_FASTPPH'!$9:$1048576,MATCH($A76,'01_FASTPPH'!$A$9:$A$1048576,0),MATCH(T$9,'01_FASTPPH'!$8:$8,0))</f>
        <v>289.61599999999999</v>
      </c>
      <c r="U76" s="23">
        <f>INDEX('01_FASTPPH'!$9:$1048576,MATCH($A76,'01_FASTPPH'!$A$9:$A$1048576,0),MATCH(U$9,'01_FASTPPH'!$8:$8,0))</f>
        <v>148.46</v>
      </c>
      <c r="V76" s="20">
        <f>INDEX('01_FASTPPH'!$9:$1048576,MATCH($A76,'01_FASTPPH'!$A$9:$A$1048576,0),MATCH(V$9,'01_FASTPPH'!$8:$8,0))</f>
        <v>-1342.48</v>
      </c>
      <c r="W76" s="24">
        <f>INDEX('01_FASTPPH'!$9:$1048576,MATCH($A76,'01_FASTPPH'!$A$9:$A$1048576,0),MATCH(W$9,'01_FASTPPH'!$8:$8,0))</f>
        <v>-241.71</v>
      </c>
      <c r="X76" s="20">
        <f>INDEX('01_FASTPPH'!$9:$1048576,MATCH($A76,'01_FASTPPH'!$A$9:$A$1048576,0),MATCH(X$9,'01_FASTPPH'!$8:$8,0))</f>
        <v>0</v>
      </c>
      <c r="Y76" s="20">
        <f>INDEX('01_FASTPPH'!$9:$1048576,MATCH($A76,'01_FASTPPH'!$A$9:$A$1048576,0),MATCH(Y$9,'01_FASTPPH'!$8:$8,0))</f>
        <v>0</v>
      </c>
      <c r="AA76" s="32">
        <f>INDEX('02_PROPERTIES'!$C$10:$I$1048576,MATCH('03_CALCULATIONS'!$D76,'02_PROPERTIES'!$C$10:$C$1048576,0),MATCH('03_CALCULATIONS'!AA$9,'02_PROPERTIES'!$C$10:$I$10,0))</f>
        <v>16.559999999999999</v>
      </c>
      <c r="AB76" s="20">
        <f>INDEX('02_PROPERTIES'!$C$10:$I$1048576,MATCH('03_CALCULATIONS'!$D76,'02_PROPERTIES'!$C$10:$C$1048576,0),MATCH('03_CALCULATIONS'!AB$9,'02_PROPERTIES'!$C$10:$I$10,0))</f>
        <v>79593.867056640505</v>
      </c>
      <c r="AC76" s="20">
        <f>INDEX('02_PROPERTIES'!$C$10:$I$1048576,MATCH('03_CALCULATIONS'!$D76,'02_PROPERTIES'!$C$10:$C$1048576,0),MATCH('03_CALCULATIONS'!AC$9,'02_PROPERTIES'!$C$10:$I$10,0))</f>
        <v>41017.370743551612</v>
      </c>
      <c r="AD76" s="20">
        <f>INDEX('02_PROPERTIES'!$C$10:$I$1048576,MATCH('03_CALCULATIONS'!$D76,'02_PROPERTIES'!$C$10:$C$1048576,0),MATCH('03_CALCULATIONS'!AD$9,'02_PROPERTIES'!$C$10:$I$10,0))</f>
        <v>19846.188560278148</v>
      </c>
      <c r="AE76" s="32">
        <f>INDEX('02_PROPERTIES'!$C$10:$I$1048576,MATCH('03_CALCULATIONS'!$D76,'02_PROPERTIES'!$C$10:$C$1048576,0),MATCH('03_CALCULATIONS'!AE$9,'02_PROPERTIES'!$C$10:$I$10,0))</f>
        <v>0.4142802271075095</v>
      </c>
      <c r="AF76" s="32">
        <f>INDEX('02_PROPERTIES'!$C$10:$I$1048576,MATCH('03_CALCULATIONS'!$D76,'02_PROPERTIES'!$C$10:$C$1048576,0),MATCH('03_CALCULATIONS'!AF$9,'02_PROPERTIES'!$C$10:$I$10,0))</f>
        <v>1</v>
      </c>
      <c r="AH76" s="20">
        <f t="shared" si="11"/>
        <v>-2512.8498550724639</v>
      </c>
      <c r="AI76" s="20">
        <f t="shared" si="12"/>
        <v>646.18779710144929</v>
      </c>
      <c r="AJ76" s="20">
        <f t="shared" si="13"/>
        <v>273.77408695652173</v>
      </c>
      <c r="AL76" s="20">
        <f t="shared" si="14"/>
        <v>-2109.5566390489748</v>
      </c>
      <c r="AM76" s="20">
        <f t="shared" si="15"/>
        <v>2483.9420233808223</v>
      </c>
      <c r="AN76" s="20">
        <f t="shared" si="16"/>
        <v>416.50948688702732</v>
      </c>
      <c r="AO76" s="20">
        <f t="shared" si="17"/>
        <v>395.44743560943743</v>
      </c>
      <c r="AP76" s="20">
        <f t="shared" si="18"/>
        <v>-21.062051277589916</v>
      </c>
      <c r="AR76" s="20">
        <f t="shared" si="19"/>
        <v>2493.3643095012008</v>
      </c>
      <c r="AS76" s="20">
        <f t="shared" si="20"/>
        <v>-2118.9789251693533</v>
      </c>
      <c r="AT76" s="20">
        <f t="shared" si="21"/>
        <v>2334.2102825373249</v>
      </c>
    </row>
    <row r="77" spans="1:46" x14ac:dyDescent="0.3">
      <c r="A77" s="18">
        <v>144</v>
      </c>
      <c r="B77" s="20">
        <f>INDEX('01_FASTPPH'!$9:$1048576,MATCH($A77,'01_FASTPPH'!$A$9:$A$1048576,0),MATCH(B$9,'01_FASTPPH'!$8:$8,0))</f>
        <v>25</v>
      </c>
      <c r="C77" s="20">
        <f>INDEX('01_FASTPPH'!$9:$1048576,MATCH($A77,'01_FASTPPH'!$A$9:$A$1048576,0),MATCH(C$9,'01_FASTPPH'!$8:$8,0))</f>
        <v>1101827</v>
      </c>
      <c r="D77" s="20" t="str">
        <f>INDEX('01_FASTPPH'!$9:$1048576,MATCH($A77,'01_FASTPPH'!$A$9:$A$1048576,0),MATCH(D$9,'01_FASTPPH'!$8:$8,0))</f>
        <v>SkinLH</v>
      </c>
      <c r="E77" s="20">
        <f>INDEX('01_FASTPPH'!$9:$1048576,MATCH($A77,'01_FASTPPH'!$A$9:$A$1048576,0),MATCH(E$9,'01_FASTPPH'!$8:$8,0))</f>
        <v>3917010</v>
      </c>
      <c r="F77" s="20">
        <f>INDEX('01_FASTPPH'!$9:$1048576,MATCH($A77,'01_FASTPPH'!$A$9:$A$1048576,0),MATCH(F$9,'01_FASTPPH'!$8:$8,0))</f>
        <v>1917011</v>
      </c>
      <c r="G77" s="20">
        <f>INDEX('01_FASTPPH'!$9:$1048576,MATCH($A77,'01_FASTPPH'!$A$9:$A$1048576,0),MATCH(G$9,'01_FASTPPH'!$8:$8,0))</f>
        <v>0</v>
      </c>
      <c r="H77" s="20">
        <f>INDEX('01_FASTPPH'!$9:$1048576,MATCH($A77,'01_FASTPPH'!$A$9:$A$1048576,0),MATCH(H$9,'01_FASTPPH'!$8:$8,0))</f>
        <v>0</v>
      </c>
      <c r="I77" s="20">
        <f>INDEX('01_FASTPPH'!$9:$1048576,MATCH($A77,'01_FASTPPH'!$A$9:$A$1048576,0),MATCH(I$9,'01_FASTPPH'!$8:$8,0))</f>
        <v>57.914999999999999</v>
      </c>
      <c r="J77" s="20" t="str">
        <f>INDEX('01_FASTPPH'!$9:$1048576,MATCH($A77,'01_FASTPPH'!$A$9:$A$1048576,0),MATCH(J$9,'01_FASTPPH'!$8:$8,0))</f>
        <v xml:space="preserve">SUBCASE 102 = STLP ULT (INTACT) :STLP ULT (INTACT) </v>
      </c>
      <c r="K77" s="23">
        <f>INDEX('01_FASTPPH'!$9:$1048576,MATCH($A77,'01_FASTPPH'!$A$9:$A$1048576,0),MATCH(K$9,'01_FASTPPH'!$8:$8,0))</f>
        <v>-6904.7</v>
      </c>
      <c r="L77" s="20">
        <f>INDEX('01_FASTPPH'!$9:$1048576,MATCH($A77,'01_FASTPPH'!$A$9:$A$1048576,0),MATCH(L$9,'01_FASTPPH'!$8:$8,0))</f>
        <v>213.38</v>
      </c>
      <c r="M77" s="20">
        <f>INDEX('01_FASTPPH'!$9:$1048576,MATCH($A77,'01_FASTPPH'!$A$9:$A$1048576,0),MATCH(M$9,'01_FASTPPH'!$8:$8,0))</f>
        <v>-6629.38</v>
      </c>
      <c r="N77" s="24">
        <f>INDEX('01_FASTPPH'!$9:$1048576,MATCH($A77,'01_FASTPPH'!$A$9:$A$1048576,0),MATCH(N$9,'01_FASTPPH'!$8:$8,0))</f>
        <v>6807.24</v>
      </c>
      <c r="O77" s="23">
        <f>INDEX('01_FASTPPH'!$9:$1048576,MATCH($A77,'01_FASTPPH'!$A$9:$A$1048576,0),MATCH(O$9,'01_FASTPPH'!$8:$8,0))</f>
        <v>-2597.8200000000002</v>
      </c>
      <c r="P77" s="20">
        <f>INDEX('01_FASTPPH'!$9:$1048576,MATCH($A77,'01_FASTPPH'!$A$9:$A$1048576,0),MATCH(P$9,'01_FASTPPH'!$8:$8,0))</f>
        <v>-2888.84</v>
      </c>
      <c r="Q77" s="20">
        <f>INDEX('01_FASTPPH'!$9:$1048576,MATCH($A77,'01_FASTPPH'!$A$9:$A$1048576,0),MATCH(Q$9,'01_FASTPPH'!$8:$8,0))</f>
        <v>34.191499999999998</v>
      </c>
      <c r="R77" s="20">
        <f>INDEX('01_FASTPPH'!$9:$1048576,MATCH($A77,'01_FASTPPH'!$A$9:$A$1048576,0),MATCH(R$9,'01_FASTPPH'!$8:$8,0))</f>
        <v>140.69</v>
      </c>
      <c r="S77" s="20">
        <f>INDEX('01_FASTPPH'!$9:$1048576,MATCH($A77,'01_FASTPPH'!$A$9:$A$1048576,0),MATCH(S$9,'01_FASTPPH'!$8:$8,0))</f>
        <v>122.55200000000001</v>
      </c>
      <c r="T77" s="24">
        <f>INDEX('01_FASTPPH'!$9:$1048576,MATCH($A77,'01_FASTPPH'!$A$9:$A$1048576,0),MATCH(T$9,'01_FASTPPH'!$8:$8,0))</f>
        <v>287.911</v>
      </c>
      <c r="U77" s="23">
        <f>INDEX('01_FASTPPH'!$9:$1048576,MATCH($A77,'01_FASTPPH'!$A$9:$A$1048576,0),MATCH(U$9,'01_FASTPPH'!$8:$8,0))</f>
        <v>297.34399999999999</v>
      </c>
      <c r="V77" s="20">
        <f>INDEX('01_FASTPPH'!$9:$1048576,MATCH($A77,'01_FASTPPH'!$A$9:$A$1048576,0),MATCH(V$9,'01_FASTPPH'!$8:$8,0))</f>
        <v>-1046.44</v>
      </c>
      <c r="W77" s="24">
        <f>INDEX('01_FASTPPH'!$9:$1048576,MATCH($A77,'01_FASTPPH'!$A$9:$A$1048576,0),MATCH(W$9,'01_FASTPPH'!$8:$8,0))</f>
        <v>-631.66700000000003</v>
      </c>
      <c r="X77" s="20">
        <f>INDEX('01_FASTPPH'!$9:$1048576,MATCH($A77,'01_FASTPPH'!$A$9:$A$1048576,0),MATCH(X$9,'01_FASTPPH'!$8:$8,0))</f>
        <v>0</v>
      </c>
      <c r="Y77" s="20">
        <f>INDEX('01_FASTPPH'!$9:$1048576,MATCH($A77,'01_FASTPPH'!$A$9:$A$1048576,0),MATCH(Y$9,'01_FASTPPH'!$8:$8,0))</f>
        <v>0</v>
      </c>
      <c r="AA77" s="32">
        <f>INDEX('02_PROPERTIES'!$C$10:$I$1048576,MATCH('03_CALCULATIONS'!$D77,'02_PROPERTIES'!$C$10:$C$1048576,0),MATCH('03_CALCULATIONS'!AA$9,'02_PROPERTIES'!$C$10:$I$10,0))</f>
        <v>16.559999999999999</v>
      </c>
      <c r="AB77" s="20">
        <f>INDEX('02_PROPERTIES'!$C$10:$I$1048576,MATCH('03_CALCULATIONS'!$D77,'02_PROPERTIES'!$C$10:$C$1048576,0),MATCH('03_CALCULATIONS'!AB$9,'02_PROPERTIES'!$C$10:$I$10,0))</f>
        <v>79593.867056640505</v>
      </c>
      <c r="AC77" s="20">
        <f>INDEX('02_PROPERTIES'!$C$10:$I$1048576,MATCH('03_CALCULATIONS'!$D77,'02_PROPERTIES'!$C$10:$C$1048576,0),MATCH('03_CALCULATIONS'!AC$9,'02_PROPERTIES'!$C$10:$I$10,0))</f>
        <v>41017.370743551612</v>
      </c>
      <c r="AD77" s="20">
        <f>INDEX('02_PROPERTIES'!$C$10:$I$1048576,MATCH('03_CALCULATIONS'!$D77,'02_PROPERTIES'!$C$10:$C$1048576,0),MATCH('03_CALCULATIONS'!AD$9,'02_PROPERTIES'!$C$10:$I$10,0))</f>
        <v>19846.188560278148</v>
      </c>
      <c r="AE77" s="32">
        <f>INDEX('02_PROPERTIES'!$C$10:$I$1048576,MATCH('03_CALCULATIONS'!$D77,'02_PROPERTIES'!$C$10:$C$1048576,0),MATCH('03_CALCULATIONS'!AE$9,'02_PROPERTIES'!$C$10:$I$10,0))</f>
        <v>0.4142802271075095</v>
      </c>
      <c r="AF77" s="32">
        <f>INDEX('02_PROPERTIES'!$C$10:$I$1048576,MATCH('03_CALCULATIONS'!$D77,'02_PROPERTIES'!$C$10:$C$1048576,0),MATCH('03_CALCULATIONS'!AF$9,'02_PROPERTIES'!$C$10:$I$10,0))</f>
        <v>1</v>
      </c>
      <c r="AH77" s="20">
        <f t="shared" si="11"/>
        <v>-2705.5533333333333</v>
      </c>
      <c r="AI77" s="20">
        <f t="shared" si="12"/>
        <v>413.33642753623195</v>
      </c>
      <c r="AJ77" s="20">
        <f t="shared" si="13"/>
        <v>351.41685507246382</v>
      </c>
      <c r="AL77" s="20">
        <f t="shared" si="14"/>
        <v>-2182.5705426549707</v>
      </c>
      <c r="AM77" s="20">
        <f t="shared" si="15"/>
        <v>2258.6661218980571</v>
      </c>
      <c r="AN77" s="20">
        <f t="shared" si="16"/>
        <v>534.63224228715865</v>
      </c>
      <c r="AO77" s="20">
        <f t="shared" si="17"/>
        <v>305.36391076512251</v>
      </c>
      <c r="AP77" s="20">
        <f t="shared" si="18"/>
        <v>-229.26833152203614</v>
      </c>
      <c r="AR77" s="20">
        <f t="shared" si="19"/>
        <v>2274.6978932957354</v>
      </c>
      <c r="AS77" s="20">
        <f t="shared" si="20"/>
        <v>-2198.6023140526486</v>
      </c>
      <c r="AT77" s="20">
        <f t="shared" si="21"/>
        <v>2284.0703605921426</v>
      </c>
    </row>
    <row r="78" spans="1:46" x14ac:dyDescent="0.3">
      <c r="A78" s="18"/>
      <c r="B78" s="20" t="e">
        <f>INDEX('01_FASTPPH'!$9:$1048576,MATCH($A78,'01_FASTPPH'!$A$9:$A$1048576,0),MATCH(B$9,'01_FASTPPH'!$8:$8,0))</f>
        <v>#N/A</v>
      </c>
      <c r="C78" s="20" t="e">
        <f>INDEX('01_FASTPPH'!$9:$1048576,MATCH($A78,'01_FASTPPH'!$A$9:$A$1048576,0),MATCH(C$9,'01_FASTPPH'!$8:$8,0))</f>
        <v>#N/A</v>
      </c>
      <c r="D78" s="20" t="e">
        <f>INDEX('01_FASTPPH'!$9:$1048576,MATCH($A78,'01_FASTPPH'!$A$9:$A$1048576,0),MATCH(D$9,'01_FASTPPH'!$8:$8,0))</f>
        <v>#N/A</v>
      </c>
      <c r="E78" s="20" t="e">
        <f>INDEX('01_FASTPPH'!$9:$1048576,MATCH($A78,'01_FASTPPH'!$A$9:$A$1048576,0),MATCH(E$9,'01_FASTPPH'!$8:$8,0))</f>
        <v>#N/A</v>
      </c>
      <c r="F78" s="20" t="e">
        <f>INDEX('01_FASTPPH'!$9:$1048576,MATCH($A78,'01_FASTPPH'!$A$9:$A$1048576,0),MATCH(F$9,'01_FASTPPH'!$8:$8,0))</f>
        <v>#N/A</v>
      </c>
      <c r="G78" s="20" t="e">
        <f>INDEX('01_FASTPPH'!$9:$1048576,MATCH($A78,'01_FASTPPH'!$A$9:$A$1048576,0),MATCH(G$9,'01_FASTPPH'!$8:$8,0))</f>
        <v>#N/A</v>
      </c>
      <c r="H78" s="20" t="e">
        <f>INDEX('01_FASTPPH'!$9:$1048576,MATCH($A78,'01_FASTPPH'!$A$9:$A$1048576,0),MATCH(H$9,'01_FASTPPH'!$8:$8,0))</f>
        <v>#N/A</v>
      </c>
      <c r="I78" s="20" t="e">
        <f>INDEX('01_FASTPPH'!$9:$1048576,MATCH($A78,'01_FASTPPH'!$A$9:$A$1048576,0),MATCH(I$9,'01_FASTPPH'!$8:$8,0))</f>
        <v>#N/A</v>
      </c>
      <c r="J78" s="20" t="e">
        <f>INDEX('01_FASTPPH'!$9:$1048576,MATCH($A78,'01_FASTPPH'!$A$9:$A$1048576,0),MATCH(J$9,'01_FASTPPH'!$8:$8,0))</f>
        <v>#N/A</v>
      </c>
      <c r="K78" s="23" t="e">
        <f>INDEX('01_FASTPPH'!$9:$1048576,MATCH($A78,'01_FASTPPH'!$A$9:$A$1048576,0),MATCH(K$9,'01_FASTPPH'!$8:$8,0))</f>
        <v>#N/A</v>
      </c>
      <c r="L78" s="20" t="e">
        <f>INDEX('01_FASTPPH'!$9:$1048576,MATCH($A78,'01_FASTPPH'!$A$9:$A$1048576,0),MATCH(L$9,'01_FASTPPH'!$8:$8,0))</f>
        <v>#N/A</v>
      </c>
      <c r="M78" s="20" t="e">
        <f>INDEX('01_FASTPPH'!$9:$1048576,MATCH($A78,'01_FASTPPH'!$A$9:$A$1048576,0),MATCH(M$9,'01_FASTPPH'!$8:$8,0))</f>
        <v>#N/A</v>
      </c>
      <c r="N78" s="24" t="e">
        <f>INDEX('01_FASTPPH'!$9:$1048576,MATCH($A78,'01_FASTPPH'!$A$9:$A$1048576,0),MATCH(N$9,'01_FASTPPH'!$8:$8,0))</f>
        <v>#N/A</v>
      </c>
      <c r="O78" s="23" t="e">
        <f>INDEX('01_FASTPPH'!$9:$1048576,MATCH($A78,'01_FASTPPH'!$A$9:$A$1048576,0),MATCH(O$9,'01_FASTPPH'!$8:$8,0))</f>
        <v>#N/A</v>
      </c>
      <c r="P78" s="20" t="e">
        <f>INDEX('01_FASTPPH'!$9:$1048576,MATCH($A78,'01_FASTPPH'!$A$9:$A$1048576,0),MATCH(P$9,'01_FASTPPH'!$8:$8,0))</f>
        <v>#N/A</v>
      </c>
      <c r="Q78" s="20" t="e">
        <f>INDEX('01_FASTPPH'!$9:$1048576,MATCH($A78,'01_FASTPPH'!$A$9:$A$1048576,0),MATCH(Q$9,'01_FASTPPH'!$8:$8,0))</f>
        <v>#N/A</v>
      </c>
      <c r="R78" s="20" t="e">
        <f>INDEX('01_FASTPPH'!$9:$1048576,MATCH($A78,'01_FASTPPH'!$A$9:$A$1048576,0),MATCH(R$9,'01_FASTPPH'!$8:$8,0))</f>
        <v>#N/A</v>
      </c>
      <c r="S78" s="20" t="e">
        <f>INDEX('01_FASTPPH'!$9:$1048576,MATCH($A78,'01_FASTPPH'!$A$9:$A$1048576,0),MATCH(S$9,'01_FASTPPH'!$8:$8,0))</f>
        <v>#N/A</v>
      </c>
      <c r="T78" s="24" t="e">
        <f>INDEX('01_FASTPPH'!$9:$1048576,MATCH($A78,'01_FASTPPH'!$A$9:$A$1048576,0),MATCH(T$9,'01_FASTPPH'!$8:$8,0))</f>
        <v>#N/A</v>
      </c>
      <c r="U78" s="23" t="e">
        <f>INDEX('01_FASTPPH'!$9:$1048576,MATCH($A78,'01_FASTPPH'!$A$9:$A$1048576,0),MATCH(U$9,'01_FASTPPH'!$8:$8,0))</f>
        <v>#N/A</v>
      </c>
      <c r="V78" s="20" t="e">
        <f>INDEX('01_FASTPPH'!$9:$1048576,MATCH($A78,'01_FASTPPH'!$A$9:$A$1048576,0),MATCH(V$9,'01_FASTPPH'!$8:$8,0))</f>
        <v>#N/A</v>
      </c>
      <c r="W78" s="24" t="e">
        <f>INDEX('01_FASTPPH'!$9:$1048576,MATCH($A78,'01_FASTPPH'!$A$9:$A$1048576,0),MATCH(W$9,'01_FASTPPH'!$8:$8,0))</f>
        <v>#N/A</v>
      </c>
      <c r="X78" s="20" t="e">
        <f>INDEX('01_FASTPPH'!$9:$1048576,MATCH($A78,'01_FASTPPH'!$A$9:$A$1048576,0),MATCH(X$9,'01_FASTPPH'!$8:$8,0))</f>
        <v>#N/A</v>
      </c>
      <c r="Y78" s="20" t="e">
        <f>INDEX('01_FASTPPH'!$9:$1048576,MATCH($A78,'01_FASTPPH'!$A$9:$A$1048576,0),MATCH(Y$9,'01_FASTPPH'!$8:$8,0))</f>
        <v>#N/A</v>
      </c>
      <c r="AA78" s="32" t="e">
        <f>INDEX('02_PROPERTIES'!$C$10:$I$1048576,MATCH('03_CALCULATIONS'!$D78,'02_PROPERTIES'!$C$10:$C$1048576,0),MATCH('03_CALCULATIONS'!AA$9,'02_PROPERTIES'!$C$10:$I$10,0))</f>
        <v>#N/A</v>
      </c>
      <c r="AB78" s="20" t="e">
        <f>INDEX('02_PROPERTIES'!$C$10:$I$1048576,MATCH('03_CALCULATIONS'!$D78,'02_PROPERTIES'!$C$10:$C$1048576,0),MATCH('03_CALCULATIONS'!AB$9,'02_PROPERTIES'!$C$10:$I$10,0))</f>
        <v>#N/A</v>
      </c>
      <c r="AC78" s="20" t="e">
        <f>INDEX('02_PROPERTIES'!$C$10:$I$1048576,MATCH('03_CALCULATIONS'!$D78,'02_PROPERTIES'!$C$10:$C$1048576,0),MATCH('03_CALCULATIONS'!AC$9,'02_PROPERTIES'!$C$10:$I$10,0))</f>
        <v>#N/A</v>
      </c>
      <c r="AD78" s="20" t="e">
        <f>INDEX('02_PROPERTIES'!$C$10:$I$1048576,MATCH('03_CALCULATIONS'!$D78,'02_PROPERTIES'!$C$10:$C$1048576,0),MATCH('03_CALCULATIONS'!AD$9,'02_PROPERTIES'!$C$10:$I$10,0))</f>
        <v>#N/A</v>
      </c>
      <c r="AE78" s="32" t="e">
        <f>INDEX('02_PROPERTIES'!$C$10:$I$1048576,MATCH('03_CALCULATIONS'!$D78,'02_PROPERTIES'!$C$10:$C$1048576,0),MATCH('03_CALCULATIONS'!AE$9,'02_PROPERTIES'!$C$10:$I$10,0))</f>
        <v>#N/A</v>
      </c>
      <c r="AF78" s="32" t="e">
        <f>INDEX('02_PROPERTIES'!$C$10:$I$1048576,MATCH('03_CALCULATIONS'!$D78,'02_PROPERTIES'!$C$10:$C$1048576,0),MATCH('03_CALCULATIONS'!AF$9,'02_PROPERTIES'!$C$10:$I$10,0))</f>
        <v>#N/A</v>
      </c>
      <c r="AH78" s="20" t="e">
        <f t="shared" si="11"/>
        <v>#N/A</v>
      </c>
      <c r="AI78" s="20" t="e">
        <f t="shared" si="12"/>
        <v>#N/A</v>
      </c>
      <c r="AJ78" s="20" t="e">
        <f t="shared" si="13"/>
        <v>#N/A</v>
      </c>
      <c r="AL78" s="20" t="e">
        <f t="shared" si="14"/>
        <v>#N/A</v>
      </c>
      <c r="AM78" s="20" t="e">
        <f t="shared" si="15"/>
        <v>#N/A</v>
      </c>
      <c r="AN78" s="20" t="e">
        <f t="shared" si="16"/>
        <v>#N/A</v>
      </c>
      <c r="AO78" s="20" t="e">
        <f t="shared" si="17"/>
        <v>#N/A</v>
      </c>
      <c r="AP78" s="20" t="e">
        <f t="shared" si="18"/>
        <v>#N/A</v>
      </c>
      <c r="AR78" s="20" t="e">
        <f t="shared" si="19"/>
        <v>#N/A</v>
      </c>
      <c r="AS78" s="20" t="e">
        <f t="shared" si="20"/>
        <v>#N/A</v>
      </c>
      <c r="AT78" s="20" t="e">
        <f t="shared" si="21"/>
        <v>#N/A</v>
      </c>
    </row>
    <row r="79" spans="1:46" x14ac:dyDescent="0.3">
      <c r="A79" s="18"/>
      <c r="B79" s="20" t="e">
        <f>INDEX('01_FASTPPH'!$9:$1048576,MATCH($A79,'01_FASTPPH'!$A$9:$A$1048576,0),MATCH(B$9,'01_FASTPPH'!$8:$8,0))</f>
        <v>#N/A</v>
      </c>
      <c r="C79" s="20" t="e">
        <f>INDEX('01_FASTPPH'!$9:$1048576,MATCH($A79,'01_FASTPPH'!$A$9:$A$1048576,0),MATCH(C$9,'01_FASTPPH'!$8:$8,0))</f>
        <v>#N/A</v>
      </c>
      <c r="D79" s="20" t="e">
        <f>INDEX('01_FASTPPH'!$9:$1048576,MATCH($A79,'01_FASTPPH'!$A$9:$A$1048576,0),MATCH(D$9,'01_FASTPPH'!$8:$8,0))</f>
        <v>#N/A</v>
      </c>
      <c r="E79" s="20" t="e">
        <f>INDEX('01_FASTPPH'!$9:$1048576,MATCH($A79,'01_FASTPPH'!$A$9:$A$1048576,0),MATCH(E$9,'01_FASTPPH'!$8:$8,0))</f>
        <v>#N/A</v>
      </c>
      <c r="F79" s="20" t="e">
        <f>INDEX('01_FASTPPH'!$9:$1048576,MATCH($A79,'01_FASTPPH'!$A$9:$A$1048576,0),MATCH(F$9,'01_FASTPPH'!$8:$8,0))</f>
        <v>#N/A</v>
      </c>
      <c r="G79" s="20" t="e">
        <f>INDEX('01_FASTPPH'!$9:$1048576,MATCH($A79,'01_FASTPPH'!$A$9:$A$1048576,0),MATCH(G$9,'01_FASTPPH'!$8:$8,0))</f>
        <v>#N/A</v>
      </c>
      <c r="H79" s="20" t="e">
        <f>INDEX('01_FASTPPH'!$9:$1048576,MATCH($A79,'01_FASTPPH'!$A$9:$A$1048576,0),MATCH(H$9,'01_FASTPPH'!$8:$8,0))</f>
        <v>#N/A</v>
      </c>
      <c r="I79" s="20" t="e">
        <f>INDEX('01_FASTPPH'!$9:$1048576,MATCH($A79,'01_FASTPPH'!$A$9:$A$1048576,0),MATCH(I$9,'01_FASTPPH'!$8:$8,0))</f>
        <v>#N/A</v>
      </c>
      <c r="J79" s="20" t="e">
        <f>INDEX('01_FASTPPH'!$9:$1048576,MATCH($A79,'01_FASTPPH'!$A$9:$A$1048576,0),MATCH(J$9,'01_FASTPPH'!$8:$8,0))</f>
        <v>#N/A</v>
      </c>
      <c r="K79" s="23" t="e">
        <f>INDEX('01_FASTPPH'!$9:$1048576,MATCH($A79,'01_FASTPPH'!$A$9:$A$1048576,0),MATCH(K$9,'01_FASTPPH'!$8:$8,0))</f>
        <v>#N/A</v>
      </c>
      <c r="L79" s="20" t="e">
        <f>INDEX('01_FASTPPH'!$9:$1048576,MATCH($A79,'01_FASTPPH'!$A$9:$A$1048576,0),MATCH(L$9,'01_FASTPPH'!$8:$8,0))</f>
        <v>#N/A</v>
      </c>
      <c r="M79" s="20" t="e">
        <f>INDEX('01_FASTPPH'!$9:$1048576,MATCH($A79,'01_FASTPPH'!$A$9:$A$1048576,0),MATCH(M$9,'01_FASTPPH'!$8:$8,0))</f>
        <v>#N/A</v>
      </c>
      <c r="N79" s="24" t="e">
        <f>INDEX('01_FASTPPH'!$9:$1048576,MATCH($A79,'01_FASTPPH'!$A$9:$A$1048576,0),MATCH(N$9,'01_FASTPPH'!$8:$8,0))</f>
        <v>#N/A</v>
      </c>
      <c r="O79" s="23" t="e">
        <f>INDEX('01_FASTPPH'!$9:$1048576,MATCH($A79,'01_FASTPPH'!$A$9:$A$1048576,0),MATCH(O$9,'01_FASTPPH'!$8:$8,0))</f>
        <v>#N/A</v>
      </c>
      <c r="P79" s="20" t="e">
        <f>INDEX('01_FASTPPH'!$9:$1048576,MATCH($A79,'01_FASTPPH'!$A$9:$A$1048576,0),MATCH(P$9,'01_FASTPPH'!$8:$8,0))</f>
        <v>#N/A</v>
      </c>
      <c r="Q79" s="20" t="e">
        <f>INDEX('01_FASTPPH'!$9:$1048576,MATCH($A79,'01_FASTPPH'!$A$9:$A$1048576,0),MATCH(Q$9,'01_FASTPPH'!$8:$8,0))</f>
        <v>#N/A</v>
      </c>
      <c r="R79" s="20" t="e">
        <f>INDEX('01_FASTPPH'!$9:$1048576,MATCH($A79,'01_FASTPPH'!$A$9:$A$1048576,0),MATCH(R$9,'01_FASTPPH'!$8:$8,0))</f>
        <v>#N/A</v>
      </c>
      <c r="S79" s="20" t="e">
        <f>INDEX('01_FASTPPH'!$9:$1048576,MATCH($A79,'01_FASTPPH'!$A$9:$A$1048576,0),MATCH(S$9,'01_FASTPPH'!$8:$8,0))</f>
        <v>#N/A</v>
      </c>
      <c r="T79" s="24" t="e">
        <f>INDEX('01_FASTPPH'!$9:$1048576,MATCH($A79,'01_FASTPPH'!$A$9:$A$1048576,0),MATCH(T$9,'01_FASTPPH'!$8:$8,0))</f>
        <v>#N/A</v>
      </c>
      <c r="U79" s="23" t="e">
        <f>INDEX('01_FASTPPH'!$9:$1048576,MATCH($A79,'01_FASTPPH'!$A$9:$A$1048576,0),MATCH(U$9,'01_FASTPPH'!$8:$8,0))</f>
        <v>#N/A</v>
      </c>
      <c r="V79" s="20" t="e">
        <f>INDEX('01_FASTPPH'!$9:$1048576,MATCH($A79,'01_FASTPPH'!$A$9:$A$1048576,0),MATCH(V$9,'01_FASTPPH'!$8:$8,0))</f>
        <v>#N/A</v>
      </c>
      <c r="W79" s="24" t="e">
        <f>INDEX('01_FASTPPH'!$9:$1048576,MATCH($A79,'01_FASTPPH'!$A$9:$A$1048576,0),MATCH(W$9,'01_FASTPPH'!$8:$8,0))</f>
        <v>#N/A</v>
      </c>
      <c r="X79" s="20" t="e">
        <f>INDEX('01_FASTPPH'!$9:$1048576,MATCH($A79,'01_FASTPPH'!$A$9:$A$1048576,0),MATCH(X$9,'01_FASTPPH'!$8:$8,0))</f>
        <v>#N/A</v>
      </c>
      <c r="Y79" s="20" t="e">
        <f>INDEX('01_FASTPPH'!$9:$1048576,MATCH($A79,'01_FASTPPH'!$A$9:$A$1048576,0),MATCH(Y$9,'01_FASTPPH'!$8:$8,0))</f>
        <v>#N/A</v>
      </c>
      <c r="AA79" s="32" t="e">
        <f>INDEX('02_PROPERTIES'!$C$10:$I$1048576,MATCH('03_CALCULATIONS'!$D79,'02_PROPERTIES'!$C$10:$C$1048576,0),MATCH('03_CALCULATIONS'!AA$9,'02_PROPERTIES'!$C$10:$I$10,0))</f>
        <v>#N/A</v>
      </c>
      <c r="AB79" s="20" t="e">
        <f>INDEX('02_PROPERTIES'!$C$10:$I$1048576,MATCH('03_CALCULATIONS'!$D79,'02_PROPERTIES'!$C$10:$C$1048576,0),MATCH('03_CALCULATIONS'!AB$9,'02_PROPERTIES'!$C$10:$I$10,0))</f>
        <v>#N/A</v>
      </c>
      <c r="AC79" s="20" t="e">
        <f>INDEX('02_PROPERTIES'!$C$10:$I$1048576,MATCH('03_CALCULATIONS'!$D79,'02_PROPERTIES'!$C$10:$C$1048576,0),MATCH('03_CALCULATIONS'!AC$9,'02_PROPERTIES'!$C$10:$I$10,0))</f>
        <v>#N/A</v>
      </c>
      <c r="AD79" s="20" t="e">
        <f>INDEX('02_PROPERTIES'!$C$10:$I$1048576,MATCH('03_CALCULATIONS'!$D79,'02_PROPERTIES'!$C$10:$C$1048576,0),MATCH('03_CALCULATIONS'!AD$9,'02_PROPERTIES'!$C$10:$I$10,0))</f>
        <v>#N/A</v>
      </c>
      <c r="AE79" s="32" t="e">
        <f>INDEX('02_PROPERTIES'!$C$10:$I$1048576,MATCH('03_CALCULATIONS'!$D79,'02_PROPERTIES'!$C$10:$C$1048576,0),MATCH('03_CALCULATIONS'!AE$9,'02_PROPERTIES'!$C$10:$I$10,0))</f>
        <v>#N/A</v>
      </c>
      <c r="AF79" s="32" t="e">
        <f>INDEX('02_PROPERTIES'!$C$10:$I$1048576,MATCH('03_CALCULATIONS'!$D79,'02_PROPERTIES'!$C$10:$C$1048576,0),MATCH('03_CALCULATIONS'!AF$9,'02_PROPERTIES'!$C$10:$I$10,0))</f>
        <v>#N/A</v>
      </c>
      <c r="AH79" s="20" t="e">
        <f t="shared" si="11"/>
        <v>#N/A</v>
      </c>
      <c r="AI79" s="20" t="e">
        <f t="shared" si="12"/>
        <v>#N/A</v>
      </c>
      <c r="AJ79" s="20" t="e">
        <f t="shared" si="13"/>
        <v>#N/A</v>
      </c>
      <c r="AL79" s="20" t="e">
        <f t="shared" si="14"/>
        <v>#N/A</v>
      </c>
      <c r="AM79" s="20" t="e">
        <f t="shared" si="15"/>
        <v>#N/A</v>
      </c>
      <c r="AN79" s="20" t="e">
        <f t="shared" si="16"/>
        <v>#N/A</v>
      </c>
      <c r="AO79" s="20" t="e">
        <f t="shared" si="17"/>
        <v>#N/A</v>
      </c>
      <c r="AP79" s="20" t="e">
        <f t="shared" si="18"/>
        <v>#N/A</v>
      </c>
      <c r="AR79" s="20" t="e">
        <f t="shared" si="19"/>
        <v>#N/A</v>
      </c>
      <c r="AS79" s="20" t="e">
        <f t="shared" si="20"/>
        <v>#N/A</v>
      </c>
      <c r="AT79" s="20" t="e">
        <f t="shared" si="21"/>
        <v>#N/A</v>
      </c>
    </row>
    <row r="80" spans="1:46" x14ac:dyDescent="0.3">
      <c r="A80" s="18"/>
      <c r="B80" s="20" t="e">
        <f>INDEX('01_FASTPPH'!$9:$1048576,MATCH($A80,'01_FASTPPH'!$A$9:$A$1048576,0),MATCH(B$9,'01_FASTPPH'!$8:$8,0))</f>
        <v>#N/A</v>
      </c>
      <c r="C80" s="20" t="e">
        <f>INDEX('01_FASTPPH'!$9:$1048576,MATCH($A80,'01_FASTPPH'!$A$9:$A$1048576,0),MATCH(C$9,'01_FASTPPH'!$8:$8,0))</f>
        <v>#N/A</v>
      </c>
      <c r="D80" s="20" t="e">
        <f>INDEX('01_FASTPPH'!$9:$1048576,MATCH($A80,'01_FASTPPH'!$A$9:$A$1048576,0),MATCH(D$9,'01_FASTPPH'!$8:$8,0))</f>
        <v>#N/A</v>
      </c>
      <c r="E80" s="20" t="e">
        <f>INDEX('01_FASTPPH'!$9:$1048576,MATCH($A80,'01_FASTPPH'!$A$9:$A$1048576,0),MATCH(E$9,'01_FASTPPH'!$8:$8,0))</f>
        <v>#N/A</v>
      </c>
      <c r="F80" s="20" t="e">
        <f>INDEX('01_FASTPPH'!$9:$1048576,MATCH($A80,'01_FASTPPH'!$A$9:$A$1048576,0),MATCH(F$9,'01_FASTPPH'!$8:$8,0))</f>
        <v>#N/A</v>
      </c>
      <c r="G80" s="20" t="e">
        <f>INDEX('01_FASTPPH'!$9:$1048576,MATCH($A80,'01_FASTPPH'!$A$9:$A$1048576,0),MATCH(G$9,'01_FASTPPH'!$8:$8,0))</f>
        <v>#N/A</v>
      </c>
      <c r="H80" s="20" t="e">
        <f>INDEX('01_FASTPPH'!$9:$1048576,MATCH($A80,'01_FASTPPH'!$A$9:$A$1048576,0),MATCH(H$9,'01_FASTPPH'!$8:$8,0))</f>
        <v>#N/A</v>
      </c>
      <c r="I80" s="20" t="e">
        <f>INDEX('01_FASTPPH'!$9:$1048576,MATCH($A80,'01_FASTPPH'!$A$9:$A$1048576,0),MATCH(I$9,'01_FASTPPH'!$8:$8,0))</f>
        <v>#N/A</v>
      </c>
      <c r="J80" s="20" t="e">
        <f>INDEX('01_FASTPPH'!$9:$1048576,MATCH($A80,'01_FASTPPH'!$A$9:$A$1048576,0),MATCH(J$9,'01_FASTPPH'!$8:$8,0))</f>
        <v>#N/A</v>
      </c>
      <c r="K80" s="23" t="e">
        <f>INDEX('01_FASTPPH'!$9:$1048576,MATCH($A80,'01_FASTPPH'!$A$9:$A$1048576,0),MATCH(K$9,'01_FASTPPH'!$8:$8,0))</f>
        <v>#N/A</v>
      </c>
      <c r="L80" s="20" t="e">
        <f>INDEX('01_FASTPPH'!$9:$1048576,MATCH($A80,'01_FASTPPH'!$A$9:$A$1048576,0),MATCH(L$9,'01_FASTPPH'!$8:$8,0))</f>
        <v>#N/A</v>
      </c>
      <c r="M80" s="20" t="e">
        <f>INDEX('01_FASTPPH'!$9:$1048576,MATCH($A80,'01_FASTPPH'!$A$9:$A$1048576,0),MATCH(M$9,'01_FASTPPH'!$8:$8,0))</f>
        <v>#N/A</v>
      </c>
      <c r="N80" s="24" t="e">
        <f>INDEX('01_FASTPPH'!$9:$1048576,MATCH($A80,'01_FASTPPH'!$A$9:$A$1048576,0),MATCH(N$9,'01_FASTPPH'!$8:$8,0))</f>
        <v>#N/A</v>
      </c>
      <c r="O80" s="23" t="e">
        <f>INDEX('01_FASTPPH'!$9:$1048576,MATCH($A80,'01_FASTPPH'!$A$9:$A$1048576,0),MATCH(O$9,'01_FASTPPH'!$8:$8,0))</f>
        <v>#N/A</v>
      </c>
      <c r="P80" s="20" t="e">
        <f>INDEX('01_FASTPPH'!$9:$1048576,MATCH($A80,'01_FASTPPH'!$A$9:$A$1048576,0),MATCH(P$9,'01_FASTPPH'!$8:$8,0))</f>
        <v>#N/A</v>
      </c>
      <c r="Q80" s="20" t="e">
        <f>INDEX('01_FASTPPH'!$9:$1048576,MATCH($A80,'01_FASTPPH'!$A$9:$A$1048576,0),MATCH(Q$9,'01_FASTPPH'!$8:$8,0))</f>
        <v>#N/A</v>
      </c>
      <c r="R80" s="20" t="e">
        <f>INDEX('01_FASTPPH'!$9:$1048576,MATCH($A80,'01_FASTPPH'!$A$9:$A$1048576,0),MATCH(R$9,'01_FASTPPH'!$8:$8,0))</f>
        <v>#N/A</v>
      </c>
      <c r="S80" s="20" t="e">
        <f>INDEX('01_FASTPPH'!$9:$1048576,MATCH($A80,'01_FASTPPH'!$A$9:$A$1048576,0),MATCH(S$9,'01_FASTPPH'!$8:$8,0))</f>
        <v>#N/A</v>
      </c>
      <c r="T80" s="24" t="e">
        <f>INDEX('01_FASTPPH'!$9:$1048576,MATCH($A80,'01_FASTPPH'!$A$9:$A$1048576,0),MATCH(T$9,'01_FASTPPH'!$8:$8,0))</f>
        <v>#N/A</v>
      </c>
      <c r="U80" s="23" t="e">
        <f>INDEX('01_FASTPPH'!$9:$1048576,MATCH($A80,'01_FASTPPH'!$A$9:$A$1048576,0),MATCH(U$9,'01_FASTPPH'!$8:$8,0))</f>
        <v>#N/A</v>
      </c>
      <c r="V80" s="20" t="e">
        <f>INDEX('01_FASTPPH'!$9:$1048576,MATCH($A80,'01_FASTPPH'!$A$9:$A$1048576,0),MATCH(V$9,'01_FASTPPH'!$8:$8,0))</f>
        <v>#N/A</v>
      </c>
      <c r="W80" s="24" t="e">
        <f>INDEX('01_FASTPPH'!$9:$1048576,MATCH($A80,'01_FASTPPH'!$A$9:$A$1048576,0),MATCH(W$9,'01_FASTPPH'!$8:$8,0))</f>
        <v>#N/A</v>
      </c>
      <c r="X80" s="20" t="e">
        <f>INDEX('01_FASTPPH'!$9:$1048576,MATCH($A80,'01_FASTPPH'!$A$9:$A$1048576,0),MATCH(X$9,'01_FASTPPH'!$8:$8,0))</f>
        <v>#N/A</v>
      </c>
      <c r="Y80" s="20" t="e">
        <f>INDEX('01_FASTPPH'!$9:$1048576,MATCH($A80,'01_FASTPPH'!$A$9:$A$1048576,0),MATCH(Y$9,'01_FASTPPH'!$8:$8,0))</f>
        <v>#N/A</v>
      </c>
      <c r="AA80" s="32" t="e">
        <f>INDEX('02_PROPERTIES'!$C$10:$I$1048576,MATCH('03_CALCULATIONS'!$D80,'02_PROPERTIES'!$C$10:$C$1048576,0),MATCH('03_CALCULATIONS'!AA$9,'02_PROPERTIES'!$C$10:$I$10,0))</f>
        <v>#N/A</v>
      </c>
      <c r="AB80" s="20" t="e">
        <f>INDEX('02_PROPERTIES'!$C$10:$I$1048576,MATCH('03_CALCULATIONS'!$D80,'02_PROPERTIES'!$C$10:$C$1048576,0),MATCH('03_CALCULATIONS'!AB$9,'02_PROPERTIES'!$C$10:$I$10,0))</f>
        <v>#N/A</v>
      </c>
      <c r="AC80" s="20" t="e">
        <f>INDEX('02_PROPERTIES'!$C$10:$I$1048576,MATCH('03_CALCULATIONS'!$D80,'02_PROPERTIES'!$C$10:$C$1048576,0),MATCH('03_CALCULATIONS'!AC$9,'02_PROPERTIES'!$C$10:$I$10,0))</f>
        <v>#N/A</v>
      </c>
      <c r="AD80" s="20" t="e">
        <f>INDEX('02_PROPERTIES'!$C$10:$I$1048576,MATCH('03_CALCULATIONS'!$D80,'02_PROPERTIES'!$C$10:$C$1048576,0),MATCH('03_CALCULATIONS'!AD$9,'02_PROPERTIES'!$C$10:$I$10,0))</f>
        <v>#N/A</v>
      </c>
      <c r="AE80" s="32" t="e">
        <f>INDEX('02_PROPERTIES'!$C$10:$I$1048576,MATCH('03_CALCULATIONS'!$D80,'02_PROPERTIES'!$C$10:$C$1048576,0),MATCH('03_CALCULATIONS'!AE$9,'02_PROPERTIES'!$C$10:$I$10,0))</f>
        <v>#N/A</v>
      </c>
      <c r="AF80" s="32" t="e">
        <f>INDEX('02_PROPERTIES'!$C$10:$I$1048576,MATCH('03_CALCULATIONS'!$D80,'02_PROPERTIES'!$C$10:$C$1048576,0),MATCH('03_CALCULATIONS'!AF$9,'02_PROPERTIES'!$C$10:$I$10,0))</f>
        <v>#N/A</v>
      </c>
      <c r="AH80" s="20" t="e">
        <f t="shared" si="11"/>
        <v>#N/A</v>
      </c>
      <c r="AI80" s="20" t="e">
        <f t="shared" si="12"/>
        <v>#N/A</v>
      </c>
      <c r="AJ80" s="20" t="e">
        <f t="shared" si="13"/>
        <v>#N/A</v>
      </c>
      <c r="AL80" s="20" t="e">
        <f t="shared" si="14"/>
        <v>#N/A</v>
      </c>
      <c r="AM80" s="20" t="e">
        <f t="shared" si="15"/>
        <v>#N/A</v>
      </c>
      <c r="AN80" s="20" t="e">
        <f t="shared" si="16"/>
        <v>#N/A</v>
      </c>
      <c r="AO80" s="20" t="e">
        <f t="shared" si="17"/>
        <v>#N/A</v>
      </c>
      <c r="AP80" s="20" t="e">
        <f t="shared" si="18"/>
        <v>#N/A</v>
      </c>
      <c r="AR80" s="20" t="e">
        <f t="shared" si="19"/>
        <v>#N/A</v>
      </c>
      <c r="AS80" s="20" t="e">
        <f t="shared" si="20"/>
        <v>#N/A</v>
      </c>
      <c r="AT80" s="20" t="e">
        <f t="shared" si="21"/>
        <v>#N/A</v>
      </c>
    </row>
    <row r="81" spans="1:46" x14ac:dyDescent="0.3">
      <c r="A81" s="18"/>
      <c r="B81" s="20" t="e">
        <f>INDEX('01_FASTPPH'!$9:$1048576,MATCH($A81,'01_FASTPPH'!$A$9:$A$1048576,0),MATCH(B$9,'01_FASTPPH'!$8:$8,0))</f>
        <v>#N/A</v>
      </c>
      <c r="C81" s="20" t="e">
        <f>INDEX('01_FASTPPH'!$9:$1048576,MATCH($A81,'01_FASTPPH'!$A$9:$A$1048576,0),MATCH(C$9,'01_FASTPPH'!$8:$8,0))</f>
        <v>#N/A</v>
      </c>
      <c r="D81" s="20" t="e">
        <f>INDEX('01_FASTPPH'!$9:$1048576,MATCH($A81,'01_FASTPPH'!$A$9:$A$1048576,0),MATCH(D$9,'01_FASTPPH'!$8:$8,0))</f>
        <v>#N/A</v>
      </c>
      <c r="E81" s="20" t="e">
        <f>INDEX('01_FASTPPH'!$9:$1048576,MATCH($A81,'01_FASTPPH'!$A$9:$A$1048576,0),MATCH(E$9,'01_FASTPPH'!$8:$8,0))</f>
        <v>#N/A</v>
      </c>
      <c r="F81" s="20" t="e">
        <f>INDEX('01_FASTPPH'!$9:$1048576,MATCH($A81,'01_FASTPPH'!$A$9:$A$1048576,0),MATCH(F$9,'01_FASTPPH'!$8:$8,0))</f>
        <v>#N/A</v>
      </c>
      <c r="G81" s="20" t="e">
        <f>INDEX('01_FASTPPH'!$9:$1048576,MATCH($A81,'01_FASTPPH'!$A$9:$A$1048576,0),MATCH(G$9,'01_FASTPPH'!$8:$8,0))</f>
        <v>#N/A</v>
      </c>
      <c r="H81" s="20" t="e">
        <f>INDEX('01_FASTPPH'!$9:$1048576,MATCH($A81,'01_FASTPPH'!$A$9:$A$1048576,0),MATCH(H$9,'01_FASTPPH'!$8:$8,0))</f>
        <v>#N/A</v>
      </c>
      <c r="I81" s="20" t="e">
        <f>INDEX('01_FASTPPH'!$9:$1048576,MATCH($A81,'01_FASTPPH'!$A$9:$A$1048576,0),MATCH(I$9,'01_FASTPPH'!$8:$8,0))</f>
        <v>#N/A</v>
      </c>
      <c r="J81" s="20" t="e">
        <f>INDEX('01_FASTPPH'!$9:$1048576,MATCH($A81,'01_FASTPPH'!$A$9:$A$1048576,0),MATCH(J$9,'01_FASTPPH'!$8:$8,0))</f>
        <v>#N/A</v>
      </c>
      <c r="K81" s="23" t="e">
        <f>INDEX('01_FASTPPH'!$9:$1048576,MATCH($A81,'01_FASTPPH'!$A$9:$A$1048576,0),MATCH(K$9,'01_FASTPPH'!$8:$8,0))</f>
        <v>#N/A</v>
      </c>
      <c r="L81" s="20" t="e">
        <f>INDEX('01_FASTPPH'!$9:$1048576,MATCH($A81,'01_FASTPPH'!$A$9:$A$1048576,0),MATCH(L$9,'01_FASTPPH'!$8:$8,0))</f>
        <v>#N/A</v>
      </c>
      <c r="M81" s="20" t="e">
        <f>INDEX('01_FASTPPH'!$9:$1048576,MATCH($A81,'01_FASTPPH'!$A$9:$A$1048576,0),MATCH(M$9,'01_FASTPPH'!$8:$8,0))</f>
        <v>#N/A</v>
      </c>
      <c r="N81" s="24" t="e">
        <f>INDEX('01_FASTPPH'!$9:$1048576,MATCH($A81,'01_FASTPPH'!$A$9:$A$1048576,0),MATCH(N$9,'01_FASTPPH'!$8:$8,0))</f>
        <v>#N/A</v>
      </c>
      <c r="O81" s="23" t="e">
        <f>INDEX('01_FASTPPH'!$9:$1048576,MATCH($A81,'01_FASTPPH'!$A$9:$A$1048576,0),MATCH(O$9,'01_FASTPPH'!$8:$8,0))</f>
        <v>#N/A</v>
      </c>
      <c r="P81" s="20" t="e">
        <f>INDEX('01_FASTPPH'!$9:$1048576,MATCH($A81,'01_FASTPPH'!$A$9:$A$1048576,0),MATCH(P$9,'01_FASTPPH'!$8:$8,0))</f>
        <v>#N/A</v>
      </c>
      <c r="Q81" s="20" t="e">
        <f>INDEX('01_FASTPPH'!$9:$1048576,MATCH($A81,'01_FASTPPH'!$A$9:$A$1048576,0),MATCH(Q$9,'01_FASTPPH'!$8:$8,0))</f>
        <v>#N/A</v>
      </c>
      <c r="R81" s="20" t="e">
        <f>INDEX('01_FASTPPH'!$9:$1048576,MATCH($A81,'01_FASTPPH'!$A$9:$A$1048576,0),MATCH(R$9,'01_FASTPPH'!$8:$8,0))</f>
        <v>#N/A</v>
      </c>
      <c r="S81" s="20" t="e">
        <f>INDEX('01_FASTPPH'!$9:$1048576,MATCH($A81,'01_FASTPPH'!$A$9:$A$1048576,0),MATCH(S$9,'01_FASTPPH'!$8:$8,0))</f>
        <v>#N/A</v>
      </c>
      <c r="T81" s="24" t="e">
        <f>INDEX('01_FASTPPH'!$9:$1048576,MATCH($A81,'01_FASTPPH'!$A$9:$A$1048576,0),MATCH(T$9,'01_FASTPPH'!$8:$8,0))</f>
        <v>#N/A</v>
      </c>
      <c r="U81" s="23" t="e">
        <f>INDEX('01_FASTPPH'!$9:$1048576,MATCH($A81,'01_FASTPPH'!$A$9:$A$1048576,0),MATCH(U$9,'01_FASTPPH'!$8:$8,0))</f>
        <v>#N/A</v>
      </c>
      <c r="V81" s="20" t="e">
        <f>INDEX('01_FASTPPH'!$9:$1048576,MATCH($A81,'01_FASTPPH'!$A$9:$A$1048576,0),MATCH(V$9,'01_FASTPPH'!$8:$8,0))</f>
        <v>#N/A</v>
      </c>
      <c r="W81" s="24" t="e">
        <f>INDEX('01_FASTPPH'!$9:$1048576,MATCH($A81,'01_FASTPPH'!$A$9:$A$1048576,0),MATCH(W$9,'01_FASTPPH'!$8:$8,0))</f>
        <v>#N/A</v>
      </c>
      <c r="X81" s="20" t="e">
        <f>INDEX('01_FASTPPH'!$9:$1048576,MATCH($A81,'01_FASTPPH'!$A$9:$A$1048576,0),MATCH(X$9,'01_FASTPPH'!$8:$8,0))</f>
        <v>#N/A</v>
      </c>
      <c r="Y81" s="20" t="e">
        <f>INDEX('01_FASTPPH'!$9:$1048576,MATCH($A81,'01_FASTPPH'!$A$9:$A$1048576,0),MATCH(Y$9,'01_FASTPPH'!$8:$8,0))</f>
        <v>#N/A</v>
      </c>
      <c r="AA81" s="32" t="e">
        <f>INDEX('02_PROPERTIES'!$C$10:$I$1048576,MATCH('03_CALCULATIONS'!$D81,'02_PROPERTIES'!$C$10:$C$1048576,0),MATCH('03_CALCULATIONS'!AA$9,'02_PROPERTIES'!$C$10:$I$10,0))</f>
        <v>#N/A</v>
      </c>
      <c r="AB81" s="20" t="e">
        <f>INDEX('02_PROPERTIES'!$C$10:$I$1048576,MATCH('03_CALCULATIONS'!$D81,'02_PROPERTIES'!$C$10:$C$1048576,0),MATCH('03_CALCULATIONS'!AB$9,'02_PROPERTIES'!$C$10:$I$10,0))</f>
        <v>#N/A</v>
      </c>
      <c r="AC81" s="20" t="e">
        <f>INDEX('02_PROPERTIES'!$C$10:$I$1048576,MATCH('03_CALCULATIONS'!$D81,'02_PROPERTIES'!$C$10:$C$1048576,0),MATCH('03_CALCULATIONS'!AC$9,'02_PROPERTIES'!$C$10:$I$10,0))</f>
        <v>#N/A</v>
      </c>
      <c r="AD81" s="20" t="e">
        <f>INDEX('02_PROPERTIES'!$C$10:$I$1048576,MATCH('03_CALCULATIONS'!$D81,'02_PROPERTIES'!$C$10:$C$1048576,0),MATCH('03_CALCULATIONS'!AD$9,'02_PROPERTIES'!$C$10:$I$10,0))</f>
        <v>#N/A</v>
      </c>
      <c r="AE81" s="32" t="e">
        <f>INDEX('02_PROPERTIES'!$C$10:$I$1048576,MATCH('03_CALCULATIONS'!$D81,'02_PROPERTIES'!$C$10:$C$1048576,0),MATCH('03_CALCULATIONS'!AE$9,'02_PROPERTIES'!$C$10:$I$10,0))</f>
        <v>#N/A</v>
      </c>
      <c r="AF81" s="32" t="e">
        <f>INDEX('02_PROPERTIES'!$C$10:$I$1048576,MATCH('03_CALCULATIONS'!$D81,'02_PROPERTIES'!$C$10:$C$1048576,0),MATCH('03_CALCULATIONS'!AF$9,'02_PROPERTIES'!$C$10:$I$10,0))</f>
        <v>#N/A</v>
      </c>
      <c r="AH81" s="20" t="e">
        <f t="shared" si="11"/>
        <v>#N/A</v>
      </c>
      <c r="AI81" s="20" t="e">
        <f t="shared" si="12"/>
        <v>#N/A</v>
      </c>
      <c r="AJ81" s="20" t="e">
        <f t="shared" si="13"/>
        <v>#N/A</v>
      </c>
      <c r="AL81" s="20" t="e">
        <f t="shared" si="14"/>
        <v>#N/A</v>
      </c>
      <c r="AM81" s="20" t="e">
        <f t="shared" si="15"/>
        <v>#N/A</v>
      </c>
      <c r="AN81" s="20" t="e">
        <f t="shared" si="16"/>
        <v>#N/A</v>
      </c>
      <c r="AO81" s="20" t="e">
        <f t="shared" si="17"/>
        <v>#N/A</v>
      </c>
      <c r="AP81" s="20" t="e">
        <f t="shared" si="18"/>
        <v>#N/A</v>
      </c>
      <c r="AR81" s="20" t="e">
        <f t="shared" si="19"/>
        <v>#N/A</v>
      </c>
      <c r="AS81" s="20" t="e">
        <f t="shared" si="20"/>
        <v>#N/A</v>
      </c>
      <c r="AT81" s="20" t="e">
        <f t="shared" si="21"/>
        <v>#N/A</v>
      </c>
    </row>
    <row r="82" spans="1:46" x14ac:dyDescent="0.3">
      <c r="A82" s="18"/>
      <c r="B82" s="20" t="e">
        <f>INDEX('01_FASTPPH'!$9:$1048576,MATCH($A82,'01_FASTPPH'!$A$9:$A$1048576,0),MATCH(B$9,'01_FASTPPH'!$8:$8,0))</f>
        <v>#N/A</v>
      </c>
      <c r="C82" s="20" t="e">
        <f>INDEX('01_FASTPPH'!$9:$1048576,MATCH($A82,'01_FASTPPH'!$A$9:$A$1048576,0),MATCH(C$9,'01_FASTPPH'!$8:$8,0))</f>
        <v>#N/A</v>
      </c>
      <c r="D82" s="20" t="e">
        <f>INDEX('01_FASTPPH'!$9:$1048576,MATCH($A82,'01_FASTPPH'!$A$9:$A$1048576,0),MATCH(D$9,'01_FASTPPH'!$8:$8,0))</f>
        <v>#N/A</v>
      </c>
      <c r="E82" s="20" t="e">
        <f>INDEX('01_FASTPPH'!$9:$1048576,MATCH($A82,'01_FASTPPH'!$A$9:$A$1048576,0),MATCH(E$9,'01_FASTPPH'!$8:$8,0))</f>
        <v>#N/A</v>
      </c>
      <c r="F82" s="20" t="e">
        <f>INDEX('01_FASTPPH'!$9:$1048576,MATCH($A82,'01_FASTPPH'!$A$9:$A$1048576,0),MATCH(F$9,'01_FASTPPH'!$8:$8,0))</f>
        <v>#N/A</v>
      </c>
      <c r="G82" s="20" t="e">
        <f>INDEX('01_FASTPPH'!$9:$1048576,MATCH($A82,'01_FASTPPH'!$A$9:$A$1048576,0),MATCH(G$9,'01_FASTPPH'!$8:$8,0))</f>
        <v>#N/A</v>
      </c>
      <c r="H82" s="20" t="e">
        <f>INDEX('01_FASTPPH'!$9:$1048576,MATCH($A82,'01_FASTPPH'!$A$9:$A$1048576,0),MATCH(H$9,'01_FASTPPH'!$8:$8,0))</f>
        <v>#N/A</v>
      </c>
      <c r="I82" s="20" t="e">
        <f>INDEX('01_FASTPPH'!$9:$1048576,MATCH($A82,'01_FASTPPH'!$A$9:$A$1048576,0),MATCH(I$9,'01_FASTPPH'!$8:$8,0))</f>
        <v>#N/A</v>
      </c>
      <c r="J82" s="20" t="e">
        <f>INDEX('01_FASTPPH'!$9:$1048576,MATCH($A82,'01_FASTPPH'!$A$9:$A$1048576,0),MATCH(J$9,'01_FASTPPH'!$8:$8,0))</f>
        <v>#N/A</v>
      </c>
      <c r="K82" s="23" t="e">
        <f>INDEX('01_FASTPPH'!$9:$1048576,MATCH($A82,'01_FASTPPH'!$A$9:$A$1048576,0),MATCH(K$9,'01_FASTPPH'!$8:$8,0))</f>
        <v>#N/A</v>
      </c>
      <c r="L82" s="20" t="e">
        <f>INDEX('01_FASTPPH'!$9:$1048576,MATCH($A82,'01_FASTPPH'!$A$9:$A$1048576,0),MATCH(L$9,'01_FASTPPH'!$8:$8,0))</f>
        <v>#N/A</v>
      </c>
      <c r="M82" s="20" t="e">
        <f>INDEX('01_FASTPPH'!$9:$1048576,MATCH($A82,'01_FASTPPH'!$A$9:$A$1048576,0),MATCH(M$9,'01_FASTPPH'!$8:$8,0))</f>
        <v>#N/A</v>
      </c>
      <c r="N82" s="24" t="e">
        <f>INDEX('01_FASTPPH'!$9:$1048576,MATCH($A82,'01_FASTPPH'!$A$9:$A$1048576,0),MATCH(N$9,'01_FASTPPH'!$8:$8,0))</f>
        <v>#N/A</v>
      </c>
      <c r="O82" s="23" t="e">
        <f>INDEX('01_FASTPPH'!$9:$1048576,MATCH($A82,'01_FASTPPH'!$A$9:$A$1048576,0),MATCH(O$9,'01_FASTPPH'!$8:$8,0))</f>
        <v>#N/A</v>
      </c>
      <c r="P82" s="20" t="e">
        <f>INDEX('01_FASTPPH'!$9:$1048576,MATCH($A82,'01_FASTPPH'!$A$9:$A$1048576,0),MATCH(P$9,'01_FASTPPH'!$8:$8,0))</f>
        <v>#N/A</v>
      </c>
      <c r="Q82" s="20" t="e">
        <f>INDEX('01_FASTPPH'!$9:$1048576,MATCH($A82,'01_FASTPPH'!$A$9:$A$1048576,0),MATCH(Q$9,'01_FASTPPH'!$8:$8,0))</f>
        <v>#N/A</v>
      </c>
      <c r="R82" s="20" t="e">
        <f>INDEX('01_FASTPPH'!$9:$1048576,MATCH($A82,'01_FASTPPH'!$A$9:$A$1048576,0),MATCH(R$9,'01_FASTPPH'!$8:$8,0))</f>
        <v>#N/A</v>
      </c>
      <c r="S82" s="20" t="e">
        <f>INDEX('01_FASTPPH'!$9:$1048576,MATCH($A82,'01_FASTPPH'!$A$9:$A$1048576,0),MATCH(S$9,'01_FASTPPH'!$8:$8,0))</f>
        <v>#N/A</v>
      </c>
      <c r="T82" s="24" t="e">
        <f>INDEX('01_FASTPPH'!$9:$1048576,MATCH($A82,'01_FASTPPH'!$A$9:$A$1048576,0),MATCH(T$9,'01_FASTPPH'!$8:$8,0))</f>
        <v>#N/A</v>
      </c>
      <c r="U82" s="23" t="e">
        <f>INDEX('01_FASTPPH'!$9:$1048576,MATCH($A82,'01_FASTPPH'!$A$9:$A$1048576,0),MATCH(U$9,'01_FASTPPH'!$8:$8,0))</f>
        <v>#N/A</v>
      </c>
      <c r="V82" s="20" t="e">
        <f>INDEX('01_FASTPPH'!$9:$1048576,MATCH($A82,'01_FASTPPH'!$A$9:$A$1048576,0),MATCH(V$9,'01_FASTPPH'!$8:$8,0))</f>
        <v>#N/A</v>
      </c>
      <c r="W82" s="24" t="e">
        <f>INDEX('01_FASTPPH'!$9:$1048576,MATCH($A82,'01_FASTPPH'!$A$9:$A$1048576,0),MATCH(W$9,'01_FASTPPH'!$8:$8,0))</f>
        <v>#N/A</v>
      </c>
      <c r="X82" s="20" t="e">
        <f>INDEX('01_FASTPPH'!$9:$1048576,MATCH($A82,'01_FASTPPH'!$A$9:$A$1048576,0),MATCH(X$9,'01_FASTPPH'!$8:$8,0))</f>
        <v>#N/A</v>
      </c>
      <c r="Y82" s="20" t="e">
        <f>INDEX('01_FASTPPH'!$9:$1048576,MATCH($A82,'01_FASTPPH'!$A$9:$A$1048576,0),MATCH(Y$9,'01_FASTPPH'!$8:$8,0))</f>
        <v>#N/A</v>
      </c>
      <c r="AA82" s="32" t="e">
        <f>INDEX('02_PROPERTIES'!$C$10:$I$1048576,MATCH('03_CALCULATIONS'!$D82,'02_PROPERTIES'!$C$10:$C$1048576,0),MATCH('03_CALCULATIONS'!AA$9,'02_PROPERTIES'!$C$10:$I$10,0))</f>
        <v>#N/A</v>
      </c>
      <c r="AB82" s="20" t="e">
        <f>INDEX('02_PROPERTIES'!$C$10:$I$1048576,MATCH('03_CALCULATIONS'!$D82,'02_PROPERTIES'!$C$10:$C$1048576,0),MATCH('03_CALCULATIONS'!AB$9,'02_PROPERTIES'!$C$10:$I$10,0))</f>
        <v>#N/A</v>
      </c>
      <c r="AC82" s="20" t="e">
        <f>INDEX('02_PROPERTIES'!$C$10:$I$1048576,MATCH('03_CALCULATIONS'!$D82,'02_PROPERTIES'!$C$10:$C$1048576,0),MATCH('03_CALCULATIONS'!AC$9,'02_PROPERTIES'!$C$10:$I$10,0))</f>
        <v>#N/A</v>
      </c>
      <c r="AD82" s="20" t="e">
        <f>INDEX('02_PROPERTIES'!$C$10:$I$1048576,MATCH('03_CALCULATIONS'!$D82,'02_PROPERTIES'!$C$10:$C$1048576,0),MATCH('03_CALCULATIONS'!AD$9,'02_PROPERTIES'!$C$10:$I$10,0))</f>
        <v>#N/A</v>
      </c>
      <c r="AE82" s="32" t="e">
        <f>INDEX('02_PROPERTIES'!$C$10:$I$1048576,MATCH('03_CALCULATIONS'!$D82,'02_PROPERTIES'!$C$10:$C$1048576,0),MATCH('03_CALCULATIONS'!AE$9,'02_PROPERTIES'!$C$10:$I$10,0))</f>
        <v>#N/A</v>
      </c>
      <c r="AF82" s="32" t="e">
        <f>INDEX('02_PROPERTIES'!$C$10:$I$1048576,MATCH('03_CALCULATIONS'!$D82,'02_PROPERTIES'!$C$10:$C$1048576,0),MATCH('03_CALCULATIONS'!AF$9,'02_PROPERTIES'!$C$10:$I$10,0))</f>
        <v>#N/A</v>
      </c>
      <c r="AH82" s="20" t="e">
        <f t="shared" si="11"/>
        <v>#N/A</v>
      </c>
      <c r="AI82" s="20" t="e">
        <f t="shared" si="12"/>
        <v>#N/A</v>
      </c>
      <c r="AJ82" s="20" t="e">
        <f t="shared" si="13"/>
        <v>#N/A</v>
      </c>
      <c r="AL82" s="20" t="e">
        <f t="shared" si="14"/>
        <v>#N/A</v>
      </c>
      <c r="AM82" s="20" t="e">
        <f t="shared" si="15"/>
        <v>#N/A</v>
      </c>
      <c r="AN82" s="20" t="e">
        <f t="shared" si="16"/>
        <v>#N/A</v>
      </c>
      <c r="AO82" s="20" t="e">
        <f t="shared" si="17"/>
        <v>#N/A</v>
      </c>
      <c r="AP82" s="20" t="e">
        <f t="shared" si="18"/>
        <v>#N/A</v>
      </c>
      <c r="AR82" s="20" t="e">
        <f t="shared" si="19"/>
        <v>#N/A</v>
      </c>
      <c r="AS82" s="20" t="e">
        <f t="shared" si="20"/>
        <v>#N/A</v>
      </c>
      <c r="AT82" s="20" t="e">
        <f t="shared" si="21"/>
        <v>#N/A</v>
      </c>
    </row>
    <row r="83" spans="1:46" x14ac:dyDescent="0.3">
      <c r="A83" s="18"/>
      <c r="B83" s="20" t="e">
        <f>INDEX('01_FASTPPH'!$9:$1048576,MATCH($A83,'01_FASTPPH'!$A$9:$A$1048576,0),MATCH(B$9,'01_FASTPPH'!$8:$8,0))</f>
        <v>#N/A</v>
      </c>
      <c r="C83" s="20" t="e">
        <f>INDEX('01_FASTPPH'!$9:$1048576,MATCH($A83,'01_FASTPPH'!$A$9:$A$1048576,0),MATCH(C$9,'01_FASTPPH'!$8:$8,0))</f>
        <v>#N/A</v>
      </c>
      <c r="D83" s="20" t="e">
        <f>INDEX('01_FASTPPH'!$9:$1048576,MATCH($A83,'01_FASTPPH'!$A$9:$A$1048576,0),MATCH(D$9,'01_FASTPPH'!$8:$8,0))</f>
        <v>#N/A</v>
      </c>
      <c r="E83" s="20" t="e">
        <f>INDEX('01_FASTPPH'!$9:$1048576,MATCH($A83,'01_FASTPPH'!$A$9:$A$1048576,0),MATCH(E$9,'01_FASTPPH'!$8:$8,0))</f>
        <v>#N/A</v>
      </c>
      <c r="F83" s="20" t="e">
        <f>INDEX('01_FASTPPH'!$9:$1048576,MATCH($A83,'01_FASTPPH'!$A$9:$A$1048576,0),MATCH(F$9,'01_FASTPPH'!$8:$8,0))</f>
        <v>#N/A</v>
      </c>
      <c r="G83" s="20" t="e">
        <f>INDEX('01_FASTPPH'!$9:$1048576,MATCH($A83,'01_FASTPPH'!$A$9:$A$1048576,0),MATCH(G$9,'01_FASTPPH'!$8:$8,0))</f>
        <v>#N/A</v>
      </c>
      <c r="H83" s="20" t="e">
        <f>INDEX('01_FASTPPH'!$9:$1048576,MATCH($A83,'01_FASTPPH'!$A$9:$A$1048576,0),MATCH(H$9,'01_FASTPPH'!$8:$8,0))</f>
        <v>#N/A</v>
      </c>
      <c r="I83" s="20" t="e">
        <f>INDEX('01_FASTPPH'!$9:$1048576,MATCH($A83,'01_FASTPPH'!$A$9:$A$1048576,0),MATCH(I$9,'01_FASTPPH'!$8:$8,0))</f>
        <v>#N/A</v>
      </c>
      <c r="J83" s="20" t="e">
        <f>INDEX('01_FASTPPH'!$9:$1048576,MATCH($A83,'01_FASTPPH'!$A$9:$A$1048576,0),MATCH(J$9,'01_FASTPPH'!$8:$8,0))</f>
        <v>#N/A</v>
      </c>
      <c r="K83" s="23" t="e">
        <f>INDEX('01_FASTPPH'!$9:$1048576,MATCH($A83,'01_FASTPPH'!$A$9:$A$1048576,0),MATCH(K$9,'01_FASTPPH'!$8:$8,0))</f>
        <v>#N/A</v>
      </c>
      <c r="L83" s="20" t="e">
        <f>INDEX('01_FASTPPH'!$9:$1048576,MATCH($A83,'01_FASTPPH'!$A$9:$A$1048576,0),MATCH(L$9,'01_FASTPPH'!$8:$8,0))</f>
        <v>#N/A</v>
      </c>
      <c r="M83" s="20" t="e">
        <f>INDEX('01_FASTPPH'!$9:$1048576,MATCH($A83,'01_FASTPPH'!$A$9:$A$1048576,0),MATCH(M$9,'01_FASTPPH'!$8:$8,0))</f>
        <v>#N/A</v>
      </c>
      <c r="N83" s="24" t="e">
        <f>INDEX('01_FASTPPH'!$9:$1048576,MATCH($A83,'01_FASTPPH'!$A$9:$A$1048576,0),MATCH(N$9,'01_FASTPPH'!$8:$8,0))</f>
        <v>#N/A</v>
      </c>
      <c r="O83" s="23" t="e">
        <f>INDEX('01_FASTPPH'!$9:$1048576,MATCH($A83,'01_FASTPPH'!$A$9:$A$1048576,0),MATCH(O$9,'01_FASTPPH'!$8:$8,0))</f>
        <v>#N/A</v>
      </c>
      <c r="P83" s="20" t="e">
        <f>INDEX('01_FASTPPH'!$9:$1048576,MATCH($A83,'01_FASTPPH'!$A$9:$A$1048576,0),MATCH(P$9,'01_FASTPPH'!$8:$8,0))</f>
        <v>#N/A</v>
      </c>
      <c r="Q83" s="20" t="e">
        <f>INDEX('01_FASTPPH'!$9:$1048576,MATCH($A83,'01_FASTPPH'!$A$9:$A$1048576,0),MATCH(Q$9,'01_FASTPPH'!$8:$8,0))</f>
        <v>#N/A</v>
      </c>
      <c r="R83" s="20" t="e">
        <f>INDEX('01_FASTPPH'!$9:$1048576,MATCH($A83,'01_FASTPPH'!$A$9:$A$1048576,0),MATCH(R$9,'01_FASTPPH'!$8:$8,0))</f>
        <v>#N/A</v>
      </c>
      <c r="S83" s="20" t="e">
        <f>INDEX('01_FASTPPH'!$9:$1048576,MATCH($A83,'01_FASTPPH'!$A$9:$A$1048576,0),MATCH(S$9,'01_FASTPPH'!$8:$8,0))</f>
        <v>#N/A</v>
      </c>
      <c r="T83" s="24" t="e">
        <f>INDEX('01_FASTPPH'!$9:$1048576,MATCH($A83,'01_FASTPPH'!$A$9:$A$1048576,0),MATCH(T$9,'01_FASTPPH'!$8:$8,0))</f>
        <v>#N/A</v>
      </c>
      <c r="U83" s="23" t="e">
        <f>INDEX('01_FASTPPH'!$9:$1048576,MATCH($A83,'01_FASTPPH'!$A$9:$A$1048576,0),MATCH(U$9,'01_FASTPPH'!$8:$8,0))</f>
        <v>#N/A</v>
      </c>
      <c r="V83" s="20" t="e">
        <f>INDEX('01_FASTPPH'!$9:$1048576,MATCH($A83,'01_FASTPPH'!$A$9:$A$1048576,0),MATCH(V$9,'01_FASTPPH'!$8:$8,0))</f>
        <v>#N/A</v>
      </c>
      <c r="W83" s="24" t="e">
        <f>INDEX('01_FASTPPH'!$9:$1048576,MATCH($A83,'01_FASTPPH'!$A$9:$A$1048576,0),MATCH(W$9,'01_FASTPPH'!$8:$8,0))</f>
        <v>#N/A</v>
      </c>
      <c r="X83" s="20" t="e">
        <f>INDEX('01_FASTPPH'!$9:$1048576,MATCH($A83,'01_FASTPPH'!$A$9:$A$1048576,0),MATCH(X$9,'01_FASTPPH'!$8:$8,0))</f>
        <v>#N/A</v>
      </c>
      <c r="Y83" s="20" t="e">
        <f>INDEX('01_FASTPPH'!$9:$1048576,MATCH($A83,'01_FASTPPH'!$A$9:$A$1048576,0),MATCH(Y$9,'01_FASTPPH'!$8:$8,0))</f>
        <v>#N/A</v>
      </c>
      <c r="AA83" s="32" t="e">
        <f>INDEX('02_PROPERTIES'!$C$10:$I$1048576,MATCH('03_CALCULATIONS'!$D83,'02_PROPERTIES'!$C$10:$C$1048576,0),MATCH('03_CALCULATIONS'!AA$9,'02_PROPERTIES'!$C$10:$I$10,0))</f>
        <v>#N/A</v>
      </c>
      <c r="AB83" s="20" t="e">
        <f>INDEX('02_PROPERTIES'!$C$10:$I$1048576,MATCH('03_CALCULATIONS'!$D83,'02_PROPERTIES'!$C$10:$C$1048576,0),MATCH('03_CALCULATIONS'!AB$9,'02_PROPERTIES'!$C$10:$I$10,0))</f>
        <v>#N/A</v>
      </c>
      <c r="AC83" s="20" t="e">
        <f>INDEX('02_PROPERTIES'!$C$10:$I$1048576,MATCH('03_CALCULATIONS'!$D83,'02_PROPERTIES'!$C$10:$C$1048576,0),MATCH('03_CALCULATIONS'!AC$9,'02_PROPERTIES'!$C$10:$I$10,0))</f>
        <v>#N/A</v>
      </c>
      <c r="AD83" s="20" t="e">
        <f>INDEX('02_PROPERTIES'!$C$10:$I$1048576,MATCH('03_CALCULATIONS'!$D83,'02_PROPERTIES'!$C$10:$C$1048576,0),MATCH('03_CALCULATIONS'!AD$9,'02_PROPERTIES'!$C$10:$I$10,0))</f>
        <v>#N/A</v>
      </c>
      <c r="AE83" s="32" t="e">
        <f>INDEX('02_PROPERTIES'!$C$10:$I$1048576,MATCH('03_CALCULATIONS'!$D83,'02_PROPERTIES'!$C$10:$C$1048576,0),MATCH('03_CALCULATIONS'!AE$9,'02_PROPERTIES'!$C$10:$I$10,0))</f>
        <v>#N/A</v>
      </c>
      <c r="AF83" s="32" t="e">
        <f>INDEX('02_PROPERTIES'!$C$10:$I$1048576,MATCH('03_CALCULATIONS'!$D83,'02_PROPERTIES'!$C$10:$C$1048576,0),MATCH('03_CALCULATIONS'!AF$9,'02_PROPERTIES'!$C$10:$I$10,0))</f>
        <v>#N/A</v>
      </c>
      <c r="AH83" s="20" t="e">
        <f t="shared" si="11"/>
        <v>#N/A</v>
      </c>
      <c r="AI83" s="20" t="e">
        <f t="shared" si="12"/>
        <v>#N/A</v>
      </c>
      <c r="AJ83" s="20" t="e">
        <f t="shared" si="13"/>
        <v>#N/A</v>
      </c>
      <c r="AL83" s="20" t="e">
        <f t="shared" si="14"/>
        <v>#N/A</v>
      </c>
      <c r="AM83" s="20" t="e">
        <f t="shared" si="15"/>
        <v>#N/A</v>
      </c>
      <c r="AN83" s="20" t="e">
        <f t="shared" si="16"/>
        <v>#N/A</v>
      </c>
      <c r="AO83" s="20" t="e">
        <f t="shared" si="17"/>
        <v>#N/A</v>
      </c>
      <c r="AP83" s="20" t="e">
        <f t="shared" si="18"/>
        <v>#N/A</v>
      </c>
      <c r="AR83" s="20" t="e">
        <f t="shared" si="19"/>
        <v>#N/A</v>
      </c>
      <c r="AS83" s="20" t="e">
        <f t="shared" si="20"/>
        <v>#N/A</v>
      </c>
      <c r="AT83" s="20" t="e">
        <f t="shared" si="21"/>
        <v>#N/A</v>
      </c>
    </row>
    <row r="84" spans="1:46" x14ac:dyDescent="0.3">
      <c r="A84" s="18"/>
      <c r="B84" s="20" t="e">
        <f>INDEX('01_FASTPPH'!$9:$1048576,MATCH($A84,'01_FASTPPH'!$A$9:$A$1048576,0),MATCH(B$9,'01_FASTPPH'!$8:$8,0))</f>
        <v>#N/A</v>
      </c>
      <c r="C84" s="20" t="e">
        <f>INDEX('01_FASTPPH'!$9:$1048576,MATCH($A84,'01_FASTPPH'!$A$9:$A$1048576,0),MATCH(C$9,'01_FASTPPH'!$8:$8,0))</f>
        <v>#N/A</v>
      </c>
      <c r="D84" s="20" t="e">
        <f>INDEX('01_FASTPPH'!$9:$1048576,MATCH($A84,'01_FASTPPH'!$A$9:$A$1048576,0),MATCH(D$9,'01_FASTPPH'!$8:$8,0))</f>
        <v>#N/A</v>
      </c>
      <c r="E84" s="20" t="e">
        <f>INDEX('01_FASTPPH'!$9:$1048576,MATCH($A84,'01_FASTPPH'!$A$9:$A$1048576,0),MATCH(E$9,'01_FASTPPH'!$8:$8,0))</f>
        <v>#N/A</v>
      </c>
      <c r="F84" s="20" t="e">
        <f>INDEX('01_FASTPPH'!$9:$1048576,MATCH($A84,'01_FASTPPH'!$A$9:$A$1048576,0),MATCH(F$9,'01_FASTPPH'!$8:$8,0))</f>
        <v>#N/A</v>
      </c>
      <c r="G84" s="20" t="e">
        <f>INDEX('01_FASTPPH'!$9:$1048576,MATCH($A84,'01_FASTPPH'!$A$9:$A$1048576,0),MATCH(G$9,'01_FASTPPH'!$8:$8,0))</f>
        <v>#N/A</v>
      </c>
      <c r="H84" s="20" t="e">
        <f>INDEX('01_FASTPPH'!$9:$1048576,MATCH($A84,'01_FASTPPH'!$A$9:$A$1048576,0),MATCH(H$9,'01_FASTPPH'!$8:$8,0))</f>
        <v>#N/A</v>
      </c>
      <c r="I84" s="20" t="e">
        <f>INDEX('01_FASTPPH'!$9:$1048576,MATCH($A84,'01_FASTPPH'!$A$9:$A$1048576,0),MATCH(I$9,'01_FASTPPH'!$8:$8,0))</f>
        <v>#N/A</v>
      </c>
      <c r="J84" s="20" t="e">
        <f>INDEX('01_FASTPPH'!$9:$1048576,MATCH($A84,'01_FASTPPH'!$A$9:$A$1048576,0),MATCH(J$9,'01_FASTPPH'!$8:$8,0))</f>
        <v>#N/A</v>
      </c>
      <c r="K84" s="23" t="e">
        <f>INDEX('01_FASTPPH'!$9:$1048576,MATCH($A84,'01_FASTPPH'!$A$9:$A$1048576,0),MATCH(K$9,'01_FASTPPH'!$8:$8,0))</f>
        <v>#N/A</v>
      </c>
      <c r="L84" s="20" t="e">
        <f>INDEX('01_FASTPPH'!$9:$1048576,MATCH($A84,'01_FASTPPH'!$A$9:$A$1048576,0),MATCH(L$9,'01_FASTPPH'!$8:$8,0))</f>
        <v>#N/A</v>
      </c>
      <c r="M84" s="20" t="e">
        <f>INDEX('01_FASTPPH'!$9:$1048576,MATCH($A84,'01_FASTPPH'!$A$9:$A$1048576,0),MATCH(M$9,'01_FASTPPH'!$8:$8,0))</f>
        <v>#N/A</v>
      </c>
      <c r="N84" s="24" t="e">
        <f>INDEX('01_FASTPPH'!$9:$1048576,MATCH($A84,'01_FASTPPH'!$A$9:$A$1048576,0),MATCH(N$9,'01_FASTPPH'!$8:$8,0))</f>
        <v>#N/A</v>
      </c>
      <c r="O84" s="23" t="e">
        <f>INDEX('01_FASTPPH'!$9:$1048576,MATCH($A84,'01_FASTPPH'!$A$9:$A$1048576,0),MATCH(O$9,'01_FASTPPH'!$8:$8,0))</f>
        <v>#N/A</v>
      </c>
      <c r="P84" s="20" t="e">
        <f>INDEX('01_FASTPPH'!$9:$1048576,MATCH($A84,'01_FASTPPH'!$A$9:$A$1048576,0),MATCH(P$9,'01_FASTPPH'!$8:$8,0))</f>
        <v>#N/A</v>
      </c>
      <c r="Q84" s="20" t="e">
        <f>INDEX('01_FASTPPH'!$9:$1048576,MATCH($A84,'01_FASTPPH'!$A$9:$A$1048576,0),MATCH(Q$9,'01_FASTPPH'!$8:$8,0))</f>
        <v>#N/A</v>
      </c>
      <c r="R84" s="20" t="e">
        <f>INDEX('01_FASTPPH'!$9:$1048576,MATCH($A84,'01_FASTPPH'!$A$9:$A$1048576,0),MATCH(R$9,'01_FASTPPH'!$8:$8,0))</f>
        <v>#N/A</v>
      </c>
      <c r="S84" s="20" t="e">
        <f>INDEX('01_FASTPPH'!$9:$1048576,MATCH($A84,'01_FASTPPH'!$A$9:$A$1048576,0),MATCH(S$9,'01_FASTPPH'!$8:$8,0))</f>
        <v>#N/A</v>
      </c>
      <c r="T84" s="24" t="e">
        <f>INDEX('01_FASTPPH'!$9:$1048576,MATCH($A84,'01_FASTPPH'!$A$9:$A$1048576,0),MATCH(T$9,'01_FASTPPH'!$8:$8,0))</f>
        <v>#N/A</v>
      </c>
      <c r="U84" s="23" t="e">
        <f>INDEX('01_FASTPPH'!$9:$1048576,MATCH($A84,'01_FASTPPH'!$A$9:$A$1048576,0),MATCH(U$9,'01_FASTPPH'!$8:$8,0))</f>
        <v>#N/A</v>
      </c>
      <c r="V84" s="20" t="e">
        <f>INDEX('01_FASTPPH'!$9:$1048576,MATCH($A84,'01_FASTPPH'!$A$9:$A$1048576,0),MATCH(V$9,'01_FASTPPH'!$8:$8,0))</f>
        <v>#N/A</v>
      </c>
      <c r="W84" s="24" t="e">
        <f>INDEX('01_FASTPPH'!$9:$1048576,MATCH($A84,'01_FASTPPH'!$A$9:$A$1048576,0),MATCH(W$9,'01_FASTPPH'!$8:$8,0))</f>
        <v>#N/A</v>
      </c>
      <c r="X84" s="20" t="e">
        <f>INDEX('01_FASTPPH'!$9:$1048576,MATCH($A84,'01_FASTPPH'!$A$9:$A$1048576,0),MATCH(X$9,'01_FASTPPH'!$8:$8,0))</f>
        <v>#N/A</v>
      </c>
      <c r="Y84" s="20" t="e">
        <f>INDEX('01_FASTPPH'!$9:$1048576,MATCH($A84,'01_FASTPPH'!$A$9:$A$1048576,0),MATCH(Y$9,'01_FASTPPH'!$8:$8,0))</f>
        <v>#N/A</v>
      </c>
      <c r="AA84" s="32" t="e">
        <f>INDEX('02_PROPERTIES'!$C$10:$I$1048576,MATCH('03_CALCULATIONS'!$D84,'02_PROPERTIES'!$C$10:$C$1048576,0),MATCH('03_CALCULATIONS'!AA$9,'02_PROPERTIES'!$C$10:$I$10,0))</f>
        <v>#N/A</v>
      </c>
      <c r="AB84" s="20" t="e">
        <f>INDEX('02_PROPERTIES'!$C$10:$I$1048576,MATCH('03_CALCULATIONS'!$D84,'02_PROPERTIES'!$C$10:$C$1048576,0),MATCH('03_CALCULATIONS'!AB$9,'02_PROPERTIES'!$C$10:$I$10,0))</f>
        <v>#N/A</v>
      </c>
      <c r="AC84" s="20" t="e">
        <f>INDEX('02_PROPERTIES'!$C$10:$I$1048576,MATCH('03_CALCULATIONS'!$D84,'02_PROPERTIES'!$C$10:$C$1048576,0),MATCH('03_CALCULATIONS'!AC$9,'02_PROPERTIES'!$C$10:$I$10,0))</f>
        <v>#N/A</v>
      </c>
      <c r="AD84" s="20" t="e">
        <f>INDEX('02_PROPERTIES'!$C$10:$I$1048576,MATCH('03_CALCULATIONS'!$D84,'02_PROPERTIES'!$C$10:$C$1048576,0),MATCH('03_CALCULATIONS'!AD$9,'02_PROPERTIES'!$C$10:$I$10,0))</f>
        <v>#N/A</v>
      </c>
      <c r="AE84" s="32" t="e">
        <f>INDEX('02_PROPERTIES'!$C$10:$I$1048576,MATCH('03_CALCULATIONS'!$D84,'02_PROPERTIES'!$C$10:$C$1048576,0),MATCH('03_CALCULATIONS'!AE$9,'02_PROPERTIES'!$C$10:$I$10,0))</f>
        <v>#N/A</v>
      </c>
      <c r="AF84" s="32" t="e">
        <f>INDEX('02_PROPERTIES'!$C$10:$I$1048576,MATCH('03_CALCULATIONS'!$D84,'02_PROPERTIES'!$C$10:$C$1048576,0),MATCH('03_CALCULATIONS'!AF$9,'02_PROPERTIES'!$C$10:$I$10,0))</f>
        <v>#N/A</v>
      </c>
      <c r="AH84" s="20" t="e">
        <f t="shared" si="11"/>
        <v>#N/A</v>
      </c>
      <c r="AI84" s="20" t="e">
        <f t="shared" si="12"/>
        <v>#N/A</v>
      </c>
      <c r="AJ84" s="20" t="e">
        <f t="shared" si="13"/>
        <v>#N/A</v>
      </c>
      <c r="AL84" s="20" t="e">
        <f t="shared" si="14"/>
        <v>#N/A</v>
      </c>
      <c r="AM84" s="20" t="e">
        <f t="shared" si="15"/>
        <v>#N/A</v>
      </c>
      <c r="AN84" s="20" t="e">
        <f t="shared" si="16"/>
        <v>#N/A</v>
      </c>
      <c r="AO84" s="20" t="e">
        <f t="shared" si="17"/>
        <v>#N/A</v>
      </c>
      <c r="AP84" s="20" t="e">
        <f t="shared" si="18"/>
        <v>#N/A</v>
      </c>
      <c r="AR84" s="20" t="e">
        <f t="shared" si="19"/>
        <v>#N/A</v>
      </c>
      <c r="AS84" s="20" t="e">
        <f t="shared" si="20"/>
        <v>#N/A</v>
      </c>
      <c r="AT84" s="20" t="e">
        <f t="shared" si="21"/>
        <v>#N/A</v>
      </c>
    </row>
    <row r="85" spans="1:46" x14ac:dyDescent="0.3">
      <c r="A85" s="18"/>
      <c r="B85" s="20" t="e">
        <f>INDEX('01_FASTPPH'!$9:$1048576,MATCH($A85,'01_FASTPPH'!$A$9:$A$1048576,0),MATCH(B$9,'01_FASTPPH'!$8:$8,0))</f>
        <v>#N/A</v>
      </c>
      <c r="C85" s="20" t="e">
        <f>INDEX('01_FASTPPH'!$9:$1048576,MATCH($A85,'01_FASTPPH'!$A$9:$A$1048576,0),MATCH(C$9,'01_FASTPPH'!$8:$8,0))</f>
        <v>#N/A</v>
      </c>
      <c r="D85" s="20" t="e">
        <f>INDEX('01_FASTPPH'!$9:$1048576,MATCH($A85,'01_FASTPPH'!$A$9:$A$1048576,0),MATCH(D$9,'01_FASTPPH'!$8:$8,0))</f>
        <v>#N/A</v>
      </c>
      <c r="E85" s="20" t="e">
        <f>INDEX('01_FASTPPH'!$9:$1048576,MATCH($A85,'01_FASTPPH'!$A$9:$A$1048576,0),MATCH(E$9,'01_FASTPPH'!$8:$8,0))</f>
        <v>#N/A</v>
      </c>
      <c r="F85" s="20" t="e">
        <f>INDEX('01_FASTPPH'!$9:$1048576,MATCH($A85,'01_FASTPPH'!$A$9:$A$1048576,0),MATCH(F$9,'01_FASTPPH'!$8:$8,0))</f>
        <v>#N/A</v>
      </c>
      <c r="G85" s="20" t="e">
        <f>INDEX('01_FASTPPH'!$9:$1048576,MATCH($A85,'01_FASTPPH'!$A$9:$A$1048576,0),MATCH(G$9,'01_FASTPPH'!$8:$8,0))</f>
        <v>#N/A</v>
      </c>
      <c r="H85" s="20" t="e">
        <f>INDEX('01_FASTPPH'!$9:$1048576,MATCH($A85,'01_FASTPPH'!$A$9:$A$1048576,0),MATCH(H$9,'01_FASTPPH'!$8:$8,0))</f>
        <v>#N/A</v>
      </c>
      <c r="I85" s="20" t="e">
        <f>INDEX('01_FASTPPH'!$9:$1048576,MATCH($A85,'01_FASTPPH'!$A$9:$A$1048576,0),MATCH(I$9,'01_FASTPPH'!$8:$8,0))</f>
        <v>#N/A</v>
      </c>
      <c r="J85" s="20" t="e">
        <f>INDEX('01_FASTPPH'!$9:$1048576,MATCH($A85,'01_FASTPPH'!$A$9:$A$1048576,0),MATCH(J$9,'01_FASTPPH'!$8:$8,0))</f>
        <v>#N/A</v>
      </c>
      <c r="K85" s="23" t="e">
        <f>INDEX('01_FASTPPH'!$9:$1048576,MATCH($A85,'01_FASTPPH'!$A$9:$A$1048576,0),MATCH(K$9,'01_FASTPPH'!$8:$8,0))</f>
        <v>#N/A</v>
      </c>
      <c r="L85" s="20" t="e">
        <f>INDEX('01_FASTPPH'!$9:$1048576,MATCH($A85,'01_FASTPPH'!$A$9:$A$1048576,0),MATCH(L$9,'01_FASTPPH'!$8:$8,0))</f>
        <v>#N/A</v>
      </c>
      <c r="M85" s="20" t="e">
        <f>INDEX('01_FASTPPH'!$9:$1048576,MATCH($A85,'01_FASTPPH'!$A$9:$A$1048576,0),MATCH(M$9,'01_FASTPPH'!$8:$8,0))</f>
        <v>#N/A</v>
      </c>
      <c r="N85" s="24" t="e">
        <f>INDEX('01_FASTPPH'!$9:$1048576,MATCH($A85,'01_FASTPPH'!$A$9:$A$1048576,0),MATCH(N$9,'01_FASTPPH'!$8:$8,0))</f>
        <v>#N/A</v>
      </c>
      <c r="O85" s="23" t="e">
        <f>INDEX('01_FASTPPH'!$9:$1048576,MATCH($A85,'01_FASTPPH'!$A$9:$A$1048576,0),MATCH(O$9,'01_FASTPPH'!$8:$8,0))</f>
        <v>#N/A</v>
      </c>
      <c r="P85" s="20" t="e">
        <f>INDEX('01_FASTPPH'!$9:$1048576,MATCH($A85,'01_FASTPPH'!$A$9:$A$1048576,0),MATCH(P$9,'01_FASTPPH'!$8:$8,0))</f>
        <v>#N/A</v>
      </c>
      <c r="Q85" s="20" t="e">
        <f>INDEX('01_FASTPPH'!$9:$1048576,MATCH($A85,'01_FASTPPH'!$A$9:$A$1048576,0),MATCH(Q$9,'01_FASTPPH'!$8:$8,0))</f>
        <v>#N/A</v>
      </c>
      <c r="R85" s="20" t="e">
        <f>INDEX('01_FASTPPH'!$9:$1048576,MATCH($A85,'01_FASTPPH'!$A$9:$A$1048576,0),MATCH(R$9,'01_FASTPPH'!$8:$8,0))</f>
        <v>#N/A</v>
      </c>
      <c r="S85" s="20" t="e">
        <f>INDEX('01_FASTPPH'!$9:$1048576,MATCH($A85,'01_FASTPPH'!$A$9:$A$1048576,0),MATCH(S$9,'01_FASTPPH'!$8:$8,0))</f>
        <v>#N/A</v>
      </c>
      <c r="T85" s="24" t="e">
        <f>INDEX('01_FASTPPH'!$9:$1048576,MATCH($A85,'01_FASTPPH'!$A$9:$A$1048576,0),MATCH(T$9,'01_FASTPPH'!$8:$8,0))</f>
        <v>#N/A</v>
      </c>
      <c r="U85" s="23" t="e">
        <f>INDEX('01_FASTPPH'!$9:$1048576,MATCH($A85,'01_FASTPPH'!$A$9:$A$1048576,0),MATCH(U$9,'01_FASTPPH'!$8:$8,0))</f>
        <v>#N/A</v>
      </c>
      <c r="V85" s="20" t="e">
        <f>INDEX('01_FASTPPH'!$9:$1048576,MATCH($A85,'01_FASTPPH'!$A$9:$A$1048576,0),MATCH(V$9,'01_FASTPPH'!$8:$8,0))</f>
        <v>#N/A</v>
      </c>
      <c r="W85" s="24" t="e">
        <f>INDEX('01_FASTPPH'!$9:$1048576,MATCH($A85,'01_FASTPPH'!$A$9:$A$1048576,0),MATCH(W$9,'01_FASTPPH'!$8:$8,0))</f>
        <v>#N/A</v>
      </c>
      <c r="X85" s="20" t="e">
        <f>INDEX('01_FASTPPH'!$9:$1048576,MATCH($A85,'01_FASTPPH'!$A$9:$A$1048576,0),MATCH(X$9,'01_FASTPPH'!$8:$8,0))</f>
        <v>#N/A</v>
      </c>
      <c r="Y85" s="20" t="e">
        <f>INDEX('01_FASTPPH'!$9:$1048576,MATCH($A85,'01_FASTPPH'!$A$9:$A$1048576,0),MATCH(Y$9,'01_FASTPPH'!$8:$8,0))</f>
        <v>#N/A</v>
      </c>
      <c r="AA85" s="32" t="e">
        <f>INDEX('02_PROPERTIES'!$C$10:$I$1048576,MATCH('03_CALCULATIONS'!$D85,'02_PROPERTIES'!$C$10:$C$1048576,0),MATCH('03_CALCULATIONS'!AA$9,'02_PROPERTIES'!$C$10:$I$10,0))</f>
        <v>#N/A</v>
      </c>
      <c r="AB85" s="20" t="e">
        <f>INDEX('02_PROPERTIES'!$C$10:$I$1048576,MATCH('03_CALCULATIONS'!$D85,'02_PROPERTIES'!$C$10:$C$1048576,0),MATCH('03_CALCULATIONS'!AB$9,'02_PROPERTIES'!$C$10:$I$10,0))</f>
        <v>#N/A</v>
      </c>
      <c r="AC85" s="20" t="e">
        <f>INDEX('02_PROPERTIES'!$C$10:$I$1048576,MATCH('03_CALCULATIONS'!$D85,'02_PROPERTIES'!$C$10:$C$1048576,0),MATCH('03_CALCULATIONS'!AC$9,'02_PROPERTIES'!$C$10:$I$10,0))</f>
        <v>#N/A</v>
      </c>
      <c r="AD85" s="20" t="e">
        <f>INDEX('02_PROPERTIES'!$C$10:$I$1048576,MATCH('03_CALCULATIONS'!$D85,'02_PROPERTIES'!$C$10:$C$1048576,0),MATCH('03_CALCULATIONS'!AD$9,'02_PROPERTIES'!$C$10:$I$10,0))</f>
        <v>#N/A</v>
      </c>
      <c r="AE85" s="32" t="e">
        <f>INDEX('02_PROPERTIES'!$C$10:$I$1048576,MATCH('03_CALCULATIONS'!$D85,'02_PROPERTIES'!$C$10:$C$1048576,0),MATCH('03_CALCULATIONS'!AE$9,'02_PROPERTIES'!$C$10:$I$10,0))</f>
        <v>#N/A</v>
      </c>
      <c r="AF85" s="32" t="e">
        <f>INDEX('02_PROPERTIES'!$C$10:$I$1048576,MATCH('03_CALCULATIONS'!$D85,'02_PROPERTIES'!$C$10:$C$1048576,0),MATCH('03_CALCULATIONS'!AF$9,'02_PROPERTIES'!$C$10:$I$10,0))</f>
        <v>#N/A</v>
      </c>
      <c r="AH85" s="20" t="e">
        <f t="shared" si="11"/>
        <v>#N/A</v>
      </c>
      <c r="AI85" s="20" t="e">
        <f t="shared" si="12"/>
        <v>#N/A</v>
      </c>
      <c r="AJ85" s="20" t="e">
        <f t="shared" si="13"/>
        <v>#N/A</v>
      </c>
      <c r="AL85" s="20" t="e">
        <f t="shared" si="14"/>
        <v>#N/A</v>
      </c>
      <c r="AM85" s="20" t="e">
        <f t="shared" si="15"/>
        <v>#N/A</v>
      </c>
      <c r="AN85" s="20" t="e">
        <f t="shared" si="16"/>
        <v>#N/A</v>
      </c>
      <c r="AO85" s="20" t="e">
        <f t="shared" si="17"/>
        <v>#N/A</v>
      </c>
      <c r="AP85" s="20" t="e">
        <f t="shared" si="18"/>
        <v>#N/A</v>
      </c>
      <c r="AR85" s="20" t="e">
        <f t="shared" si="19"/>
        <v>#N/A</v>
      </c>
      <c r="AS85" s="20" t="e">
        <f t="shared" si="20"/>
        <v>#N/A</v>
      </c>
      <c r="AT85" s="20" t="e">
        <f t="shared" si="21"/>
        <v>#N/A</v>
      </c>
    </row>
    <row r="86" spans="1:46" x14ac:dyDescent="0.3">
      <c r="A86" s="18"/>
      <c r="B86" s="20" t="e">
        <f>INDEX('01_FASTPPH'!$9:$1048576,MATCH($A86,'01_FASTPPH'!$A$9:$A$1048576,0),MATCH(B$9,'01_FASTPPH'!$8:$8,0))</f>
        <v>#N/A</v>
      </c>
      <c r="C86" s="20" t="e">
        <f>INDEX('01_FASTPPH'!$9:$1048576,MATCH($A86,'01_FASTPPH'!$A$9:$A$1048576,0),MATCH(C$9,'01_FASTPPH'!$8:$8,0))</f>
        <v>#N/A</v>
      </c>
      <c r="D86" s="20" t="e">
        <f>INDEX('01_FASTPPH'!$9:$1048576,MATCH($A86,'01_FASTPPH'!$A$9:$A$1048576,0),MATCH(D$9,'01_FASTPPH'!$8:$8,0))</f>
        <v>#N/A</v>
      </c>
      <c r="E86" s="20" t="e">
        <f>INDEX('01_FASTPPH'!$9:$1048576,MATCH($A86,'01_FASTPPH'!$A$9:$A$1048576,0),MATCH(E$9,'01_FASTPPH'!$8:$8,0))</f>
        <v>#N/A</v>
      </c>
      <c r="F86" s="20" t="e">
        <f>INDEX('01_FASTPPH'!$9:$1048576,MATCH($A86,'01_FASTPPH'!$A$9:$A$1048576,0),MATCH(F$9,'01_FASTPPH'!$8:$8,0))</f>
        <v>#N/A</v>
      </c>
      <c r="G86" s="20" t="e">
        <f>INDEX('01_FASTPPH'!$9:$1048576,MATCH($A86,'01_FASTPPH'!$A$9:$A$1048576,0),MATCH(G$9,'01_FASTPPH'!$8:$8,0))</f>
        <v>#N/A</v>
      </c>
      <c r="H86" s="20" t="e">
        <f>INDEX('01_FASTPPH'!$9:$1048576,MATCH($A86,'01_FASTPPH'!$A$9:$A$1048576,0),MATCH(H$9,'01_FASTPPH'!$8:$8,0))</f>
        <v>#N/A</v>
      </c>
      <c r="I86" s="20" t="e">
        <f>INDEX('01_FASTPPH'!$9:$1048576,MATCH($A86,'01_FASTPPH'!$A$9:$A$1048576,0),MATCH(I$9,'01_FASTPPH'!$8:$8,0))</f>
        <v>#N/A</v>
      </c>
      <c r="J86" s="20" t="e">
        <f>INDEX('01_FASTPPH'!$9:$1048576,MATCH($A86,'01_FASTPPH'!$A$9:$A$1048576,0),MATCH(J$9,'01_FASTPPH'!$8:$8,0))</f>
        <v>#N/A</v>
      </c>
      <c r="K86" s="23" t="e">
        <f>INDEX('01_FASTPPH'!$9:$1048576,MATCH($A86,'01_FASTPPH'!$A$9:$A$1048576,0),MATCH(K$9,'01_FASTPPH'!$8:$8,0))</f>
        <v>#N/A</v>
      </c>
      <c r="L86" s="20" t="e">
        <f>INDEX('01_FASTPPH'!$9:$1048576,MATCH($A86,'01_FASTPPH'!$A$9:$A$1048576,0),MATCH(L$9,'01_FASTPPH'!$8:$8,0))</f>
        <v>#N/A</v>
      </c>
      <c r="M86" s="20" t="e">
        <f>INDEX('01_FASTPPH'!$9:$1048576,MATCH($A86,'01_FASTPPH'!$A$9:$A$1048576,0),MATCH(M$9,'01_FASTPPH'!$8:$8,0))</f>
        <v>#N/A</v>
      </c>
      <c r="N86" s="24" t="e">
        <f>INDEX('01_FASTPPH'!$9:$1048576,MATCH($A86,'01_FASTPPH'!$A$9:$A$1048576,0),MATCH(N$9,'01_FASTPPH'!$8:$8,0))</f>
        <v>#N/A</v>
      </c>
      <c r="O86" s="23" t="e">
        <f>INDEX('01_FASTPPH'!$9:$1048576,MATCH($A86,'01_FASTPPH'!$A$9:$A$1048576,0),MATCH(O$9,'01_FASTPPH'!$8:$8,0))</f>
        <v>#N/A</v>
      </c>
      <c r="P86" s="20" t="e">
        <f>INDEX('01_FASTPPH'!$9:$1048576,MATCH($A86,'01_FASTPPH'!$A$9:$A$1048576,0),MATCH(P$9,'01_FASTPPH'!$8:$8,0))</f>
        <v>#N/A</v>
      </c>
      <c r="Q86" s="20" t="e">
        <f>INDEX('01_FASTPPH'!$9:$1048576,MATCH($A86,'01_FASTPPH'!$A$9:$A$1048576,0),MATCH(Q$9,'01_FASTPPH'!$8:$8,0))</f>
        <v>#N/A</v>
      </c>
      <c r="R86" s="20" t="e">
        <f>INDEX('01_FASTPPH'!$9:$1048576,MATCH($A86,'01_FASTPPH'!$A$9:$A$1048576,0),MATCH(R$9,'01_FASTPPH'!$8:$8,0))</f>
        <v>#N/A</v>
      </c>
      <c r="S86" s="20" t="e">
        <f>INDEX('01_FASTPPH'!$9:$1048576,MATCH($A86,'01_FASTPPH'!$A$9:$A$1048576,0),MATCH(S$9,'01_FASTPPH'!$8:$8,0))</f>
        <v>#N/A</v>
      </c>
      <c r="T86" s="24" t="e">
        <f>INDEX('01_FASTPPH'!$9:$1048576,MATCH($A86,'01_FASTPPH'!$A$9:$A$1048576,0),MATCH(T$9,'01_FASTPPH'!$8:$8,0))</f>
        <v>#N/A</v>
      </c>
      <c r="U86" s="23" t="e">
        <f>INDEX('01_FASTPPH'!$9:$1048576,MATCH($A86,'01_FASTPPH'!$A$9:$A$1048576,0),MATCH(U$9,'01_FASTPPH'!$8:$8,0))</f>
        <v>#N/A</v>
      </c>
      <c r="V86" s="20" t="e">
        <f>INDEX('01_FASTPPH'!$9:$1048576,MATCH($A86,'01_FASTPPH'!$A$9:$A$1048576,0),MATCH(V$9,'01_FASTPPH'!$8:$8,0))</f>
        <v>#N/A</v>
      </c>
      <c r="W86" s="24" t="e">
        <f>INDEX('01_FASTPPH'!$9:$1048576,MATCH($A86,'01_FASTPPH'!$A$9:$A$1048576,0),MATCH(W$9,'01_FASTPPH'!$8:$8,0))</f>
        <v>#N/A</v>
      </c>
      <c r="X86" s="20" t="e">
        <f>INDEX('01_FASTPPH'!$9:$1048576,MATCH($A86,'01_FASTPPH'!$A$9:$A$1048576,0),MATCH(X$9,'01_FASTPPH'!$8:$8,0))</f>
        <v>#N/A</v>
      </c>
      <c r="Y86" s="20" t="e">
        <f>INDEX('01_FASTPPH'!$9:$1048576,MATCH($A86,'01_FASTPPH'!$A$9:$A$1048576,0),MATCH(Y$9,'01_FASTPPH'!$8:$8,0))</f>
        <v>#N/A</v>
      </c>
      <c r="AA86" s="32" t="e">
        <f>INDEX('02_PROPERTIES'!$C$10:$I$1048576,MATCH('03_CALCULATIONS'!$D86,'02_PROPERTIES'!$C$10:$C$1048576,0),MATCH('03_CALCULATIONS'!AA$9,'02_PROPERTIES'!$C$10:$I$10,0))</f>
        <v>#N/A</v>
      </c>
      <c r="AB86" s="20" t="e">
        <f>INDEX('02_PROPERTIES'!$C$10:$I$1048576,MATCH('03_CALCULATIONS'!$D86,'02_PROPERTIES'!$C$10:$C$1048576,0),MATCH('03_CALCULATIONS'!AB$9,'02_PROPERTIES'!$C$10:$I$10,0))</f>
        <v>#N/A</v>
      </c>
      <c r="AC86" s="20" t="e">
        <f>INDEX('02_PROPERTIES'!$C$10:$I$1048576,MATCH('03_CALCULATIONS'!$D86,'02_PROPERTIES'!$C$10:$C$1048576,0),MATCH('03_CALCULATIONS'!AC$9,'02_PROPERTIES'!$C$10:$I$10,0))</f>
        <v>#N/A</v>
      </c>
      <c r="AD86" s="20" t="e">
        <f>INDEX('02_PROPERTIES'!$C$10:$I$1048576,MATCH('03_CALCULATIONS'!$D86,'02_PROPERTIES'!$C$10:$C$1048576,0),MATCH('03_CALCULATIONS'!AD$9,'02_PROPERTIES'!$C$10:$I$10,0))</f>
        <v>#N/A</v>
      </c>
      <c r="AE86" s="32" t="e">
        <f>INDEX('02_PROPERTIES'!$C$10:$I$1048576,MATCH('03_CALCULATIONS'!$D86,'02_PROPERTIES'!$C$10:$C$1048576,0),MATCH('03_CALCULATIONS'!AE$9,'02_PROPERTIES'!$C$10:$I$10,0))</f>
        <v>#N/A</v>
      </c>
      <c r="AF86" s="32" t="e">
        <f>INDEX('02_PROPERTIES'!$C$10:$I$1048576,MATCH('03_CALCULATIONS'!$D86,'02_PROPERTIES'!$C$10:$C$1048576,0),MATCH('03_CALCULATIONS'!AF$9,'02_PROPERTIES'!$C$10:$I$10,0))</f>
        <v>#N/A</v>
      </c>
      <c r="AH86" s="20" t="e">
        <f t="shared" si="11"/>
        <v>#N/A</v>
      </c>
      <c r="AI86" s="20" t="e">
        <f t="shared" si="12"/>
        <v>#N/A</v>
      </c>
      <c r="AJ86" s="20" t="e">
        <f t="shared" si="13"/>
        <v>#N/A</v>
      </c>
      <c r="AL86" s="20" t="e">
        <f t="shared" si="14"/>
        <v>#N/A</v>
      </c>
      <c r="AM86" s="20" t="e">
        <f t="shared" si="15"/>
        <v>#N/A</v>
      </c>
      <c r="AN86" s="20" t="e">
        <f t="shared" si="16"/>
        <v>#N/A</v>
      </c>
      <c r="AO86" s="20" t="e">
        <f t="shared" si="17"/>
        <v>#N/A</v>
      </c>
      <c r="AP86" s="20" t="e">
        <f t="shared" si="18"/>
        <v>#N/A</v>
      </c>
      <c r="AR86" s="20" t="e">
        <f t="shared" si="19"/>
        <v>#N/A</v>
      </c>
      <c r="AS86" s="20" t="e">
        <f t="shared" si="20"/>
        <v>#N/A</v>
      </c>
      <c r="AT86" s="20" t="e">
        <f t="shared" si="21"/>
        <v>#N/A</v>
      </c>
    </row>
    <row r="87" spans="1:46" x14ac:dyDescent="0.3">
      <c r="A87" s="18"/>
      <c r="B87" s="20" t="e">
        <f>INDEX('01_FASTPPH'!$9:$1048576,MATCH($A87,'01_FASTPPH'!$A$9:$A$1048576,0),MATCH(B$9,'01_FASTPPH'!$8:$8,0))</f>
        <v>#N/A</v>
      </c>
      <c r="C87" s="20" t="e">
        <f>INDEX('01_FASTPPH'!$9:$1048576,MATCH($A87,'01_FASTPPH'!$A$9:$A$1048576,0),MATCH(C$9,'01_FASTPPH'!$8:$8,0))</f>
        <v>#N/A</v>
      </c>
      <c r="D87" s="20" t="e">
        <f>INDEX('01_FASTPPH'!$9:$1048576,MATCH($A87,'01_FASTPPH'!$A$9:$A$1048576,0),MATCH(D$9,'01_FASTPPH'!$8:$8,0))</f>
        <v>#N/A</v>
      </c>
      <c r="E87" s="20" t="e">
        <f>INDEX('01_FASTPPH'!$9:$1048576,MATCH($A87,'01_FASTPPH'!$A$9:$A$1048576,0),MATCH(E$9,'01_FASTPPH'!$8:$8,0))</f>
        <v>#N/A</v>
      </c>
      <c r="F87" s="20" t="e">
        <f>INDEX('01_FASTPPH'!$9:$1048576,MATCH($A87,'01_FASTPPH'!$A$9:$A$1048576,0),MATCH(F$9,'01_FASTPPH'!$8:$8,0))</f>
        <v>#N/A</v>
      </c>
      <c r="G87" s="20" t="e">
        <f>INDEX('01_FASTPPH'!$9:$1048576,MATCH($A87,'01_FASTPPH'!$A$9:$A$1048576,0),MATCH(G$9,'01_FASTPPH'!$8:$8,0))</f>
        <v>#N/A</v>
      </c>
      <c r="H87" s="20" t="e">
        <f>INDEX('01_FASTPPH'!$9:$1048576,MATCH($A87,'01_FASTPPH'!$A$9:$A$1048576,0),MATCH(H$9,'01_FASTPPH'!$8:$8,0))</f>
        <v>#N/A</v>
      </c>
      <c r="I87" s="20" t="e">
        <f>INDEX('01_FASTPPH'!$9:$1048576,MATCH($A87,'01_FASTPPH'!$A$9:$A$1048576,0),MATCH(I$9,'01_FASTPPH'!$8:$8,0))</f>
        <v>#N/A</v>
      </c>
      <c r="J87" s="20" t="e">
        <f>INDEX('01_FASTPPH'!$9:$1048576,MATCH($A87,'01_FASTPPH'!$A$9:$A$1048576,0),MATCH(J$9,'01_FASTPPH'!$8:$8,0))</f>
        <v>#N/A</v>
      </c>
      <c r="K87" s="23" t="e">
        <f>INDEX('01_FASTPPH'!$9:$1048576,MATCH($A87,'01_FASTPPH'!$A$9:$A$1048576,0),MATCH(K$9,'01_FASTPPH'!$8:$8,0))</f>
        <v>#N/A</v>
      </c>
      <c r="L87" s="20" t="e">
        <f>INDEX('01_FASTPPH'!$9:$1048576,MATCH($A87,'01_FASTPPH'!$A$9:$A$1048576,0),MATCH(L$9,'01_FASTPPH'!$8:$8,0))</f>
        <v>#N/A</v>
      </c>
      <c r="M87" s="20" t="e">
        <f>INDEX('01_FASTPPH'!$9:$1048576,MATCH($A87,'01_FASTPPH'!$A$9:$A$1048576,0),MATCH(M$9,'01_FASTPPH'!$8:$8,0))</f>
        <v>#N/A</v>
      </c>
      <c r="N87" s="24" t="e">
        <f>INDEX('01_FASTPPH'!$9:$1048576,MATCH($A87,'01_FASTPPH'!$A$9:$A$1048576,0),MATCH(N$9,'01_FASTPPH'!$8:$8,0))</f>
        <v>#N/A</v>
      </c>
      <c r="O87" s="23" t="e">
        <f>INDEX('01_FASTPPH'!$9:$1048576,MATCH($A87,'01_FASTPPH'!$A$9:$A$1048576,0),MATCH(O$9,'01_FASTPPH'!$8:$8,0))</f>
        <v>#N/A</v>
      </c>
      <c r="P87" s="20" t="e">
        <f>INDEX('01_FASTPPH'!$9:$1048576,MATCH($A87,'01_FASTPPH'!$A$9:$A$1048576,0),MATCH(P$9,'01_FASTPPH'!$8:$8,0))</f>
        <v>#N/A</v>
      </c>
      <c r="Q87" s="20" t="e">
        <f>INDEX('01_FASTPPH'!$9:$1048576,MATCH($A87,'01_FASTPPH'!$A$9:$A$1048576,0),MATCH(Q$9,'01_FASTPPH'!$8:$8,0))</f>
        <v>#N/A</v>
      </c>
      <c r="R87" s="20" t="e">
        <f>INDEX('01_FASTPPH'!$9:$1048576,MATCH($A87,'01_FASTPPH'!$A$9:$A$1048576,0),MATCH(R$9,'01_FASTPPH'!$8:$8,0))</f>
        <v>#N/A</v>
      </c>
      <c r="S87" s="20" t="e">
        <f>INDEX('01_FASTPPH'!$9:$1048576,MATCH($A87,'01_FASTPPH'!$A$9:$A$1048576,0),MATCH(S$9,'01_FASTPPH'!$8:$8,0))</f>
        <v>#N/A</v>
      </c>
      <c r="T87" s="24" t="e">
        <f>INDEX('01_FASTPPH'!$9:$1048576,MATCH($A87,'01_FASTPPH'!$A$9:$A$1048576,0),MATCH(T$9,'01_FASTPPH'!$8:$8,0))</f>
        <v>#N/A</v>
      </c>
      <c r="U87" s="23" t="e">
        <f>INDEX('01_FASTPPH'!$9:$1048576,MATCH($A87,'01_FASTPPH'!$A$9:$A$1048576,0),MATCH(U$9,'01_FASTPPH'!$8:$8,0))</f>
        <v>#N/A</v>
      </c>
      <c r="V87" s="20" t="e">
        <f>INDEX('01_FASTPPH'!$9:$1048576,MATCH($A87,'01_FASTPPH'!$A$9:$A$1048576,0),MATCH(V$9,'01_FASTPPH'!$8:$8,0))</f>
        <v>#N/A</v>
      </c>
      <c r="W87" s="24" t="e">
        <f>INDEX('01_FASTPPH'!$9:$1048576,MATCH($A87,'01_FASTPPH'!$A$9:$A$1048576,0),MATCH(W$9,'01_FASTPPH'!$8:$8,0))</f>
        <v>#N/A</v>
      </c>
      <c r="X87" s="20" t="e">
        <f>INDEX('01_FASTPPH'!$9:$1048576,MATCH($A87,'01_FASTPPH'!$A$9:$A$1048576,0),MATCH(X$9,'01_FASTPPH'!$8:$8,0))</f>
        <v>#N/A</v>
      </c>
      <c r="Y87" s="20" t="e">
        <f>INDEX('01_FASTPPH'!$9:$1048576,MATCH($A87,'01_FASTPPH'!$A$9:$A$1048576,0),MATCH(Y$9,'01_FASTPPH'!$8:$8,0))</f>
        <v>#N/A</v>
      </c>
      <c r="AA87" s="32" t="e">
        <f>INDEX('02_PROPERTIES'!$C$10:$I$1048576,MATCH('03_CALCULATIONS'!$D87,'02_PROPERTIES'!$C$10:$C$1048576,0),MATCH('03_CALCULATIONS'!AA$9,'02_PROPERTIES'!$C$10:$I$10,0))</f>
        <v>#N/A</v>
      </c>
      <c r="AB87" s="20" t="e">
        <f>INDEX('02_PROPERTIES'!$C$10:$I$1048576,MATCH('03_CALCULATIONS'!$D87,'02_PROPERTIES'!$C$10:$C$1048576,0),MATCH('03_CALCULATIONS'!AB$9,'02_PROPERTIES'!$C$10:$I$10,0))</f>
        <v>#N/A</v>
      </c>
      <c r="AC87" s="20" t="e">
        <f>INDEX('02_PROPERTIES'!$C$10:$I$1048576,MATCH('03_CALCULATIONS'!$D87,'02_PROPERTIES'!$C$10:$C$1048576,0),MATCH('03_CALCULATIONS'!AC$9,'02_PROPERTIES'!$C$10:$I$10,0))</f>
        <v>#N/A</v>
      </c>
      <c r="AD87" s="20" t="e">
        <f>INDEX('02_PROPERTIES'!$C$10:$I$1048576,MATCH('03_CALCULATIONS'!$D87,'02_PROPERTIES'!$C$10:$C$1048576,0),MATCH('03_CALCULATIONS'!AD$9,'02_PROPERTIES'!$C$10:$I$10,0))</f>
        <v>#N/A</v>
      </c>
      <c r="AE87" s="32" t="e">
        <f>INDEX('02_PROPERTIES'!$C$10:$I$1048576,MATCH('03_CALCULATIONS'!$D87,'02_PROPERTIES'!$C$10:$C$1048576,0),MATCH('03_CALCULATIONS'!AE$9,'02_PROPERTIES'!$C$10:$I$10,0))</f>
        <v>#N/A</v>
      </c>
      <c r="AF87" s="32" t="e">
        <f>INDEX('02_PROPERTIES'!$C$10:$I$1048576,MATCH('03_CALCULATIONS'!$D87,'02_PROPERTIES'!$C$10:$C$1048576,0),MATCH('03_CALCULATIONS'!AF$9,'02_PROPERTIES'!$C$10:$I$10,0))</f>
        <v>#N/A</v>
      </c>
      <c r="AH87" s="20" t="e">
        <f t="shared" si="11"/>
        <v>#N/A</v>
      </c>
      <c r="AI87" s="20" t="e">
        <f t="shared" si="12"/>
        <v>#N/A</v>
      </c>
      <c r="AJ87" s="20" t="e">
        <f t="shared" si="13"/>
        <v>#N/A</v>
      </c>
      <c r="AL87" s="20" t="e">
        <f t="shared" si="14"/>
        <v>#N/A</v>
      </c>
      <c r="AM87" s="20" t="e">
        <f t="shared" si="15"/>
        <v>#N/A</v>
      </c>
      <c r="AN87" s="20" t="e">
        <f t="shared" si="16"/>
        <v>#N/A</v>
      </c>
      <c r="AO87" s="20" t="e">
        <f t="shared" si="17"/>
        <v>#N/A</v>
      </c>
      <c r="AP87" s="20" t="e">
        <f t="shared" si="18"/>
        <v>#N/A</v>
      </c>
      <c r="AR87" s="20" t="e">
        <f t="shared" si="19"/>
        <v>#N/A</v>
      </c>
      <c r="AS87" s="20" t="e">
        <f t="shared" si="20"/>
        <v>#N/A</v>
      </c>
      <c r="AT87" s="20" t="e">
        <f t="shared" si="21"/>
        <v>#N/A</v>
      </c>
    </row>
    <row r="88" spans="1:46" x14ac:dyDescent="0.3">
      <c r="A88" s="18"/>
      <c r="B88" s="20" t="e">
        <f>INDEX('01_FASTPPH'!$9:$1048576,MATCH($A88,'01_FASTPPH'!$A$9:$A$1048576,0),MATCH(B$9,'01_FASTPPH'!$8:$8,0))</f>
        <v>#N/A</v>
      </c>
      <c r="C88" s="20" t="e">
        <f>INDEX('01_FASTPPH'!$9:$1048576,MATCH($A88,'01_FASTPPH'!$A$9:$A$1048576,0),MATCH(C$9,'01_FASTPPH'!$8:$8,0))</f>
        <v>#N/A</v>
      </c>
      <c r="D88" s="20" t="e">
        <f>INDEX('01_FASTPPH'!$9:$1048576,MATCH($A88,'01_FASTPPH'!$A$9:$A$1048576,0),MATCH(D$9,'01_FASTPPH'!$8:$8,0))</f>
        <v>#N/A</v>
      </c>
      <c r="E88" s="20" t="e">
        <f>INDEX('01_FASTPPH'!$9:$1048576,MATCH($A88,'01_FASTPPH'!$A$9:$A$1048576,0),MATCH(E$9,'01_FASTPPH'!$8:$8,0))</f>
        <v>#N/A</v>
      </c>
      <c r="F88" s="20" t="e">
        <f>INDEX('01_FASTPPH'!$9:$1048576,MATCH($A88,'01_FASTPPH'!$A$9:$A$1048576,0),MATCH(F$9,'01_FASTPPH'!$8:$8,0))</f>
        <v>#N/A</v>
      </c>
      <c r="G88" s="20" t="e">
        <f>INDEX('01_FASTPPH'!$9:$1048576,MATCH($A88,'01_FASTPPH'!$A$9:$A$1048576,0),MATCH(G$9,'01_FASTPPH'!$8:$8,0))</f>
        <v>#N/A</v>
      </c>
      <c r="H88" s="20" t="e">
        <f>INDEX('01_FASTPPH'!$9:$1048576,MATCH($A88,'01_FASTPPH'!$A$9:$A$1048576,0),MATCH(H$9,'01_FASTPPH'!$8:$8,0))</f>
        <v>#N/A</v>
      </c>
      <c r="I88" s="20" t="e">
        <f>INDEX('01_FASTPPH'!$9:$1048576,MATCH($A88,'01_FASTPPH'!$A$9:$A$1048576,0),MATCH(I$9,'01_FASTPPH'!$8:$8,0))</f>
        <v>#N/A</v>
      </c>
      <c r="J88" s="20" t="e">
        <f>INDEX('01_FASTPPH'!$9:$1048576,MATCH($A88,'01_FASTPPH'!$A$9:$A$1048576,0),MATCH(J$9,'01_FASTPPH'!$8:$8,0))</f>
        <v>#N/A</v>
      </c>
      <c r="K88" s="23" t="e">
        <f>INDEX('01_FASTPPH'!$9:$1048576,MATCH($A88,'01_FASTPPH'!$A$9:$A$1048576,0),MATCH(K$9,'01_FASTPPH'!$8:$8,0))</f>
        <v>#N/A</v>
      </c>
      <c r="L88" s="20" t="e">
        <f>INDEX('01_FASTPPH'!$9:$1048576,MATCH($A88,'01_FASTPPH'!$A$9:$A$1048576,0),MATCH(L$9,'01_FASTPPH'!$8:$8,0))</f>
        <v>#N/A</v>
      </c>
      <c r="M88" s="20" t="e">
        <f>INDEX('01_FASTPPH'!$9:$1048576,MATCH($A88,'01_FASTPPH'!$A$9:$A$1048576,0),MATCH(M$9,'01_FASTPPH'!$8:$8,0))</f>
        <v>#N/A</v>
      </c>
      <c r="N88" s="24" t="e">
        <f>INDEX('01_FASTPPH'!$9:$1048576,MATCH($A88,'01_FASTPPH'!$A$9:$A$1048576,0),MATCH(N$9,'01_FASTPPH'!$8:$8,0))</f>
        <v>#N/A</v>
      </c>
      <c r="O88" s="23" t="e">
        <f>INDEX('01_FASTPPH'!$9:$1048576,MATCH($A88,'01_FASTPPH'!$A$9:$A$1048576,0),MATCH(O$9,'01_FASTPPH'!$8:$8,0))</f>
        <v>#N/A</v>
      </c>
      <c r="P88" s="20" t="e">
        <f>INDEX('01_FASTPPH'!$9:$1048576,MATCH($A88,'01_FASTPPH'!$A$9:$A$1048576,0),MATCH(P$9,'01_FASTPPH'!$8:$8,0))</f>
        <v>#N/A</v>
      </c>
      <c r="Q88" s="20" t="e">
        <f>INDEX('01_FASTPPH'!$9:$1048576,MATCH($A88,'01_FASTPPH'!$A$9:$A$1048576,0),MATCH(Q$9,'01_FASTPPH'!$8:$8,0))</f>
        <v>#N/A</v>
      </c>
      <c r="R88" s="20" t="e">
        <f>INDEX('01_FASTPPH'!$9:$1048576,MATCH($A88,'01_FASTPPH'!$A$9:$A$1048576,0),MATCH(R$9,'01_FASTPPH'!$8:$8,0))</f>
        <v>#N/A</v>
      </c>
      <c r="S88" s="20" t="e">
        <f>INDEX('01_FASTPPH'!$9:$1048576,MATCH($A88,'01_FASTPPH'!$A$9:$A$1048576,0),MATCH(S$9,'01_FASTPPH'!$8:$8,0))</f>
        <v>#N/A</v>
      </c>
      <c r="T88" s="24" t="e">
        <f>INDEX('01_FASTPPH'!$9:$1048576,MATCH($A88,'01_FASTPPH'!$A$9:$A$1048576,0),MATCH(T$9,'01_FASTPPH'!$8:$8,0))</f>
        <v>#N/A</v>
      </c>
      <c r="U88" s="23" t="e">
        <f>INDEX('01_FASTPPH'!$9:$1048576,MATCH($A88,'01_FASTPPH'!$A$9:$A$1048576,0),MATCH(U$9,'01_FASTPPH'!$8:$8,0))</f>
        <v>#N/A</v>
      </c>
      <c r="V88" s="20" t="e">
        <f>INDEX('01_FASTPPH'!$9:$1048576,MATCH($A88,'01_FASTPPH'!$A$9:$A$1048576,0),MATCH(V$9,'01_FASTPPH'!$8:$8,0))</f>
        <v>#N/A</v>
      </c>
      <c r="W88" s="24" t="e">
        <f>INDEX('01_FASTPPH'!$9:$1048576,MATCH($A88,'01_FASTPPH'!$A$9:$A$1048576,0),MATCH(W$9,'01_FASTPPH'!$8:$8,0))</f>
        <v>#N/A</v>
      </c>
      <c r="X88" s="20" t="e">
        <f>INDEX('01_FASTPPH'!$9:$1048576,MATCH($A88,'01_FASTPPH'!$A$9:$A$1048576,0),MATCH(X$9,'01_FASTPPH'!$8:$8,0))</f>
        <v>#N/A</v>
      </c>
      <c r="Y88" s="20" t="e">
        <f>INDEX('01_FASTPPH'!$9:$1048576,MATCH($A88,'01_FASTPPH'!$A$9:$A$1048576,0),MATCH(Y$9,'01_FASTPPH'!$8:$8,0))</f>
        <v>#N/A</v>
      </c>
      <c r="AA88" s="32" t="e">
        <f>INDEX('02_PROPERTIES'!$C$10:$I$1048576,MATCH('03_CALCULATIONS'!$D88,'02_PROPERTIES'!$C$10:$C$1048576,0),MATCH('03_CALCULATIONS'!AA$9,'02_PROPERTIES'!$C$10:$I$10,0))</f>
        <v>#N/A</v>
      </c>
      <c r="AB88" s="20" t="e">
        <f>INDEX('02_PROPERTIES'!$C$10:$I$1048576,MATCH('03_CALCULATIONS'!$D88,'02_PROPERTIES'!$C$10:$C$1048576,0),MATCH('03_CALCULATIONS'!AB$9,'02_PROPERTIES'!$C$10:$I$10,0))</f>
        <v>#N/A</v>
      </c>
      <c r="AC88" s="20" t="e">
        <f>INDEX('02_PROPERTIES'!$C$10:$I$1048576,MATCH('03_CALCULATIONS'!$D88,'02_PROPERTIES'!$C$10:$C$1048576,0),MATCH('03_CALCULATIONS'!AC$9,'02_PROPERTIES'!$C$10:$I$10,0))</f>
        <v>#N/A</v>
      </c>
      <c r="AD88" s="20" t="e">
        <f>INDEX('02_PROPERTIES'!$C$10:$I$1048576,MATCH('03_CALCULATIONS'!$D88,'02_PROPERTIES'!$C$10:$C$1048576,0),MATCH('03_CALCULATIONS'!AD$9,'02_PROPERTIES'!$C$10:$I$10,0))</f>
        <v>#N/A</v>
      </c>
      <c r="AE88" s="32" t="e">
        <f>INDEX('02_PROPERTIES'!$C$10:$I$1048576,MATCH('03_CALCULATIONS'!$D88,'02_PROPERTIES'!$C$10:$C$1048576,0),MATCH('03_CALCULATIONS'!AE$9,'02_PROPERTIES'!$C$10:$I$10,0))</f>
        <v>#N/A</v>
      </c>
      <c r="AF88" s="32" t="e">
        <f>INDEX('02_PROPERTIES'!$C$10:$I$1048576,MATCH('03_CALCULATIONS'!$D88,'02_PROPERTIES'!$C$10:$C$1048576,0),MATCH('03_CALCULATIONS'!AF$9,'02_PROPERTIES'!$C$10:$I$10,0))</f>
        <v>#N/A</v>
      </c>
      <c r="AH88" s="20" t="e">
        <f t="shared" si="11"/>
        <v>#N/A</v>
      </c>
      <c r="AI88" s="20" t="e">
        <f t="shared" si="12"/>
        <v>#N/A</v>
      </c>
      <c r="AJ88" s="20" t="e">
        <f t="shared" si="13"/>
        <v>#N/A</v>
      </c>
      <c r="AL88" s="20" t="e">
        <f t="shared" si="14"/>
        <v>#N/A</v>
      </c>
      <c r="AM88" s="20" t="e">
        <f t="shared" si="15"/>
        <v>#N/A</v>
      </c>
      <c r="AN88" s="20" t="e">
        <f t="shared" si="16"/>
        <v>#N/A</v>
      </c>
      <c r="AO88" s="20" t="e">
        <f t="shared" si="17"/>
        <v>#N/A</v>
      </c>
      <c r="AP88" s="20" t="e">
        <f t="shared" si="18"/>
        <v>#N/A</v>
      </c>
      <c r="AR88" s="20" t="e">
        <f t="shared" si="19"/>
        <v>#N/A</v>
      </c>
      <c r="AS88" s="20" t="e">
        <f t="shared" si="20"/>
        <v>#N/A</v>
      </c>
      <c r="AT88" s="20" t="e">
        <f t="shared" si="21"/>
        <v>#N/A</v>
      </c>
    </row>
    <row r="89" spans="1:46" x14ac:dyDescent="0.3">
      <c r="A89" s="18"/>
      <c r="B89" s="20" t="e">
        <f>INDEX('01_FASTPPH'!$9:$1048576,MATCH($A89,'01_FASTPPH'!$A$9:$A$1048576,0),MATCH(B$9,'01_FASTPPH'!$8:$8,0))</f>
        <v>#N/A</v>
      </c>
      <c r="C89" s="20" t="e">
        <f>INDEX('01_FASTPPH'!$9:$1048576,MATCH($A89,'01_FASTPPH'!$A$9:$A$1048576,0),MATCH(C$9,'01_FASTPPH'!$8:$8,0))</f>
        <v>#N/A</v>
      </c>
      <c r="D89" s="20" t="e">
        <f>INDEX('01_FASTPPH'!$9:$1048576,MATCH($A89,'01_FASTPPH'!$A$9:$A$1048576,0),MATCH(D$9,'01_FASTPPH'!$8:$8,0))</f>
        <v>#N/A</v>
      </c>
      <c r="E89" s="20" t="e">
        <f>INDEX('01_FASTPPH'!$9:$1048576,MATCH($A89,'01_FASTPPH'!$A$9:$A$1048576,0),MATCH(E$9,'01_FASTPPH'!$8:$8,0))</f>
        <v>#N/A</v>
      </c>
      <c r="F89" s="20" t="e">
        <f>INDEX('01_FASTPPH'!$9:$1048576,MATCH($A89,'01_FASTPPH'!$A$9:$A$1048576,0),MATCH(F$9,'01_FASTPPH'!$8:$8,0))</f>
        <v>#N/A</v>
      </c>
      <c r="G89" s="20" t="e">
        <f>INDEX('01_FASTPPH'!$9:$1048576,MATCH($A89,'01_FASTPPH'!$A$9:$A$1048576,0),MATCH(G$9,'01_FASTPPH'!$8:$8,0))</f>
        <v>#N/A</v>
      </c>
      <c r="H89" s="20" t="e">
        <f>INDEX('01_FASTPPH'!$9:$1048576,MATCH($A89,'01_FASTPPH'!$A$9:$A$1048576,0),MATCH(H$9,'01_FASTPPH'!$8:$8,0))</f>
        <v>#N/A</v>
      </c>
      <c r="I89" s="20" t="e">
        <f>INDEX('01_FASTPPH'!$9:$1048576,MATCH($A89,'01_FASTPPH'!$A$9:$A$1048576,0),MATCH(I$9,'01_FASTPPH'!$8:$8,0))</f>
        <v>#N/A</v>
      </c>
      <c r="J89" s="20" t="e">
        <f>INDEX('01_FASTPPH'!$9:$1048576,MATCH($A89,'01_FASTPPH'!$A$9:$A$1048576,0),MATCH(J$9,'01_FASTPPH'!$8:$8,0))</f>
        <v>#N/A</v>
      </c>
      <c r="K89" s="23" t="e">
        <f>INDEX('01_FASTPPH'!$9:$1048576,MATCH($A89,'01_FASTPPH'!$A$9:$A$1048576,0),MATCH(K$9,'01_FASTPPH'!$8:$8,0))</f>
        <v>#N/A</v>
      </c>
      <c r="L89" s="20" t="e">
        <f>INDEX('01_FASTPPH'!$9:$1048576,MATCH($A89,'01_FASTPPH'!$A$9:$A$1048576,0),MATCH(L$9,'01_FASTPPH'!$8:$8,0))</f>
        <v>#N/A</v>
      </c>
      <c r="M89" s="20" t="e">
        <f>INDEX('01_FASTPPH'!$9:$1048576,MATCH($A89,'01_FASTPPH'!$A$9:$A$1048576,0),MATCH(M$9,'01_FASTPPH'!$8:$8,0))</f>
        <v>#N/A</v>
      </c>
      <c r="N89" s="24" t="e">
        <f>INDEX('01_FASTPPH'!$9:$1048576,MATCH($A89,'01_FASTPPH'!$A$9:$A$1048576,0),MATCH(N$9,'01_FASTPPH'!$8:$8,0))</f>
        <v>#N/A</v>
      </c>
      <c r="O89" s="23" t="e">
        <f>INDEX('01_FASTPPH'!$9:$1048576,MATCH($A89,'01_FASTPPH'!$A$9:$A$1048576,0),MATCH(O$9,'01_FASTPPH'!$8:$8,0))</f>
        <v>#N/A</v>
      </c>
      <c r="P89" s="20" t="e">
        <f>INDEX('01_FASTPPH'!$9:$1048576,MATCH($A89,'01_FASTPPH'!$A$9:$A$1048576,0),MATCH(P$9,'01_FASTPPH'!$8:$8,0))</f>
        <v>#N/A</v>
      </c>
      <c r="Q89" s="20" t="e">
        <f>INDEX('01_FASTPPH'!$9:$1048576,MATCH($A89,'01_FASTPPH'!$A$9:$A$1048576,0),MATCH(Q$9,'01_FASTPPH'!$8:$8,0))</f>
        <v>#N/A</v>
      </c>
      <c r="R89" s="20" t="e">
        <f>INDEX('01_FASTPPH'!$9:$1048576,MATCH($A89,'01_FASTPPH'!$A$9:$A$1048576,0),MATCH(R$9,'01_FASTPPH'!$8:$8,0))</f>
        <v>#N/A</v>
      </c>
      <c r="S89" s="20" t="e">
        <f>INDEX('01_FASTPPH'!$9:$1048576,MATCH($A89,'01_FASTPPH'!$A$9:$A$1048576,0),MATCH(S$9,'01_FASTPPH'!$8:$8,0))</f>
        <v>#N/A</v>
      </c>
      <c r="T89" s="24" t="e">
        <f>INDEX('01_FASTPPH'!$9:$1048576,MATCH($A89,'01_FASTPPH'!$A$9:$A$1048576,0),MATCH(T$9,'01_FASTPPH'!$8:$8,0))</f>
        <v>#N/A</v>
      </c>
      <c r="U89" s="23" t="e">
        <f>INDEX('01_FASTPPH'!$9:$1048576,MATCH($A89,'01_FASTPPH'!$A$9:$A$1048576,0),MATCH(U$9,'01_FASTPPH'!$8:$8,0))</f>
        <v>#N/A</v>
      </c>
      <c r="V89" s="20" t="e">
        <f>INDEX('01_FASTPPH'!$9:$1048576,MATCH($A89,'01_FASTPPH'!$A$9:$A$1048576,0),MATCH(V$9,'01_FASTPPH'!$8:$8,0))</f>
        <v>#N/A</v>
      </c>
      <c r="W89" s="24" t="e">
        <f>INDEX('01_FASTPPH'!$9:$1048576,MATCH($A89,'01_FASTPPH'!$A$9:$A$1048576,0),MATCH(W$9,'01_FASTPPH'!$8:$8,0))</f>
        <v>#N/A</v>
      </c>
      <c r="X89" s="20" t="e">
        <f>INDEX('01_FASTPPH'!$9:$1048576,MATCH($A89,'01_FASTPPH'!$A$9:$A$1048576,0),MATCH(X$9,'01_FASTPPH'!$8:$8,0))</f>
        <v>#N/A</v>
      </c>
      <c r="Y89" s="20" t="e">
        <f>INDEX('01_FASTPPH'!$9:$1048576,MATCH($A89,'01_FASTPPH'!$A$9:$A$1048576,0),MATCH(Y$9,'01_FASTPPH'!$8:$8,0))</f>
        <v>#N/A</v>
      </c>
      <c r="AA89" s="32" t="e">
        <f>INDEX('02_PROPERTIES'!$C$10:$I$1048576,MATCH('03_CALCULATIONS'!$D89,'02_PROPERTIES'!$C$10:$C$1048576,0),MATCH('03_CALCULATIONS'!AA$9,'02_PROPERTIES'!$C$10:$I$10,0))</f>
        <v>#N/A</v>
      </c>
      <c r="AB89" s="20" t="e">
        <f>INDEX('02_PROPERTIES'!$C$10:$I$1048576,MATCH('03_CALCULATIONS'!$D89,'02_PROPERTIES'!$C$10:$C$1048576,0),MATCH('03_CALCULATIONS'!AB$9,'02_PROPERTIES'!$C$10:$I$10,0))</f>
        <v>#N/A</v>
      </c>
      <c r="AC89" s="20" t="e">
        <f>INDEX('02_PROPERTIES'!$C$10:$I$1048576,MATCH('03_CALCULATIONS'!$D89,'02_PROPERTIES'!$C$10:$C$1048576,0),MATCH('03_CALCULATIONS'!AC$9,'02_PROPERTIES'!$C$10:$I$10,0))</f>
        <v>#N/A</v>
      </c>
      <c r="AD89" s="20" t="e">
        <f>INDEX('02_PROPERTIES'!$C$10:$I$1048576,MATCH('03_CALCULATIONS'!$D89,'02_PROPERTIES'!$C$10:$C$1048576,0),MATCH('03_CALCULATIONS'!AD$9,'02_PROPERTIES'!$C$10:$I$10,0))</f>
        <v>#N/A</v>
      </c>
      <c r="AE89" s="32" t="e">
        <f>INDEX('02_PROPERTIES'!$C$10:$I$1048576,MATCH('03_CALCULATIONS'!$D89,'02_PROPERTIES'!$C$10:$C$1048576,0),MATCH('03_CALCULATIONS'!AE$9,'02_PROPERTIES'!$C$10:$I$10,0))</f>
        <v>#N/A</v>
      </c>
      <c r="AF89" s="32" t="e">
        <f>INDEX('02_PROPERTIES'!$C$10:$I$1048576,MATCH('03_CALCULATIONS'!$D89,'02_PROPERTIES'!$C$10:$C$1048576,0),MATCH('03_CALCULATIONS'!AF$9,'02_PROPERTIES'!$C$10:$I$10,0))</f>
        <v>#N/A</v>
      </c>
      <c r="AH89" s="20" t="e">
        <f t="shared" si="11"/>
        <v>#N/A</v>
      </c>
      <c r="AI89" s="20" t="e">
        <f t="shared" si="12"/>
        <v>#N/A</v>
      </c>
      <c r="AJ89" s="20" t="e">
        <f t="shared" si="13"/>
        <v>#N/A</v>
      </c>
      <c r="AL89" s="20" t="e">
        <f t="shared" si="14"/>
        <v>#N/A</v>
      </c>
      <c r="AM89" s="20" t="e">
        <f t="shared" si="15"/>
        <v>#N/A</v>
      </c>
      <c r="AN89" s="20" t="e">
        <f t="shared" si="16"/>
        <v>#N/A</v>
      </c>
      <c r="AO89" s="20" t="e">
        <f t="shared" si="17"/>
        <v>#N/A</v>
      </c>
      <c r="AP89" s="20" t="e">
        <f t="shared" si="18"/>
        <v>#N/A</v>
      </c>
      <c r="AR89" s="20" t="e">
        <f t="shared" si="19"/>
        <v>#N/A</v>
      </c>
      <c r="AS89" s="20" t="e">
        <f t="shared" si="20"/>
        <v>#N/A</v>
      </c>
      <c r="AT89" s="20" t="e">
        <f t="shared" si="21"/>
        <v>#N/A</v>
      </c>
    </row>
    <row r="90" spans="1:46" x14ac:dyDescent="0.3">
      <c r="A90" s="18"/>
      <c r="B90" s="20" t="e">
        <f>INDEX('01_FASTPPH'!$9:$1048576,MATCH($A90,'01_FASTPPH'!$A$9:$A$1048576,0),MATCH(B$9,'01_FASTPPH'!$8:$8,0))</f>
        <v>#N/A</v>
      </c>
      <c r="C90" s="20" t="e">
        <f>INDEX('01_FASTPPH'!$9:$1048576,MATCH($A90,'01_FASTPPH'!$A$9:$A$1048576,0),MATCH(C$9,'01_FASTPPH'!$8:$8,0))</f>
        <v>#N/A</v>
      </c>
      <c r="D90" s="20" t="e">
        <f>INDEX('01_FASTPPH'!$9:$1048576,MATCH($A90,'01_FASTPPH'!$A$9:$A$1048576,0),MATCH(D$9,'01_FASTPPH'!$8:$8,0))</f>
        <v>#N/A</v>
      </c>
      <c r="E90" s="20" t="e">
        <f>INDEX('01_FASTPPH'!$9:$1048576,MATCH($A90,'01_FASTPPH'!$A$9:$A$1048576,0),MATCH(E$9,'01_FASTPPH'!$8:$8,0))</f>
        <v>#N/A</v>
      </c>
      <c r="F90" s="20" t="e">
        <f>INDEX('01_FASTPPH'!$9:$1048576,MATCH($A90,'01_FASTPPH'!$A$9:$A$1048576,0),MATCH(F$9,'01_FASTPPH'!$8:$8,0))</f>
        <v>#N/A</v>
      </c>
      <c r="G90" s="20" t="e">
        <f>INDEX('01_FASTPPH'!$9:$1048576,MATCH($A90,'01_FASTPPH'!$A$9:$A$1048576,0),MATCH(G$9,'01_FASTPPH'!$8:$8,0))</f>
        <v>#N/A</v>
      </c>
      <c r="H90" s="20" t="e">
        <f>INDEX('01_FASTPPH'!$9:$1048576,MATCH($A90,'01_FASTPPH'!$A$9:$A$1048576,0),MATCH(H$9,'01_FASTPPH'!$8:$8,0))</f>
        <v>#N/A</v>
      </c>
      <c r="I90" s="20" t="e">
        <f>INDEX('01_FASTPPH'!$9:$1048576,MATCH($A90,'01_FASTPPH'!$A$9:$A$1048576,0),MATCH(I$9,'01_FASTPPH'!$8:$8,0))</f>
        <v>#N/A</v>
      </c>
      <c r="J90" s="20" t="e">
        <f>INDEX('01_FASTPPH'!$9:$1048576,MATCH($A90,'01_FASTPPH'!$A$9:$A$1048576,0),MATCH(J$9,'01_FASTPPH'!$8:$8,0))</f>
        <v>#N/A</v>
      </c>
      <c r="K90" s="23" t="e">
        <f>INDEX('01_FASTPPH'!$9:$1048576,MATCH($A90,'01_FASTPPH'!$A$9:$A$1048576,0),MATCH(K$9,'01_FASTPPH'!$8:$8,0))</f>
        <v>#N/A</v>
      </c>
      <c r="L90" s="20" t="e">
        <f>INDEX('01_FASTPPH'!$9:$1048576,MATCH($A90,'01_FASTPPH'!$A$9:$A$1048576,0),MATCH(L$9,'01_FASTPPH'!$8:$8,0))</f>
        <v>#N/A</v>
      </c>
      <c r="M90" s="20" t="e">
        <f>INDEX('01_FASTPPH'!$9:$1048576,MATCH($A90,'01_FASTPPH'!$A$9:$A$1048576,0),MATCH(M$9,'01_FASTPPH'!$8:$8,0))</f>
        <v>#N/A</v>
      </c>
      <c r="N90" s="24" t="e">
        <f>INDEX('01_FASTPPH'!$9:$1048576,MATCH($A90,'01_FASTPPH'!$A$9:$A$1048576,0),MATCH(N$9,'01_FASTPPH'!$8:$8,0))</f>
        <v>#N/A</v>
      </c>
      <c r="O90" s="23" t="e">
        <f>INDEX('01_FASTPPH'!$9:$1048576,MATCH($A90,'01_FASTPPH'!$A$9:$A$1048576,0),MATCH(O$9,'01_FASTPPH'!$8:$8,0))</f>
        <v>#N/A</v>
      </c>
      <c r="P90" s="20" t="e">
        <f>INDEX('01_FASTPPH'!$9:$1048576,MATCH($A90,'01_FASTPPH'!$A$9:$A$1048576,0),MATCH(P$9,'01_FASTPPH'!$8:$8,0))</f>
        <v>#N/A</v>
      </c>
      <c r="Q90" s="20" t="e">
        <f>INDEX('01_FASTPPH'!$9:$1048576,MATCH($A90,'01_FASTPPH'!$A$9:$A$1048576,0),MATCH(Q$9,'01_FASTPPH'!$8:$8,0))</f>
        <v>#N/A</v>
      </c>
      <c r="R90" s="20" t="e">
        <f>INDEX('01_FASTPPH'!$9:$1048576,MATCH($A90,'01_FASTPPH'!$A$9:$A$1048576,0),MATCH(R$9,'01_FASTPPH'!$8:$8,0))</f>
        <v>#N/A</v>
      </c>
      <c r="S90" s="20" t="e">
        <f>INDEX('01_FASTPPH'!$9:$1048576,MATCH($A90,'01_FASTPPH'!$A$9:$A$1048576,0),MATCH(S$9,'01_FASTPPH'!$8:$8,0))</f>
        <v>#N/A</v>
      </c>
      <c r="T90" s="24" t="e">
        <f>INDEX('01_FASTPPH'!$9:$1048576,MATCH($A90,'01_FASTPPH'!$A$9:$A$1048576,0),MATCH(T$9,'01_FASTPPH'!$8:$8,0))</f>
        <v>#N/A</v>
      </c>
      <c r="U90" s="23" t="e">
        <f>INDEX('01_FASTPPH'!$9:$1048576,MATCH($A90,'01_FASTPPH'!$A$9:$A$1048576,0),MATCH(U$9,'01_FASTPPH'!$8:$8,0))</f>
        <v>#N/A</v>
      </c>
      <c r="V90" s="20" t="e">
        <f>INDEX('01_FASTPPH'!$9:$1048576,MATCH($A90,'01_FASTPPH'!$A$9:$A$1048576,0),MATCH(V$9,'01_FASTPPH'!$8:$8,0))</f>
        <v>#N/A</v>
      </c>
      <c r="W90" s="24" t="e">
        <f>INDEX('01_FASTPPH'!$9:$1048576,MATCH($A90,'01_FASTPPH'!$A$9:$A$1048576,0),MATCH(W$9,'01_FASTPPH'!$8:$8,0))</f>
        <v>#N/A</v>
      </c>
      <c r="X90" s="20" t="e">
        <f>INDEX('01_FASTPPH'!$9:$1048576,MATCH($A90,'01_FASTPPH'!$A$9:$A$1048576,0),MATCH(X$9,'01_FASTPPH'!$8:$8,0))</f>
        <v>#N/A</v>
      </c>
      <c r="Y90" s="20" t="e">
        <f>INDEX('01_FASTPPH'!$9:$1048576,MATCH($A90,'01_FASTPPH'!$A$9:$A$1048576,0),MATCH(Y$9,'01_FASTPPH'!$8:$8,0))</f>
        <v>#N/A</v>
      </c>
      <c r="AA90" s="32" t="e">
        <f>INDEX('02_PROPERTIES'!$C$10:$I$1048576,MATCH('03_CALCULATIONS'!$D90,'02_PROPERTIES'!$C$10:$C$1048576,0),MATCH('03_CALCULATIONS'!AA$9,'02_PROPERTIES'!$C$10:$I$10,0))</f>
        <v>#N/A</v>
      </c>
      <c r="AB90" s="20" t="e">
        <f>INDEX('02_PROPERTIES'!$C$10:$I$1048576,MATCH('03_CALCULATIONS'!$D90,'02_PROPERTIES'!$C$10:$C$1048576,0),MATCH('03_CALCULATIONS'!AB$9,'02_PROPERTIES'!$C$10:$I$10,0))</f>
        <v>#N/A</v>
      </c>
      <c r="AC90" s="20" t="e">
        <f>INDEX('02_PROPERTIES'!$C$10:$I$1048576,MATCH('03_CALCULATIONS'!$D90,'02_PROPERTIES'!$C$10:$C$1048576,0),MATCH('03_CALCULATIONS'!AC$9,'02_PROPERTIES'!$C$10:$I$10,0))</f>
        <v>#N/A</v>
      </c>
      <c r="AD90" s="20" t="e">
        <f>INDEX('02_PROPERTIES'!$C$10:$I$1048576,MATCH('03_CALCULATIONS'!$D90,'02_PROPERTIES'!$C$10:$C$1048576,0),MATCH('03_CALCULATIONS'!AD$9,'02_PROPERTIES'!$C$10:$I$10,0))</f>
        <v>#N/A</v>
      </c>
      <c r="AE90" s="32" t="e">
        <f>INDEX('02_PROPERTIES'!$C$10:$I$1048576,MATCH('03_CALCULATIONS'!$D90,'02_PROPERTIES'!$C$10:$C$1048576,0),MATCH('03_CALCULATIONS'!AE$9,'02_PROPERTIES'!$C$10:$I$10,0))</f>
        <v>#N/A</v>
      </c>
      <c r="AF90" s="32" t="e">
        <f>INDEX('02_PROPERTIES'!$C$10:$I$1048576,MATCH('03_CALCULATIONS'!$D90,'02_PROPERTIES'!$C$10:$C$1048576,0),MATCH('03_CALCULATIONS'!AF$9,'02_PROPERTIES'!$C$10:$I$10,0))</f>
        <v>#N/A</v>
      </c>
      <c r="AH90" s="20" t="e">
        <f t="shared" si="11"/>
        <v>#N/A</v>
      </c>
      <c r="AI90" s="20" t="e">
        <f t="shared" si="12"/>
        <v>#N/A</v>
      </c>
      <c r="AJ90" s="20" t="e">
        <f t="shared" si="13"/>
        <v>#N/A</v>
      </c>
      <c r="AL90" s="20" t="e">
        <f t="shared" si="14"/>
        <v>#N/A</v>
      </c>
      <c r="AM90" s="20" t="e">
        <f t="shared" si="15"/>
        <v>#N/A</v>
      </c>
      <c r="AN90" s="20" t="e">
        <f t="shared" si="16"/>
        <v>#N/A</v>
      </c>
      <c r="AO90" s="20" t="e">
        <f t="shared" si="17"/>
        <v>#N/A</v>
      </c>
      <c r="AP90" s="20" t="e">
        <f t="shared" si="18"/>
        <v>#N/A</v>
      </c>
      <c r="AR90" s="20" t="e">
        <f t="shared" si="19"/>
        <v>#N/A</v>
      </c>
      <c r="AS90" s="20" t="e">
        <f t="shared" si="20"/>
        <v>#N/A</v>
      </c>
      <c r="AT90" s="20" t="e">
        <f t="shared" si="21"/>
        <v>#N/A</v>
      </c>
    </row>
    <row r="91" spans="1:46" x14ac:dyDescent="0.3">
      <c r="A91" s="18"/>
      <c r="B91" s="20" t="e">
        <f>INDEX('01_FASTPPH'!$9:$1048576,MATCH($A91,'01_FASTPPH'!$A$9:$A$1048576,0),MATCH(B$9,'01_FASTPPH'!$8:$8,0))</f>
        <v>#N/A</v>
      </c>
      <c r="C91" s="20" t="e">
        <f>INDEX('01_FASTPPH'!$9:$1048576,MATCH($A91,'01_FASTPPH'!$A$9:$A$1048576,0),MATCH(C$9,'01_FASTPPH'!$8:$8,0))</f>
        <v>#N/A</v>
      </c>
      <c r="D91" s="20" t="e">
        <f>INDEX('01_FASTPPH'!$9:$1048576,MATCH($A91,'01_FASTPPH'!$A$9:$A$1048576,0),MATCH(D$9,'01_FASTPPH'!$8:$8,0))</f>
        <v>#N/A</v>
      </c>
      <c r="E91" s="20" t="e">
        <f>INDEX('01_FASTPPH'!$9:$1048576,MATCH($A91,'01_FASTPPH'!$A$9:$A$1048576,0),MATCH(E$9,'01_FASTPPH'!$8:$8,0))</f>
        <v>#N/A</v>
      </c>
      <c r="F91" s="20" t="e">
        <f>INDEX('01_FASTPPH'!$9:$1048576,MATCH($A91,'01_FASTPPH'!$A$9:$A$1048576,0),MATCH(F$9,'01_FASTPPH'!$8:$8,0))</f>
        <v>#N/A</v>
      </c>
      <c r="G91" s="20" t="e">
        <f>INDEX('01_FASTPPH'!$9:$1048576,MATCH($A91,'01_FASTPPH'!$A$9:$A$1048576,0),MATCH(G$9,'01_FASTPPH'!$8:$8,0))</f>
        <v>#N/A</v>
      </c>
      <c r="H91" s="20" t="e">
        <f>INDEX('01_FASTPPH'!$9:$1048576,MATCH($A91,'01_FASTPPH'!$A$9:$A$1048576,0),MATCH(H$9,'01_FASTPPH'!$8:$8,0))</f>
        <v>#N/A</v>
      </c>
      <c r="I91" s="20" t="e">
        <f>INDEX('01_FASTPPH'!$9:$1048576,MATCH($A91,'01_FASTPPH'!$A$9:$A$1048576,0),MATCH(I$9,'01_FASTPPH'!$8:$8,0))</f>
        <v>#N/A</v>
      </c>
      <c r="J91" s="20" t="e">
        <f>INDEX('01_FASTPPH'!$9:$1048576,MATCH($A91,'01_FASTPPH'!$A$9:$A$1048576,0),MATCH(J$9,'01_FASTPPH'!$8:$8,0))</f>
        <v>#N/A</v>
      </c>
      <c r="K91" s="23" t="e">
        <f>INDEX('01_FASTPPH'!$9:$1048576,MATCH($A91,'01_FASTPPH'!$A$9:$A$1048576,0),MATCH(K$9,'01_FASTPPH'!$8:$8,0))</f>
        <v>#N/A</v>
      </c>
      <c r="L91" s="20" t="e">
        <f>INDEX('01_FASTPPH'!$9:$1048576,MATCH($A91,'01_FASTPPH'!$A$9:$A$1048576,0),MATCH(L$9,'01_FASTPPH'!$8:$8,0))</f>
        <v>#N/A</v>
      </c>
      <c r="M91" s="20" t="e">
        <f>INDEX('01_FASTPPH'!$9:$1048576,MATCH($A91,'01_FASTPPH'!$A$9:$A$1048576,0),MATCH(M$9,'01_FASTPPH'!$8:$8,0))</f>
        <v>#N/A</v>
      </c>
      <c r="N91" s="24" t="e">
        <f>INDEX('01_FASTPPH'!$9:$1048576,MATCH($A91,'01_FASTPPH'!$A$9:$A$1048576,0),MATCH(N$9,'01_FASTPPH'!$8:$8,0))</f>
        <v>#N/A</v>
      </c>
      <c r="O91" s="23" t="e">
        <f>INDEX('01_FASTPPH'!$9:$1048576,MATCH($A91,'01_FASTPPH'!$A$9:$A$1048576,0),MATCH(O$9,'01_FASTPPH'!$8:$8,0))</f>
        <v>#N/A</v>
      </c>
      <c r="P91" s="20" t="e">
        <f>INDEX('01_FASTPPH'!$9:$1048576,MATCH($A91,'01_FASTPPH'!$A$9:$A$1048576,0),MATCH(P$9,'01_FASTPPH'!$8:$8,0))</f>
        <v>#N/A</v>
      </c>
      <c r="Q91" s="20" t="e">
        <f>INDEX('01_FASTPPH'!$9:$1048576,MATCH($A91,'01_FASTPPH'!$A$9:$A$1048576,0),MATCH(Q$9,'01_FASTPPH'!$8:$8,0))</f>
        <v>#N/A</v>
      </c>
      <c r="R91" s="20" t="e">
        <f>INDEX('01_FASTPPH'!$9:$1048576,MATCH($A91,'01_FASTPPH'!$A$9:$A$1048576,0),MATCH(R$9,'01_FASTPPH'!$8:$8,0))</f>
        <v>#N/A</v>
      </c>
      <c r="S91" s="20" t="e">
        <f>INDEX('01_FASTPPH'!$9:$1048576,MATCH($A91,'01_FASTPPH'!$A$9:$A$1048576,0),MATCH(S$9,'01_FASTPPH'!$8:$8,0))</f>
        <v>#N/A</v>
      </c>
      <c r="T91" s="24" t="e">
        <f>INDEX('01_FASTPPH'!$9:$1048576,MATCH($A91,'01_FASTPPH'!$A$9:$A$1048576,0),MATCH(T$9,'01_FASTPPH'!$8:$8,0))</f>
        <v>#N/A</v>
      </c>
      <c r="U91" s="23" t="e">
        <f>INDEX('01_FASTPPH'!$9:$1048576,MATCH($A91,'01_FASTPPH'!$A$9:$A$1048576,0),MATCH(U$9,'01_FASTPPH'!$8:$8,0))</f>
        <v>#N/A</v>
      </c>
      <c r="V91" s="20" t="e">
        <f>INDEX('01_FASTPPH'!$9:$1048576,MATCH($A91,'01_FASTPPH'!$A$9:$A$1048576,0),MATCH(V$9,'01_FASTPPH'!$8:$8,0))</f>
        <v>#N/A</v>
      </c>
      <c r="W91" s="24" t="e">
        <f>INDEX('01_FASTPPH'!$9:$1048576,MATCH($A91,'01_FASTPPH'!$A$9:$A$1048576,0),MATCH(W$9,'01_FASTPPH'!$8:$8,0))</f>
        <v>#N/A</v>
      </c>
      <c r="X91" s="20" t="e">
        <f>INDEX('01_FASTPPH'!$9:$1048576,MATCH($A91,'01_FASTPPH'!$A$9:$A$1048576,0),MATCH(X$9,'01_FASTPPH'!$8:$8,0))</f>
        <v>#N/A</v>
      </c>
      <c r="Y91" s="20" t="e">
        <f>INDEX('01_FASTPPH'!$9:$1048576,MATCH($A91,'01_FASTPPH'!$A$9:$A$1048576,0),MATCH(Y$9,'01_FASTPPH'!$8:$8,0))</f>
        <v>#N/A</v>
      </c>
      <c r="AA91" s="32" t="e">
        <f>INDEX('02_PROPERTIES'!$C$10:$I$1048576,MATCH('03_CALCULATIONS'!$D91,'02_PROPERTIES'!$C$10:$C$1048576,0),MATCH('03_CALCULATIONS'!AA$9,'02_PROPERTIES'!$C$10:$I$10,0))</f>
        <v>#N/A</v>
      </c>
      <c r="AB91" s="20" t="e">
        <f>INDEX('02_PROPERTIES'!$C$10:$I$1048576,MATCH('03_CALCULATIONS'!$D91,'02_PROPERTIES'!$C$10:$C$1048576,0),MATCH('03_CALCULATIONS'!AB$9,'02_PROPERTIES'!$C$10:$I$10,0))</f>
        <v>#N/A</v>
      </c>
      <c r="AC91" s="20" t="e">
        <f>INDEX('02_PROPERTIES'!$C$10:$I$1048576,MATCH('03_CALCULATIONS'!$D91,'02_PROPERTIES'!$C$10:$C$1048576,0),MATCH('03_CALCULATIONS'!AC$9,'02_PROPERTIES'!$C$10:$I$10,0))</f>
        <v>#N/A</v>
      </c>
      <c r="AD91" s="20" t="e">
        <f>INDEX('02_PROPERTIES'!$C$10:$I$1048576,MATCH('03_CALCULATIONS'!$D91,'02_PROPERTIES'!$C$10:$C$1048576,0),MATCH('03_CALCULATIONS'!AD$9,'02_PROPERTIES'!$C$10:$I$10,0))</f>
        <v>#N/A</v>
      </c>
      <c r="AE91" s="32" t="e">
        <f>INDEX('02_PROPERTIES'!$C$10:$I$1048576,MATCH('03_CALCULATIONS'!$D91,'02_PROPERTIES'!$C$10:$C$1048576,0),MATCH('03_CALCULATIONS'!AE$9,'02_PROPERTIES'!$C$10:$I$10,0))</f>
        <v>#N/A</v>
      </c>
      <c r="AF91" s="32" t="e">
        <f>INDEX('02_PROPERTIES'!$C$10:$I$1048576,MATCH('03_CALCULATIONS'!$D91,'02_PROPERTIES'!$C$10:$C$1048576,0),MATCH('03_CALCULATIONS'!AF$9,'02_PROPERTIES'!$C$10:$I$10,0))</f>
        <v>#N/A</v>
      </c>
      <c r="AH91" s="20" t="e">
        <f t="shared" si="11"/>
        <v>#N/A</v>
      </c>
      <c r="AI91" s="20" t="e">
        <f t="shared" si="12"/>
        <v>#N/A</v>
      </c>
      <c r="AJ91" s="20" t="e">
        <f t="shared" si="13"/>
        <v>#N/A</v>
      </c>
      <c r="AL91" s="20" t="e">
        <f t="shared" si="14"/>
        <v>#N/A</v>
      </c>
      <c r="AM91" s="20" t="e">
        <f t="shared" si="15"/>
        <v>#N/A</v>
      </c>
      <c r="AN91" s="20" t="e">
        <f t="shared" si="16"/>
        <v>#N/A</v>
      </c>
      <c r="AO91" s="20" t="e">
        <f t="shared" si="17"/>
        <v>#N/A</v>
      </c>
      <c r="AP91" s="20" t="e">
        <f t="shared" si="18"/>
        <v>#N/A</v>
      </c>
      <c r="AR91" s="20" t="e">
        <f t="shared" si="19"/>
        <v>#N/A</v>
      </c>
      <c r="AS91" s="20" t="e">
        <f t="shared" si="20"/>
        <v>#N/A</v>
      </c>
      <c r="AT91" s="20" t="e">
        <f t="shared" si="21"/>
        <v>#N/A</v>
      </c>
    </row>
    <row r="92" spans="1:46" x14ac:dyDescent="0.3">
      <c r="A92" s="18"/>
      <c r="B92" s="20" t="e">
        <f>INDEX('01_FASTPPH'!$9:$1048576,MATCH($A92,'01_FASTPPH'!$A$9:$A$1048576,0),MATCH(B$9,'01_FASTPPH'!$8:$8,0))</f>
        <v>#N/A</v>
      </c>
      <c r="C92" s="20" t="e">
        <f>INDEX('01_FASTPPH'!$9:$1048576,MATCH($A92,'01_FASTPPH'!$A$9:$A$1048576,0),MATCH(C$9,'01_FASTPPH'!$8:$8,0))</f>
        <v>#N/A</v>
      </c>
      <c r="D92" s="20" t="e">
        <f>INDEX('01_FASTPPH'!$9:$1048576,MATCH($A92,'01_FASTPPH'!$A$9:$A$1048576,0),MATCH(D$9,'01_FASTPPH'!$8:$8,0))</f>
        <v>#N/A</v>
      </c>
      <c r="E92" s="20" t="e">
        <f>INDEX('01_FASTPPH'!$9:$1048576,MATCH($A92,'01_FASTPPH'!$A$9:$A$1048576,0),MATCH(E$9,'01_FASTPPH'!$8:$8,0))</f>
        <v>#N/A</v>
      </c>
      <c r="F92" s="20" t="e">
        <f>INDEX('01_FASTPPH'!$9:$1048576,MATCH($A92,'01_FASTPPH'!$A$9:$A$1048576,0),MATCH(F$9,'01_FASTPPH'!$8:$8,0))</f>
        <v>#N/A</v>
      </c>
      <c r="G92" s="20" t="e">
        <f>INDEX('01_FASTPPH'!$9:$1048576,MATCH($A92,'01_FASTPPH'!$A$9:$A$1048576,0),MATCH(G$9,'01_FASTPPH'!$8:$8,0))</f>
        <v>#N/A</v>
      </c>
      <c r="H92" s="20" t="e">
        <f>INDEX('01_FASTPPH'!$9:$1048576,MATCH($A92,'01_FASTPPH'!$A$9:$A$1048576,0),MATCH(H$9,'01_FASTPPH'!$8:$8,0))</f>
        <v>#N/A</v>
      </c>
      <c r="I92" s="20" t="e">
        <f>INDEX('01_FASTPPH'!$9:$1048576,MATCH($A92,'01_FASTPPH'!$A$9:$A$1048576,0),MATCH(I$9,'01_FASTPPH'!$8:$8,0))</f>
        <v>#N/A</v>
      </c>
      <c r="J92" s="20" t="e">
        <f>INDEX('01_FASTPPH'!$9:$1048576,MATCH($A92,'01_FASTPPH'!$A$9:$A$1048576,0),MATCH(J$9,'01_FASTPPH'!$8:$8,0))</f>
        <v>#N/A</v>
      </c>
      <c r="K92" s="23" t="e">
        <f>INDEX('01_FASTPPH'!$9:$1048576,MATCH($A92,'01_FASTPPH'!$A$9:$A$1048576,0),MATCH(K$9,'01_FASTPPH'!$8:$8,0))</f>
        <v>#N/A</v>
      </c>
      <c r="L92" s="20" t="e">
        <f>INDEX('01_FASTPPH'!$9:$1048576,MATCH($A92,'01_FASTPPH'!$A$9:$A$1048576,0),MATCH(L$9,'01_FASTPPH'!$8:$8,0))</f>
        <v>#N/A</v>
      </c>
      <c r="M92" s="20" t="e">
        <f>INDEX('01_FASTPPH'!$9:$1048576,MATCH($A92,'01_FASTPPH'!$A$9:$A$1048576,0),MATCH(M$9,'01_FASTPPH'!$8:$8,0))</f>
        <v>#N/A</v>
      </c>
      <c r="N92" s="24" t="e">
        <f>INDEX('01_FASTPPH'!$9:$1048576,MATCH($A92,'01_FASTPPH'!$A$9:$A$1048576,0),MATCH(N$9,'01_FASTPPH'!$8:$8,0))</f>
        <v>#N/A</v>
      </c>
      <c r="O92" s="23" t="e">
        <f>INDEX('01_FASTPPH'!$9:$1048576,MATCH($A92,'01_FASTPPH'!$A$9:$A$1048576,0),MATCH(O$9,'01_FASTPPH'!$8:$8,0))</f>
        <v>#N/A</v>
      </c>
      <c r="P92" s="20" t="e">
        <f>INDEX('01_FASTPPH'!$9:$1048576,MATCH($A92,'01_FASTPPH'!$A$9:$A$1048576,0),MATCH(P$9,'01_FASTPPH'!$8:$8,0))</f>
        <v>#N/A</v>
      </c>
      <c r="Q92" s="20" t="e">
        <f>INDEX('01_FASTPPH'!$9:$1048576,MATCH($A92,'01_FASTPPH'!$A$9:$A$1048576,0),MATCH(Q$9,'01_FASTPPH'!$8:$8,0))</f>
        <v>#N/A</v>
      </c>
      <c r="R92" s="20" t="e">
        <f>INDEX('01_FASTPPH'!$9:$1048576,MATCH($A92,'01_FASTPPH'!$A$9:$A$1048576,0),MATCH(R$9,'01_FASTPPH'!$8:$8,0))</f>
        <v>#N/A</v>
      </c>
      <c r="S92" s="20" t="e">
        <f>INDEX('01_FASTPPH'!$9:$1048576,MATCH($A92,'01_FASTPPH'!$A$9:$A$1048576,0),MATCH(S$9,'01_FASTPPH'!$8:$8,0))</f>
        <v>#N/A</v>
      </c>
      <c r="T92" s="24" t="e">
        <f>INDEX('01_FASTPPH'!$9:$1048576,MATCH($A92,'01_FASTPPH'!$A$9:$A$1048576,0),MATCH(T$9,'01_FASTPPH'!$8:$8,0))</f>
        <v>#N/A</v>
      </c>
      <c r="U92" s="23" t="e">
        <f>INDEX('01_FASTPPH'!$9:$1048576,MATCH($A92,'01_FASTPPH'!$A$9:$A$1048576,0),MATCH(U$9,'01_FASTPPH'!$8:$8,0))</f>
        <v>#N/A</v>
      </c>
      <c r="V92" s="20" t="e">
        <f>INDEX('01_FASTPPH'!$9:$1048576,MATCH($A92,'01_FASTPPH'!$A$9:$A$1048576,0),MATCH(V$9,'01_FASTPPH'!$8:$8,0))</f>
        <v>#N/A</v>
      </c>
      <c r="W92" s="24" t="e">
        <f>INDEX('01_FASTPPH'!$9:$1048576,MATCH($A92,'01_FASTPPH'!$A$9:$A$1048576,0),MATCH(W$9,'01_FASTPPH'!$8:$8,0))</f>
        <v>#N/A</v>
      </c>
      <c r="X92" s="20" t="e">
        <f>INDEX('01_FASTPPH'!$9:$1048576,MATCH($A92,'01_FASTPPH'!$A$9:$A$1048576,0),MATCH(X$9,'01_FASTPPH'!$8:$8,0))</f>
        <v>#N/A</v>
      </c>
      <c r="Y92" s="20" t="e">
        <f>INDEX('01_FASTPPH'!$9:$1048576,MATCH($A92,'01_FASTPPH'!$A$9:$A$1048576,0),MATCH(Y$9,'01_FASTPPH'!$8:$8,0))</f>
        <v>#N/A</v>
      </c>
      <c r="AA92" s="32" t="e">
        <f>INDEX('02_PROPERTIES'!$C$10:$I$1048576,MATCH('03_CALCULATIONS'!$D92,'02_PROPERTIES'!$C$10:$C$1048576,0),MATCH('03_CALCULATIONS'!AA$9,'02_PROPERTIES'!$C$10:$I$10,0))</f>
        <v>#N/A</v>
      </c>
      <c r="AB92" s="20" t="e">
        <f>INDEX('02_PROPERTIES'!$C$10:$I$1048576,MATCH('03_CALCULATIONS'!$D92,'02_PROPERTIES'!$C$10:$C$1048576,0),MATCH('03_CALCULATIONS'!AB$9,'02_PROPERTIES'!$C$10:$I$10,0))</f>
        <v>#N/A</v>
      </c>
      <c r="AC92" s="20" t="e">
        <f>INDEX('02_PROPERTIES'!$C$10:$I$1048576,MATCH('03_CALCULATIONS'!$D92,'02_PROPERTIES'!$C$10:$C$1048576,0),MATCH('03_CALCULATIONS'!AC$9,'02_PROPERTIES'!$C$10:$I$10,0))</f>
        <v>#N/A</v>
      </c>
      <c r="AD92" s="20" t="e">
        <f>INDEX('02_PROPERTIES'!$C$10:$I$1048576,MATCH('03_CALCULATIONS'!$D92,'02_PROPERTIES'!$C$10:$C$1048576,0),MATCH('03_CALCULATIONS'!AD$9,'02_PROPERTIES'!$C$10:$I$10,0))</f>
        <v>#N/A</v>
      </c>
      <c r="AE92" s="32" t="e">
        <f>INDEX('02_PROPERTIES'!$C$10:$I$1048576,MATCH('03_CALCULATIONS'!$D92,'02_PROPERTIES'!$C$10:$C$1048576,0),MATCH('03_CALCULATIONS'!AE$9,'02_PROPERTIES'!$C$10:$I$10,0))</f>
        <v>#N/A</v>
      </c>
      <c r="AF92" s="32" t="e">
        <f>INDEX('02_PROPERTIES'!$C$10:$I$1048576,MATCH('03_CALCULATIONS'!$D92,'02_PROPERTIES'!$C$10:$C$1048576,0),MATCH('03_CALCULATIONS'!AF$9,'02_PROPERTIES'!$C$10:$I$10,0))</f>
        <v>#N/A</v>
      </c>
      <c r="AH92" s="20" t="e">
        <f t="shared" si="11"/>
        <v>#N/A</v>
      </c>
      <c r="AI92" s="20" t="e">
        <f t="shared" si="12"/>
        <v>#N/A</v>
      </c>
      <c r="AJ92" s="20" t="e">
        <f t="shared" si="13"/>
        <v>#N/A</v>
      </c>
      <c r="AL92" s="20" t="e">
        <f t="shared" si="14"/>
        <v>#N/A</v>
      </c>
      <c r="AM92" s="20" t="e">
        <f t="shared" si="15"/>
        <v>#N/A</v>
      </c>
      <c r="AN92" s="20" t="e">
        <f t="shared" si="16"/>
        <v>#N/A</v>
      </c>
      <c r="AO92" s="20" t="e">
        <f t="shared" si="17"/>
        <v>#N/A</v>
      </c>
      <c r="AP92" s="20" t="e">
        <f t="shared" si="18"/>
        <v>#N/A</v>
      </c>
      <c r="AR92" s="20" t="e">
        <f t="shared" si="19"/>
        <v>#N/A</v>
      </c>
      <c r="AS92" s="20" t="e">
        <f t="shared" si="20"/>
        <v>#N/A</v>
      </c>
      <c r="AT92" s="20" t="e">
        <f t="shared" si="21"/>
        <v>#N/A</v>
      </c>
    </row>
    <row r="93" spans="1:46" x14ac:dyDescent="0.3">
      <c r="A93" s="18"/>
      <c r="B93" s="20" t="e">
        <f>INDEX('01_FASTPPH'!$9:$1048576,MATCH($A93,'01_FASTPPH'!$A$9:$A$1048576,0),MATCH(B$9,'01_FASTPPH'!$8:$8,0))</f>
        <v>#N/A</v>
      </c>
      <c r="C93" s="20" t="e">
        <f>INDEX('01_FASTPPH'!$9:$1048576,MATCH($A93,'01_FASTPPH'!$A$9:$A$1048576,0),MATCH(C$9,'01_FASTPPH'!$8:$8,0))</f>
        <v>#N/A</v>
      </c>
      <c r="D93" s="20" t="e">
        <f>INDEX('01_FASTPPH'!$9:$1048576,MATCH($A93,'01_FASTPPH'!$A$9:$A$1048576,0),MATCH(D$9,'01_FASTPPH'!$8:$8,0))</f>
        <v>#N/A</v>
      </c>
      <c r="E93" s="20" t="e">
        <f>INDEX('01_FASTPPH'!$9:$1048576,MATCH($A93,'01_FASTPPH'!$A$9:$A$1048576,0),MATCH(E$9,'01_FASTPPH'!$8:$8,0))</f>
        <v>#N/A</v>
      </c>
      <c r="F93" s="20" t="e">
        <f>INDEX('01_FASTPPH'!$9:$1048576,MATCH($A93,'01_FASTPPH'!$A$9:$A$1048576,0),MATCH(F$9,'01_FASTPPH'!$8:$8,0))</f>
        <v>#N/A</v>
      </c>
      <c r="G93" s="20" t="e">
        <f>INDEX('01_FASTPPH'!$9:$1048576,MATCH($A93,'01_FASTPPH'!$A$9:$A$1048576,0),MATCH(G$9,'01_FASTPPH'!$8:$8,0))</f>
        <v>#N/A</v>
      </c>
      <c r="H93" s="20" t="e">
        <f>INDEX('01_FASTPPH'!$9:$1048576,MATCH($A93,'01_FASTPPH'!$A$9:$A$1048576,0),MATCH(H$9,'01_FASTPPH'!$8:$8,0))</f>
        <v>#N/A</v>
      </c>
      <c r="I93" s="20" t="e">
        <f>INDEX('01_FASTPPH'!$9:$1048576,MATCH($A93,'01_FASTPPH'!$A$9:$A$1048576,0),MATCH(I$9,'01_FASTPPH'!$8:$8,0))</f>
        <v>#N/A</v>
      </c>
      <c r="J93" s="20" t="e">
        <f>INDEX('01_FASTPPH'!$9:$1048576,MATCH($A93,'01_FASTPPH'!$A$9:$A$1048576,0),MATCH(J$9,'01_FASTPPH'!$8:$8,0))</f>
        <v>#N/A</v>
      </c>
      <c r="K93" s="23" t="e">
        <f>INDEX('01_FASTPPH'!$9:$1048576,MATCH($A93,'01_FASTPPH'!$A$9:$A$1048576,0),MATCH(K$9,'01_FASTPPH'!$8:$8,0))</f>
        <v>#N/A</v>
      </c>
      <c r="L93" s="20" t="e">
        <f>INDEX('01_FASTPPH'!$9:$1048576,MATCH($A93,'01_FASTPPH'!$A$9:$A$1048576,0),MATCH(L$9,'01_FASTPPH'!$8:$8,0))</f>
        <v>#N/A</v>
      </c>
      <c r="M93" s="20" t="e">
        <f>INDEX('01_FASTPPH'!$9:$1048576,MATCH($A93,'01_FASTPPH'!$A$9:$A$1048576,0),MATCH(M$9,'01_FASTPPH'!$8:$8,0))</f>
        <v>#N/A</v>
      </c>
      <c r="N93" s="24" t="e">
        <f>INDEX('01_FASTPPH'!$9:$1048576,MATCH($A93,'01_FASTPPH'!$A$9:$A$1048576,0),MATCH(N$9,'01_FASTPPH'!$8:$8,0))</f>
        <v>#N/A</v>
      </c>
      <c r="O93" s="23" t="e">
        <f>INDEX('01_FASTPPH'!$9:$1048576,MATCH($A93,'01_FASTPPH'!$A$9:$A$1048576,0),MATCH(O$9,'01_FASTPPH'!$8:$8,0))</f>
        <v>#N/A</v>
      </c>
      <c r="P93" s="20" t="e">
        <f>INDEX('01_FASTPPH'!$9:$1048576,MATCH($A93,'01_FASTPPH'!$A$9:$A$1048576,0),MATCH(P$9,'01_FASTPPH'!$8:$8,0))</f>
        <v>#N/A</v>
      </c>
      <c r="Q93" s="20" t="e">
        <f>INDEX('01_FASTPPH'!$9:$1048576,MATCH($A93,'01_FASTPPH'!$A$9:$A$1048576,0),MATCH(Q$9,'01_FASTPPH'!$8:$8,0))</f>
        <v>#N/A</v>
      </c>
      <c r="R93" s="20" t="e">
        <f>INDEX('01_FASTPPH'!$9:$1048576,MATCH($A93,'01_FASTPPH'!$A$9:$A$1048576,0),MATCH(R$9,'01_FASTPPH'!$8:$8,0))</f>
        <v>#N/A</v>
      </c>
      <c r="S93" s="20" t="e">
        <f>INDEX('01_FASTPPH'!$9:$1048576,MATCH($A93,'01_FASTPPH'!$A$9:$A$1048576,0),MATCH(S$9,'01_FASTPPH'!$8:$8,0))</f>
        <v>#N/A</v>
      </c>
      <c r="T93" s="24" t="e">
        <f>INDEX('01_FASTPPH'!$9:$1048576,MATCH($A93,'01_FASTPPH'!$A$9:$A$1048576,0),MATCH(T$9,'01_FASTPPH'!$8:$8,0))</f>
        <v>#N/A</v>
      </c>
      <c r="U93" s="23" t="e">
        <f>INDEX('01_FASTPPH'!$9:$1048576,MATCH($A93,'01_FASTPPH'!$A$9:$A$1048576,0),MATCH(U$9,'01_FASTPPH'!$8:$8,0))</f>
        <v>#N/A</v>
      </c>
      <c r="V93" s="20" t="e">
        <f>INDEX('01_FASTPPH'!$9:$1048576,MATCH($A93,'01_FASTPPH'!$A$9:$A$1048576,0),MATCH(V$9,'01_FASTPPH'!$8:$8,0))</f>
        <v>#N/A</v>
      </c>
      <c r="W93" s="24" t="e">
        <f>INDEX('01_FASTPPH'!$9:$1048576,MATCH($A93,'01_FASTPPH'!$A$9:$A$1048576,0),MATCH(W$9,'01_FASTPPH'!$8:$8,0))</f>
        <v>#N/A</v>
      </c>
      <c r="X93" s="20" t="e">
        <f>INDEX('01_FASTPPH'!$9:$1048576,MATCH($A93,'01_FASTPPH'!$A$9:$A$1048576,0),MATCH(X$9,'01_FASTPPH'!$8:$8,0))</f>
        <v>#N/A</v>
      </c>
      <c r="Y93" s="20" t="e">
        <f>INDEX('01_FASTPPH'!$9:$1048576,MATCH($A93,'01_FASTPPH'!$A$9:$A$1048576,0),MATCH(Y$9,'01_FASTPPH'!$8:$8,0))</f>
        <v>#N/A</v>
      </c>
      <c r="AA93" s="32" t="e">
        <f>INDEX('02_PROPERTIES'!$C$10:$I$1048576,MATCH('03_CALCULATIONS'!$D93,'02_PROPERTIES'!$C$10:$C$1048576,0),MATCH('03_CALCULATIONS'!AA$9,'02_PROPERTIES'!$C$10:$I$10,0))</f>
        <v>#N/A</v>
      </c>
      <c r="AB93" s="20" t="e">
        <f>INDEX('02_PROPERTIES'!$C$10:$I$1048576,MATCH('03_CALCULATIONS'!$D93,'02_PROPERTIES'!$C$10:$C$1048576,0),MATCH('03_CALCULATIONS'!AB$9,'02_PROPERTIES'!$C$10:$I$10,0))</f>
        <v>#N/A</v>
      </c>
      <c r="AC93" s="20" t="e">
        <f>INDEX('02_PROPERTIES'!$C$10:$I$1048576,MATCH('03_CALCULATIONS'!$D93,'02_PROPERTIES'!$C$10:$C$1048576,0),MATCH('03_CALCULATIONS'!AC$9,'02_PROPERTIES'!$C$10:$I$10,0))</f>
        <v>#N/A</v>
      </c>
      <c r="AD93" s="20" t="e">
        <f>INDEX('02_PROPERTIES'!$C$10:$I$1048576,MATCH('03_CALCULATIONS'!$D93,'02_PROPERTIES'!$C$10:$C$1048576,0),MATCH('03_CALCULATIONS'!AD$9,'02_PROPERTIES'!$C$10:$I$10,0))</f>
        <v>#N/A</v>
      </c>
      <c r="AE93" s="32" t="e">
        <f>INDEX('02_PROPERTIES'!$C$10:$I$1048576,MATCH('03_CALCULATIONS'!$D93,'02_PROPERTIES'!$C$10:$C$1048576,0),MATCH('03_CALCULATIONS'!AE$9,'02_PROPERTIES'!$C$10:$I$10,0))</f>
        <v>#N/A</v>
      </c>
      <c r="AF93" s="32" t="e">
        <f>INDEX('02_PROPERTIES'!$C$10:$I$1048576,MATCH('03_CALCULATIONS'!$D93,'02_PROPERTIES'!$C$10:$C$1048576,0),MATCH('03_CALCULATIONS'!AF$9,'02_PROPERTIES'!$C$10:$I$10,0))</f>
        <v>#N/A</v>
      </c>
      <c r="AH93" s="20" t="e">
        <f t="shared" si="11"/>
        <v>#N/A</v>
      </c>
      <c r="AI93" s="20" t="e">
        <f t="shared" si="12"/>
        <v>#N/A</v>
      </c>
      <c r="AJ93" s="20" t="e">
        <f t="shared" si="13"/>
        <v>#N/A</v>
      </c>
      <c r="AL93" s="20" t="e">
        <f t="shared" si="14"/>
        <v>#N/A</v>
      </c>
      <c r="AM93" s="20" t="e">
        <f t="shared" si="15"/>
        <v>#N/A</v>
      </c>
      <c r="AN93" s="20" t="e">
        <f t="shared" si="16"/>
        <v>#N/A</v>
      </c>
      <c r="AO93" s="20" t="e">
        <f t="shared" si="17"/>
        <v>#N/A</v>
      </c>
      <c r="AP93" s="20" t="e">
        <f t="shared" si="18"/>
        <v>#N/A</v>
      </c>
      <c r="AR93" s="20" t="e">
        <f t="shared" si="19"/>
        <v>#N/A</v>
      </c>
      <c r="AS93" s="20" t="e">
        <f t="shared" si="20"/>
        <v>#N/A</v>
      </c>
      <c r="AT93" s="20" t="e">
        <f t="shared" si="21"/>
        <v>#N/A</v>
      </c>
    </row>
    <row r="94" spans="1:46" x14ac:dyDescent="0.3">
      <c r="A94" s="18"/>
      <c r="B94" s="20" t="e">
        <f>INDEX('01_FASTPPH'!$9:$1048576,MATCH($A94,'01_FASTPPH'!$A$9:$A$1048576,0),MATCH(B$9,'01_FASTPPH'!$8:$8,0))</f>
        <v>#N/A</v>
      </c>
      <c r="C94" s="20" t="e">
        <f>INDEX('01_FASTPPH'!$9:$1048576,MATCH($A94,'01_FASTPPH'!$A$9:$A$1048576,0),MATCH(C$9,'01_FASTPPH'!$8:$8,0))</f>
        <v>#N/A</v>
      </c>
      <c r="D94" s="20" t="e">
        <f>INDEX('01_FASTPPH'!$9:$1048576,MATCH($A94,'01_FASTPPH'!$A$9:$A$1048576,0),MATCH(D$9,'01_FASTPPH'!$8:$8,0))</f>
        <v>#N/A</v>
      </c>
      <c r="E94" s="20" t="e">
        <f>INDEX('01_FASTPPH'!$9:$1048576,MATCH($A94,'01_FASTPPH'!$A$9:$A$1048576,0),MATCH(E$9,'01_FASTPPH'!$8:$8,0))</f>
        <v>#N/A</v>
      </c>
      <c r="F94" s="20" t="e">
        <f>INDEX('01_FASTPPH'!$9:$1048576,MATCH($A94,'01_FASTPPH'!$A$9:$A$1048576,0),MATCH(F$9,'01_FASTPPH'!$8:$8,0))</f>
        <v>#N/A</v>
      </c>
      <c r="G94" s="20" t="e">
        <f>INDEX('01_FASTPPH'!$9:$1048576,MATCH($A94,'01_FASTPPH'!$A$9:$A$1048576,0),MATCH(G$9,'01_FASTPPH'!$8:$8,0))</f>
        <v>#N/A</v>
      </c>
      <c r="H94" s="20" t="e">
        <f>INDEX('01_FASTPPH'!$9:$1048576,MATCH($A94,'01_FASTPPH'!$A$9:$A$1048576,0),MATCH(H$9,'01_FASTPPH'!$8:$8,0))</f>
        <v>#N/A</v>
      </c>
      <c r="I94" s="20" t="e">
        <f>INDEX('01_FASTPPH'!$9:$1048576,MATCH($A94,'01_FASTPPH'!$A$9:$A$1048576,0),MATCH(I$9,'01_FASTPPH'!$8:$8,0))</f>
        <v>#N/A</v>
      </c>
      <c r="J94" s="20" t="e">
        <f>INDEX('01_FASTPPH'!$9:$1048576,MATCH($A94,'01_FASTPPH'!$A$9:$A$1048576,0),MATCH(J$9,'01_FASTPPH'!$8:$8,0))</f>
        <v>#N/A</v>
      </c>
      <c r="K94" s="23" t="e">
        <f>INDEX('01_FASTPPH'!$9:$1048576,MATCH($A94,'01_FASTPPH'!$A$9:$A$1048576,0),MATCH(K$9,'01_FASTPPH'!$8:$8,0))</f>
        <v>#N/A</v>
      </c>
      <c r="L94" s="20" t="e">
        <f>INDEX('01_FASTPPH'!$9:$1048576,MATCH($A94,'01_FASTPPH'!$A$9:$A$1048576,0),MATCH(L$9,'01_FASTPPH'!$8:$8,0))</f>
        <v>#N/A</v>
      </c>
      <c r="M94" s="20" t="e">
        <f>INDEX('01_FASTPPH'!$9:$1048576,MATCH($A94,'01_FASTPPH'!$A$9:$A$1048576,0),MATCH(M$9,'01_FASTPPH'!$8:$8,0))</f>
        <v>#N/A</v>
      </c>
      <c r="N94" s="24" t="e">
        <f>INDEX('01_FASTPPH'!$9:$1048576,MATCH($A94,'01_FASTPPH'!$A$9:$A$1048576,0),MATCH(N$9,'01_FASTPPH'!$8:$8,0))</f>
        <v>#N/A</v>
      </c>
      <c r="O94" s="23" t="e">
        <f>INDEX('01_FASTPPH'!$9:$1048576,MATCH($A94,'01_FASTPPH'!$A$9:$A$1048576,0),MATCH(O$9,'01_FASTPPH'!$8:$8,0))</f>
        <v>#N/A</v>
      </c>
      <c r="P94" s="20" t="e">
        <f>INDEX('01_FASTPPH'!$9:$1048576,MATCH($A94,'01_FASTPPH'!$A$9:$A$1048576,0),MATCH(P$9,'01_FASTPPH'!$8:$8,0))</f>
        <v>#N/A</v>
      </c>
      <c r="Q94" s="20" t="e">
        <f>INDEX('01_FASTPPH'!$9:$1048576,MATCH($A94,'01_FASTPPH'!$A$9:$A$1048576,0),MATCH(Q$9,'01_FASTPPH'!$8:$8,0))</f>
        <v>#N/A</v>
      </c>
      <c r="R94" s="20" t="e">
        <f>INDEX('01_FASTPPH'!$9:$1048576,MATCH($A94,'01_FASTPPH'!$A$9:$A$1048576,0),MATCH(R$9,'01_FASTPPH'!$8:$8,0))</f>
        <v>#N/A</v>
      </c>
      <c r="S94" s="20" t="e">
        <f>INDEX('01_FASTPPH'!$9:$1048576,MATCH($A94,'01_FASTPPH'!$A$9:$A$1048576,0),MATCH(S$9,'01_FASTPPH'!$8:$8,0))</f>
        <v>#N/A</v>
      </c>
      <c r="T94" s="24" t="e">
        <f>INDEX('01_FASTPPH'!$9:$1048576,MATCH($A94,'01_FASTPPH'!$A$9:$A$1048576,0),MATCH(T$9,'01_FASTPPH'!$8:$8,0))</f>
        <v>#N/A</v>
      </c>
      <c r="U94" s="23" t="e">
        <f>INDEX('01_FASTPPH'!$9:$1048576,MATCH($A94,'01_FASTPPH'!$A$9:$A$1048576,0),MATCH(U$9,'01_FASTPPH'!$8:$8,0))</f>
        <v>#N/A</v>
      </c>
      <c r="V94" s="20" t="e">
        <f>INDEX('01_FASTPPH'!$9:$1048576,MATCH($A94,'01_FASTPPH'!$A$9:$A$1048576,0),MATCH(V$9,'01_FASTPPH'!$8:$8,0))</f>
        <v>#N/A</v>
      </c>
      <c r="W94" s="24" t="e">
        <f>INDEX('01_FASTPPH'!$9:$1048576,MATCH($A94,'01_FASTPPH'!$A$9:$A$1048576,0),MATCH(W$9,'01_FASTPPH'!$8:$8,0))</f>
        <v>#N/A</v>
      </c>
      <c r="X94" s="20" t="e">
        <f>INDEX('01_FASTPPH'!$9:$1048576,MATCH($A94,'01_FASTPPH'!$A$9:$A$1048576,0),MATCH(X$9,'01_FASTPPH'!$8:$8,0))</f>
        <v>#N/A</v>
      </c>
      <c r="Y94" s="20" t="e">
        <f>INDEX('01_FASTPPH'!$9:$1048576,MATCH($A94,'01_FASTPPH'!$A$9:$A$1048576,0),MATCH(Y$9,'01_FASTPPH'!$8:$8,0))</f>
        <v>#N/A</v>
      </c>
      <c r="AA94" s="32" t="e">
        <f>INDEX('02_PROPERTIES'!$C$10:$I$1048576,MATCH('03_CALCULATIONS'!$D94,'02_PROPERTIES'!$C$10:$C$1048576,0),MATCH('03_CALCULATIONS'!AA$9,'02_PROPERTIES'!$C$10:$I$10,0))</f>
        <v>#N/A</v>
      </c>
      <c r="AB94" s="20" t="e">
        <f>INDEX('02_PROPERTIES'!$C$10:$I$1048576,MATCH('03_CALCULATIONS'!$D94,'02_PROPERTIES'!$C$10:$C$1048576,0),MATCH('03_CALCULATIONS'!AB$9,'02_PROPERTIES'!$C$10:$I$10,0))</f>
        <v>#N/A</v>
      </c>
      <c r="AC94" s="20" t="e">
        <f>INDEX('02_PROPERTIES'!$C$10:$I$1048576,MATCH('03_CALCULATIONS'!$D94,'02_PROPERTIES'!$C$10:$C$1048576,0),MATCH('03_CALCULATIONS'!AC$9,'02_PROPERTIES'!$C$10:$I$10,0))</f>
        <v>#N/A</v>
      </c>
      <c r="AD94" s="20" t="e">
        <f>INDEX('02_PROPERTIES'!$C$10:$I$1048576,MATCH('03_CALCULATIONS'!$D94,'02_PROPERTIES'!$C$10:$C$1048576,0),MATCH('03_CALCULATIONS'!AD$9,'02_PROPERTIES'!$C$10:$I$10,0))</f>
        <v>#N/A</v>
      </c>
      <c r="AE94" s="32" t="e">
        <f>INDEX('02_PROPERTIES'!$C$10:$I$1048576,MATCH('03_CALCULATIONS'!$D94,'02_PROPERTIES'!$C$10:$C$1048576,0),MATCH('03_CALCULATIONS'!AE$9,'02_PROPERTIES'!$C$10:$I$10,0))</f>
        <v>#N/A</v>
      </c>
      <c r="AF94" s="32" t="e">
        <f>INDEX('02_PROPERTIES'!$C$10:$I$1048576,MATCH('03_CALCULATIONS'!$D94,'02_PROPERTIES'!$C$10:$C$1048576,0),MATCH('03_CALCULATIONS'!AF$9,'02_PROPERTIES'!$C$10:$I$10,0))</f>
        <v>#N/A</v>
      </c>
      <c r="AH94" s="20" t="e">
        <f t="shared" si="11"/>
        <v>#N/A</v>
      </c>
      <c r="AI94" s="20" t="e">
        <f t="shared" si="12"/>
        <v>#N/A</v>
      </c>
      <c r="AJ94" s="20" t="e">
        <f t="shared" si="13"/>
        <v>#N/A</v>
      </c>
      <c r="AL94" s="20" t="e">
        <f t="shared" si="14"/>
        <v>#N/A</v>
      </c>
      <c r="AM94" s="20" t="e">
        <f t="shared" si="15"/>
        <v>#N/A</v>
      </c>
      <c r="AN94" s="20" t="e">
        <f t="shared" si="16"/>
        <v>#N/A</v>
      </c>
      <c r="AO94" s="20" t="e">
        <f t="shared" si="17"/>
        <v>#N/A</v>
      </c>
      <c r="AP94" s="20" t="e">
        <f t="shared" si="18"/>
        <v>#N/A</v>
      </c>
      <c r="AR94" s="20" t="e">
        <f t="shared" si="19"/>
        <v>#N/A</v>
      </c>
      <c r="AS94" s="20" t="e">
        <f t="shared" si="20"/>
        <v>#N/A</v>
      </c>
      <c r="AT94" s="20" t="e">
        <f t="shared" si="21"/>
        <v>#N/A</v>
      </c>
    </row>
    <row r="95" spans="1:46" x14ac:dyDescent="0.3">
      <c r="A95" s="18"/>
      <c r="B95" s="20" t="e">
        <f>INDEX('01_FASTPPH'!$9:$1048576,MATCH($A95,'01_FASTPPH'!$A$9:$A$1048576,0),MATCH(B$9,'01_FASTPPH'!$8:$8,0))</f>
        <v>#N/A</v>
      </c>
      <c r="C95" s="20" t="e">
        <f>INDEX('01_FASTPPH'!$9:$1048576,MATCH($A95,'01_FASTPPH'!$A$9:$A$1048576,0),MATCH(C$9,'01_FASTPPH'!$8:$8,0))</f>
        <v>#N/A</v>
      </c>
      <c r="D95" s="20" t="e">
        <f>INDEX('01_FASTPPH'!$9:$1048576,MATCH($A95,'01_FASTPPH'!$A$9:$A$1048576,0),MATCH(D$9,'01_FASTPPH'!$8:$8,0))</f>
        <v>#N/A</v>
      </c>
      <c r="E95" s="20" t="e">
        <f>INDEX('01_FASTPPH'!$9:$1048576,MATCH($A95,'01_FASTPPH'!$A$9:$A$1048576,0),MATCH(E$9,'01_FASTPPH'!$8:$8,0))</f>
        <v>#N/A</v>
      </c>
      <c r="F95" s="20" t="e">
        <f>INDEX('01_FASTPPH'!$9:$1048576,MATCH($A95,'01_FASTPPH'!$A$9:$A$1048576,0),MATCH(F$9,'01_FASTPPH'!$8:$8,0))</f>
        <v>#N/A</v>
      </c>
      <c r="G95" s="20" t="e">
        <f>INDEX('01_FASTPPH'!$9:$1048576,MATCH($A95,'01_FASTPPH'!$A$9:$A$1048576,0),MATCH(G$9,'01_FASTPPH'!$8:$8,0))</f>
        <v>#N/A</v>
      </c>
      <c r="H95" s="20" t="e">
        <f>INDEX('01_FASTPPH'!$9:$1048576,MATCH($A95,'01_FASTPPH'!$A$9:$A$1048576,0),MATCH(H$9,'01_FASTPPH'!$8:$8,0))</f>
        <v>#N/A</v>
      </c>
      <c r="I95" s="20" t="e">
        <f>INDEX('01_FASTPPH'!$9:$1048576,MATCH($A95,'01_FASTPPH'!$A$9:$A$1048576,0),MATCH(I$9,'01_FASTPPH'!$8:$8,0))</f>
        <v>#N/A</v>
      </c>
      <c r="J95" s="20" t="e">
        <f>INDEX('01_FASTPPH'!$9:$1048576,MATCH($A95,'01_FASTPPH'!$A$9:$A$1048576,0),MATCH(J$9,'01_FASTPPH'!$8:$8,0))</f>
        <v>#N/A</v>
      </c>
      <c r="K95" s="23" t="e">
        <f>INDEX('01_FASTPPH'!$9:$1048576,MATCH($A95,'01_FASTPPH'!$A$9:$A$1048576,0),MATCH(K$9,'01_FASTPPH'!$8:$8,0))</f>
        <v>#N/A</v>
      </c>
      <c r="L95" s="20" t="e">
        <f>INDEX('01_FASTPPH'!$9:$1048576,MATCH($A95,'01_FASTPPH'!$A$9:$A$1048576,0),MATCH(L$9,'01_FASTPPH'!$8:$8,0))</f>
        <v>#N/A</v>
      </c>
      <c r="M95" s="20" t="e">
        <f>INDEX('01_FASTPPH'!$9:$1048576,MATCH($A95,'01_FASTPPH'!$A$9:$A$1048576,0),MATCH(M$9,'01_FASTPPH'!$8:$8,0))</f>
        <v>#N/A</v>
      </c>
      <c r="N95" s="24" t="e">
        <f>INDEX('01_FASTPPH'!$9:$1048576,MATCH($A95,'01_FASTPPH'!$A$9:$A$1048576,0),MATCH(N$9,'01_FASTPPH'!$8:$8,0))</f>
        <v>#N/A</v>
      </c>
      <c r="O95" s="23" t="e">
        <f>INDEX('01_FASTPPH'!$9:$1048576,MATCH($A95,'01_FASTPPH'!$A$9:$A$1048576,0),MATCH(O$9,'01_FASTPPH'!$8:$8,0))</f>
        <v>#N/A</v>
      </c>
      <c r="P95" s="20" t="e">
        <f>INDEX('01_FASTPPH'!$9:$1048576,MATCH($A95,'01_FASTPPH'!$A$9:$A$1048576,0),MATCH(P$9,'01_FASTPPH'!$8:$8,0))</f>
        <v>#N/A</v>
      </c>
      <c r="Q95" s="20" t="e">
        <f>INDEX('01_FASTPPH'!$9:$1048576,MATCH($A95,'01_FASTPPH'!$A$9:$A$1048576,0),MATCH(Q$9,'01_FASTPPH'!$8:$8,0))</f>
        <v>#N/A</v>
      </c>
      <c r="R95" s="20" t="e">
        <f>INDEX('01_FASTPPH'!$9:$1048576,MATCH($A95,'01_FASTPPH'!$A$9:$A$1048576,0),MATCH(R$9,'01_FASTPPH'!$8:$8,0))</f>
        <v>#N/A</v>
      </c>
      <c r="S95" s="20" t="e">
        <f>INDEX('01_FASTPPH'!$9:$1048576,MATCH($A95,'01_FASTPPH'!$A$9:$A$1048576,0),MATCH(S$9,'01_FASTPPH'!$8:$8,0))</f>
        <v>#N/A</v>
      </c>
      <c r="T95" s="24" t="e">
        <f>INDEX('01_FASTPPH'!$9:$1048576,MATCH($A95,'01_FASTPPH'!$A$9:$A$1048576,0),MATCH(T$9,'01_FASTPPH'!$8:$8,0))</f>
        <v>#N/A</v>
      </c>
      <c r="U95" s="23" t="e">
        <f>INDEX('01_FASTPPH'!$9:$1048576,MATCH($A95,'01_FASTPPH'!$A$9:$A$1048576,0),MATCH(U$9,'01_FASTPPH'!$8:$8,0))</f>
        <v>#N/A</v>
      </c>
      <c r="V95" s="20" t="e">
        <f>INDEX('01_FASTPPH'!$9:$1048576,MATCH($A95,'01_FASTPPH'!$A$9:$A$1048576,0),MATCH(V$9,'01_FASTPPH'!$8:$8,0))</f>
        <v>#N/A</v>
      </c>
      <c r="W95" s="24" t="e">
        <f>INDEX('01_FASTPPH'!$9:$1048576,MATCH($A95,'01_FASTPPH'!$A$9:$A$1048576,0),MATCH(W$9,'01_FASTPPH'!$8:$8,0))</f>
        <v>#N/A</v>
      </c>
      <c r="X95" s="20" t="e">
        <f>INDEX('01_FASTPPH'!$9:$1048576,MATCH($A95,'01_FASTPPH'!$A$9:$A$1048576,0),MATCH(X$9,'01_FASTPPH'!$8:$8,0))</f>
        <v>#N/A</v>
      </c>
      <c r="Y95" s="20" t="e">
        <f>INDEX('01_FASTPPH'!$9:$1048576,MATCH($A95,'01_FASTPPH'!$A$9:$A$1048576,0),MATCH(Y$9,'01_FASTPPH'!$8:$8,0))</f>
        <v>#N/A</v>
      </c>
      <c r="AA95" s="32" t="e">
        <f>INDEX('02_PROPERTIES'!$C$10:$I$1048576,MATCH('03_CALCULATIONS'!$D95,'02_PROPERTIES'!$C$10:$C$1048576,0),MATCH('03_CALCULATIONS'!AA$9,'02_PROPERTIES'!$C$10:$I$10,0))</f>
        <v>#N/A</v>
      </c>
      <c r="AB95" s="20" t="e">
        <f>INDEX('02_PROPERTIES'!$C$10:$I$1048576,MATCH('03_CALCULATIONS'!$D95,'02_PROPERTIES'!$C$10:$C$1048576,0),MATCH('03_CALCULATIONS'!AB$9,'02_PROPERTIES'!$C$10:$I$10,0))</f>
        <v>#N/A</v>
      </c>
      <c r="AC95" s="20" t="e">
        <f>INDEX('02_PROPERTIES'!$C$10:$I$1048576,MATCH('03_CALCULATIONS'!$D95,'02_PROPERTIES'!$C$10:$C$1048576,0),MATCH('03_CALCULATIONS'!AC$9,'02_PROPERTIES'!$C$10:$I$10,0))</f>
        <v>#N/A</v>
      </c>
      <c r="AD95" s="20" t="e">
        <f>INDEX('02_PROPERTIES'!$C$10:$I$1048576,MATCH('03_CALCULATIONS'!$D95,'02_PROPERTIES'!$C$10:$C$1048576,0),MATCH('03_CALCULATIONS'!AD$9,'02_PROPERTIES'!$C$10:$I$10,0))</f>
        <v>#N/A</v>
      </c>
      <c r="AE95" s="32" t="e">
        <f>INDEX('02_PROPERTIES'!$C$10:$I$1048576,MATCH('03_CALCULATIONS'!$D95,'02_PROPERTIES'!$C$10:$C$1048576,0),MATCH('03_CALCULATIONS'!AE$9,'02_PROPERTIES'!$C$10:$I$10,0))</f>
        <v>#N/A</v>
      </c>
      <c r="AF95" s="32" t="e">
        <f>INDEX('02_PROPERTIES'!$C$10:$I$1048576,MATCH('03_CALCULATIONS'!$D95,'02_PROPERTIES'!$C$10:$C$1048576,0),MATCH('03_CALCULATIONS'!AF$9,'02_PROPERTIES'!$C$10:$I$10,0))</f>
        <v>#N/A</v>
      </c>
      <c r="AH95" s="20" t="e">
        <f t="shared" si="11"/>
        <v>#N/A</v>
      </c>
      <c r="AI95" s="20" t="e">
        <f t="shared" si="12"/>
        <v>#N/A</v>
      </c>
      <c r="AJ95" s="20" t="e">
        <f t="shared" si="13"/>
        <v>#N/A</v>
      </c>
      <c r="AL95" s="20" t="e">
        <f t="shared" si="14"/>
        <v>#N/A</v>
      </c>
      <c r="AM95" s="20" t="e">
        <f t="shared" si="15"/>
        <v>#N/A</v>
      </c>
      <c r="AN95" s="20" t="e">
        <f t="shared" si="16"/>
        <v>#N/A</v>
      </c>
      <c r="AO95" s="20" t="e">
        <f t="shared" si="17"/>
        <v>#N/A</v>
      </c>
      <c r="AP95" s="20" t="e">
        <f t="shared" si="18"/>
        <v>#N/A</v>
      </c>
      <c r="AR95" s="20" t="e">
        <f t="shared" si="19"/>
        <v>#N/A</v>
      </c>
      <c r="AS95" s="20" t="e">
        <f t="shared" si="20"/>
        <v>#N/A</v>
      </c>
      <c r="AT95" s="20" t="e">
        <f t="shared" si="21"/>
        <v>#N/A</v>
      </c>
    </row>
    <row r="96" spans="1:46" x14ac:dyDescent="0.3">
      <c r="A96" s="18"/>
      <c r="B96" s="20" t="e">
        <f>INDEX('01_FASTPPH'!$9:$1048576,MATCH($A96,'01_FASTPPH'!$A$9:$A$1048576,0),MATCH(B$9,'01_FASTPPH'!$8:$8,0))</f>
        <v>#N/A</v>
      </c>
      <c r="C96" s="20" t="e">
        <f>INDEX('01_FASTPPH'!$9:$1048576,MATCH($A96,'01_FASTPPH'!$A$9:$A$1048576,0),MATCH(C$9,'01_FASTPPH'!$8:$8,0))</f>
        <v>#N/A</v>
      </c>
      <c r="D96" s="20" t="e">
        <f>INDEX('01_FASTPPH'!$9:$1048576,MATCH($A96,'01_FASTPPH'!$A$9:$A$1048576,0),MATCH(D$9,'01_FASTPPH'!$8:$8,0))</f>
        <v>#N/A</v>
      </c>
      <c r="E96" s="20" t="e">
        <f>INDEX('01_FASTPPH'!$9:$1048576,MATCH($A96,'01_FASTPPH'!$A$9:$A$1048576,0),MATCH(E$9,'01_FASTPPH'!$8:$8,0))</f>
        <v>#N/A</v>
      </c>
      <c r="F96" s="20" t="e">
        <f>INDEX('01_FASTPPH'!$9:$1048576,MATCH($A96,'01_FASTPPH'!$A$9:$A$1048576,0),MATCH(F$9,'01_FASTPPH'!$8:$8,0))</f>
        <v>#N/A</v>
      </c>
      <c r="G96" s="20" t="e">
        <f>INDEX('01_FASTPPH'!$9:$1048576,MATCH($A96,'01_FASTPPH'!$A$9:$A$1048576,0),MATCH(G$9,'01_FASTPPH'!$8:$8,0))</f>
        <v>#N/A</v>
      </c>
      <c r="H96" s="20" t="e">
        <f>INDEX('01_FASTPPH'!$9:$1048576,MATCH($A96,'01_FASTPPH'!$A$9:$A$1048576,0),MATCH(H$9,'01_FASTPPH'!$8:$8,0))</f>
        <v>#N/A</v>
      </c>
      <c r="I96" s="20" t="e">
        <f>INDEX('01_FASTPPH'!$9:$1048576,MATCH($A96,'01_FASTPPH'!$A$9:$A$1048576,0),MATCH(I$9,'01_FASTPPH'!$8:$8,0))</f>
        <v>#N/A</v>
      </c>
      <c r="J96" s="20" t="e">
        <f>INDEX('01_FASTPPH'!$9:$1048576,MATCH($A96,'01_FASTPPH'!$A$9:$A$1048576,0),MATCH(J$9,'01_FASTPPH'!$8:$8,0))</f>
        <v>#N/A</v>
      </c>
      <c r="K96" s="23" t="e">
        <f>INDEX('01_FASTPPH'!$9:$1048576,MATCH($A96,'01_FASTPPH'!$A$9:$A$1048576,0),MATCH(K$9,'01_FASTPPH'!$8:$8,0))</f>
        <v>#N/A</v>
      </c>
      <c r="L96" s="20" t="e">
        <f>INDEX('01_FASTPPH'!$9:$1048576,MATCH($A96,'01_FASTPPH'!$A$9:$A$1048576,0),MATCH(L$9,'01_FASTPPH'!$8:$8,0))</f>
        <v>#N/A</v>
      </c>
      <c r="M96" s="20" t="e">
        <f>INDEX('01_FASTPPH'!$9:$1048576,MATCH($A96,'01_FASTPPH'!$A$9:$A$1048576,0),MATCH(M$9,'01_FASTPPH'!$8:$8,0))</f>
        <v>#N/A</v>
      </c>
      <c r="N96" s="24" t="e">
        <f>INDEX('01_FASTPPH'!$9:$1048576,MATCH($A96,'01_FASTPPH'!$A$9:$A$1048576,0),MATCH(N$9,'01_FASTPPH'!$8:$8,0))</f>
        <v>#N/A</v>
      </c>
      <c r="O96" s="23" t="e">
        <f>INDEX('01_FASTPPH'!$9:$1048576,MATCH($A96,'01_FASTPPH'!$A$9:$A$1048576,0),MATCH(O$9,'01_FASTPPH'!$8:$8,0))</f>
        <v>#N/A</v>
      </c>
      <c r="P96" s="20" t="e">
        <f>INDEX('01_FASTPPH'!$9:$1048576,MATCH($A96,'01_FASTPPH'!$A$9:$A$1048576,0),MATCH(P$9,'01_FASTPPH'!$8:$8,0))</f>
        <v>#N/A</v>
      </c>
      <c r="Q96" s="20" t="e">
        <f>INDEX('01_FASTPPH'!$9:$1048576,MATCH($A96,'01_FASTPPH'!$A$9:$A$1048576,0),MATCH(Q$9,'01_FASTPPH'!$8:$8,0))</f>
        <v>#N/A</v>
      </c>
      <c r="R96" s="20" t="e">
        <f>INDEX('01_FASTPPH'!$9:$1048576,MATCH($A96,'01_FASTPPH'!$A$9:$A$1048576,0),MATCH(R$9,'01_FASTPPH'!$8:$8,0))</f>
        <v>#N/A</v>
      </c>
      <c r="S96" s="20" t="e">
        <f>INDEX('01_FASTPPH'!$9:$1048576,MATCH($A96,'01_FASTPPH'!$A$9:$A$1048576,0),MATCH(S$9,'01_FASTPPH'!$8:$8,0))</f>
        <v>#N/A</v>
      </c>
      <c r="T96" s="24" t="e">
        <f>INDEX('01_FASTPPH'!$9:$1048576,MATCH($A96,'01_FASTPPH'!$A$9:$A$1048576,0),MATCH(T$9,'01_FASTPPH'!$8:$8,0))</f>
        <v>#N/A</v>
      </c>
      <c r="U96" s="23" t="e">
        <f>INDEX('01_FASTPPH'!$9:$1048576,MATCH($A96,'01_FASTPPH'!$A$9:$A$1048576,0),MATCH(U$9,'01_FASTPPH'!$8:$8,0))</f>
        <v>#N/A</v>
      </c>
      <c r="V96" s="20" t="e">
        <f>INDEX('01_FASTPPH'!$9:$1048576,MATCH($A96,'01_FASTPPH'!$A$9:$A$1048576,0),MATCH(V$9,'01_FASTPPH'!$8:$8,0))</f>
        <v>#N/A</v>
      </c>
      <c r="W96" s="24" t="e">
        <f>INDEX('01_FASTPPH'!$9:$1048576,MATCH($A96,'01_FASTPPH'!$A$9:$A$1048576,0),MATCH(W$9,'01_FASTPPH'!$8:$8,0))</f>
        <v>#N/A</v>
      </c>
      <c r="X96" s="20" t="e">
        <f>INDEX('01_FASTPPH'!$9:$1048576,MATCH($A96,'01_FASTPPH'!$A$9:$A$1048576,0),MATCH(X$9,'01_FASTPPH'!$8:$8,0))</f>
        <v>#N/A</v>
      </c>
      <c r="Y96" s="20" t="e">
        <f>INDEX('01_FASTPPH'!$9:$1048576,MATCH($A96,'01_FASTPPH'!$A$9:$A$1048576,0),MATCH(Y$9,'01_FASTPPH'!$8:$8,0))</f>
        <v>#N/A</v>
      </c>
      <c r="AA96" s="32" t="e">
        <f>INDEX('02_PROPERTIES'!$C$10:$I$1048576,MATCH('03_CALCULATIONS'!$D96,'02_PROPERTIES'!$C$10:$C$1048576,0),MATCH('03_CALCULATIONS'!AA$9,'02_PROPERTIES'!$C$10:$I$10,0))</f>
        <v>#N/A</v>
      </c>
      <c r="AB96" s="20" t="e">
        <f>INDEX('02_PROPERTIES'!$C$10:$I$1048576,MATCH('03_CALCULATIONS'!$D96,'02_PROPERTIES'!$C$10:$C$1048576,0),MATCH('03_CALCULATIONS'!AB$9,'02_PROPERTIES'!$C$10:$I$10,0))</f>
        <v>#N/A</v>
      </c>
      <c r="AC96" s="20" t="e">
        <f>INDEX('02_PROPERTIES'!$C$10:$I$1048576,MATCH('03_CALCULATIONS'!$D96,'02_PROPERTIES'!$C$10:$C$1048576,0),MATCH('03_CALCULATIONS'!AC$9,'02_PROPERTIES'!$C$10:$I$10,0))</f>
        <v>#N/A</v>
      </c>
      <c r="AD96" s="20" t="e">
        <f>INDEX('02_PROPERTIES'!$C$10:$I$1048576,MATCH('03_CALCULATIONS'!$D96,'02_PROPERTIES'!$C$10:$C$1048576,0),MATCH('03_CALCULATIONS'!AD$9,'02_PROPERTIES'!$C$10:$I$10,0))</f>
        <v>#N/A</v>
      </c>
      <c r="AE96" s="32" t="e">
        <f>INDEX('02_PROPERTIES'!$C$10:$I$1048576,MATCH('03_CALCULATIONS'!$D96,'02_PROPERTIES'!$C$10:$C$1048576,0),MATCH('03_CALCULATIONS'!AE$9,'02_PROPERTIES'!$C$10:$I$10,0))</f>
        <v>#N/A</v>
      </c>
      <c r="AF96" s="32" t="e">
        <f>INDEX('02_PROPERTIES'!$C$10:$I$1048576,MATCH('03_CALCULATIONS'!$D96,'02_PROPERTIES'!$C$10:$C$1048576,0),MATCH('03_CALCULATIONS'!AF$9,'02_PROPERTIES'!$C$10:$I$10,0))</f>
        <v>#N/A</v>
      </c>
      <c r="AH96" s="20" t="e">
        <f t="shared" si="11"/>
        <v>#N/A</v>
      </c>
      <c r="AI96" s="20" t="e">
        <f t="shared" si="12"/>
        <v>#N/A</v>
      </c>
      <c r="AJ96" s="20" t="e">
        <f t="shared" si="13"/>
        <v>#N/A</v>
      </c>
      <c r="AL96" s="20" t="e">
        <f t="shared" si="14"/>
        <v>#N/A</v>
      </c>
      <c r="AM96" s="20" t="e">
        <f t="shared" si="15"/>
        <v>#N/A</v>
      </c>
      <c r="AN96" s="20" t="e">
        <f t="shared" si="16"/>
        <v>#N/A</v>
      </c>
      <c r="AO96" s="20" t="e">
        <f t="shared" si="17"/>
        <v>#N/A</v>
      </c>
      <c r="AP96" s="20" t="e">
        <f t="shared" si="18"/>
        <v>#N/A</v>
      </c>
      <c r="AR96" s="20" t="e">
        <f t="shared" si="19"/>
        <v>#N/A</v>
      </c>
      <c r="AS96" s="20" t="e">
        <f t="shared" si="20"/>
        <v>#N/A</v>
      </c>
      <c r="AT96" s="20" t="e">
        <f t="shared" si="21"/>
        <v>#N/A</v>
      </c>
    </row>
    <row r="97" spans="1:46" x14ac:dyDescent="0.3">
      <c r="A97" s="18"/>
      <c r="B97" s="20" t="e">
        <f>INDEX('01_FASTPPH'!$9:$1048576,MATCH($A97,'01_FASTPPH'!$A$9:$A$1048576,0),MATCH(B$9,'01_FASTPPH'!$8:$8,0))</f>
        <v>#N/A</v>
      </c>
      <c r="C97" s="20" t="e">
        <f>INDEX('01_FASTPPH'!$9:$1048576,MATCH($A97,'01_FASTPPH'!$A$9:$A$1048576,0),MATCH(C$9,'01_FASTPPH'!$8:$8,0))</f>
        <v>#N/A</v>
      </c>
      <c r="D97" s="20" t="e">
        <f>INDEX('01_FASTPPH'!$9:$1048576,MATCH($A97,'01_FASTPPH'!$A$9:$A$1048576,0),MATCH(D$9,'01_FASTPPH'!$8:$8,0))</f>
        <v>#N/A</v>
      </c>
      <c r="E97" s="20" t="e">
        <f>INDEX('01_FASTPPH'!$9:$1048576,MATCH($A97,'01_FASTPPH'!$A$9:$A$1048576,0),MATCH(E$9,'01_FASTPPH'!$8:$8,0))</f>
        <v>#N/A</v>
      </c>
      <c r="F97" s="20" t="e">
        <f>INDEX('01_FASTPPH'!$9:$1048576,MATCH($A97,'01_FASTPPH'!$A$9:$A$1048576,0),MATCH(F$9,'01_FASTPPH'!$8:$8,0))</f>
        <v>#N/A</v>
      </c>
      <c r="G97" s="20" t="e">
        <f>INDEX('01_FASTPPH'!$9:$1048576,MATCH($A97,'01_FASTPPH'!$A$9:$A$1048576,0),MATCH(G$9,'01_FASTPPH'!$8:$8,0))</f>
        <v>#N/A</v>
      </c>
      <c r="H97" s="20" t="e">
        <f>INDEX('01_FASTPPH'!$9:$1048576,MATCH($A97,'01_FASTPPH'!$A$9:$A$1048576,0),MATCH(H$9,'01_FASTPPH'!$8:$8,0))</f>
        <v>#N/A</v>
      </c>
      <c r="I97" s="20" t="e">
        <f>INDEX('01_FASTPPH'!$9:$1048576,MATCH($A97,'01_FASTPPH'!$A$9:$A$1048576,0),MATCH(I$9,'01_FASTPPH'!$8:$8,0))</f>
        <v>#N/A</v>
      </c>
      <c r="J97" s="20" t="e">
        <f>INDEX('01_FASTPPH'!$9:$1048576,MATCH($A97,'01_FASTPPH'!$A$9:$A$1048576,0),MATCH(J$9,'01_FASTPPH'!$8:$8,0))</f>
        <v>#N/A</v>
      </c>
      <c r="K97" s="23" t="e">
        <f>INDEX('01_FASTPPH'!$9:$1048576,MATCH($A97,'01_FASTPPH'!$A$9:$A$1048576,0),MATCH(K$9,'01_FASTPPH'!$8:$8,0))</f>
        <v>#N/A</v>
      </c>
      <c r="L97" s="20" t="e">
        <f>INDEX('01_FASTPPH'!$9:$1048576,MATCH($A97,'01_FASTPPH'!$A$9:$A$1048576,0),MATCH(L$9,'01_FASTPPH'!$8:$8,0))</f>
        <v>#N/A</v>
      </c>
      <c r="M97" s="20" t="e">
        <f>INDEX('01_FASTPPH'!$9:$1048576,MATCH($A97,'01_FASTPPH'!$A$9:$A$1048576,0),MATCH(M$9,'01_FASTPPH'!$8:$8,0))</f>
        <v>#N/A</v>
      </c>
      <c r="N97" s="24" t="e">
        <f>INDEX('01_FASTPPH'!$9:$1048576,MATCH($A97,'01_FASTPPH'!$A$9:$A$1048576,0),MATCH(N$9,'01_FASTPPH'!$8:$8,0))</f>
        <v>#N/A</v>
      </c>
      <c r="O97" s="23" t="e">
        <f>INDEX('01_FASTPPH'!$9:$1048576,MATCH($A97,'01_FASTPPH'!$A$9:$A$1048576,0),MATCH(O$9,'01_FASTPPH'!$8:$8,0))</f>
        <v>#N/A</v>
      </c>
      <c r="P97" s="20" t="e">
        <f>INDEX('01_FASTPPH'!$9:$1048576,MATCH($A97,'01_FASTPPH'!$A$9:$A$1048576,0),MATCH(P$9,'01_FASTPPH'!$8:$8,0))</f>
        <v>#N/A</v>
      </c>
      <c r="Q97" s="20" t="e">
        <f>INDEX('01_FASTPPH'!$9:$1048576,MATCH($A97,'01_FASTPPH'!$A$9:$A$1048576,0),MATCH(Q$9,'01_FASTPPH'!$8:$8,0))</f>
        <v>#N/A</v>
      </c>
      <c r="R97" s="20" t="e">
        <f>INDEX('01_FASTPPH'!$9:$1048576,MATCH($A97,'01_FASTPPH'!$A$9:$A$1048576,0),MATCH(R$9,'01_FASTPPH'!$8:$8,0))</f>
        <v>#N/A</v>
      </c>
      <c r="S97" s="20" t="e">
        <f>INDEX('01_FASTPPH'!$9:$1048576,MATCH($A97,'01_FASTPPH'!$A$9:$A$1048576,0),MATCH(S$9,'01_FASTPPH'!$8:$8,0))</f>
        <v>#N/A</v>
      </c>
      <c r="T97" s="24" t="e">
        <f>INDEX('01_FASTPPH'!$9:$1048576,MATCH($A97,'01_FASTPPH'!$A$9:$A$1048576,0),MATCH(T$9,'01_FASTPPH'!$8:$8,0))</f>
        <v>#N/A</v>
      </c>
      <c r="U97" s="23" t="e">
        <f>INDEX('01_FASTPPH'!$9:$1048576,MATCH($A97,'01_FASTPPH'!$A$9:$A$1048576,0),MATCH(U$9,'01_FASTPPH'!$8:$8,0))</f>
        <v>#N/A</v>
      </c>
      <c r="V97" s="20" t="e">
        <f>INDEX('01_FASTPPH'!$9:$1048576,MATCH($A97,'01_FASTPPH'!$A$9:$A$1048576,0),MATCH(V$9,'01_FASTPPH'!$8:$8,0))</f>
        <v>#N/A</v>
      </c>
      <c r="W97" s="24" t="e">
        <f>INDEX('01_FASTPPH'!$9:$1048576,MATCH($A97,'01_FASTPPH'!$A$9:$A$1048576,0),MATCH(W$9,'01_FASTPPH'!$8:$8,0))</f>
        <v>#N/A</v>
      </c>
      <c r="X97" s="20" t="e">
        <f>INDEX('01_FASTPPH'!$9:$1048576,MATCH($A97,'01_FASTPPH'!$A$9:$A$1048576,0),MATCH(X$9,'01_FASTPPH'!$8:$8,0))</f>
        <v>#N/A</v>
      </c>
      <c r="Y97" s="20" t="e">
        <f>INDEX('01_FASTPPH'!$9:$1048576,MATCH($A97,'01_FASTPPH'!$A$9:$A$1048576,0),MATCH(Y$9,'01_FASTPPH'!$8:$8,0))</f>
        <v>#N/A</v>
      </c>
      <c r="AA97" s="32" t="e">
        <f>INDEX('02_PROPERTIES'!$C$10:$I$1048576,MATCH('03_CALCULATIONS'!$D97,'02_PROPERTIES'!$C$10:$C$1048576,0),MATCH('03_CALCULATIONS'!AA$9,'02_PROPERTIES'!$C$10:$I$10,0))</f>
        <v>#N/A</v>
      </c>
      <c r="AB97" s="20" t="e">
        <f>INDEX('02_PROPERTIES'!$C$10:$I$1048576,MATCH('03_CALCULATIONS'!$D97,'02_PROPERTIES'!$C$10:$C$1048576,0),MATCH('03_CALCULATIONS'!AB$9,'02_PROPERTIES'!$C$10:$I$10,0))</f>
        <v>#N/A</v>
      </c>
      <c r="AC97" s="20" t="e">
        <f>INDEX('02_PROPERTIES'!$C$10:$I$1048576,MATCH('03_CALCULATIONS'!$D97,'02_PROPERTIES'!$C$10:$C$1048576,0),MATCH('03_CALCULATIONS'!AC$9,'02_PROPERTIES'!$C$10:$I$10,0))</f>
        <v>#N/A</v>
      </c>
      <c r="AD97" s="20" t="e">
        <f>INDEX('02_PROPERTIES'!$C$10:$I$1048576,MATCH('03_CALCULATIONS'!$D97,'02_PROPERTIES'!$C$10:$C$1048576,0),MATCH('03_CALCULATIONS'!AD$9,'02_PROPERTIES'!$C$10:$I$10,0))</f>
        <v>#N/A</v>
      </c>
      <c r="AE97" s="32" t="e">
        <f>INDEX('02_PROPERTIES'!$C$10:$I$1048576,MATCH('03_CALCULATIONS'!$D97,'02_PROPERTIES'!$C$10:$C$1048576,0),MATCH('03_CALCULATIONS'!AE$9,'02_PROPERTIES'!$C$10:$I$10,0))</f>
        <v>#N/A</v>
      </c>
      <c r="AF97" s="32" t="e">
        <f>INDEX('02_PROPERTIES'!$C$10:$I$1048576,MATCH('03_CALCULATIONS'!$D97,'02_PROPERTIES'!$C$10:$C$1048576,0),MATCH('03_CALCULATIONS'!AF$9,'02_PROPERTIES'!$C$10:$I$10,0))</f>
        <v>#N/A</v>
      </c>
      <c r="AH97" s="20" t="e">
        <f t="shared" si="11"/>
        <v>#N/A</v>
      </c>
      <c r="AI97" s="20" t="e">
        <f t="shared" si="12"/>
        <v>#N/A</v>
      </c>
      <c r="AJ97" s="20" t="e">
        <f t="shared" si="13"/>
        <v>#N/A</v>
      </c>
      <c r="AL97" s="20" t="e">
        <f t="shared" si="14"/>
        <v>#N/A</v>
      </c>
      <c r="AM97" s="20" t="e">
        <f t="shared" si="15"/>
        <v>#N/A</v>
      </c>
      <c r="AN97" s="20" t="e">
        <f t="shared" si="16"/>
        <v>#N/A</v>
      </c>
      <c r="AO97" s="20" t="e">
        <f t="shared" si="17"/>
        <v>#N/A</v>
      </c>
      <c r="AP97" s="20" t="e">
        <f t="shared" si="18"/>
        <v>#N/A</v>
      </c>
      <c r="AR97" s="20" t="e">
        <f t="shared" si="19"/>
        <v>#N/A</v>
      </c>
      <c r="AS97" s="20" t="e">
        <f t="shared" si="20"/>
        <v>#N/A</v>
      </c>
      <c r="AT97" s="20" t="e">
        <f t="shared" si="21"/>
        <v>#N/A</v>
      </c>
    </row>
    <row r="98" spans="1:46" x14ac:dyDescent="0.3">
      <c r="A98" s="18"/>
      <c r="B98" s="20" t="e">
        <f>INDEX('01_FASTPPH'!$9:$1048576,MATCH($A98,'01_FASTPPH'!$A$9:$A$1048576,0),MATCH(B$9,'01_FASTPPH'!$8:$8,0))</f>
        <v>#N/A</v>
      </c>
      <c r="C98" s="20" t="e">
        <f>INDEX('01_FASTPPH'!$9:$1048576,MATCH($A98,'01_FASTPPH'!$A$9:$A$1048576,0),MATCH(C$9,'01_FASTPPH'!$8:$8,0))</f>
        <v>#N/A</v>
      </c>
      <c r="D98" s="20" t="e">
        <f>INDEX('01_FASTPPH'!$9:$1048576,MATCH($A98,'01_FASTPPH'!$A$9:$A$1048576,0),MATCH(D$9,'01_FASTPPH'!$8:$8,0))</f>
        <v>#N/A</v>
      </c>
      <c r="E98" s="20" t="e">
        <f>INDEX('01_FASTPPH'!$9:$1048576,MATCH($A98,'01_FASTPPH'!$A$9:$A$1048576,0),MATCH(E$9,'01_FASTPPH'!$8:$8,0))</f>
        <v>#N/A</v>
      </c>
      <c r="F98" s="20" t="e">
        <f>INDEX('01_FASTPPH'!$9:$1048576,MATCH($A98,'01_FASTPPH'!$A$9:$A$1048576,0),MATCH(F$9,'01_FASTPPH'!$8:$8,0))</f>
        <v>#N/A</v>
      </c>
      <c r="G98" s="20" t="e">
        <f>INDEX('01_FASTPPH'!$9:$1048576,MATCH($A98,'01_FASTPPH'!$A$9:$A$1048576,0),MATCH(G$9,'01_FASTPPH'!$8:$8,0))</f>
        <v>#N/A</v>
      </c>
      <c r="H98" s="20" t="e">
        <f>INDEX('01_FASTPPH'!$9:$1048576,MATCH($A98,'01_FASTPPH'!$A$9:$A$1048576,0),MATCH(H$9,'01_FASTPPH'!$8:$8,0))</f>
        <v>#N/A</v>
      </c>
      <c r="I98" s="20" t="e">
        <f>INDEX('01_FASTPPH'!$9:$1048576,MATCH($A98,'01_FASTPPH'!$A$9:$A$1048576,0),MATCH(I$9,'01_FASTPPH'!$8:$8,0))</f>
        <v>#N/A</v>
      </c>
      <c r="J98" s="20" t="e">
        <f>INDEX('01_FASTPPH'!$9:$1048576,MATCH($A98,'01_FASTPPH'!$A$9:$A$1048576,0),MATCH(J$9,'01_FASTPPH'!$8:$8,0))</f>
        <v>#N/A</v>
      </c>
      <c r="K98" s="23" t="e">
        <f>INDEX('01_FASTPPH'!$9:$1048576,MATCH($A98,'01_FASTPPH'!$A$9:$A$1048576,0),MATCH(K$9,'01_FASTPPH'!$8:$8,0))</f>
        <v>#N/A</v>
      </c>
      <c r="L98" s="20" t="e">
        <f>INDEX('01_FASTPPH'!$9:$1048576,MATCH($A98,'01_FASTPPH'!$A$9:$A$1048576,0),MATCH(L$9,'01_FASTPPH'!$8:$8,0))</f>
        <v>#N/A</v>
      </c>
      <c r="M98" s="20" t="e">
        <f>INDEX('01_FASTPPH'!$9:$1048576,MATCH($A98,'01_FASTPPH'!$A$9:$A$1048576,0),MATCH(M$9,'01_FASTPPH'!$8:$8,0))</f>
        <v>#N/A</v>
      </c>
      <c r="N98" s="24" t="e">
        <f>INDEX('01_FASTPPH'!$9:$1048576,MATCH($A98,'01_FASTPPH'!$A$9:$A$1048576,0),MATCH(N$9,'01_FASTPPH'!$8:$8,0))</f>
        <v>#N/A</v>
      </c>
      <c r="O98" s="23" t="e">
        <f>INDEX('01_FASTPPH'!$9:$1048576,MATCH($A98,'01_FASTPPH'!$A$9:$A$1048576,0),MATCH(O$9,'01_FASTPPH'!$8:$8,0))</f>
        <v>#N/A</v>
      </c>
      <c r="P98" s="20" t="e">
        <f>INDEX('01_FASTPPH'!$9:$1048576,MATCH($A98,'01_FASTPPH'!$A$9:$A$1048576,0),MATCH(P$9,'01_FASTPPH'!$8:$8,0))</f>
        <v>#N/A</v>
      </c>
      <c r="Q98" s="20" t="e">
        <f>INDEX('01_FASTPPH'!$9:$1048576,MATCH($A98,'01_FASTPPH'!$A$9:$A$1048576,0),MATCH(Q$9,'01_FASTPPH'!$8:$8,0))</f>
        <v>#N/A</v>
      </c>
      <c r="R98" s="20" t="e">
        <f>INDEX('01_FASTPPH'!$9:$1048576,MATCH($A98,'01_FASTPPH'!$A$9:$A$1048576,0),MATCH(R$9,'01_FASTPPH'!$8:$8,0))</f>
        <v>#N/A</v>
      </c>
      <c r="S98" s="20" t="e">
        <f>INDEX('01_FASTPPH'!$9:$1048576,MATCH($A98,'01_FASTPPH'!$A$9:$A$1048576,0),MATCH(S$9,'01_FASTPPH'!$8:$8,0))</f>
        <v>#N/A</v>
      </c>
      <c r="T98" s="24" t="e">
        <f>INDEX('01_FASTPPH'!$9:$1048576,MATCH($A98,'01_FASTPPH'!$A$9:$A$1048576,0),MATCH(T$9,'01_FASTPPH'!$8:$8,0))</f>
        <v>#N/A</v>
      </c>
      <c r="U98" s="23" t="e">
        <f>INDEX('01_FASTPPH'!$9:$1048576,MATCH($A98,'01_FASTPPH'!$A$9:$A$1048576,0),MATCH(U$9,'01_FASTPPH'!$8:$8,0))</f>
        <v>#N/A</v>
      </c>
      <c r="V98" s="20" t="e">
        <f>INDEX('01_FASTPPH'!$9:$1048576,MATCH($A98,'01_FASTPPH'!$A$9:$A$1048576,0),MATCH(V$9,'01_FASTPPH'!$8:$8,0))</f>
        <v>#N/A</v>
      </c>
      <c r="W98" s="24" t="e">
        <f>INDEX('01_FASTPPH'!$9:$1048576,MATCH($A98,'01_FASTPPH'!$A$9:$A$1048576,0),MATCH(W$9,'01_FASTPPH'!$8:$8,0))</f>
        <v>#N/A</v>
      </c>
      <c r="X98" s="20" t="e">
        <f>INDEX('01_FASTPPH'!$9:$1048576,MATCH($A98,'01_FASTPPH'!$A$9:$A$1048576,0),MATCH(X$9,'01_FASTPPH'!$8:$8,0))</f>
        <v>#N/A</v>
      </c>
      <c r="Y98" s="20" t="e">
        <f>INDEX('01_FASTPPH'!$9:$1048576,MATCH($A98,'01_FASTPPH'!$A$9:$A$1048576,0),MATCH(Y$9,'01_FASTPPH'!$8:$8,0))</f>
        <v>#N/A</v>
      </c>
      <c r="AA98" s="32" t="e">
        <f>INDEX('02_PROPERTIES'!$C$10:$I$1048576,MATCH('03_CALCULATIONS'!$D98,'02_PROPERTIES'!$C$10:$C$1048576,0),MATCH('03_CALCULATIONS'!AA$9,'02_PROPERTIES'!$C$10:$I$10,0))</f>
        <v>#N/A</v>
      </c>
      <c r="AB98" s="20" t="e">
        <f>INDEX('02_PROPERTIES'!$C$10:$I$1048576,MATCH('03_CALCULATIONS'!$D98,'02_PROPERTIES'!$C$10:$C$1048576,0),MATCH('03_CALCULATIONS'!AB$9,'02_PROPERTIES'!$C$10:$I$10,0))</f>
        <v>#N/A</v>
      </c>
      <c r="AC98" s="20" t="e">
        <f>INDEX('02_PROPERTIES'!$C$10:$I$1048576,MATCH('03_CALCULATIONS'!$D98,'02_PROPERTIES'!$C$10:$C$1048576,0),MATCH('03_CALCULATIONS'!AC$9,'02_PROPERTIES'!$C$10:$I$10,0))</f>
        <v>#N/A</v>
      </c>
      <c r="AD98" s="20" t="e">
        <f>INDEX('02_PROPERTIES'!$C$10:$I$1048576,MATCH('03_CALCULATIONS'!$D98,'02_PROPERTIES'!$C$10:$C$1048576,0),MATCH('03_CALCULATIONS'!AD$9,'02_PROPERTIES'!$C$10:$I$10,0))</f>
        <v>#N/A</v>
      </c>
      <c r="AE98" s="32" t="e">
        <f>INDEX('02_PROPERTIES'!$C$10:$I$1048576,MATCH('03_CALCULATIONS'!$D98,'02_PROPERTIES'!$C$10:$C$1048576,0),MATCH('03_CALCULATIONS'!AE$9,'02_PROPERTIES'!$C$10:$I$10,0))</f>
        <v>#N/A</v>
      </c>
      <c r="AF98" s="32" t="e">
        <f>INDEX('02_PROPERTIES'!$C$10:$I$1048576,MATCH('03_CALCULATIONS'!$D98,'02_PROPERTIES'!$C$10:$C$1048576,0),MATCH('03_CALCULATIONS'!AF$9,'02_PROPERTIES'!$C$10:$I$10,0))</f>
        <v>#N/A</v>
      </c>
      <c r="AH98" s="20" t="e">
        <f t="shared" si="11"/>
        <v>#N/A</v>
      </c>
      <c r="AI98" s="20" t="e">
        <f t="shared" si="12"/>
        <v>#N/A</v>
      </c>
      <c r="AJ98" s="20" t="e">
        <f t="shared" si="13"/>
        <v>#N/A</v>
      </c>
      <c r="AL98" s="20" t="e">
        <f t="shared" si="14"/>
        <v>#N/A</v>
      </c>
      <c r="AM98" s="20" t="e">
        <f t="shared" si="15"/>
        <v>#N/A</v>
      </c>
      <c r="AN98" s="20" t="e">
        <f t="shared" si="16"/>
        <v>#N/A</v>
      </c>
      <c r="AO98" s="20" t="e">
        <f t="shared" si="17"/>
        <v>#N/A</v>
      </c>
      <c r="AP98" s="20" t="e">
        <f t="shared" si="18"/>
        <v>#N/A</v>
      </c>
      <c r="AR98" s="20" t="e">
        <f t="shared" si="19"/>
        <v>#N/A</v>
      </c>
      <c r="AS98" s="20" t="e">
        <f t="shared" si="20"/>
        <v>#N/A</v>
      </c>
      <c r="AT98" s="20" t="e">
        <f t="shared" si="21"/>
        <v>#N/A</v>
      </c>
    </row>
    <row r="99" spans="1:46" x14ac:dyDescent="0.3">
      <c r="A99" s="18"/>
      <c r="B99" s="20" t="e">
        <f>INDEX('01_FASTPPH'!$9:$1048576,MATCH($A99,'01_FASTPPH'!$A$9:$A$1048576,0),MATCH(B$9,'01_FASTPPH'!$8:$8,0))</f>
        <v>#N/A</v>
      </c>
      <c r="C99" s="20" t="e">
        <f>INDEX('01_FASTPPH'!$9:$1048576,MATCH($A99,'01_FASTPPH'!$A$9:$A$1048576,0),MATCH(C$9,'01_FASTPPH'!$8:$8,0))</f>
        <v>#N/A</v>
      </c>
      <c r="D99" s="20" t="e">
        <f>INDEX('01_FASTPPH'!$9:$1048576,MATCH($A99,'01_FASTPPH'!$A$9:$A$1048576,0),MATCH(D$9,'01_FASTPPH'!$8:$8,0))</f>
        <v>#N/A</v>
      </c>
      <c r="E99" s="20" t="e">
        <f>INDEX('01_FASTPPH'!$9:$1048576,MATCH($A99,'01_FASTPPH'!$A$9:$A$1048576,0),MATCH(E$9,'01_FASTPPH'!$8:$8,0))</f>
        <v>#N/A</v>
      </c>
      <c r="F99" s="20" t="e">
        <f>INDEX('01_FASTPPH'!$9:$1048576,MATCH($A99,'01_FASTPPH'!$A$9:$A$1048576,0),MATCH(F$9,'01_FASTPPH'!$8:$8,0))</f>
        <v>#N/A</v>
      </c>
      <c r="G99" s="20" t="e">
        <f>INDEX('01_FASTPPH'!$9:$1048576,MATCH($A99,'01_FASTPPH'!$A$9:$A$1048576,0),MATCH(G$9,'01_FASTPPH'!$8:$8,0))</f>
        <v>#N/A</v>
      </c>
      <c r="H99" s="20" t="e">
        <f>INDEX('01_FASTPPH'!$9:$1048576,MATCH($A99,'01_FASTPPH'!$A$9:$A$1048576,0),MATCH(H$9,'01_FASTPPH'!$8:$8,0))</f>
        <v>#N/A</v>
      </c>
      <c r="I99" s="20" t="e">
        <f>INDEX('01_FASTPPH'!$9:$1048576,MATCH($A99,'01_FASTPPH'!$A$9:$A$1048576,0),MATCH(I$9,'01_FASTPPH'!$8:$8,0))</f>
        <v>#N/A</v>
      </c>
      <c r="J99" s="20" t="e">
        <f>INDEX('01_FASTPPH'!$9:$1048576,MATCH($A99,'01_FASTPPH'!$A$9:$A$1048576,0),MATCH(J$9,'01_FASTPPH'!$8:$8,0))</f>
        <v>#N/A</v>
      </c>
      <c r="K99" s="23" t="e">
        <f>INDEX('01_FASTPPH'!$9:$1048576,MATCH($A99,'01_FASTPPH'!$A$9:$A$1048576,0),MATCH(K$9,'01_FASTPPH'!$8:$8,0))</f>
        <v>#N/A</v>
      </c>
      <c r="L99" s="20" t="e">
        <f>INDEX('01_FASTPPH'!$9:$1048576,MATCH($A99,'01_FASTPPH'!$A$9:$A$1048576,0),MATCH(L$9,'01_FASTPPH'!$8:$8,0))</f>
        <v>#N/A</v>
      </c>
      <c r="M99" s="20" t="e">
        <f>INDEX('01_FASTPPH'!$9:$1048576,MATCH($A99,'01_FASTPPH'!$A$9:$A$1048576,0),MATCH(M$9,'01_FASTPPH'!$8:$8,0))</f>
        <v>#N/A</v>
      </c>
      <c r="N99" s="24" t="e">
        <f>INDEX('01_FASTPPH'!$9:$1048576,MATCH($A99,'01_FASTPPH'!$A$9:$A$1048576,0),MATCH(N$9,'01_FASTPPH'!$8:$8,0))</f>
        <v>#N/A</v>
      </c>
      <c r="O99" s="23" t="e">
        <f>INDEX('01_FASTPPH'!$9:$1048576,MATCH($A99,'01_FASTPPH'!$A$9:$A$1048576,0),MATCH(O$9,'01_FASTPPH'!$8:$8,0))</f>
        <v>#N/A</v>
      </c>
      <c r="P99" s="20" t="e">
        <f>INDEX('01_FASTPPH'!$9:$1048576,MATCH($A99,'01_FASTPPH'!$A$9:$A$1048576,0),MATCH(P$9,'01_FASTPPH'!$8:$8,0))</f>
        <v>#N/A</v>
      </c>
      <c r="Q99" s="20" t="e">
        <f>INDEX('01_FASTPPH'!$9:$1048576,MATCH($A99,'01_FASTPPH'!$A$9:$A$1048576,0),MATCH(Q$9,'01_FASTPPH'!$8:$8,0))</f>
        <v>#N/A</v>
      </c>
      <c r="R99" s="20" t="e">
        <f>INDEX('01_FASTPPH'!$9:$1048576,MATCH($A99,'01_FASTPPH'!$A$9:$A$1048576,0),MATCH(R$9,'01_FASTPPH'!$8:$8,0))</f>
        <v>#N/A</v>
      </c>
      <c r="S99" s="20" t="e">
        <f>INDEX('01_FASTPPH'!$9:$1048576,MATCH($A99,'01_FASTPPH'!$A$9:$A$1048576,0),MATCH(S$9,'01_FASTPPH'!$8:$8,0))</f>
        <v>#N/A</v>
      </c>
      <c r="T99" s="24" t="e">
        <f>INDEX('01_FASTPPH'!$9:$1048576,MATCH($A99,'01_FASTPPH'!$A$9:$A$1048576,0),MATCH(T$9,'01_FASTPPH'!$8:$8,0))</f>
        <v>#N/A</v>
      </c>
      <c r="U99" s="23" t="e">
        <f>INDEX('01_FASTPPH'!$9:$1048576,MATCH($A99,'01_FASTPPH'!$A$9:$A$1048576,0),MATCH(U$9,'01_FASTPPH'!$8:$8,0))</f>
        <v>#N/A</v>
      </c>
      <c r="V99" s="20" t="e">
        <f>INDEX('01_FASTPPH'!$9:$1048576,MATCH($A99,'01_FASTPPH'!$A$9:$A$1048576,0),MATCH(V$9,'01_FASTPPH'!$8:$8,0))</f>
        <v>#N/A</v>
      </c>
      <c r="W99" s="24" t="e">
        <f>INDEX('01_FASTPPH'!$9:$1048576,MATCH($A99,'01_FASTPPH'!$A$9:$A$1048576,0),MATCH(W$9,'01_FASTPPH'!$8:$8,0))</f>
        <v>#N/A</v>
      </c>
      <c r="X99" s="20" t="e">
        <f>INDEX('01_FASTPPH'!$9:$1048576,MATCH($A99,'01_FASTPPH'!$A$9:$A$1048576,0),MATCH(X$9,'01_FASTPPH'!$8:$8,0))</f>
        <v>#N/A</v>
      </c>
      <c r="Y99" s="20" t="e">
        <f>INDEX('01_FASTPPH'!$9:$1048576,MATCH($A99,'01_FASTPPH'!$A$9:$A$1048576,0),MATCH(Y$9,'01_FASTPPH'!$8:$8,0))</f>
        <v>#N/A</v>
      </c>
      <c r="AA99" s="32" t="e">
        <f>INDEX('02_PROPERTIES'!$C$10:$I$1048576,MATCH('03_CALCULATIONS'!$D99,'02_PROPERTIES'!$C$10:$C$1048576,0),MATCH('03_CALCULATIONS'!AA$9,'02_PROPERTIES'!$C$10:$I$10,0))</f>
        <v>#N/A</v>
      </c>
      <c r="AB99" s="20" t="e">
        <f>INDEX('02_PROPERTIES'!$C$10:$I$1048576,MATCH('03_CALCULATIONS'!$D99,'02_PROPERTIES'!$C$10:$C$1048576,0),MATCH('03_CALCULATIONS'!AB$9,'02_PROPERTIES'!$C$10:$I$10,0))</f>
        <v>#N/A</v>
      </c>
      <c r="AC99" s="20" t="e">
        <f>INDEX('02_PROPERTIES'!$C$10:$I$1048576,MATCH('03_CALCULATIONS'!$D99,'02_PROPERTIES'!$C$10:$C$1048576,0),MATCH('03_CALCULATIONS'!AC$9,'02_PROPERTIES'!$C$10:$I$10,0))</f>
        <v>#N/A</v>
      </c>
      <c r="AD99" s="20" t="e">
        <f>INDEX('02_PROPERTIES'!$C$10:$I$1048576,MATCH('03_CALCULATIONS'!$D99,'02_PROPERTIES'!$C$10:$C$1048576,0),MATCH('03_CALCULATIONS'!AD$9,'02_PROPERTIES'!$C$10:$I$10,0))</f>
        <v>#N/A</v>
      </c>
      <c r="AE99" s="32" t="e">
        <f>INDEX('02_PROPERTIES'!$C$10:$I$1048576,MATCH('03_CALCULATIONS'!$D99,'02_PROPERTIES'!$C$10:$C$1048576,0),MATCH('03_CALCULATIONS'!AE$9,'02_PROPERTIES'!$C$10:$I$10,0))</f>
        <v>#N/A</v>
      </c>
      <c r="AF99" s="32" t="e">
        <f>INDEX('02_PROPERTIES'!$C$10:$I$1048576,MATCH('03_CALCULATIONS'!$D99,'02_PROPERTIES'!$C$10:$C$1048576,0),MATCH('03_CALCULATIONS'!AF$9,'02_PROPERTIES'!$C$10:$I$10,0))</f>
        <v>#N/A</v>
      </c>
      <c r="AH99" s="20" t="e">
        <f t="shared" si="11"/>
        <v>#N/A</v>
      </c>
      <c r="AI99" s="20" t="e">
        <f t="shared" si="12"/>
        <v>#N/A</v>
      </c>
      <c r="AJ99" s="20" t="e">
        <f t="shared" si="13"/>
        <v>#N/A</v>
      </c>
      <c r="AL99" s="20" t="e">
        <f t="shared" si="14"/>
        <v>#N/A</v>
      </c>
      <c r="AM99" s="20" t="e">
        <f t="shared" si="15"/>
        <v>#N/A</v>
      </c>
      <c r="AN99" s="20" t="e">
        <f t="shared" si="16"/>
        <v>#N/A</v>
      </c>
      <c r="AO99" s="20" t="e">
        <f t="shared" si="17"/>
        <v>#N/A</v>
      </c>
      <c r="AP99" s="20" t="e">
        <f t="shared" si="18"/>
        <v>#N/A</v>
      </c>
      <c r="AR99" s="20" t="e">
        <f t="shared" si="19"/>
        <v>#N/A</v>
      </c>
      <c r="AS99" s="20" t="e">
        <f t="shared" si="20"/>
        <v>#N/A</v>
      </c>
      <c r="AT99" s="20" t="e">
        <f t="shared" si="21"/>
        <v>#N/A</v>
      </c>
    </row>
    <row r="100" spans="1:46" x14ac:dyDescent="0.3">
      <c r="A100" s="18"/>
      <c r="B100" s="20" t="e">
        <f>INDEX('01_FASTPPH'!$9:$1048576,MATCH($A100,'01_FASTPPH'!$A$9:$A$1048576,0),MATCH(B$9,'01_FASTPPH'!$8:$8,0))</f>
        <v>#N/A</v>
      </c>
      <c r="C100" s="20" t="e">
        <f>INDEX('01_FASTPPH'!$9:$1048576,MATCH($A100,'01_FASTPPH'!$A$9:$A$1048576,0),MATCH(C$9,'01_FASTPPH'!$8:$8,0))</f>
        <v>#N/A</v>
      </c>
      <c r="D100" s="20" t="e">
        <f>INDEX('01_FASTPPH'!$9:$1048576,MATCH($A100,'01_FASTPPH'!$A$9:$A$1048576,0),MATCH(D$9,'01_FASTPPH'!$8:$8,0))</f>
        <v>#N/A</v>
      </c>
      <c r="E100" s="20" t="e">
        <f>INDEX('01_FASTPPH'!$9:$1048576,MATCH($A100,'01_FASTPPH'!$A$9:$A$1048576,0),MATCH(E$9,'01_FASTPPH'!$8:$8,0))</f>
        <v>#N/A</v>
      </c>
      <c r="F100" s="20" t="e">
        <f>INDEX('01_FASTPPH'!$9:$1048576,MATCH($A100,'01_FASTPPH'!$A$9:$A$1048576,0),MATCH(F$9,'01_FASTPPH'!$8:$8,0))</f>
        <v>#N/A</v>
      </c>
      <c r="G100" s="20" t="e">
        <f>INDEX('01_FASTPPH'!$9:$1048576,MATCH($A100,'01_FASTPPH'!$A$9:$A$1048576,0),MATCH(G$9,'01_FASTPPH'!$8:$8,0))</f>
        <v>#N/A</v>
      </c>
      <c r="H100" s="20" t="e">
        <f>INDEX('01_FASTPPH'!$9:$1048576,MATCH($A100,'01_FASTPPH'!$A$9:$A$1048576,0),MATCH(H$9,'01_FASTPPH'!$8:$8,0))</f>
        <v>#N/A</v>
      </c>
      <c r="I100" s="20" t="e">
        <f>INDEX('01_FASTPPH'!$9:$1048576,MATCH($A100,'01_FASTPPH'!$A$9:$A$1048576,0),MATCH(I$9,'01_FASTPPH'!$8:$8,0))</f>
        <v>#N/A</v>
      </c>
      <c r="J100" s="20" t="e">
        <f>INDEX('01_FASTPPH'!$9:$1048576,MATCH($A100,'01_FASTPPH'!$A$9:$A$1048576,0),MATCH(J$9,'01_FASTPPH'!$8:$8,0))</f>
        <v>#N/A</v>
      </c>
      <c r="K100" s="23" t="e">
        <f>INDEX('01_FASTPPH'!$9:$1048576,MATCH($A100,'01_FASTPPH'!$A$9:$A$1048576,0),MATCH(K$9,'01_FASTPPH'!$8:$8,0))</f>
        <v>#N/A</v>
      </c>
      <c r="L100" s="20" t="e">
        <f>INDEX('01_FASTPPH'!$9:$1048576,MATCH($A100,'01_FASTPPH'!$A$9:$A$1048576,0),MATCH(L$9,'01_FASTPPH'!$8:$8,0))</f>
        <v>#N/A</v>
      </c>
      <c r="M100" s="20" t="e">
        <f>INDEX('01_FASTPPH'!$9:$1048576,MATCH($A100,'01_FASTPPH'!$A$9:$A$1048576,0),MATCH(M$9,'01_FASTPPH'!$8:$8,0))</f>
        <v>#N/A</v>
      </c>
      <c r="N100" s="24" t="e">
        <f>INDEX('01_FASTPPH'!$9:$1048576,MATCH($A100,'01_FASTPPH'!$A$9:$A$1048576,0),MATCH(N$9,'01_FASTPPH'!$8:$8,0))</f>
        <v>#N/A</v>
      </c>
      <c r="O100" s="23" t="e">
        <f>INDEX('01_FASTPPH'!$9:$1048576,MATCH($A100,'01_FASTPPH'!$A$9:$A$1048576,0),MATCH(O$9,'01_FASTPPH'!$8:$8,0))</f>
        <v>#N/A</v>
      </c>
      <c r="P100" s="20" t="e">
        <f>INDEX('01_FASTPPH'!$9:$1048576,MATCH($A100,'01_FASTPPH'!$A$9:$A$1048576,0),MATCH(P$9,'01_FASTPPH'!$8:$8,0))</f>
        <v>#N/A</v>
      </c>
      <c r="Q100" s="20" t="e">
        <f>INDEX('01_FASTPPH'!$9:$1048576,MATCH($A100,'01_FASTPPH'!$A$9:$A$1048576,0),MATCH(Q$9,'01_FASTPPH'!$8:$8,0))</f>
        <v>#N/A</v>
      </c>
      <c r="R100" s="20" t="e">
        <f>INDEX('01_FASTPPH'!$9:$1048576,MATCH($A100,'01_FASTPPH'!$A$9:$A$1048576,0),MATCH(R$9,'01_FASTPPH'!$8:$8,0))</f>
        <v>#N/A</v>
      </c>
      <c r="S100" s="20" t="e">
        <f>INDEX('01_FASTPPH'!$9:$1048576,MATCH($A100,'01_FASTPPH'!$A$9:$A$1048576,0),MATCH(S$9,'01_FASTPPH'!$8:$8,0))</f>
        <v>#N/A</v>
      </c>
      <c r="T100" s="24" t="e">
        <f>INDEX('01_FASTPPH'!$9:$1048576,MATCH($A100,'01_FASTPPH'!$A$9:$A$1048576,0),MATCH(T$9,'01_FASTPPH'!$8:$8,0))</f>
        <v>#N/A</v>
      </c>
      <c r="U100" s="23" t="e">
        <f>INDEX('01_FASTPPH'!$9:$1048576,MATCH($A100,'01_FASTPPH'!$A$9:$A$1048576,0),MATCH(U$9,'01_FASTPPH'!$8:$8,0))</f>
        <v>#N/A</v>
      </c>
      <c r="V100" s="20" t="e">
        <f>INDEX('01_FASTPPH'!$9:$1048576,MATCH($A100,'01_FASTPPH'!$A$9:$A$1048576,0),MATCH(V$9,'01_FASTPPH'!$8:$8,0))</f>
        <v>#N/A</v>
      </c>
      <c r="W100" s="24" t="e">
        <f>INDEX('01_FASTPPH'!$9:$1048576,MATCH($A100,'01_FASTPPH'!$A$9:$A$1048576,0),MATCH(W$9,'01_FASTPPH'!$8:$8,0))</f>
        <v>#N/A</v>
      </c>
      <c r="X100" s="20" t="e">
        <f>INDEX('01_FASTPPH'!$9:$1048576,MATCH($A100,'01_FASTPPH'!$A$9:$A$1048576,0),MATCH(X$9,'01_FASTPPH'!$8:$8,0))</f>
        <v>#N/A</v>
      </c>
      <c r="Y100" s="20" t="e">
        <f>INDEX('01_FASTPPH'!$9:$1048576,MATCH($A100,'01_FASTPPH'!$A$9:$A$1048576,0),MATCH(Y$9,'01_FASTPPH'!$8:$8,0))</f>
        <v>#N/A</v>
      </c>
      <c r="AA100" s="32" t="e">
        <f>INDEX('02_PROPERTIES'!$C$10:$I$1048576,MATCH('03_CALCULATIONS'!$D100,'02_PROPERTIES'!$C$10:$C$1048576,0),MATCH('03_CALCULATIONS'!AA$9,'02_PROPERTIES'!$C$10:$I$10,0))</f>
        <v>#N/A</v>
      </c>
      <c r="AB100" s="20" t="e">
        <f>INDEX('02_PROPERTIES'!$C$10:$I$1048576,MATCH('03_CALCULATIONS'!$D100,'02_PROPERTIES'!$C$10:$C$1048576,0),MATCH('03_CALCULATIONS'!AB$9,'02_PROPERTIES'!$C$10:$I$10,0))</f>
        <v>#N/A</v>
      </c>
      <c r="AC100" s="20" t="e">
        <f>INDEX('02_PROPERTIES'!$C$10:$I$1048576,MATCH('03_CALCULATIONS'!$D100,'02_PROPERTIES'!$C$10:$C$1048576,0),MATCH('03_CALCULATIONS'!AC$9,'02_PROPERTIES'!$C$10:$I$10,0))</f>
        <v>#N/A</v>
      </c>
      <c r="AD100" s="20" t="e">
        <f>INDEX('02_PROPERTIES'!$C$10:$I$1048576,MATCH('03_CALCULATIONS'!$D100,'02_PROPERTIES'!$C$10:$C$1048576,0),MATCH('03_CALCULATIONS'!AD$9,'02_PROPERTIES'!$C$10:$I$10,0))</f>
        <v>#N/A</v>
      </c>
      <c r="AE100" s="32" t="e">
        <f>INDEX('02_PROPERTIES'!$C$10:$I$1048576,MATCH('03_CALCULATIONS'!$D100,'02_PROPERTIES'!$C$10:$C$1048576,0),MATCH('03_CALCULATIONS'!AE$9,'02_PROPERTIES'!$C$10:$I$10,0))</f>
        <v>#N/A</v>
      </c>
      <c r="AF100" s="32" t="e">
        <f>INDEX('02_PROPERTIES'!$C$10:$I$1048576,MATCH('03_CALCULATIONS'!$D100,'02_PROPERTIES'!$C$10:$C$1048576,0),MATCH('03_CALCULATIONS'!AF$9,'02_PROPERTIES'!$C$10:$I$10,0))</f>
        <v>#N/A</v>
      </c>
      <c r="AH100" s="20" t="e">
        <f t="shared" si="11"/>
        <v>#N/A</v>
      </c>
      <c r="AI100" s="20" t="e">
        <f t="shared" si="12"/>
        <v>#N/A</v>
      </c>
      <c r="AJ100" s="20" t="e">
        <f t="shared" si="13"/>
        <v>#N/A</v>
      </c>
      <c r="AL100" s="20" t="e">
        <f t="shared" si="14"/>
        <v>#N/A</v>
      </c>
      <c r="AM100" s="20" t="e">
        <f t="shared" si="15"/>
        <v>#N/A</v>
      </c>
      <c r="AN100" s="20" t="e">
        <f t="shared" si="16"/>
        <v>#N/A</v>
      </c>
      <c r="AO100" s="20" t="e">
        <f t="shared" si="17"/>
        <v>#N/A</v>
      </c>
      <c r="AP100" s="20" t="e">
        <f t="shared" si="18"/>
        <v>#N/A</v>
      </c>
      <c r="AR100" s="20" t="e">
        <f t="shared" si="19"/>
        <v>#N/A</v>
      </c>
      <c r="AS100" s="20" t="e">
        <f t="shared" si="20"/>
        <v>#N/A</v>
      </c>
      <c r="AT100" s="20" t="e">
        <f t="shared" si="21"/>
        <v>#N/A</v>
      </c>
    </row>
    <row r="101" spans="1:46" x14ac:dyDescent="0.3">
      <c r="A101" s="18"/>
      <c r="B101" s="20" t="e">
        <f>INDEX('01_FASTPPH'!$9:$1048576,MATCH($A101,'01_FASTPPH'!$A$9:$A$1048576,0),MATCH(B$9,'01_FASTPPH'!$8:$8,0))</f>
        <v>#N/A</v>
      </c>
      <c r="C101" s="20" t="e">
        <f>INDEX('01_FASTPPH'!$9:$1048576,MATCH($A101,'01_FASTPPH'!$A$9:$A$1048576,0),MATCH(C$9,'01_FASTPPH'!$8:$8,0))</f>
        <v>#N/A</v>
      </c>
      <c r="D101" s="20" t="e">
        <f>INDEX('01_FASTPPH'!$9:$1048576,MATCH($A101,'01_FASTPPH'!$A$9:$A$1048576,0),MATCH(D$9,'01_FASTPPH'!$8:$8,0))</f>
        <v>#N/A</v>
      </c>
      <c r="E101" s="20" t="e">
        <f>INDEX('01_FASTPPH'!$9:$1048576,MATCH($A101,'01_FASTPPH'!$A$9:$A$1048576,0),MATCH(E$9,'01_FASTPPH'!$8:$8,0))</f>
        <v>#N/A</v>
      </c>
      <c r="F101" s="20" t="e">
        <f>INDEX('01_FASTPPH'!$9:$1048576,MATCH($A101,'01_FASTPPH'!$A$9:$A$1048576,0),MATCH(F$9,'01_FASTPPH'!$8:$8,0))</f>
        <v>#N/A</v>
      </c>
      <c r="G101" s="20" t="e">
        <f>INDEX('01_FASTPPH'!$9:$1048576,MATCH($A101,'01_FASTPPH'!$A$9:$A$1048576,0),MATCH(G$9,'01_FASTPPH'!$8:$8,0))</f>
        <v>#N/A</v>
      </c>
      <c r="H101" s="20" t="e">
        <f>INDEX('01_FASTPPH'!$9:$1048576,MATCH($A101,'01_FASTPPH'!$A$9:$A$1048576,0),MATCH(H$9,'01_FASTPPH'!$8:$8,0))</f>
        <v>#N/A</v>
      </c>
      <c r="I101" s="20" t="e">
        <f>INDEX('01_FASTPPH'!$9:$1048576,MATCH($A101,'01_FASTPPH'!$A$9:$A$1048576,0),MATCH(I$9,'01_FASTPPH'!$8:$8,0))</f>
        <v>#N/A</v>
      </c>
      <c r="J101" s="20" t="e">
        <f>INDEX('01_FASTPPH'!$9:$1048576,MATCH($A101,'01_FASTPPH'!$A$9:$A$1048576,0),MATCH(J$9,'01_FASTPPH'!$8:$8,0))</f>
        <v>#N/A</v>
      </c>
      <c r="K101" s="23" t="e">
        <f>INDEX('01_FASTPPH'!$9:$1048576,MATCH($A101,'01_FASTPPH'!$A$9:$A$1048576,0),MATCH(K$9,'01_FASTPPH'!$8:$8,0))</f>
        <v>#N/A</v>
      </c>
      <c r="L101" s="20" t="e">
        <f>INDEX('01_FASTPPH'!$9:$1048576,MATCH($A101,'01_FASTPPH'!$A$9:$A$1048576,0),MATCH(L$9,'01_FASTPPH'!$8:$8,0))</f>
        <v>#N/A</v>
      </c>
      <c r="M101" s="20" t="e">
        <f>INDEX('01_FASTPPH'!$9:$1048576,MATCH($A101,'01_FASTPPH'!$A$9:$A$1048576,0),MATCH(M$9,'01_FASTPPH'!$8:$8,0))</f>
        <v>#N/A</v>
      </c>
      <c r="N101" s="24" t="e">
        <f>INDEX('01_FASTPPH'!$9:$1048576,MATCH($A101,'01_FASTPPH'!$A$9:$A$1048576,0),MATCH(N$9,'01_FASTPPH'!$8:$8,0))</f>
        <v>#N/A</v>
      </c>
      <c r="O101" s="23" t="e">
        <f>INDEX('01_FASTPPH'!$9:$1048576,MATCH($A101,'01_FASTPPH'!$A$9:$A$1048576,0),MATCH(O$9,'01_FASTPPH'!$8:$8,0))</f>
        <v>#N/A</v>
      </c>
      <c r="P101" s="20" t="e">
        <f>INDEX('01_FASTPPH'!$9:$1048576,MATCH($A101,'01_FASTPPH'!$A$9:$A$1048576,0),MATCH(P$9,'01_FASTPPH'!$8:$8,0))</f>
        <v>#N/A</v>
      </c>
      <c r="Q101" s="20" t="e">
        <f>INDEX('01_FASTPPH'!$9:$1048576,MATCH($A101,'01_FASTPPH'!$A$9:$A$1048576,0),MATCH(Q$9,'01_FASTPPH'!$8:$8,0))</f>
        <v>#N/A</v>
      </c>
      <c r="R101" s="20" t="e">
        <f>INDEX('01_FASTPPH'!$9:$1048576,MATCH($A101,'01_FASTPPH'!$A$9:$A$1048576,0),MATCH(R$9,'01_FASTPPH'!$8:$8,0))</f>
        <v>#N/A</v>
      </c>
      <c r="S101" s="20" t="e">
        <f>INDEX('01_FASTPPH'!$9:$1048576,MATCH($A101,'01_FASTPPH'!$A$9:$A$1048576,0),MATCH(S$9,'01_FASTPPH'!$8:$8,0))</f>
        <v>#N/A</v>
      </c>
      <c r="T101" s="24" t="e">
        <f>INDEX('01_FASTPPH'!$9:$1048576,MATCH($A101,'01_FASTPPH'!$A$9:$A$1048576,0),MATCH(T$9,'01_FASTPPH'!$8:$8,0))</f>
        <v>#N/A</v>
      </c>
      <c r="U101" s="23" t="e">
        <f>INDEX('01_FASTPPH'!$9:$1048576,MATCH($A101,'01_FASTPPH'!$A$9:$A$1048576,0),MATCH(U$9,'01_FASTPPH'!$8:$8,0))</f>
        <v>#N/A</v>
      </c>
      <c r="V101" s="20" t="e">
        <f>INDEX('01_FASTPPH'!$9:$1048576,MATCH($A101,'01_FASTPPH'!$A$9:$A$1048576,0),MATCH(V$9,'01_FASTPPH'!$8:$8,0))</f>
        <v>#N/A</v>
      </c>
      <c r="W101" s="24" t="e">
        <f>INDEX('01_FASTPPH'!$9:$1048576,MATCH($A101,'01_FASTPPH'!$A$9:$A$1048576,0),MATCH(W$9,'01_FASTPPH'!$8:$8,0))</f>
        <v>#N/A</v>
      </c>
      <c r="X101" s="20" t="e">
        <f>INDEX('01_FASTPPH'!$9:$1048576,MATCH($A101,'01_FASTPPH'!$A$9:$A$1048576,0),MATCH(X$9,'01_FASTPPH'!$8:$8,0))</f>
        <v>#N/A</v>
      </c>
      <c r="Y101" s="20" t="e">
        <f>INDEX('01_FASTPPH'!$9:$1048576,MATCH($A101,'01_FASTPPH'!$A$9:$A$1048576,0),MATCH(Y$9,'01_FASTPPH'!$8:$8,0))</f>
        <v>#N/A</v>
      </c>
      <c r="AA101" s="32" t="e">
        <f>INDEX('02_PROPERTIES'!$C$10:$I$1048576,MATCH('03_CALCULATIONS'!$D101,'02_PROPERTIES'!$C$10:$C$1048576,0),MATCH('03_CALCULATIONS'!AA$9,'02_PROPERTIES'!$C$10:$I$10,0))</f>
        <v>#N/A</v>
      </c>
      <c r="AB101" s="20" t="e">
        <f>INDEX('02_PROPERTIES'!$C$10:$I$1048576,MATCH('03_CALCULATIONS'!$D101,'02_PROPERTIES'!$C$10:$C$1048576,0),MATCH('03_CALCULATIONS'!AB$9,'02_PROPERTIES'!$C$10:$I$10,0))</f>
        <v>#N/A</v>
      </c>
      <c r="AC101" s="20" t="e">
        <f>INDEX('02_PROPERTIES'!$C$10:$I$1048576,MATCH('03_CALCULATIONS'!$D101,'02_PROPERTIES'!$C$10:$C$1048576,0),MATCH('03_CALCULATIONS'!AC$9,'02_PROPERTIES'!$C$10:$I$10,0))</f>
        <v>#N/A</v>
      </c>
      <c r="AD101" s="20" t="e">
        <f>INDEX('02_PROPERTIES'!$C$10:$I$1048576,MATCH('03_CALCULATIONS'!$D101,'02_PROPERTIES'!$C$10:$C$1048576,0),MATCH('03_CALCULATIONS'!AD$9,'02_PROPERTIES'!$C$10:$I$10,0))</f>
        <v>#N/A</v>
      </c>
      <c r="AE101" s="32" t="e">
        <f>INDEX('02_PROPERTIES'!$C$10:$I$1048576,MATCH('03_CALCULATIONS'!$D101,'02_PROPERTIES'!$C$10:$C$1048576,0),MATCH('03_CALCULATIONS'!AE$9,'02_PROPERTIES'!$C$10:$I$10,0))</f>
        <v>#N/A</v>
      </c>
      <c r="AF101" s="32" t="e">
        <f>INDEX('02_PROPERTIES'!$C$10:$I$1048576,MATCH('03_CALCULATIONS'!$D101,'02_PROPERTIES'!$C$10:$C$1048576,0),MATCH('03_CALCULATIONS'!AF$9,'02_PROPERTIES'!$C$10:$I$10,0))</f>
        <v>#N/A</v>
      </c>
      <c r="AH101" s="20" t="e">
        <f t="shared" si="11"/>
        <v>#N/A</v>
      </c>
      <c r="AI101" s="20" t="e">
        <f t="shared" si="12"/>
        <v>#N/A</v>
      </c>
      <c r="AJ101" s="20" t="e">
        <f t="shared" si="13"/>
        <v>#N/A</v>
      </c>
      <c r="AL101" s="20" t="e">
        <f t="shared" si="14"/>
        <v>#N/A</v>
      </c>
      <c r="AM101" s="20" t="e">
        <f t="shared" si="15"/>
        <v>#N/A</v>
      </c>
      <c r="AN101" s="20" t="e">
        <f t="shared" si="16"/>
        <v>#N/A</v>
      </c>
      <c r="AO101" s="20" t="e">
        <f t="shared" si="17"/>
        <v>#N/A</v>
      </c>
      <c r="AP101" s="20" t="e">
        <f t="shared" si="18"/>
        <v>#N/A</v>
      </c>
      <c r="AR101" s="20" t="e">
        <f t="shared" si="19"/>
        <v>#N/A</v>
      </c>
      <c r="AS101" s="20" t="e">
        <f t="shared" si="20"/>
        <v>#N/A</v>
      </c>
      <c r="AT101" s="20" t="e">
        <f t="shared" si="21"/>
        <v>#N/A</v>
      </c>
    </row>
    <row r="102" spans="1:46" x14ac:dyDescent="0.3">
      <c r="A102" s="18"/>
      <c r="B102" s="20" t="e">
        <f>INDEX('01_FASTPPH'!$9:$1048576,MATCH($A102,'01_FASTPPH'!$A$9:$A$1048576,0),MATCH(B$9,'01_FASTPPH'!$8:$8,0))</f>
        <v>#N/A</v>
      </c>
      <c r="C102" s="20" t="e">
        <f>INDEX('01_FASTPPH'!$9:$1048576,MATCH($A102,'01_FASTPPH'!$A$9:$A$1048576,0),MATCH(C$9,'01_FASTPPH'!$8:$8,0))</f>
        <v>#N/A</v>
      </c>
      <c r="D102" s="20" t="e">
        <f>INDEX('01_FASTPPH'!$9:$1048576,MATCH($A102,'01_FASTPPH'!$A$9:$A$1048576,0),MATCH(D$9,'01_FASTPPH'!$8:$8,0))</f>
        <v>#N/A</v>
      </c>
      <c r="E102" s="20" t="e">
        <f>INDEX('01_FASTPPH'!$9:$1048576,MATCH($A102,'01_FASTPPH'!$A$9:$A$1048576,0),MATCH(E$9,'01_FASTPPH'!$8:$8,0))</f>
        <v>#N/A</v>
      </c>
      <c r="F102" s="20" t="e">
        <f>INDEX('01_FASTPPH'!$9:$1048576,MATCH($A102,'01_FASTPPH'!$A$9:$A$1048576,0),MATCH(F$9,'01_FASTPPH'!$8:$8,0))</f>
        <v>#N/A</v>
      </c>
      <c r="G102" s="20" t="e">
        <f>INDEX('01_FASTPPH'!$9:$1048576,MATCH($A102,'01_FASTPPH'!$A$9:$A$1048576,0),MATCH(G$9,'01_FASTPPH'!$8:$8,0))</f>
        <v>#N/A</v>
      </c>
      <c r="H102" s="20" t="e">
        <f>INDEX('01_FASTPPH'!$9:$1048576,MATCH($A102,'01_FASTPPH'!$A$9:$A$1048576,0),MATCH(H$9,'01_FASTPPH'!$8:$8,0))</f>
        <v>#N/A</v>
      </c>
      <c r="I102" s="20" t="e">
        <f>INDEX('01_FASTPPH'!$9:$1048576,MATCH($A102,'01_FASTPPH'!$A$9:$A$1048576,0),MATCH(I$9,'01_FASTPPH'!$8:$8,0))</f>
        <v>#N/A</v>
      </c>
      <c r="J102" s="20" t="e">
        <f>INDEX('01_FASTPPH'!$9:$1048576,MATCH($A102,'01_FASTPPH'!$A$9:$A$1048576,0),MATCH(J$9,'01_FASTPPH'!$8:$8,0))</f>
        <v>#N/A</v>
      </c>
      <c r="K102" s="23" t="e">
        <f>INDEX('01_FASTPPH'!$9:$1048576,MATCH($A102,'01_FASTPPH'!$A$9:$A$1048576,0),MATCH(K$9,'01_FASTPPH'!$8:$8,0))</f>
        <v>#N/A</v>
      </c>
      <c r="L102" s="20" t="e">
        <f>INDEX('01_FASTPPH'!$9:$1048576,MATCH($A102,'01_FASTPPH'!$A$9:$A$1048576,0),MATCH(L$9,'01_FASTPPH'!$8:$8,0))</f>
        <v>#N/A</v>
      </c>
      <c r="M102" s="20" t="e">
        <f>INDEX('01_FASTPPH'!$9:$1048576,MATCH($A102,'01_FASTPPH'!$A$9:$A$1048576,0),MATCH(M$9,'01_FASTPPH'!$8:$8,0))</f>
        <v>#N/A</v>
      </c>
      <c r="N102" s="24" t="e">
        <f>INDEX('01_FASTPPH'!$9:$1048576,MATCH($A102,'01_FASTPPH'!$A$9:$A$1048576,0),MATCH(N$9,'01_FASTPPH'!$8:$8,0))</f>
        <v>#N/A</v>
      </c>
      <c r="O102" s="23" t="e">
        <f>INDEX('01_FASTPPH'!$9:$1048576,MATCH($A102,'01_FASTPPH'!$A$9:$A$1048576,0),MATCH(O$9,'01_FASTPPH'!$8:$8,0))</f>
        <v>#N/A</v>
      </c>
      <c r="P102" s="20" t="e">
        <f>INDEX('01_FASTPPH'!$9:$1048576,MATCH($A102,'01_FASTPPH'!$A$9:$A$1048576,0),MATCH(P$9,'01_FASTPPH'!$8:$8,0))</f>
        <v>#N/A</v>
      </c>
      <c r="Q102" s="20" t="e">
        <f>INDEX('01_FASTPPH'!$9:$1048576,MATCH($A102,'01_FASTPPH'!$A$9:$A$1048576,0),MATCH(Q$9,'01_FASTPPH'!$8:$8,0))</f>
        <v>#N/A</v>
      </c>
      <c r="R102" s="20" t="e">
        <f>INDEX('01_FASTPPH'!$9:$1048576,MATCH($A102,'01_FASTPPH'!$A$9:$A$1048576,0),MATCH(R$9,'01_FASTPPH'!$8:$8,0))</f>
        <v>#N/A</v>
      </c>
      <c r="S102" s="20" t="e">
        <f>INDEX('01_FASTPPH'!$9:$1048576,MATCH($A102,'01_FASTPPH'!$A$9:$A$1048576,0),MATCH(S$9,'01_FASTPPH'!$8:$8,0))</f>
        <v>#N/A</v>
      </c>
      <c r="T102" s="24" t="e">
        <f>INDEX('01_FASTPPH'!$9:$1048576,MATCH($A102,'01_FASTPPH'!$A$9:$A$1048576,0),MATCH(T$9,'01_FASTPPH'!$8:$8,0))</f>
        <v>#N/A</v>
      </c>
      <c r="U102" s="23" t="e">
        <f>INDEX('01_FASTPPH'!$9:$1048576,MATCH($A102,'01_FASTPPH'!$A$9:$A$1048576,0),MATCH(U$9,'01_FASTPPH'!$8:$8,0))</f>
        <v>#N/A</v>
      </c>
      <c r="V102" s="20" t="e">
        <f>INDEX('01_FASTPPH'!$9:$1048576,MATCH($A102,'01_FASTPPH'!$A$9:$A$1048576,0),MATCH(V$9,'01_FASTPPH'!$8:$8,0))</f>
        <v>#N/A</v>
      </c>
      <c r="W102" s="24" t="e">
        <f>INDEX('01_FASTPPH'!$9:$1048576,MATCH($A102,'01_FASTPPH'!$A$9:$A$1048576,0),MATCH(W$9,'01_FASTPPH'!$8:$8,0))</f>
        <v>#N/A</v>
      </c>
      <c r="X102" s="20" t="e">
        <f>INDEX('01_FASTPPH'!$9:$1048576,MATCH($A102,'01_FASTPPH'!$A$9:$A$1048576,0),MATCH(X$9,'01_FASTPPH'!$8:$8,0))</f>
        <v>#N/A</v>
      </c>
      <c r="Y102" s="20" t="e">
        <f>INDEX('01_FASTPPH'!$9:$1048576,MATCH($A102,'01_FASTPPH'!$A$9:$A$1048576,0),MATCH(Y$9,'01_FASTPPH'!$8:$8,0))</f>
        <v>#N/A</v>
      </c>
      <c r="AA102" s="32" t="e">
        <f>INDEX('02_PROPERTIES'!$C$10:$I$1048576,MATCH('03_CALCULATIONS'!$D102,'02_PROPERTIES'!$C$10:$C$1048576,0),MATCH('03_CALCULATIONS'!AA$9,'02_PROPERTIES'!$C$10:$I$10,0))</f>
        <v>#N/A</v>
      </c>
      <c r="AB102" s="20" t="e">
        <f>INDEX('02_PROPERTIES'!$C$10:$I$1048576,MATCH('03_CALCULATIONS'!$D102,'02_PROPERTIES'!$C$10:$C$1048576,0),MATCH('03_CALCULATIONS'!AB$9,'02_PROPERTIES'!$C$10:$I$10,0))</f>
        <v>#N/A</v>
      </c>
      <c r="AC102" s="20" t="e">
        <f>INDEX('02_PROPERTIES'!$C$10:$I$1048576,MATCH('03_CALCULATIONS'!$D102,'02_PROPERTIES'!$C$10:$C$1048576,0),MATCH('03_CALCULATIONS'!AC$9,'02_PROPERTIES'!$C$10:$I$10,0))</f>
        <v>#N/A</v>
      </c>
      <c r="AD102" s="20" t="e">
        <f>INDEX('02_PROPERTIES'!$C$10:$I$1048576,MATCH('03_CALCULATIONS'!$D102,'02_PROPERTIES'!$C$10:$C$1048576,0),MATCH('03_CALCULATIONS'!AD$9,'02_PROPERTIES'!$C$10:$I$10,0))</f>
        <v>#N/A</v>
      </c>
      <c r="AE102" s="32" t="e">
        <f>INDEX('02_PROPERTIES'!$C$10:$I$1048576,MATCH('03_CALCULATIONS'!$D102,'02_PROPERTIES'!$C$10:$C$1048576,0),MATCH('03_CALCULATIONS'!AE$9,'02_PROPERTIES'!$C$10:$I$10,0))</f>
        <v>#N/A</v>
      </c>
      <c r="AF102" s="32" t="e">
        <f>INDEX('02_PROPERTIES'!$C$10:$I$1048576,MATCH('03_CALCULATIONS'!$D102,'02_PROPERTIES'!$C$10:$C$1048576,0),MATCH('03_CALCULATIONS'!AF$9,'02_PROPERTIES'!$C$10:$I$10,0))</f>
        <v>#N/A</v>
      </c>
      <c r="AH102" s="20" t="e">
        <f t="shared" si="11"/>
        <v>#N/A</v>
      </c>
      <c r="AI102" s="20" t="e">
        <f t="shared" si="12"/>
        <v>#N/A</v>
      </c>
      <c r="AJ102" s="20" t="e">
        <f t="shared" si="13"/>
        <v>#N/A</v>
      </c>
      <c r="AL102" s="20" t="e">
        <f t="shared" si="14"/>
        <v>#N/A</v>
      </c>
      <c r="AM102" s="20" t="e">
        <f t="shared" si="15"/>
        <v>#N/A</v>
      </c>
      <c r="AN102" s="20" t="e">
        <f t="shared" si="16"/>
        <v>#N/A</v>
      </c>
      <c r="AO102" s="20" t="e">
        <f t="shared" si="17"/>
        <v>#N/A</v>
      </c>
      <c r="AP102" s="20" t="e">
        <f t="shared" si="18"/>
        <v>#N/A</v>
      </c>
      <c r="AR102" s="20" t="e">
        <f t="shared" si="19"/>
        <v>#N/A</v>
      </c>
      <c r="AS102" s="20" t="e">
        <f t="shared" si="20"/>
        <v>#N/A</v>
      </c>
      <c r="AT102" s="20" t="e">
        <f t="shared" si="21"/>
        <v>#N/A</v>
      </c>
    </row>
    <row r="103" spans="1:46" x14ac:dyDescent="0.3">
      <c r="A103" s="18"/>
      <c r="B103" s="20" t="e">
        <f>INDEX('01_FASTPPH'!$9:$1048576,MATCH($A103,'01_FASTPPH'!$A$9:$A$1048576,0),MATCH(B$9,'01_FASTPPH'!$8:$8,0))</f>
        <v>#N/A</v>
      </c>
      <c r="C103" s="20" t="e">
        <f>INDEX('01_FASTPPH'!$9:$1048576,MATCH($A103,'01_FASTPPH'!$A$9:$A$1048576,0),MATCH(C$9,'01_FASTPPH'!$8:$8,0))</f>
        <v>#N/A</v>
      </c>
      <c r="D103" s="20" t="e">
        <f>INDEX('01_FASTPPH'!$9:$1048576,MATCH($A103,'01_FASTPPH'!$A$9:$A$1048576,0),MATCH(D$9,'01_FASTPPH'!$8:$8,0))</f>
        <v>#N/A</v>
      </c>
      <c r="E103" s="20" t="e">
        <f>INDEX('01_FASTPPH'!$9:$1048576,MATCH($A103,'01_FASTPPH'!$A$9:$A$1048576,0),MATCH(E$9,'01_FASTPPH'!$8:$8,0))</f>
        <v>#N/A</v>
      </c>
      <c r="F103" s="20" t="e">
        <f>INDEX('01_FASTPPH'!$9:$1048576,MATCH($A103,'01_FASTPPH'!$A$9:$A$1048576,0),MATCH(F$9,'01_FASTPPH'!$8:$8,0))</f>
        <v>#N/A</v>
      </c>
      <c r="G103" s="20" t="e">
        <f>INDEX('01_FASTPPH'!$9:$1048576,MATCH($A103,'01_FASTPPH'!$A$9:$A$1048576,0),MATCH(G$9,'01_FASTPPH'!$8:$8,0))</f>
        <v>#N/A</v>
      </c>
      <c r="H103" s="20" t="e">
        <f>INDEX('01_FASTPPH'!$9:$1048576,MATCH($A103,'01_FASTPPH'!$A$9:$A$1048576,0),MATCH(H$9,'01_FASTPPH'!$8:$8,0))</f>
        <v>#N/A</v>
      </c>
      <c r="I103" s="20" t="e">
        <f>INDEX('01_FASTPPH'!$9:$1048576,MATCH($A103,'01_FASTPPH'!$A$9:$A$1048576,0),MATCH(I$9,'01_FASTPPH'!$8:$8,0))</f>
        <v>#N/A</v>
      </c>
      <c r="J103" s="20" t="e">
        <f>INDEX('01_FASTPPH'!$9:$1048576,MATCH($A103,'01_FASTPPH'!$A$9:$A$1048576,0),MATCH(J$9,'01_FASTPPH'!$8:$8,0))</f>
        <v>#N/A</v>
      </c>
      <c r="K103" s="23" t="e">
        <f>INDEX('01_FASTPPH'!$9:$1048576,MATCH($A103,'01_FASTPPH'!$A$9:$A$1048576,0),MATCH(K$9,'01_FASTPPH'!$8:$8,0))</f>
        <v>#N/A</v>
      </c>
      <c r="L103" s="20" t="e">
        <f>INDEX('01_FASTPPH'!$9:$1048576,MATCH($A103,'01_FASTPPH'!$A$9:$A$1048576,0),MATCH(L$9,'01_FASTPPH'!$8:$8,0))</f>
        <v>#N/A</v>
      </c>
      <c r="M103" s="20" t="e">
        <f>INDEX('01_FASTPPH'!$9:$1048576,MATCH($A103,'01_FASTPPH'!$A$9:$A$1048576,0),MATCH(M$9,'01_FASTPPH'!$8:$8,0))</f>
        <v>#N/A</v>
      </c>
      <c r="N103" s="24" t="e">
        <f>INDEX('01_FASTPPH'!$9:$1048576,MATCH($A103,'01_FASTPPH'!$A$9:$A$1048576,0),MATCH(N$9,'01_FASTPPH'!$8:$8,0))</f>
        <v>#N/A</v>
      </c>
      <c r="O103" s="23" t="e">
        <f>INDEX('01_FASTPPH'!$9:$1048576,MATCH($A103,'01_FASTPPH'!$A$9:$A$1048576,0),MATCH(O$9,'01_FASTPPH'!$8:$8,0))</f>
        <v>#N/A</v>
      </c>
      <c r="P103" s="20" t="e">
        <f>INDEX('01_FASTPPH'!$9:$1048576,MATCH($A103,'01_FASTPPH'!$A$9:$A$1048576,0),MATCH(P$9,'01_FASTPPH'!$8:$8,0))</f>
        <v>#N/A</v>
      </c>
      <c r="Q103" s="20" t="e">
        <f>INDEX('01_FASTPPH'!$9:$1048576,MATCH($A103,'01_FASTPPH'!$A$9:$A$1048576,0),MATCH(Q$9,'01_FASTPPH'!$8:$8,0))</f>
        <v>#N/A</v>
      </c>
      <c r="R103" s="20" t="e">
        <f>INDEX('01_FASTPPH'!$9:$1048576,MATCH($A103,'01_FASTPPH'!$A$9:$A$1048576,0),MATCH(R$9,'01_FASTPPH'!$8:$8,0))</f>
        <v>#N/A</v>
      </c>
      <c r="S103" s="20" t="e">
        <f>INDEX('01_FASTPPH'!$9:$1048576,MATCH($A103,'01_FASTPPH'!$A$9:$A$1048576,0),MATCH(S$9,'01_FASTPPH'!$8:$8,0))</f>
        <v>#N/A</v>
      </c>
      <c r="T103" s="24" t="e">
        <f>INDEX('01_FASTPPH'!$9:$1048576,MATCH($A103,'01_FASTPPH'!$A$9:$A$1048576,0),MATCH(T$9,'01_FASTPPH'!$8:$8,0))</f>
        <v>#N/A</v>
      </c>
      <c r="U103" s="23" t="e">
        <f>INDEX('01_FASTPPH'!$9:$1048576,MATCH($A103,'01_FASTPPH'!$A$9:$A$1048576,0),MATCH(U$9,'01_FASTPPH'!$8:$8,0))</f>
        <v>#N/A</v>
      </c>
      <c r="V103" s="20" t="e">
        <f>INDEX('01_FASTPPH'!$9:$1048576,MATCH($A103,'01_FASTPPH'!$A$9:$A$1048576,0),MATCH(V$9,'01_FASTPPH'!$8:$8,0))</f>
        <v>#N/A</v>
      </c>
      <c r="W103" s="24" t="e">
        <f>INDEX('01_FASTPPH'!$9:$1048576,MATCH($A103,'01_FASTPPH'!$A$9:$A$1048576,0),MATCH(W$9,'01_FASTPPH'!$8:$8,0))</f>
        <v>#N/A</v>
      </c>
      <c r="X103" s="20" t="e">
        <f>INDEX('01_FASTPPH'!$9:$1048576,MATCH($A103,'01_FASTPPH'!$A$9:$A$1048576,0),MATCH(X$9,'01_FASTPPH'!$8:$8,0))</f>
        <v>#N/A</v>
      </c>
      <c r="Y103" s="20" t="e">
        <f>INDEX('01_FASTPPH'!$9:$1048576,MATCH($A103,'01_FASTPPH'!$A$9:$A$1048576,0),MATCH(Y$9,'01_FASTPPH'!$8:$8,0))</f>
        <v>#N/A</v>
      </c>
      <c r="AA103" s="32" t="e">
        <f>INDEX('02_PROPERTIES'!$C$10:$I$1048576,MATCH('03_CALCULATIONS'!$D103,'02_PROPERTIES'!$C$10:$C$1048576,0),MATCH('03_CALCULATIONS'!AA$9,'02_PROPERTIES'!$C$10:$I$10,0))</f>
        <v>#N/A</v>
      </c>
      <c r="AB103" s="20" t="e">
        <f>INDEX('02_PROPERTIES'!$C$10:$I$1048576,MATCH('03_CALCULATIONS'!$D103,'02_PROPERTIES'!$C$10:$C$1048576,0),MATCH('03_CALCULATIONS'!AB$9,'02_PROPERTIES'!$C$10:$I$10,0))</f>
        <v>#N/A</v>
      </c>
      <c r="AC103" s="20" t="e">
        <f>INDEX('02_PROPERTIES'!$C$10:$I$1048576,MATCH('03_CALCULATIONS'!$D103,'02_PROPERTIES'!$C$10:$C$1048576,0),MATCH('03_CALCULATIONS'!AC$9,'02_PROPERTIES'!$C$10:$I$10,0))</f>
        <v>#N/A</v>
      </c>
      <c r="AD103" s="20" t="e">
        <f>INDEX('02_PROPERTIES'!$C$10:$I$1048576,MATCH('03_CALCULATIONS'!$D103,'02_PROPERTIES'!$C$10:$C$1048576,0),MATCH('03_CALCULATIONS'!AD$9,'02_PROPERTIES'!$C$10:$I$10,0))</f>
        <v>#N/A</v>
      </c>
      <c r="AE103" s="32" t="e">
        <f>INDEX('02_PROPERTIES'!$C$10:$I$1048576,MATCH('03_CALCULATIONS'!$D103,'02_PROPERTIES'!$C$10:$C$1048576,0),MATCH('03_CALCULATIONS'!AE$9,'02_PROPERTIES'!$C$10:$I$10,0))</f>
        <v>#N/A</v>
      </c>
      <c r="AF103" s="32" t="e">
        <f>INDEX('02_PROPERTIES'!$C$10:$I$1048576,MATCH('03_CALCULATIONS'!$D103,'02_PROPERTIES'!$C$10:$C$1048576,0),MATCH('03_CALCULATIONS'!AF$9,'02_PROPERTIES'!$C$10:$I$10,0))</f>
        <v>#N/A</v>
      </c>
      <c r="AH103" s="20" t="e">
        <f t="shared" si="11"/>
        <v>#N/A</v>
      </c>
      <c r="AI103" s="20" t="e">
        <f t="shared" si="12"/>
        <v>#N/A</v>
      </c>
      <c r="AJ103" s="20" t="e">
        <f t="shared" si="13"/>
        <v>#N/A</v>
      </c>
      <c r="AL103" s="20" t="e">
        <f t="shared" si="14"/>
        <v>#N/A</v>
      </c>
      <c r="AM103" s="20" t="e">
        <f t="shared" si="15"/>
        <v>#N/A</v>
      </c>
      <c r="AN103" s="20" t="e">
        <f t="shared" si="16"/>
        <v>#N/A</v>
      </c>
      <c r="AO103" s="20" t="e">
        <f t="shared" si="17"/>
        <v>#N/A</v>
      </c>
      <c r="AP103" s="20" t="e">
        <f t="shared" si="18"/>
        <v>#N/A</v>
      </c>
      <c r="AR103" s="20" t="e">
        <f t="shared" si="19"/>
        <v>#N/A</v>
      </c>
      <c r="AS103" s="20" t="e">
        <f t="shared" si="20"/>
        <v>#N/A</v>
      </c>
      <c r="AT103" s="20" t="e">
        <f t="shared" si="21"/>
        <v>#N/A</v>
      </c>
    </row>
    <row r="104" spans="1:46" x14ac:dyDescent="0.3">
      <c r="A104" s="18"/>
      <c r="B104" s="20" t="e">
        <f>INDEX('01_FASTPPH'!$9:$1048576,MATCH($A104,'01_FASTPPH'!$A$9:$A$1048576,0),MATCH(B$9,'01_FASTPPH'!$8:$8,0))</f>
        <v>#N/A</v>
      </c>
      <c r="C104" s="20" t="e">
        <f>INDEX('01_FASTPPH'!$9:$1048576,MATCH($A104,'01_FASTPPH'!$A$9:$A$1048576,0),MATCH(C$9,'01_FASTPPH'!$8:$8,0))</f>
        <v>#N/A</v>
      </c>
      <c r="D104" s="20" t="e">
        <f>INDEX('01_FASTPPH'!$9:$1048576,MATCH($A104,'01_FASTPPH'!$A$9:$A$1048576,0),MATCH(D$9,'01_FASTPPH'!$8:$8,0))</f>
        <v>#N/A</v>
      </c>
      <c r="E104" s="20" t="e">
        <f>INDEX('01_FASTPPH'!$9:$1048576,MATCH($A104,'01_FASTPPH'!$A$9:$A$1048576,0),MATCH(E$9,'01_FASTPPH'!$8:$8,0))</f>
        <v>#N/A</v>
      </c>
      <c r="F104" s="20" t="e">
        <f>INDEX('01_FASTPPH'!$9:$1048576,MATCH($A104,'01_FASTPPH'!$A$9:$A$1048576,0),MATCH(F$9,'01_FASTPPH'!$8:$8,0))</f>
        <v>#N/A</v>
      </c>
      <c r="G104" s="20" t="e">
        <f>INDEX('01_FASTPPH'!$9:$1048576,MATCH($A104,'01_FASTPPH'!$A$9:$A$1048576,0),MATCH(G$9,'01_FASTPPH'!$8:$8,0))</f>
        <v>#N/A</v>
      </c>
      <c r="H104" s="20" t="e">
        <f>INDEX('01_FASTPPH'!$9:$1048576,MATCH($A104,'01_FASTPPH'!$A$9:$A$1048576,0),MATCH(H$9,'01_FASTPPH'!$8:$8,0))</f>
        <v>#N/A</v>
      </c>
      <c r="I104" s="20" t="e">
        <f>INDEX('01_FASTPPH'!$9:$1048576,MATCH($A104,'01_FASTPPH'!$A$9:$A$1048576,0),MATCH(I$9,'01_FASTPPH'!$8:$8,0))</f>
        <v>#N/A</v>
      </c>
      <c r="J104" s="20" t="e">
        <f>INDEX('01_FASTPPH'!$9:$1048576,MATCH($A104,'01_FASTPPH'!$A$9:$A$1048576,0),MATCH(J$9,'01_FASTPPH'!$8:$8,0))</f>
        <v>#N/A</v>
      </c>
      <c r="K104" s="23" t="e">
        <f>INDEX('01_FASTPPH'!$9:$1048576,MATCH($A104,'01_FASTPPH'!$A$9:$A$1048576,0),MATCH(K$9,'01_FASTPPH'!$8:$8,0))</f>
        <v>#N/A</v>
      </c>
      <c r="L104" s="20" t="e">
        <f>INDEX('01_FASTPPH'!$9:$1048576,MATCH($A104,'01_FASTPPH'!$A$9:$A$1048576,0),MATCH(L$9,'01_FASTPPH'!$8:$8,0))</f>
        <v>#N/A</v>
      </c>
      <c r="M104" s="20" t="e">
        <f>INDEX('01_FASTPPH'!$9:$1048576,MATCH($A104,'01_FASTPPH'!$A$9:$A$1048576,0),MATCH(M$9,'01_FASTPPH'!$8:$8,0))</f>
        <v>#N/A</v>
      </c>
      <c r="N104" s="24" t="e">
        <f>INDEX('01_FASTPPH'!$9:$1048576,MATCH($A104,'01_FASTPPH'!$A$9:$A$1048576,0),MATCH(N$9,'01_FASTPPH'!$8:$8,0))</f>
        <v>#N/A</v>
      </c>
      <c r="O104" s="23" t="e">
        <f>INDEX('01_FASTPPH'!$9:$1048576,MATCH($A104,'01_FASTPPH'!$A$9:$A$1048576,0),MATCH(O$9,'01_FASTPPH'!$8:$8,0))</f>
        <v>#N/A</v>
      </c>
      <c r="P104" s="20" t="e">
        <f>INDEX('01_FASTPPH'!$9:$1048576,MATCH($A104,'01_FASTPPH'!$A$9:$A$1048576,0),MATCH(P$9,'01_FASTPPH'!$8:$8,0))</f>
        <v>#N/A</v>
      </c>
      <c r="Q104" s="20" t="e">
        <f>INDEX('01_FASTPPH'!$9:$1048576,MATCH($A104,'01_FASTPPH'!$A$9:$A$1048576,0),MATCH(Q$9,'01_FASTPPH'!$8:$8,0))</f>
        <v>#N/A</v>
      </c>
      <c r="R104" s="20" t="e">
        <f>INDEX('01_FASTPPH'!$9:$1048576,MATCH($A104,'01_FASTPPH'!$A$9:$A$1048576,0),MATCH(R$9,'01_FASTPPH'!$8:$8,0))</f>
        <v>#N/A</v>
      </c>
      <c r="S104" s="20" t="e">
        <f>INDEX('01_FASTPPH'!$9:$1048576,MATCH($A104,'01_FASTPPH'!$A$9:$A$1048576,0),MATCH(S$9,'01_FASTPPH'!$8:$8,0))</f>
        <v>#N/A</v>
      </c>
      <c r="T104" s="24" t="e">
        <f>INDEX('01_FASTPPH'!$9:$1048576,MATCH($A104,'01_FASTPPH'!$A$9:$A$1048576,0),MATCH(T$9,'01_FASTPPH'!$8:$8,0))</f>
        <v>#N/A</v>
      </c>
      <c r="U104" s="23" t="e">
        <f>INDEX('01_FASTPPH'!$9:$1048576,MATCH($A104,'01_FASTPPH'!$A$9:$A$1048576,0),MATCH(U$9,'01_FASTPPH'!$8:$8,0))</f>
        <v>#N/A</v>
      </c>
      <c r="V104" s="20" t="e">
        <f>INDEX('01_FASTPPH'!$9:$1048576,MATCH($A104,'01_FASTPPH'!$A$9:$A$1048576,0),MATCH(V$9,'01_FASTPPH'!$8:$8,0))</f>
        <v>#N/A</v>
      </c>
      <c r="W104" s="24" t="e">
        <f>INDEX('01_FASTPPH'!$9:$1048576,MATCH($A104,'01_FASTPPH'!$A$9:$A$1048576,0),MATCH(W$9,'01_FASTPPH'!$8:$8,0))</f>
        <v>#N/A</v>
      </c>
      <c r="X104" s="20" t="e">
        <f>INDEX('01_FASTPPH'!$9:$1048576,MATCH($A104,'01_FASTPPH'!$A$9:$A$1048576,0),MATCH(X$9,'01_FASTPPH'!$8:$8,0))</f>
        <v>#N/A</v>
      </c>
      <c r="Y104" s="20" t="e">
        <f>INDEX('01_FASTPPH'!$9:$1048576,MATCH($A104,'01_FASTPPH'!$A$9:$A$1048576,0),MATCH(Y$9,'01_FASTPPH'!$8:$8,0))</f>
        <v>#N/A</v>
      </c>
      <c r="AA104" s="32" t="e">
        <f>INDEX('02_PROPERTIES'!$C$10:$I$1048576,MATCH('03_CALCULATIONS'!$D104,'02_PROPERTIES'!$C$10:$C$1048576,0),MATCH('03_CALCULATIONS'!AA$9,'02_PROPERTIES'!$C$10:$I$10,0))</f>
        <v>#N/A</v>
      </c>
      <c r="AB104" s="20" t="e">
        <f>INDEX('02_PROPERTIES'!$C$10:$I$1048576,MATCH('03_CALCULATIONS'!$D104,'02_PROPERTIES'!$C$10:$C$1048576,0),MATCH('03_CALCULATIONS'!AB$9,'02_PROPERTIES'!$C$10:$I$10,0))</f>
        <v>#N/A</v>
      </c>
      <c r="AC104" s="20" t="e">
        <f>INDEX('02_PROPERTIES'!$C$10:$I$1048576,MATCH('03_CALCULATIONS'!$D104,'02_PROPERTIES'!$C$10:$C$1048576,0),MATCH('03_CALCULATIONS'!AC$9,'02_PROPERTIES'!$C$10:$I$10,0))</f>
        <v>#N/A</v>
      </c>
      <c r="AD104" s="20" t="e">
        <f>INDEX('02_PROPERTIES'!$C$10:$I$1048576,MATCH('03_CALCULATIONS'!$D104,'02_PROPERTIES'!$C$10:$C$1048576,0),MATCH('03_CALCULATIONS'!AD$9,'02_PROPERTIES'!$C$10:$I$10,0))</f>
        <v>#N/A</v>
      </c>
      <c r="AE104" s="32" t="e">
        <f>INDEX('02_PROPERTIES'!$C$10:$I$1048576,MATCH('03_CALCULATIONS'!$D104,'02_PROPERTIES'!$C$10:$C$1048576,0),MATCH('03_CALCULATIONS'!AE$9,'02_PROPERTIES'!$C$10:$I$10,0))</f>
        <v>#N/A</v>
      </c>
      <c r="AF104" s="32" t="e">
        <f>INDEX('02_PROPERTIES'!$C$10:$I$1048576,MATCH('03_CALCULATIONS'!$D104,'02_PROPERTIES'!$C$10:$C$1048576,0),MATCH('03_CALCULATIONS'!AF$9,'02_PROPERTIES'!$C$10:$I$10,0))</f>
        <v>#N/A</v>
      </c>
      <c r="AH104" s="20" t="e">
        <f t="shared" si="11"/>
        <v>#N/A</v>
      </c>
      <c r="AI104" s="20" t="e">
        <f t="shared" si="12"/>
        <v>#N/A</v>
      </c>
      <c r="AJ104" s="20" t="e">
        <f t="shared" si="13"/>
        <v>#N/A</v>
      </c>
      <c r="AL104" s="20" t="e">
        <f t="shared" si="14"/>
        <v>#N/A</v>
      </c>
      <c r="AM104" s="20" t="e">
        <f t="shared" si="15"/>
        <v>#N/A</v>
      </c>
      <c r="AN104" s="20" t="e">
        <f t="shared" si="16"/>
        <v>#N/A</v>
      </c>
      <c r="AO104" s="20" t="e">
        <f t="shared" si="17"/>
        <v>#N/A</v>
      </c>
      <c r="AP104" s="20" t="e">
        <f t="shared" si="18"/>
        <v>#N/A</v>
      </c>
      <c r="AR104" s="20" t="e">
        <f t="shared" si="19"/>
        <v>#N/A</v>
      </c>
      <c r="AS104" s="20" t="e">
        <f t="shared" si="20"/>
        <v>#N/A</v>
      </c>
      <c r="AT104" s="20" t="e">
        <f t="shared" si="21"/>
        <v>#N/A</v>
      </c>
    </row>
    <row r="105" spans="1:46" x14ac:dyDescent="0.3">
      <c r="A105" s="18"/>
      <c r="B105" s="20" t="e">
        <f>INDEX('01_FASTPPH'!$9:$1048576,MATCH($A105,'01_FASTPPH'!$A$9:$A$1048576,0),MATCH(B$9,'01_FASTPPH'!$8:$8,0))</f>
        <v>#N/A</v>
      </c>
      <c r="C105" s="20" t="e">
        <f>INDEX('01_FASTPPH'!$9:$1048576,MATCH($A105,'01_FASTPPH'!$A$9:$A$1048576,0),MATCH(C$9,'01_FASTPPH'!$8:$8,0))</f>
        <v>#N/A</v>
      </c>
      <c r="D105" s="20" t="e">
        <f>INDEX('01_FASTPPH'!$9:$1048576,MATCH($A105,'01_FASTPPH'!$A$9:$A$1048576,0),MATCH(D$9,'01_FASTPPH'!$8:$8,0))</f>
        <v>#N/A</v>
      </c>
      <c r="E105" s="20" t="e">
        <f>INDEX('01_FASTPPH'!$9:$1048576,MATCH($A105,'01_FASTPPH'!$A$9:$A$1048576,0),MATCH(E$9,'01_FASTPPH'!$8:$8,0))</f>
        <v>#N/A</v>
      </c>
      <c r="F105" s="20" t="e">
        <f>INDEX('01_FASTPPH'!$9:$1048576,MATCH($A105,'01_FASTPPH'!$A$9:$A$1048576,0),MATCH(F$9,'01_FASTPPH'!$8:$8,0))</f>
        <v>#N/A</v>
      </c>
      <c r="G105" s="20" t="e">
        <f>INDEX('01_FASTPPH'!$9:$1048576,MATCH($A105,'01_FASTPPH'!$A$9:$A$1048576,0),MATCH(G$9,'01_FASTPPH'!$8:$8,0))</f>
        <v>#N/A</v>
      </c>
      <c r="H105" s="20" t="e">
        <f>INDEX('01_FASTPPH'!$9:$1048576,MATCH($A105,'01_FASTPPH'!$A$9:$A$1048576,0),MATCH(H$9,'01_FASTPPH'!$8:$8,0))</f>
        <v>#N/A</v>
      </c>
      <c r="I105" s="20" t="e">
        <f>INDEX('01_FASTPPH'!$9:$1048576,MATCH($A105,'01_FASTPPH'!$A$9:$A$1048576,0),MATCH(I$9,'01_FASTPPH'!$8:$8,0))</f>
        <v>#N/A</v>
      </c>
      <c r="J105" s="20" t="e">
        <f>INDEX('01_FASTPPH'!$9:$1048576,MATCH($A105,'01_FASTPPH'!$A$9:$A$1048576,0),MATCH(J$9,'01_FASTPPH'!$8:$8,0))</f>
        <v>#N/A</v>
      </c>
      <c r="K105" s="23" t="e">
        <f>INDEX('01_FASTPPH'!$9:$1048576,MATCH($A105,'01_FASTPPH'!$A$9:$A$1048576,0),MATCH(K$9,'01_FASTPPH'!$8:$8,0))</f>
        <v>#N/A</v>
      </c>
      <c r="L105" s="20" t="e">
        <f>INDEX('01_FASTPPH'!$9:$1048576,MATCH($A105,'01_FASTPPH'!$A$9:$A$1048576,0),MATCH(L$9,'01_FASTPPH'!$8:$8,0))</f>
        <v>#N/A</v>
      </c>
      <c r="M105" s="20" t="e">
        <f>INDEX('01_FASTPPH'!$9:$1048576,MATCH($A105,'01_FASTPPH'!$A$9:$A$1048576,0),MATCH(M$9,'01_FASTPPH'!$8:$8,0))</f>
        <v>#N/A</v>
      </c>
      <c r="N105" s="24" t="e">
        <f>INDEX('01_FASTPPH'!$9:$1048576,MATCH($A105,'01_FASTPPH'!$A$9:$A$1048576,0),MATCH(N$9,'01_FASTPPH'!$8:$8,0))</f>
        <v>#N/A</v>
      </c>
      <c r="O105" s="23" t="e">
        <f>INDEX('01_FASTPPH'!$9:$1048576,MATCH($A105,'01_FASTPPH'!$A$9:$A$1048576,0),MATCH(O$9,'01_FASTPPH'!$8:$8,0))</f>
        <v>#N/A</v>
      </c>
      <c r="P105" s="20" t="e">
        <f>INDEX('01_FASTPPH'!$9:$1048576,MATCH($A105,'01_FASTPPH'!$A$9:$A$1048576,0),MATCH(P$9,'01_FASTPPH'!$8:$8,0))</f>
        <v>#N/A</v>
      </c>
      <c r="Q105" s="20" t="e">
        <f>INDEX('01_FASTPPH'!$9:$1048576,MATCH($A105,'01_FASTPPH'!$A$9:$A$1048576,0),MATCH(Q$9,'01_FASTPPH'!$8:$8,0))</f>
        <v>#N/A</v>
      </c>
      <c r="R105" s="20" t="e">
        <f>INDEX('01_FASTPPH'!$9:$1048576,MATCH($A105,'01_FASTPPH'!$A$9:$A$1048576,0),MATCH(R$9,'01_FASTPPH'!$8:$8,0))</f>
        <v>#N/A</v>
      </c>
      <c r="S105" s="20" t="e">
        <f>INDEX('01_FASTPPH'!$9:$1048576,MATCH($A105,'01_FASTPPH'!$A$9:$A$1048576,0),MATCH(S$9,'01_FASTPPH'!$8:$8,0))</f>
        <v>#N/A</v>
      </c>
      <c r="T105" s="24" t="e">
        <f>INDEX('01_FASTPPH'!$9:$1048576,MATCH($A105,'01_FASTPPH'!$A$9:$A$1048576,0),MATCH(T$9,'01_FASTPPH'!$8:$8,0))</f>
        <v>#N/A</v>
      </c>
      <c r="U105" s="23" t="e">
        <f>INDEX('01_FASTPPH'!$9:$1048576,MATCH($A105,'01_FASTPPH'!$A$9:$A$1048576,0),MATCH(U$9,'01_FASTPPH'!$8:$8,0))</f>
        <v>#N/A</v>
      </c>
      <c r="V105" s="20" t="e">
        <f>INDEX('01_FASTPPH'!$9:$1048576,MATCH($A105,'01_FASTPPH'!$A$9:$A$1048576,0),MATCH(V$9,'01_FASTPPH'!$8:$8,0))</f>
        <v>#N/A</v>
      </c>
      <c r="W105" s="24" t="e">
        <f>INDEX('01_FASTPPH'!$9:$1048576,MATCH($A105,'01_FASTPPH'!$A$9:$A$1048576,0),MATCH(W$9,'01_FASTPPH'!$8:$8,0))</f>
        <v>#N/A</v>
      </c>
      <c r="X105" s="20" t="e">
        <f>INDEX('01_FASTPPH'!$9:$1048576,MATCH($A105,'01_FASTPPH'!$A$9:$A$1048576,0),MATCH(X$9,'01_FASTPPH'!$8:$8,0))</f>
        <v>#N/A</v>
      </c>
      <c r="Y105" s="20" t="e">
        <f>INDEX('01_FASTPPH'!$9:$1048576,MATCH($A105,'01_FASTPPH'!$A$9:$A$1048576,0),MATCH(Y$9,'01_FASTPPH'!$8:$8,0))</f>
        <v>#N/A</v>
      </c>
      <c r="AA105" s="32" t="e">
        <f>INDEX('02_PROPERTIES'!$C$10:$I$1048576,MATCH('03_CALCULATIONS'!$D105,'02_PROPERTIES'!$C$10:$C$1048576,0),MATCH('03_CALCULATIONS'!AA$9,'02_PROPERTIES'!$C$10:$I$10,0))</f>
        <v>#N/A</v>
      </c>
      <c r="AB105" s="20" t="e">
        <f>INDEX('02_PROPERTIES'!$C$10:$I$1048576,MATCH('03_CALCULATIONS'!$D105,'02_PROPERTIES'!$C$10:$C$1048576,0),MATCH('03_CALCULATIONS'!AB$9,'02_PROPERTIES'!$C$10:$I$10,0))</f>
        <v>#N/A</v>
      </c>
      <c r="AC105" s="20" t="e">
        <f>INDEX('02_PROPERTIES'!$C$10:$I$1048576,MATCH('03_CALCULATIONS'!$D105,'02_PROPERTIES'!$C$10:$C$1048576,0),MATCH('03_CALCULATIONS'!AC$9,'02_PROPERTIES'!$C$10:$I$10,0))</f>
        <v>#N/A</v>
      </c>
      <c r="AD105" s="20" t="e">
        <f>INDEX('02_PROPERTIES'!$C$10:$I$1048576,MATCH('03_CALCULATIONS'!$D105,'02_PROPERTIES'!$C$10:$C$1048576,0),MATCH('03_CALCULATIONS'!AD$9,'02_PROPERTIES'!$C$10:$I$10,0))</f>
        <v>#N/A</v>
      </c>
      <c r="AE105" s="32" t="e">
        <f>INDEX('02_PROPERTIES'!$C$10:$I$1048576,MATCH('03_CALCULATIONS'!$D105,'02_PROPERTIES'!$C$10:$C$1048576,0),MATCH('03_CALCULATIONS'!AE$9,'02_PROPERTIES'!$C$10:$I$10,0))</f>
        <v>#N/A</v>
      </c>
      <c r="AF105" s="32" t="e">
        <f>INDEX('02_PROPERTIES'!$C$10:$I$1048576,MATCH('03_CALCULATIONS'!$D105,'02_PROPERTIES'!$C$10:$C$1048576,0),MATCH('03_CALCULATIONS'!AF$9,'02_PROPERTIES'!$C$10:$I$10,0))</f>
        <v>#N/A</v>
      </c>
      <c r="AH105" s="20" t="e">
        <f t="shared" si="11"/>
        <v>#N/A</v>
      </c>
      <c r="AI105" s="20" t="e">
        <f t="shared" si="12"/>
        <v>#N/A</v>
      </c>
      <c r="AJ105" s="20" t="e">
        <f t="shared" si="13"/>
        <v>#N/A</v>
      </c>
      <c r="AL105" s="20" t="e">
        <f t="shared" si="14"/>
        <v>#N/A</v>
      </c>
      <c r="AM105" s="20" t="e">
        <f t="shared" si="15"/>
        <v>#N/A</v>
      </c>
      <c r="AN105" s="20" t="e">
        <f t="shared" si="16"/>
        <v>#N/A</v>
      </c>
      <c r="AO105" s="20" t="e">
        <f t="shared" si="17"/>
        <v>#N/A</v>
      </c>
      <c r="AP105" s="20" t="e">
        <f t="shared" si="18"/>
        <v>#N/A</v>
      </c>
      <c r="AR105" s="20" t="e">
        <f t="shared" si="19"/>
        <v>#N/A</v>
      </c>
      <c r="AS105" s="20" t="e">
        <f t="shared" si="20"/>
        <v>#N/A</v>
      </c>
      <c r="AT105" s="20" t="e">
        <f t="shared" si="21"/>
        <v>#N/A</v>
      </c>
    </row>
    <row r="106" spans="1:46" x14ac:dyDescent="0.3">
      <c r="A106" s="18"/>
      <c r="B106" s="20" t="e">
        <f>INDEX('01_FASTPPH'!$9:$1048576,MATCH($A106,'01_FASTPPH'!$A$9:$A$1048576,0),MATCH(B$9,'01_FASTPPH'!$8:$8,0))</f>
        <v>#N/A</v>
      </c>
      <c r="C106" s="20" t="e">
        <f>INDEX('01_FASTPPH'!$9:$1048576,MATCH($A106,'01_FASTPPH'!$A$9:$A$1048576,0),MATCH(C$9,'01_FASTPPH'!$8:$8,0))</f>
        <v>#N/A</v>
      </c>
      <c r="D106" s="20" t="e">
        <f>INDEX('01_FASTPPH'!$9:$1048576,MATCH($A106,'01_FASTPPH'!$A$9:$A$1048576,0),MATCH(D$9,'01_FASTPPH'!$8:$8,0))</f>
        <v>#N/A</v>
      </c>
      <c r="E106" s="20" t="e">
        <f>INDEX('01_FASTPPH'!$9:$1048576,MATCH($A106,'01_FASTPPH'!$A$9:$A$1048576,0),MATCH(E$9,'01_FASTPPH'!$8:$8,0))</f>
        <v>#N/A</v>
      </c>
      <c r="F106" s="20" t="e">
        <f>INDEX('01_FASTPPH'!$9:$1048576,MATCH($A106,'01_FASTPPH'!$A$9:$A$1048576,0),MATCH(F$9,'01_FASTPPH'!$8:$8,0))</f>
        <v>#N/A</v>
      </c>
      <c r="G106" s="20" t="e">
        <f>INDEX('01_FASTPPH'!$9:$1048576,MATCH($A106,'01_FASTPPH'!$A$9:$A$1048576,0),MATCH(G$9,'01_FASTPPH'!$8:$8,0))</f>
        <v>#N/A</v>
      </c>
      <c r="H106" s="20" t="e">
        <f>INDEX('01_FASTPPH'!$9:$1048576,MATCH($A106,'01_FASTPPH'!$A$9:$A$1048576,0),MATCH(H$9,'01_FASTPPH'!$8:$8,0))</f>
        <v>#N/A</v>
      </c>
      <c r="I106" s="20" t="e">
        <f>INDEX('01_FASTPPH'!$9:$1048576,MATCH($A106,'01_FASTPPH'!$A$9:$A$1048576,0),MATCH(I$9,'01_FASTPPH'!$8:$8,0))</f>
        <v>#N/A</v>
      </c>
      <c r="J106" s="20" t="e">
        <f>INDEX('01_FASTPPH'!$9:$1048576,MATCH($A106,'01_FASTPPH'!$A$9:$A$1048576,0),MATCH(J$9,'01_FASTPPH'!$8:$8,0))</f>
        <v>#N/A</v>
      </c>
      <c r="K106" s="23" t="e">
        <f>INDEX('01_FASTPPH'!$9:$1048576,MATCH($A106,'01_FASTPPH'!$A$9:$A$1048576,0),MATCH(K$9,'01_FASTPPH'!$8:$8,0))</f>
        <v>#N/A</v>
      </c>
      <c r="L106" s="20" t="e">
        <f>INDEX('01_FASTPPH'!$9:$1048576,MATCH($A106,'01_FASTPPH'!$A$9:$A$1048576,0),MATCH(L$9,'01_FASTPPH'!$8:$8,0))</f>
        <v>#N/A</v>
      </c>
      <c r="M106" s="20" t="e">
        <f>INDEX('01_FASTPPH'!$9:$1048576,MATCH($A106,'01_FASTPPH'!$A$9:$A$1048576,0),MATCH(M$9,'01_FASTPPH'!$8:$8,0))</f>
        <v>#N/A</v>
      </c>
      <c r="N106" s="24" t="e">
        <f>INDEX('01_FASTPPH'!$9:$1048576,MATCH($A106,'01_FASTPPH'!$A$9:$A$1048576,0),MATCH(N$9,'01_FASTPPH'!$8:$8,0))</f>
        <v>#N/A</v>
      </c>
      <c r="O106" s="23" t="e">
        <f>INDEX('01_FASTPPH'!$9:$1048576,MATCH($A106,'01_FASTPPH'!$A$9:$A$1048576,0),MATCH(O$9,'01_FASTPPH'!$8:$8,0))</f>
        <v>#N/A</v>
      </c>
      <c r="P106" s="20" t="e">
        <f>INDEX('01_FASTPPH'!$9:$1048576,MATCH($A106,'01_FASTPPH'!$A$9:$A$1048576,0),MATCH(P$9,'01_FASTPPH'!$8:$8,0))</f>
        <v>#N/A</v>
      </c>
      <c r="Q106" s="20" t="e">
        <f>INDEX('01_FASTPPH'!$9:$1048576,MATCH($A106,'01_FASTPPH'!$A$9:$A$1048576,0),MATCH(Q$9,'01_FASTPPH'!$8:$8,0))</f>
        <v>#N/A</v>
      </c>
      <c r="R106" s="20" t="e">
        <f>INDEX('01_FASTPPH'!$9:$1048576,MATCH($A106,'01_FASTPPH'!$A$9:$A$1048576,0),MATCH(R$9,'01_FASTPPH'!$8:$8,0))</f>
        <v>#N/A</v>
      </c>
      <c r="S106" s="20" t="e">
        <f>INDEX('01_FASTPPH'!$9:$1048576,MATCH($A106,'01_FASTPPH'!$A$9:$A$1048576,0),MATCH(S$9,'01_FASTPPH'!$8:$8,0))</f>
        <v>#N/A</v>
      </c>
      <c r="T106" s="24" t="e">
        <f>INDEX('01_FASTPPH'!$9:$1048576,MATCH($A106,'01_FASTPPH'!$A$9:$A$1048576,0),MATCH(T$9,'01_FASTPPH'!$8:$8,0))</f>
        <v>#N/A</v>
      </c>
      <c r="U106" s="23" t="e">
        <f>INDEX('01_FASTPPH'!$9:$1048576,MATCH($A106,'01_FASTPPH'!$A$9:$A$1048576,0),MATCH(U$9,'01_FASTPPH'!$8:$8,0))</f>
        <v>#N/A</v>
      </c>
      <c r="V106" s="20" t="e">
        <f>INDEX('01_FASTPPH'!$9:$1048576,MATCH($A106,'01_FASTPPH'!$A$9:$A$1048576,0),MATCH(V$9,'01_FASTPPH'!$8:$8,0))</f>
        <v>#N/A</v>
      </c>
      <c r="W106" s="24" t="e">
        <f>INDEX('01_FASTPPH'!$9:$1048576,MATCH($A106,'01_FASTPPH'!$A$9:$A$1048576,0),MATCH(W$9,'01_FASTPPH'!$8:$8,0))</f>
        <v>#N/A</v>
      </c>
      <c r="X106" s="20" t="e">
        <f>INDEX('01_FASTPPH'!$9:$1048576,MATCH($A106,'01_FASTPPH'!$A$9:$A$1048576,0),MATCH(X$9,'01_FASTPPH'!$8:$8,0))</f>
        <v>#N/A</v>
      </c>
      <c r="Y106" s="20" t="e">
        <f>INDEX('01_FASTPPH'!$9:$1048576,MATCH($A106,'01_FASTPPH'!$A$9:$A$1048576,0),MATCH(Y$9,'01_FASTPPH'!$8:$8,0))</f>
        <v>#N/A</v>
      </c>
      <c r="AA106" s="32" t="e">
        <f>INDEX('02_PROPERTIES'!$C$10:$I$1048576,MATCH('03_CALCULATIONS'!$D106,'02_PROPERTIES'!$C$10:$C$1048576,0),MATCH('03_CALCULATIONS'!AA$9,'02_PROPERTIES'!$C$10:$I$10,0))</f>
        <v>#N/A</v>
      </c>
      <c r="AB106" s="20" t="e">
        <f>INDEX('02_PROPERTIES'!$C$10:$I$1048576,MATCH('03_CALCULATIONS'!$D106,'02_PROPERTIES'!$C$10:$C$1048576,0),MATCH('03_CALCULATIONS'!AB$9,'02_PROPERTIES'!$C$10:$I$10,0))</f>
        <v>#N/A</v>
      </c>
      <c r="AC106" s="20" t="e">
        <f>INDEX('02_PROPERTIES'!$C$10:$I$1048576,MATCH('03_CALCULATIONS'!$D106,'02_PROPERTIES'!$C$10:$C$1048576,0),MATCH('03_CALCULATIONS'!AC$9,'02_PROPERTIES'!$C$10:$I$10,0))</f>
        <v>#N/A</v>
      </c>
      <c r="AD106" s="20" t="e">
        <f>INDEX('02_PROPERTIES'!$C$10:$I$1048576,MATCH('03_CALCULATIONS'!$D106,'02_PROPERTIES'!$C$10:$C$1048576,0),MATCH('03_CALCULATIONS'!AD$9,'02_PROPERTIES'!$C$10:$I$10,0))</f>
        <v>#N/A</v>
      </c>
      <c r="AE106" s="32" t="e">
        <f>INDEX('02_PROPERTIES'!$C$10:$I$1048576,MATCH('03_CALCULATIONS'!$D106,'02_PROPERTIES'!$C$10:$C$1048576,0),MATCH('03_CALCULATIONS'!AE$9,'02_PROPERTIES'!$C$10:$I$10,0))</f>
        <v>#N/A</v>
      </c>
      <c r="AF106" s="32" t="e">
        <f>INDEX('02_PROPERTIES'!$C$10:$I$1048576,MATCH('03_CALCULATIONS'!$D106,'02_PROPERTIES'!$C$10:$C$1048576,0),MATCH('03_CALCULATIONS'!AF$9,'02_PROPERTIES'!$C$10:$I$10,0))</f>
        <v>#N/A</v>
      </c>
      <c r="AH106" s="20" t="e">
        <f t="shared" si="11"/>
        <v>#N/A</v>
      </c>
      <c r="AI106" s="20" t="e">
        <f t="shared" si="12"/>
        <v>#N/A</v>
      </c>
      <c r="AJ106" s="20" t="e">
        <f t="shared" si="13"/>
        <v>#N/A</v>
      </c>
      <c r="AL106" s="20" t="e">
        <f t="shared" si="14"/>
        <v>#N/A</v>
      </c>
      <c r="AM106" s="20" t="e">
        <f t="shared" si="15"/>
        <v>#N/A</v>
      </c>
      <c r="AN106" s="20" t="e">
        <f t="shared" si="16"/>
        <v>#N/A</v>
      </c>
      <c r="AO106" s="20" t="e">
        <f t="shared" si="17"/>
        <v>#N/A</v>
      </c>
      <c r="AP106" s="20" t="e">
        <f t="shared" si="18"/>
        <v>#N/A</v>
      </c>
      <c r="AR106" s="20" t="e">
        <f t="shared" si="19"/>
        <v>#N/A</v>
      </c>
      <c r="AS106" s="20" t="e">
        <f t="shared" si="20"/>
        <v>#N/A</v>
      </c>
      <c r="AT106" s="20" t="e">
        <f t="shared" si="21"/>
        <v>#N/A</v>
      </c>
    </row>
    <row r="107" spans="1:46" x14ac:dyDescent="0.3">
      <c r="A107" s="18"/>
      <c r="B107" s="20" t="e">
        <f>INDEX('01_FASTPPH'!$9:$1048576,MATCH($A107,'01_FASTPPH'!$A$9:$A$1048576,0),MATCH(B$9,'01_FASTPPH'!$8:$8,0))</f>
        <v>#N/A</v>
      </c>
      <c r="C107" s="20" t="e">
        <f>INDEX('01_FASTPPH'!$9:$1048576,MATCH($A107,'01_FASTPPH'!$A$9:$A$1048576,0),MATCH(C$9,'01_FASTPPH'!$8:$8,0))</f>
        <v>#N/A</v>
      </c>
      <c r="D107" s="20" t="e">
        <f>INDEX('01_FASTPPH'!$9:$1048576,MATCH($A107,'01_FASTPPH'!$A$9:$A$1048576,0),MATCH(D$9,'01_FASTPPH'!$8:$8,0))</f>
        <v>#N/A</v>
      </c>
      <c r="E107" s="20" t="e">
        <f>INDEX('01_FASTPPH'!$9:$1048576,MATCH($A107,'01_FASTPPH'!$A$9:$A$1048576,0),MATCH(E$9,'01_FASTPPH'!$8:$8,0))</f>
        <v>#N/A</v>
      </c>
      <c r="F107" s="20" t="e">
        <f>INDEX('01_FASTPPH'!$9:$1048576,MATCH($A107,'01_FASTPPH'!$A$9:$A$1048576,0),MATCH(F$9,'01_FASTPPH'!$8:$8,0))</f>
        <v>#N/A</v>
      </c>
      <c r="G107" s="20" t="e">
        <f>INDEX('01_FASTPPH'!$9:$1048576,MATCH($A107,'01_FASTPPH'!$A$9:$A$1048576,0),MATCH(G$9,'01_FASTPPH'!$8:$8,0))</f>
        <v>#N/A</v>
      </c>
      <c r="H107" s="20" t="e">
        <f>INDEX('01_FASTPPH'!$9:$1048576,MATCH($A107,'01_FASTPPH'!$A$9:$A$1048576,0),MATCH(H$9,'01_FASTPPH'!$8:$8,0))</f>
        <v>#N/A</v>
      </c>
      <c r="I107" s="20" t="e">
        <f>INDEX('01_FASTPPH'!$9:$1048576,MATCH($A107,'01_FASTPPH'!$A$9:$A$1048576,0),MATCH(I$9,'01_FASTPPH'!$8:$8,0))</f>
        <v>#N/A</v>
      </c>
      <c r="J107" s="20" t="e">
        <f>INDEX('01_FASTPPH'!$9:$1048576,MATCH($A107,'01_FASTPPH'!$A$9:$A$1048576,0),MATCH(J$9,'01_FASTPPH'!$8:$8,0))</f>
        <v>#N/A</v>
      </c>
      <c r="K107" s="23" t="e">
        <f>INDEX('01_FASTPPH'!$9:$1048576,MATCH($A107,'01_FASTPPH'!$A$9:$A$1048576,0),MATCH(K$9,'01_FASTPPH'!$8:$8,0))</f>
        <v>#N/A</v>
      </c>
      <c r="L107" s="20" t="e">
        <f>INDEX('01_FASTPPH'!$9:$1048576,MATCH($A107,'01_FASTPPH'!$A$9:$A$1048576,0),MATCH(L$9,'01_FASTPPH'!$8:$8,0))</f>
        <v>#N/A</v>
      </c>
      <c r="M107" s="20" t="e">
        <f>INDEX('01_FASTPPH'!$9:$1048576,MATCH($A107,'01_FASTPPH'!$A$9:$A$1048576,0),MATCH(M$9,'01_FASTPPH'!$8:$8,0))</f>
        <v>#N/A</v>
      </c>
      <c r="N107" s="24" t="e">
        <f>INDEX('01_FASTPPH'!$9:$1048576,MATCH($A107,'01_FASTPPH'!$A$9:$A$1048576,0),MATCH(N$9,'01_FASTPPH'!$8:$8,0))</f>
        <v>#N/A</v>
      </c>
      <c r="O107" s="23" t="e">
        <f>INDEX('01_FASTPPH'!$9:$1048576,MATCH($A107,'01_FASTPPH'!$A$9:$A$1048576,0),MATCH(O$9,'01_FASTPPH'!$8:$8,0))</f>
        <v>#N/A</v>
      </c>
      <c r="P107" s="20" t="e">
        <f>INDEX('01_FASTPPH'!$9:$1048576,MATCH($A107,'01_FASTPPH'!$A$9:$A$1048576,0),MATCH(P$9,'01_FASTPPH'!$8:$8,0))</f>
        <v>#N/A</v>
      </c>
      <c r="Q107" s="20" t="e">
        <f>INDEX('01_FASTPPH'!$9:$1048576,MATCH($A107,'01_FASTPPH'!$A$9:$A$1048576,0),MATCH(Q$9,'01_FASTPPH'!$8:$8,0))</f>
        <v>#N/A</v>
      </c>
      <c r="R107" s="20" t="e">
        <f>INDEX('01_FASTPPH'!$9:$1048576,MATCH($A107,'01_FASTPPH'!$A$9:$A$1048576,0),MATCH(R$9,'01_FASTPPH'!$8:$8,0))</f>
        <v>#N/A</v>
      </c>
      <c r="S107" s="20" t="e">
        <f>INDEX('01_FASTPPH'!$9:$1048576,MATCH($A107,'01_FASTPPH'!$A$9:$A$1048576,0),MATCH(S$9,'01_FASTPPH'!$8:$8,0))</f>
        <v>#N/A</v>
      </c>
      <c r="T107" s="24" t="e">
        <f>INDEX('01_FASTPPH'!$9:$1048576,MATCH($A107,'01_FASTPPH'!$A$9:$A$1048576,0),MATCH(T$9,'01_FASTPPH'!$8:$8,0))</f>
        <v>#N/A</v>
      </c>
      <c r="U107" s="23" t="e">
        <f>INDEX('01_FASTPPH'!$9:$1048576,MATCH($A107,'01_FASTPPH'!$A$9:$A$1048576,0),MATCH(U$9,'01_FASTPPH'!$8:$8,0))</f>
        <v>#N/A</v>
      </c>
      <c r="V107" s="20" t="e">
        <f>INDEX('01_FASTPPH'!$9:$1048576,MATCH($A107,'01_FASTPPH'!$A$9:$A$1048576,0),MATCH(V$9,'01_FASTPPH'!$8:$8,0))</f>
        <v>#N/A</v>
      </c>
      <c r="W107" s="24" t="e">
        <f>INDEX('01_FASTPPH'!$9:$1048576,MATCH($A107,'01_FASTPPH'!$A$9:$A$1048576,0),MATCH(W$9,'01_FASTPPH'!$8:$8,0))</f>
        <v>#N/A</v>
      </c>
      <c r="X107" s="20" t="e">
        <f>INDEX('01_FASTPPH'!$9:$1048576,MATCH($A107,'01_FASTPPH'!$A$9:$A$1048576,0),MATCH(X$9,'01_FASTPPH'!$8:$8,0))</f>
        <v>#N/A</v>
      </c>
      <c r="Y107" s="20" t="e">
        <f>INDEX('01_FASTPPH'!$9:$1048576,MATCH($A107,'01_FASTPPH'!$A$9:$A$1048576,0),MATCH(Y$9,'01_FASTPPH'!$8:$8,0))</f>
        <v>#N/A</v>
      </c>
      <c r="AA107" s="32" t="e">
        <f>INDEX('02_PROPERTIES'!$C$10:$I$1048576,MATCH('03_CALCULATIONS'!$D107,'02_PROPERTIES'!$C$10:$C$1048576,0),MATCH('03_CALCULATIONS'!AA$9,'02_PROPERTIES'!$C$10:$I$10,0))</f>
        <v>#N/A</v>
      </c>
      <c r="AB107" s="20" t="e">
        <f>INDEX('02_PROPERTIES'!$C$10:$I$1048576,MATCH('03_CALCULATIONS'!$D107,'02_PROPERTIES'!$C$10:$C$1048576,0),MATCH('03_CALCULATIONS'!AB$9,'02_PROPERTIES'!$C$10:$I$10,0))</f>
        <v>#N/A</v>
      </c>
      <c r="AC107" s="20" t="e">
        <f>INDEX('02_PROPERTIES'!$C$10:$I$1048576,MATCH('03_CALCULATIONS'!$D107,'02_PROPERTIES'!$C$10:$C$1048576,0),MATCH('03_CALCULATIONS'!AC$9,'02_PROPERTIES'!$C$10:$I$10,0))</f>
        <v>#N/A</v>
      </c>
      <c r="AD107" s="20" t="e">
        <f>INDEX('02_PROPERTIES'!$C$10:$I$1048576,MATCH('03_CALCULATIONS'!$D107,'02_PROPERTIES'!$C$10:$C$1048576,0),MATCH('03_CALCULATIONS'!AD$9,'02_PROPERTIES'!$C$10:$I$10,0))</f>
        <v>#N/A</v>
      </c>
      <c r="AE107" s="32" t="e">
        <f>INDEX('02_PROPERTIES'!$C$10:$I$1048576,MATCH('03_CALCULATIONS'!$D107,'02_PROPERTIES'!$C$10:$C$1048576,0),MATCH('03_CALCULATIONS'!AE$9,'02_PROPERTIES'!$C$10:$I$10,0))</f>
        <v>#N/A</v>
      </c>
      <c r="AF107" s="32" t="e">
        <f>INDEX('02_PROPERTIES'!$C$10:$I$1048576,MATCH('03_CALCULATIONS'!$D107,'02_PROPERTIES'!$C$10:$C$1048576,0),MATCH('03_CALCULATIONS'!AF$9,'02_PROPERTIES'!$C$10:$I$10,0))</f>
        <v>#N/A</v>
      </c>
      <c r="AH107" s="20" t="e">
        <f t="shared" si="11"/>
        <v>#N/A</v>
      </c>
      <c r="AI107" s="20" t="e">
        <f t="shared" si="12"/>
        <v>#N/A</v>
      </c>
      <c r="AJ107" s="20" t="e">
        <f t="shared" si="13"/>
        <v>#N/A</v>
      </c>
      <c r="AL107" s="20" t="e">
        <f t="shared" si="14"/>
        <v>#N/A</v>
      </c>
      <c r="AM107" s="20" t="e">
        <f t="shared" si="15"/>
        <v>#N/A</v>
      </c>
      <c r="AN107" s="20" t="e">
        <f t="shared" si="16"/>
        <v>#N/A</v>
      </c>
      <c r="AO107" s="20" t="e">
        <f t="shared" si="17"/>
        <v>#N/A</v>
      </c>
      <c r="AP107" s="20" t="e">
        <f t="shared" si="18"/>
        <v>#N/A</v>
      </c>
      <c r="AR107" s="20" t="e">
        <f t="shared" si="19"/>
        <v>#N/A</v>
      </c>
      <c r="AS107" s="20" t="e">
        <f t="shared" si="20"/>
        <v>#N/A</v>
      </c>
      <c r="AT107" s="20" t="e">
        <f t="shared" si="21"/>
        <v>#N/A</v>
      </c>
    </row>
    <row r="108" spans="1:46" x14ac:dyDescent="0.3">
      <c r="A108" s="18"/>
      <c r="B108" s="20" t="e">
        <f>INDEX('01_FASTPPH'!$9:$1048576,MATCH($A108,'01_FASTPPH'!$A$9:$A$1048576,0),MATCH(B$9,'01_FASTPPH'!$8:$8,0))</f>
        <v>#N/A</v>
      </c>
      <c r="C108" s="20" t="e">
        <f>INDEX('01_FASTPPH'!$9:$1048576,MATCH($A108,'01_FASTPPH'!$A$9:$A$1048576,0),MATCH(C$9,'01_FASTPPH'!$8:$8,0))</f>
        <v>#N/A</v>
      </c>
      <c r="D108" s="20" t="e">
        <f>INDEX('01_FASTPPH'!$9:$1048576,MATCH($A108,'01_FASTPPH'!$A$9:$A$1048576,0),MATCH(D$9,'01_FASTPPH'!$8:$8,0))</f>
        <v>#N/A</v>
      </c>
      <c r="E108" s="20" t="e">
        <f>INDEX('01_FASTPPH'!$9:$1048576,MATCH($A108,'01_FASTPPH'!$A$9:$A$1048576,0),MATCH(E$9,'01_FASTPPH'!$8:$8,0))</f>
        <v>#N/A</v>
      </c>
      <c r="F108" s="20" t="e">
        <f>INDEX('01_FASTPPH'!$9:$1048576,MATCH($A108,'01_FASTPPH'!$A$9:$A$1048576,0),MATCH(F$9,'01_FASTPPH'!$8:$8,0))</f>
        <v>#N/A</v>
      </c>
      <c r="G108" s="20" t="e">
        <f>INDEX('01_FASTPPH'!$9:$1048576,MATCH($A108,'01_FASTPPH'!$A$9:$A$1048576,0),MATCH(G$9,'01_FASTPPH'!$8:$8,0))</f>
        <v>#N/A</v>
      </c>
      <c r="H108" s="20" t="e">
        <f>INDEX('01_FASTPPH'!$9:$1048576,MATCH($A108,'01_FASTPPH'!$A$9:$A$1048576,0),MATCH(H$9,'01_FASTPPH'!$8:$8,0))</f>
        <v>#N/A</v>
      </c>
      <c r="I108" s="20" t="e">
        <f>INDEX('01_FASTPPH'!$9:$1048576,MATCH($A108,'01_FASTPPH'!$A$9:$A$1048576,0),MATCH(I$9,'01_FASTPPH'!$8:$8,0))</f>
        <v>#N/A</v>
      </c>
      <c r="J108" s="20" t="e">
        <f>INDEX('01_FASTPPH'!$9:$1048576,MATCH($A108,'01_FASTPPH'!$A$9:$A$1048576,0),MATCH(J$9,'01_FASTPPH'!$8:$8,0))</f>
        <v>#N/A</v>
      </c>
      <c r="K108" s="23" t="e">
        <f>INDEX('01_FASTPPH'!$9:$1048576,MATCH($A108,'01_FASTPPH'!$A$9:$A$1048576,0),MATCH(K$9,'01_FASTPPH'!$8:$8,0))</f>
        <v>#N/A</v>
      </c>
      <c r="L108" s="20" t="e">
        <f>INDEX('01_FASTPPH'!$9:$1048576,MATCH($A108,'01_FASTPPH'!$A$9:$A$1048576,0),MATCH(L$9,'01_FASTPPH'!$8:$8,0))</f>
        <v>#N/A</v>
      </c>
      <c r="M108" s="20" t="e">
        <f>INDEX('01_FASTPPH'!$9:$1048576,MATCH($A108,'01_FASTPPH'!$A$9:$A$1048576,0),MATCH(M$9,'01_FASTPPH'!$8:$8,0))</f>
        <v>#N/A</v>
      </c>
      <c r="N108" s="24" t="e">
        <f>INDEX('01_FASTPPH'!$9:$1048576,MATCH($A108,'01_FASTPPH'!$A$9:$A$1048576,0),MATCH(N$9,'01_FASTPPH'!$8:$8,0))</f>
        <v>#N/A</v>
      </c>
      <c r="O108" s="23" t="e">
        <f>INDEX('01_FASTPPH'!$9:$1048576,MATCH($A108,'01_FASTPPH'!$A$9:$A$1048576,0),MATCH(O$9,'01_FASTPPH'!$8:$8,0))</f>
        <v>#N/A</v>
      </c>
      <c r="P108" s="20" t="e">
        <f>INDEX('01_FASTPPH'!$9:$1048576,MATCH($A108,'01_FASTPPH'!$A$9:$A$1048576,0),MATCH(P$9,'01_FASTPPH'!$8:$8,0))</f>
        <v>#N/A</v>
      </c>
      <c r="Q108" s="20" t="e">
        <f>INDEX('01_FASTPPH'!$9:$1048576,MATCH($A108,'01_FASTPPH'!$A$9:$A$1048576,0),MATCH(Q$9,'01_FASTPPH'!$8:$8,0))</f>
        <v>#N/A</v>
      </c>
      <c r="R108" s="20" t="e">
        <f>INDEX('01_FASTPPH'!$9:$1048576,MATCH($A108,'01_FASTPPH'!$A$9:$A$1048576,0),MATCH(R$9,'01_FASTPPH'!$8:$8,0))</f>
        <v>#N/A</v>
      </c>
      <c r="S108" s="20" t="e">
        <f>INDEX('01_FASTPPH'!$9:$1048576,MATCH($A108,'01_FASTPPH'!$A$9:$A$1048576,0),MATCH(S$9,'01_FASTPPH'!$8:$8,0))</f>
        <v>#N/A</v>
      </c>
      <c r="T108" s="24" t="e">
        <f>INDEX('01_FASTPPH'!$9:$1048576,MATCH($A108,'01_FASTPPH'!$A$9:$A$1048576,0),MATCH(T$9,'01_FASTPPH'!$8:$8,0))</f>
        <v>#N/A</v>
      </c>
      <c r="U108" s="23" t="e">
        <f>INDEX('01_FASTPPH'!$9:$1048576,MATCH($A108,'01_FASTPPH'!$A$9:$A$1048576,0),MATCH(U$9,'01_FASTPPH'!$8:$8,0))</f>
        <v>#N/A</v>
      </c>
      <c r="V108" s="20" t="e">
        <f>INDEX('01_FASTPPH'!$9:$1048576,MATCH($A108,'01_FASTPPH'!$A$9:$A$1048576,0),MATCH(V$9,'01_FASTPPH'!$8:$8,0))</f>
        <v>#N/A</v>
      </c>
      <c r="W108" s="24" t="e">
        <f>INDEX('01_FASTPPH'!$9:$1048576,MATCH($A108,'01_FASTPPH'!$A$9:$A$1048576,0),MATCH(W$9,'01_FASTPPH'!$8:$8,0))</f>
        <v>#N/A</v>
      </c>
      <c r="X108" s="20" t="e">
        <f>INDEX('01_FASTPPH'!$9:$1048576,MATCH($A108,'01_FASTPPH'!$A$9:$A$1048576,0),MATCH(X$9,'01_FASTPPH'!$8:$8,0))</f>
        <v>#N/A</v>
      </c>
      <c r="Y108" s="20" t="e">
        <f>INDEX('01_FASTPPH'!$9:$1048576,MATCH($A108,'01_FASTPPH'!$A$9:$A$1048576,0),MATCH(Y$9,'01_FASTPPH'!$8:$8,0))</f>
        <v>#N/A</v>
      </c>
      <c r="AA108" s="32" t="e">
        <f>INDEX('02_PROPERTIES'!$C$10:$I$1048576,MATCH('03_CALCULATIONS'!$D108,'02_PROPERTIES'!$C$10:$C$1048576,0),MATCH('03_CALCULATIONS'!AA$9,'02_PROPERTIES'!$C$10:$I$10,0))</f>
        <v>#N/A</v>
      </c>
      <c r="AB108" s="20" t="e">
        <f>INDEX('02_PROPERTIES'!$C$10:$I$1048576,MATCH('03_CALCULATIONS'!$D108,'02_PROPERTIES'!$C$10:$C$1048576,0),MATCH('03_CALCULATIONS'!AB$9,'02_PROPERTIES'!$C$10:$I$10,0))</f>
        <v>#N/A</v>
      </c>
      <c r="AC108" s="20" t="e">
        <f>INDEX('02_PROPERTIES'!$C$10:$I$1048576,MATCH('03_CALCULATIONS'!$D108,'02_PROPERTIES'!$C$10:$C$1048576,0),MATCH('03_CALCULATIONS'!AC$9,'02_PROPERTIES'!$C$10:$I$10,0))</f>
        <v>#N/A</v>
      </c>
      <c r="AD108" s="20" t="e">
        <f>INDEX('02_PROPERTIES'!$C$10:$I$1048576,MATCH('03_CALCULATIONS'!$D108,'02_PROPERTIES'!$C$10:$C$1048576,0),MATCH('03_CALCULATIONS'!AD$9,'02_PROPERTIES'!$C$10:$I$10,0))</f>
        <v>#N/A</v>
      </c>
      <c r="AE108" s="32" t="e">
        <f>INDEX('02_PROPERTIES'!$C$10:$I$1048576,MATCH('03_CALCULATIONS'!$D108,'02_PROPERTIES'!$C$10:$C$1048576,0),MATCH('03_CALCULATIONS'!AE$9,'02_PROPERTIES'!$C$10:$I$10,0))</f>
        <v>#N/A</v>
      </c>
      <c r="AF108" s="32" t="e">
        <f>INDEX('02_PROPERTIES'!$C$10:$I$1048576,MATCH('03_CALCULATIONS'!$D108,'02_PROPERTIES'!$C$10:$C$1048576,0),MATCH('03_CALCULATIONS'!AF$9,'02_PROPERTIES'!$C$10:$I$10,0))</f>
        <v>#N/A</v>
      </c>
      <c r="AH108" s="20" t="e">
        <f t="shared" si="11"/>
        <v>#N/A</v>
      </c>
      <c r="AI108" s="20" t="e">
        <f t="shared" si="12"/>
        <v>#N/A</v>
      </c>
      <c r="AJ108" s="20" t="e">
        <f t="shared" si="13"/>
        <v>#N/A</v>
      </c>
      <c r="AL108" s="20" t="e">
        <f t="shared" si="14"/>
        <v>#N/A</v>
      </c>
      <c r="AM108" s="20" t="e">
        <f t="shared" si="15"/>
        <v>#N/A</v>
      </c>
      <c r="AN108" s="20" t="e">
        <f t="shared" si="16"/>
        <v>#N/A</v>
      </c>
      <c r="AO108" s="20" t="e">
        <f t="shared" si="17"/>
        <v>#N/A</v>
      </c>
      <c r="AP108" s="20" t="e">
        <f t="shared" si="18"/>
        <v>#N/A</v>
      </c>
      <c r="AR108" s="20" t="e">
        <f t="shared" si="19"/>
        <v>#N/A</v>
      </c>
      <c r="AS108" s="20" t="e">
        <f t="shared" si="20"/>
        <v>#N/A</v>
      </c>
      <c r="AT108" s="20" t="e">
        <f t="shared" si="21"/>
        <v>#N/A</v>
      </c>
    </row>
    <row r="109" spans="1:46" x14ac:dyDescent="0.3">
      <c r="A109" s="18"/>
      <c r="B109" s="20" t="e">
        <f>INDEX('01_FASTPPH'!$9:$1048576,MATCH($A109,'01_FASTPPH'!$A$9:$A$1048576,0),MATCH(B$9,'01_FASTPPH'!$8:$8,0))</f>
        <v>#N/A</v>
      </c>
      <c r="C109" s="20" t="e">
        <f>INDEX('01_FASTPPH'!$9:$1048576,MATCH($A109,'01_FASTPPH'!$A$9:$A$1048576,0),MATCH(C$9,'01_FASTPPH'!$8:$8,0))</f>
        <v>#N/A</v>
      </c>
      <c r="D109" s="20" t="e">
        <f>INDEX('01_FASTPPH'!$9:$1048576,MATCH($A109,'01_FASTPPH'!$A$9:$A$1048576,0),MATCH(D$9,'01_FASTPPH'!$8:$8,0))</f>
        <v>#N/A</v>
      </c>
      <c r="E109" s="20" t="e">
        <f>INDEX('01_FASTPPH'!$9:$1048576,MATCH($A109,'01_FASTPPH'!$A$9:$A$1048576,0),MATCH(E$9,'01_FASTPPH'!$8:$8,0))</f>
        <v>#N/A</v>
      </c>
      <c r="F109" s="20" t="e">
        <f>INDEX('01_FASTPPH'!$9:$1048576,MATCH($A109,'01_FASTPPH'!$A$9:$A$1048576,0),MATCH(F$9,'01_FASTPPH'!$8:$8,0))</f>
        <v>#N/A</v>
      </c>
      <c r="G109" s="20" t="e">
        <f>INDEX('01_FASTPPH'!$9:$1048576,MATCH($A109,'01_FASTPPH'!$A$9:$A$1048576,0),MATCH(G$9,'01_FASTPPH'!$8:$8,0))</f>
        <v>#N/A</v>
      </c>
      <c r="H109" s="20" t="e">
        <f>INDEX('01_FASTPPH'!$9:$1048576,MATCH($A109,'01_FASTPPH'!$A$9:$A$1048576,0),MATCH(H$9,'01_FASTPPH'!$8:$8,0))</f>
        <v>#N/A</v>
      </c>
      <c r="I109" s="20" t="e">
        <f>INDEX('01_FASTPPH'!$9:$1048576,MATCH($A109,'01_FASTPPH'!$A$9:$A$1048576,0),MATCH(I$9,'01_FASTPPH'!$8:$8,0))</f>
        <v>#N/A</v>
      </c>
      <c r="J109" s="20" t="e">
        <f>INDEX('01_FASTPPH'!$9:$1048576,MATCH($A109,'01_FASTPPH'!$A$9:$A$1048576,0),MATCH(J$9,'01_FASTPPH'!$8:$8,0))</f>
        <v>#N/A</v>
      </c>
      <c r="K109" s="23" t="e">
        <f>INDEX('01_FASTPPH'!$9:$1048576,MATCH($A109,'01_FASTPPH'!$A$9:$A$1048576,0),MATCH(K$9,'01_FASTPPH'!$8:$8,0))</f>
        <v>#N/A</v>
      </c>
      <c r="L109" s="20" t="e">
        <f>INDEX('01_FASTPPH'!$9:$1048576,MATCH($A109,'01_FASTPPH'!$A$9:$A$1048576,0),MATCH(L$9,'01_FASTPPH'!$8:$8,0))</f>
        <v>#N/A</v>
      </c>
      <c r="M109" s="20" t="e">
        <f>INDEX('01_FASTPPH'!$9:$1048576,MATCH($A109,'01_FASTPPH'!$A$9:$A$1048576,0),MATCH(M$9,'01_FASTPPH'!$8:$8,0))</f>
        <v>#N/A</v>
      </c>
      <c r="N109" s="24" t="e">
        <f>INDEX('01_FASTPPH'!$9:$1048576,MATCH($A109,'01_FASTPPH'!$A$9:$A$1048576,0),MATCH(N$9,'01_FASTPPH'!$8:$8,0))</f>
        <v>#N/A</v>
      </c>
      <c r="O109" s="23" t="e">
        <f>INDEX('01_FASTPPH'!$9:$1048576,MATCH($A109,'01_FASTPPH'!$A$9:$A$1048576,0),MATCH(O$9,'01_FASTPPH'!$8:$8,0))</f>
        <v>#N/A</v>
      </c>
      <c r="P109" s="20" t="e">
        <f>INDEX('01_FASTPPH'!$9:$1048576,MATCH($A109,'01_FASTPPH'!$A$9:$A$1048576,0),MATCH(P$9,'01_FASTPPH'!$8:$8,0))</f>
        <v>#N/A</v>
      </c>
      <c r="Q109" s="20" t="e">
        <f>INDEX('01_FASTPPH'!$9:$1048576,MATCH($A109,'01_FASTPPH'!$A$9:$A$1048576,0),MATCH(Q$9,'01_FASTPPH'!$8:$8,0))</f>
        <v>#N/A</v>
      </c>
      <c r="R109" s="20" t="e">
        <f>INDEX('01_FASTPPH'!$9:$1048576,MATCH($A109,'01_FASTPPH'!$A$9:$A$1048576,0),MATCH(R$9,'01_FASTPPH'!$8:$8,0))</f>
        <v>#N/A</v>
      </c>
      <c r="S109" s="20" t="e">
        <f>INDEX('01_FASTPPH'!$9:$1048576,MATCH($A109,'01_FASTPPH'!$A$9:$A$1048576,0),MATCH(S$9,'01_FASTPPH'!$8:$8,0))</f>
        <v>#N/A</v>
      </c>
      <c r="T109" s="24" t="e">
        <f>INDEX('01_FASTPPH'!$9:$1048576,MATCH($A109,'01_FASTPPH'!$A$9:$A$1048576,0),MATCH(T$9,'01_FASTPPH'!$8:$8,0))</f>
        <v>#N/A</v>
      </c>
      <c r="U109" s="23" t="e">
        <f>INDEX('01_FASTPPH'!$9:$1048576,MATCH($A109,'01_FASTPPH'!$A$9:$A$1048576,0),MATCH(U$9,'01_FASTPPH'!$8:$8,0))</f>
        <v>#N/A</v>
      </c>
      <c r="V109" s="20" t="e">
        <f>INDEX('01_FASTPPH'!$9:$1048576,MATCH($A109,'01_FASTPPH'!$A$9:$A$1048576,0),MATCH(V$9,'01_FASTPPH'!$8:$8,0))</f>
        <v>#N/A</v>
      </c>
      <c r="W109" s="24" t="e">
        <f>INDEX('01_FASTPPH'!$9:$1048576,MATCH($A109,'01_FASTPPH'!$A$9:$A$1048576,0),MATCH(W$9,'01_FASTPPH'!$8:$8,0))</f>
        <v>#N/A</v>
      </c>
      <c r="X109" s="20" t="e">
        <f>INDEX('01_FASTPPH'!$9:$1048576,MATCH($A109,'01_FASTPPH'!$A$9:$A$1048576,0),MATCH(X$9,'01_FASTPPH'!$8:$8,0))</f>
        <v>#N/A</v>
      </c>
      <c r="Y109" s="20" t="e">
        <f>INDEX('01_FASTPPH'!$9:$1048576,MATCH($A109,'01_FASTPPH'!$A$9:$A$1048576,0),MATCH(Y$9,'01_FASTPPH'!$8:$8,0))</f>
        <v>#N/A</v>
      </c>
      <c r="AA109" s="32" t="e">
        <f>INDEX('02_PROPERTIES'!$C$10:$I$1048576,MATCH('03_CALCULATIONS'!$D109,'02_PROPERTIES'!$C$10:$C$1048576,0),MATCH('03_CALCULATIONS'!AA$9,'02_PROPERTIES'!$C$10:$I$10,0))</f>
        <v>#N/A</v>
      </c>
      <c r="AB109" s="20" t="e">
        <f>INDEX('02_PROPERTIES'!$C$10:$I$1048576,MATCH('03_CALCULATIONS'!$D109,'02_PROPERTIES'!$C$10:$C$1048576,0),MATCH('03_CALCULATIONS'!AB$9,'02_PROPERTIES'!$C$10:$I$10,0))</f>
        <v>#N/A</v>
      </c>
      <c r="AC109" s="20" t="e">
        <f>INDEX('02_PROPERTIES'!$C$10:$I$1048576,MATCH('03_CALCULATIONS'!$D109,'02_PROPERTIES'!$C$10:$C$1048576,0),MATCH('03_CALCULATIONS'!AC$9,'02_PROPERTIES'!$C$10:$I$10,0))</f>
        <v>#N/A</v>
      </c>
      <c r="AD109" s="20" t="e">
        <f>INDEX('02_PROPERTIES'!$C$10:$I$1048576,MATCH('03_CALCULATIONS'!$D109,'02_PROPERTIES'!$C$10:$C$1048576,0),MATCH('03_CALCULATIONS'!AD$9,'02_PROPERTIES'!$C$10:$I$10,0))</f>
        <v>#N/A</v>
      </c>
      <c r="AE109" s="32" t="e">
        <f>INDEX('02_PROPERTIES'!$C$10:$I$1048576,MATCH('03_CALCULATIONS'!$D109,'02_PROPERTIES'!$C$10:$C$1048576,0),MATCH('03_CALCULATIONS'!AE$9,'02_PROPERTIES'!$C$10:$I$10,0))</f>
        <v>#N/A</v>
      </c>
      <c r="AF109" s="32" t="e">
        <f>INDEX('02_PROPERTIES'!$C$10:$I$1048576,MATCH('03_CALCULATIONS'!$D109,'02_PROPERTIES'!$C$10:$C$1048576,0),MATCH('03_CALCULATIONS'!AF$9,'02_PROPERTIES'!$C$10:$I$10,0))</f>
        <v>#N/A</v>
      </c>
      <c r="AH109" s="20" t="e">
        <f t="shared" si="11"/>
        <v>#N/A</v>
      </c>
      <c r="AI109" s="20" t="e">
        <f t="shared" si="12"/>
        <v>#N/A</v>
      </c>
      <c r="AJ109" s="20" t="e">
        <f t="shared" si="13"/>
        <v>#N/A</v>
      </c>
      <c r="AL109" s="20" t="e">
        <f t="shared" si="14"/>
        <v>#N/A</v>
      </c>
      <c r="AM109" s="20" t="e">
        <f t="shared" si="15"/>
        <v>#N/A</v>
      </c>
      <c r="AN109" s="20" t="e">
        <f t="shared" si="16"/>
        <v>#N/A</v>
      </c>
      <c r="AO109" s="20" t="e">
        <f t="shared" si="17"/>
        <v>#N/A</v>
      </c>
      <c r="AP109" s="20" t="e">
        <f t="shared" si="18"/>
        <v>#N/A</v>
      </c>
      <c r="AR109" s="20" t="e">
        <f t="shared" si="19"/>
        <v>#N/A</v>
      </c>
      <c r="AS109" s="20" t="e">
        <f t="shared" si="20"/>
        <v>#N/A</v>
      </c>
      <c r="AT109" s="20" t="e">
        <f t="shared" si="21"/>
        <v>#N/A</v>
      </c>
    </row>
    <row r="110" spans="1:46" x14ac:dyDescent="0.3">
      <c r="A110" s="18"/>
      <c r="B110" s="20" t="e">
        <f>INDEX('01_FASTPPH'!$9:$1048576,MATCH($A110,'01_FASTPPH'!$A$9:$A$1048576,0),MATCH(B$9,'01_FASTPPH'!$8:$8,0))</f>
        <v>#N/A</v>
      </c>
      <c r="C110" s="20" t="e">
        <f>INDEX('01_FASTPPH'!$9:$1048576,MATCH($A110,'01_FASTPPH'!$A$9:$A$1048576,0),MATCH(C$9,'01_FASTPPH'!$8:$8,0))</f>
        <v>#N/A</v>
      </c>
      <c r="D110" s="20" t="e">
        <f>INDEX('01_FASTPPH'!$9:$1048576,MATCH($A110,'01_FASTPPH'!$A$9:$A$1048576,0),MATCH(D$9,'01_FASTPPH'!$8:$8,0))</f>
        <v>#N/A</v>
      </c>
      <c r="E110" s="20" t="e">
        <f>INDEX('01_FASTPPH'!$9:$1048576,MATCH($A110,'01_FASTPPH'!$A$9:$A$1048576,0),MATCH(E$9,'01_FASTPPH'!$8:$8,0))</f>
        <v>#N/A</v>
      </c>
      <c r="F110" s="20" t="e">
        <f>INDEX('01_FASTPPH'!$9:$1048576,MATCH($A110,'01_FASTPPH'!$A$9:$A$1048576,0),MATCH(F$9,'01_FASTPPH'!$8:$8,0))</f>
        <v>#N/A</v>
      </c>
      <c r="G110" s="20" t="e">
        <f>INDEX('01_FASTPPH'!$9:$1048576,MATCH($A110,'01_FASTPPH'!$A$9:$A$1048576,0),MATCH(G$9,'01_FASTPPH'!$8:$8,0))</f>
        <v>#N/A</v>
      </c>
      <c r="H110" s="20" t="e">
        <f>INDEX('01_FASTPPH'!$9:$1048576,MATCH($A110,'01_FASTPPH'!$A$9:$A$1048576,0),MATCH(H$9,'01_FASTPPH'!$8:$8,0))</f>
        <v>#N/A</v>
      </c>
      <c r="I110" s="20" t="e">
        <f>INDEX('01_FASTPPH'!$9:$1048576,MATCH($A110,'01_FASTPPH'!$A$9:$A$1048576,0),MATCH(I$9,'01_FASTPPH'!$8:$8,0))</f>
        <v>#N/A</v>
      </c>
      <c r="J110" s="20" t="e">
        <f>INDEX('01_FASTPPH'!$9:$1048576,MATCH($A110,'01_FASTPPH'!$A$9:$A$1048576,0),MATCH(J$9,'01_FASTPPH'!$8:$8,0))</f>
        <v>#N/A</v>
      </c>
      <c r="K110" s="23" t="e">
        <f>INDEX('01_FASTPPH'!$9:$1048576,MATCH($A110,'01_FASTPPH'!$A$9:$A$1048576,0),MATCH(K$9,'01_FASTPPH'!$8:$8,0))</f>
        <v>#N/A</v>
      </c>
      <c r="L110" s="20" t="e">
        <f>INDEX('01_FASTPPH'!$9:$1048576,MATCH($A110,'01_FASTPPH'!$A$9:$A$1048576,0),MATCH(L$9,'01_FASTPPH'!$8:$8,0))</f>
        <v>#N/A</v>
      </c>
      <c r="M110" s="20" t="e">
        <f>INDEX('01_FASTPPH'!$9:$1048576,MATCH($A110,'01_FASTPPH'!$A$9:$A$1048576,0),MATCH(M$9,'01_FASTPPH'!$8:$8,0))</f>
        <v>#N/A</v>
      </c>
      <c r="N110" s="24" t="e">
        <f>INDEX('01_FASTPPH'!$9:$1048576,MATCH($A110,'01_FASTPPH'!$A$9:$A$1048576,0),MATCH(N$9,'01_FASTPPH'!$8:$8,0))</f>
        <v>#N/A</v>
      </c>
      <c r="O110" s="23" t="e">
        <f>INDEX('01_FASTPPH'!$9:$1048576,MATCH($A110,'01_FASTPPH'!$A$9:$A$1048576,0),MATCH(O$9,'01_FASTPPH'!$8:$8,0))</f>
        <v>#N/A</v>
      </c>
      <c r="P110" s="20" t="e">
        <f>INDEX('01_FASTPPH'!$9:$1048576,MATCH($A110,'01_FASTPPH'!$A$9:$A$1048576,0),MATCH(P$9,'01_FASTPPH'!$8:$8,0))</f>
        <v>#N/A</v>
      </c>
      <c r="Q110" s="20" t="e">
        <f>INDEX('01_FASTPPH'!$9:$1048576,MATCH($A110,'01_FASTPPH'!$A$9:$A$1048576,0),MATCH(Q$9,'01_FASTPPH'!$8:$8,0))</f>
        <v>#N/A</v>
      </c>
      <c r="R110" s="20" t="e">
        <f>INDEX('01_FASTPPH'!$9:$1048576,MATCH($A110,'01_FASTPPH'!$A$9:$A$1048576,0),MATCH(R$9,'01_FASTPPH'!$8:$8,0))</f>
        <v>#N/A</v>
      </c>
      <c r="S110" s="20" t="e">
        <f>INDEX('01_FASTPPH'!$9:$1048576,MATCH($A110,'01_FASTPPH'!$A$9:$A$1048576,0),MATCH(S$9,'01_FASTPPH'!$8:$8,0))</f>
        <v>#N/A</v>
      </c>
      <c r="T110" s="24" t="e">
        <f>INDEX('01_FASTPPH'!$9:$1048576,MATCH($A110,'01_FASTPPH'!$A$9:$A$1048576,0),MATCH(T$9,'01_FASTPPH'!$8:$8,0))</f>
        <v>#N/A</v>
      </c>
      <c r="U110" s="23" t="e">
        <f>INDEX('01_FASTPPH'!$9:$1048576,MATCH($A110,'01_FASTPPH'!$A$9:$A$1048576,0),MATCH(U$9,'01_FASTPPH'!$8:$8,0))</f>
        <v>#N/A</v>
      </c>
      <c r="V110" s="20" t="e">
        <f>INDEX('01_FASTPPH'!$9:$1048576,MATCH($A110,'01_FASTPPH'!$A$9:$A$1048576,0),MATCH(V$9,'01_FASTPPH'!$8:$8,0))</f>
        <v>#N/A</v>
      </c>
      <c r="W110" s="24" t="e">
        <f>INDEX('01_FASTPPH'!$9:$1048576,MATCH($A110,'01_FASTPPH'!$A$9:$A$1048576,0),MATCH(W$9,'01_FASTPPH'!$8:$8,0))</f>
        <v>#N/A</v>
      </c>
      <c r="X110" s="20" t="e">
        <f>INDEX('01_FASTPPH'!$9:$1048576,MATCH($A110,'01_FASTPPH'!$A$9:$A$1048576,0),MATCH(X$9,'01_FASTPPH'!$8:$8,0))</f>
        <v>#N/A</v>
      </c>
      <c r="Y110" s="20" t="e">
        <f>INDEX('01_FASTPPH'!$9:$1048576,MATCH($A110,'01_FASTPPH'!$A$9:$A$1048576,0),MATCH(Y$9,'01_FASTPPH'!$8:$8,0))</f>
        <v>#N/A</v>
      </c>
      <c r="AA110" s="32" t="e">
        <f>INDEX('02_PROPERTIES'!$C$10:$I$1048576,MATCH('03_CALCULATIONS'!$D110,'02_PROPERTIES'!$C$10:$C$1048576,0),MATCH('03_CALCULATIONS'!AA$9,'02_PROPERTIES'!$C$10:$I$10,0))</f>
        <v>#N/A</v>
      </c>
      <c r="AB110" s="20" t="e">
        <f>INDEX('02_PROPERTIES'!$C$10:$I$1048576,MATCH('03_CALCULATIONS'!$D110,'02_PROPERTIES'!$C$10:$C$1048576,0),MATCH('03_CALCULATIONS'!AB$9,'02_PROPERTIES'!$C$10:$I$10,0))</f>
        <v>#N/A</v>
      </c>
      <c r="AC110" s="20" t="e">
        <f>INDEX('02_PROPERTIES'!$C$10:$I$1048576,MATCH('03_CALCULATIONS'!$D110,'02_PROPERTIES'!$C$10:$C$1048576,0),MATCH('03_CALCULATIONS'!AC$9,'02_PROPERTIES'!$C$10:$I$10,0))</f>
        <v>#N/A</v>
      </c>
      <c r="AD110" s="20" t="e">
        <f>INDEX('02_PROPERTIES'!$C$10:$I$1048576,MATCH('03_CALCULATIONS'!$D110,'02_PROPERTIES'!$C$10:$C$1048576,0),MATCH('03_CALCULATIONS'!AD$9,'02_PROPERTIES'!$C$10:$I$10,0))</f>
        <v>#N/A</v>
      </c>
      <c r="AE110" s="32" t="e">
        <f>INDEX('02_PROPERTIES'!$C$10:$I$1048576,MATCH('03_CALCULATIONS'!$D110,'02_PROPERTIES'!$C$10:$C$1048576,0),MATCH('03_CALCULATIONS'!AE$9,'02_PROPERTIES'!$C$10:$I$10,0))</f>
        <v>#N/A</v>
      </c>
      <c r="AF110" s="32" t="e">
        <f>INDEX('02_PROPERTIES'!$C$10:$I$1048576,MATCH('03_CALCULATIONS'!$D110,'02_PROPERTIES'!$C$10:$C$1048576,0),MATCH('03_CALCULATIONS'!AF$9,'02_PROPERTIES'!$C$10:$I$10,0))</f>
        <v>#N/A</v>
      </c>
      <c r="AH110" s="20" t="e">
        <f t="shared" si="11"/>
        <v>#N/A</v>
      </c>
      <c r="AI110" s="20" t="e">
        <f t="shared" si="12"/>
        <v>#N/A</v>
      </c>
      <c r="AJ110" s="20" t="e">
        <f t="shared" si="13"/>
        <v>#N/A</v>
      </c>
      <c r="AL110" s="20" t="e">
        <f t="shared" si="14"/>
        <v>#N/A</v>
      </c>
      <c r="AM110" s="20" t="e">
        <f t="shared" si="15"/>
        <v>#N/A</v>
      </c>
      <c r="AN110" s="20" t="e">
        <f t="shared" si="16"/>
        <v>#N/A</v>
      </c>
      <c r="AO110" s="20" t="e">
        <f t="shared" si="17"/>
        <v>#N/A</v>
      </c>
      <c r="AP110" s="20" t="e">
        <f t="shared" si="18"/>
        <v>#N/A</v>
      </c>
      <c r="AR110" s="20" t="e">
        <f t="shared" si="19"/>
        <v>#N/A</v>
      </c>
      <c r="AS110" s="20" t="e">
        <f t="shared" si="20"/>
        <v>#N/A</v>
      </c>
      <c r="AT110" s="20" t="e">
        <f t="shared" si="21"/>
        <v>#N/A</v>
      </c>
    </row>
    <row r="111" spans="1:46" x14ac:dyDescent="0.3">
      <c r="A111" s="18"/>
      <c r="B111" s="20" t="e">
        <f>INDEX('01_FASTPPH'!$9:$1048576,MATCH($A111,'01_FASTPPH'!$A$9:$A$1048576,0),MATCH(B$9,'01_FASTPPH'!$8:$8,0))</f>
        <v>#N/A</v>
      </c>
      <c r="C111" s="20" t="e">
        <f>INDEX('01_FASTPPH'!$9:$1048576,MATCH($A111,'01_FASTPPH'!$A$9:$A$1048576,0),MATCH(C$9,'01_FASTPPH'!$8:$8,0))</f>
        <v>#N/A</v>
      </c>
      <c r="D111" s="20" t="e">
        <f>INDEX('01_FASTPPH'!$9:$1048576,MATCH($A111,'01_FASTPPH'!$A$9:$A$1048576,0),MATCH(D$9,'01_FASTPPH'!$8:$8,0))</f>
        <v>#N/A</v>
      </c>
      <c r="E111" s="20" t="e">
        <f>INDEX('01_FASTPPH'!$9:$1048576,MATCH($A111,'01_FASTPPH'!$A$9:$A$1048576,0),MATCH(E$9,'01_FASTPPH'!$8:$8,0))</f>
        <v>#N/A</v>
      </c>
      <c r="F111" s="20" t="e">
        <f>INDEX('01_FASTPPH'!$9:$1048576,MATCH($A111,'01_FASTPPH'!$A$9:$A$1048576,0),MATCH(F$9,'01_FASTPPH'!$8:$8,0))</f>
        <v>#N/A</v>
      </c>
      <c r="G111" s="20" t="e">
        <f>INDEX('01_FASTPPH'!$9:$1048576,MATCH($A111,'01_FASTPPH'!$A$9:$A$1048576,0),MATCH(G$9,'01_FASTPPH'!$8:$8,0))</f>
        <v>#N/A</v>
      </c>
      <c r="H111" s="20" t="e">
        <f>INDEX('01_FASTPPH'!$9:$1048576,MATCH($A111,'01_FASTPPH'!$A$9:$A$1048576,0),MATCH(H$9,'01_FASTPPH'!$8:$8,0))</f>
        <v>#N/A</v>
      </c>
      <c r="I111" s="20" t="e">
        <f>INDEX('01_FASTPPH'!$9:$1048576,MATCH($A111,'01_FASTPPH'!$A$9:$A$1048576,0),MATCH(I$9,'01_FASTPPH'!$8:$8,0))</f>
        <v>#N/A</v>
      </c>
      <c r="J111" s="20" t="e">
        <f>INDEX('01_FASTPPH'!$9:$1048576,MATCH($A111,'01_FASTPPH'!$A$9:$A$1048576,0),MATCH(J$9,'01_FASTPPH'!$8:$8,0))</f>
        <v>#N/A</v>
      </c>
      <c r="K111" s="23" t="e">
        <f>INDEX('01_FASTPPH'!$9:$1048576,MATCH($A111,'01_FASTPPH'!$A$9:$A$1048576,0),MATCH(K$9,'01_FASTPPH'!$8:$8,0))</f>
        <v>#N/A</v>
      </c>
      <c r="L111" s="20" t="e">
        <f>INDEX('01_FASTPPH'!$9:$1048576,MATCH($A111,'01_FASTPPH'!$A$9:$A$1048576,0),MATCH(L$9,'01_FASTPPH'!$8:$8,0))</f>
        <v>#N/A</v>
      </c>
      <c r="M111" s="20" t="e">
        <f>INDEX('01_FASTPPH'!$9:$1048576,MATCH($A111,'01_FASTPPH'!$A$9:$A$1048576,0),MATCH(M$9,'01_FASTPPH'!$8:$8,0))</f>
        <v>#N/A</v>
      </c>
      <c r="N111" s="24" t="e">
        <f>INDEX('01_FASTPPH'!$9:$1048576,MATCH($A111,'01_FASTPPH'!$A$9:$A$1048576,0),MATCH(N$9,'01_FASTPPH'!$8:$8,0))</f>
        <v>#N/A</v>
      </c>
      <c r="O111" s="23" t="e">
        <f>INDEX('01_FASTPPH'!$9:$1048576,MATCH($A111,'01_FASTPPH'!$A$9:$A$1048576,0),MATCH(O$9,'01_FASTPPH'!$8:$8,0))</f>
        <v>#N/A</v>
      </c>
      <c r="P111" s="20" t="e">
        <f>INDEX('01_FASTPPH'!$9:$1048576,MATCH($A111,'01_FASTPPH'!$A$9:$A$1048576,0),MATCH(P$9,'01_FASTPPH'!$8:$8,0))</f>
        <v>#N/A</v>
      </c>
      <c r="Q111" s="20" t="e">
        <f>INDEX('01_FASTPPH'!$9:$1048576,MATCH($A111,'01_FASTPPH'!$A$9:$A$1048576,0),MATCH(Q$9,'01_FASTPPH'!$8:$8,0))</f>
        <v>#N/A</v>
      </c>
      <c r="R111" s="20" t="e">
        <f>INDEX('01_FASTPPH'!$9:$1048576,MATCH($A111,'01_FASTPPH'!$A$9:$A$1048576,0),MATCH(R$9,'01_FASTPPH'!$8:$8,0))</f>
        <v>#N/A</v>
      </c>
      <c r="S111" s="20" t="e">
        <f>INDEX('01_FASTPPH'!$9:$1048576,MATCH($A111,'01_FASTPPH'!$A$9:$A$1048576,0),MATCH(S$9,'01_FASTPPH'!$8:$8,0))</f>
        <v>#N/A</v>
      </c>
      <c r="T111" s="24" t="e">
        <f>INDEX('01_FASTPPH'!$9:$1048576,MATCH($A111,'01_FASTPPH'!$A$9:$A$1048576,0),MATCH(T$9,'01_FASTPPH'!$8:$8,0))</f>
        <v>#N/A</v>
      </c>
      <c r="U111" s="23" t="e">
        <f>INDEX('01_FASTPPH'!$9:$1048576,MATCH($A111,'01_FASTPPH'!$A$9:$A$1048576,0),MATCH(U$9,'01_FASTPPH'!$8:$8,0))</f>
        <v>#N/A</v>
      </c>
      <c r="V111" s="20" t="e">
        <f>INDEX('01_FASTPPH'!$9:$1048576,MATCH($A111,'01_FASTPPH'!$A$9:$A$1048576,0),MATCH(V$9,'01_FASTPPH'!$8:$8,0))</f>
        <v>#N/A</v>
      </c>
      <c r="W111" s="24" t="e">
        <f>INDEX('01_FASTPPH'!$9:$1048576,MATCH($A111,'01_FASTPPH'!$A$9:$A$1048576,0),MATCH(W$9,'01_FASTPPH'!$8:$8,0))</f>
        <v>#N/A</v>
      </c>
      <c r="X111" s="20" t="e">
        <f>INDEX('01_FASTPPH'!$9:$1048576,MATCH($A111,'01_FASTPPH'!$A$9:$A$1048576,0),MATCH(X$9,'01_FASTPPH'!$8:$8,0))</f>
        <v>#N/A</v>
      </c>
      <c r="Y111" s="20" t="e">
        <f>INDEX('01_FASTPPH'!$9:$1048576,MATCH($A111,'01_FASTPPH'!$A$9:$A$1048576,0),MATCH(Y$9,'01_FASTPPH'!$8:$8,0))</f>
        <v>#N/A</v>
      </c>
      <c r="AA111" s="32" t="e">
        <f>INDEX('02_PROPERTIES'!$C$10:$I$1048576,MATCH('03_CALCULATIONS'!$D111,'02_PROPERTIES'!$C$10:$C$1048576,0),MATCH('03_CALCULATIONS'!AA$9,'02_PROPERTIES'!$C$10:$I$10,0))</f>
        <v>#N/A</v>
      </c>
      <c r="AB111" s="20" t="e">
        <f>INDEX('02_PROPERTIES'!$C$10:$I$1048576,MATCH('03_CALCULATIONS'!$D111,'02_PROPERTIES'!$C$10:$C$1048576,0),MATCH('03_CALCULATIONS'!AB$9,'02_PROPERTIES'!$C$10:$I$10,0))</f>
        <v>#N/A</v>
      </c>
      <c r="AC111" s="20" t="e">
        <f>INDEX('02_PROPERTIES'!$C$10:$I$1048576,MATCH('03_CALCULATIONS'!$D111,'02_PROPERTIES'!$C$10:$C$1048576,0),MATCH('03_CALCULATIONS'!AC$9,'02_PROPERTIES'!$C$10:$I$10,0))</f>
        <v>#N/A</v>
      </c>
      <c r="AD111" s="20" t="e">
        <f>INDEX('02_PROPERTIES'!$C$10:$I$1048576,MATCH('03_CALCULATIONS'!$D111,'02_PROPERTIES'!$C$10:$C$1048576,0),MATCH('03_CALCULATIONS'!AD$9,'02_PROPERTIES'!$C$10:$I$10,0))</f>
        <v>#N/A</v>
      </c>
      <c r="AE111" s="32" t="e">
        <f>INDEX('02_PROPERTIES'!$C$10:$I$1048576,MATCH('03_CALCULATIONS'!$D111,'02_PROPERTIES'!$C$10:$C$1048576,0),MATCH('03_CALCULATIONS'!AE$9,'02_PROPERTIES'!$C$10:$I$10,0))</f>
        <v>#N/A</v>
      </c>
      <c r="AF111" s="32" t="e">
        <f>INDEX('02_PROPERTIES'!$C$10:$I$1048576,MATCH('03_CALCULATIONS'!$D111,'02_PROPERTIES'!$C$10:$C$1048576,0),MATCH('03_CALCULATIONS'!AF$9,'02_PROPERTIES'!$C$10:$I$10,0))</f>
        <v>#N/A</v>
      </c>
      <c r="AH111" s="20" t="e">
        <f t="shared" si="11"/>
        <v>#N/A</v>
      </c>
      <c r="AI111" s="20" t="e">
        <f t="shared" si="12"/>
        <v>#N/A</v>
      </c>
      <c r="AJ111" s="20" t="e">
        <f t="shared" si="13"/>
        <v>#N/A</v>
      </c>
      <c r="AL111" s="20" t="e">
        <f t="shared" si="14"/>
        <v>#N/A</v>
      </c>
      <c r="AM111" s="20" t="e">
        <f t="shared" si="15"/>
        <v>#N/A</v>
      </c>
      <c r="AN111" s="20" t="e">
        <f t="shared" si="16"/>
        <v>#N/A</v>
      </c>
      <c r="AO111" s="20" t="e">
        <f t="shared" si="17"/>
        <v>#N/A</v>
      </c>
      <c r="AP111" s="20" t="e">
        <f t="shared" si="18"/>
        <v>#N/A</v>
      </c>
      <c r="AR111" s="20" t="e">
        <f t="shared" si="19"/>
        <v>#N/A</v>
      </c>
      <c r="AS111" s="20" t="e">
        <f t="shared" si="20"/>
        <v>#N/A</v>
      </c>
      <c r="AT111" s="20" t="e">
        <f t="shared" si="21"/>
        <v>#N/A</v>
      </c>
    </row>
    <row r="112" spans="1:46" x14ac:dyDescent="0.3">
      <c r="A112" s="18"/>
      <c r="B112" s="20" t="e">
        <f>INDEX('01_FASTPPH'!$9:$1048576,MATCH($A112,'01_FASTPPH'!$A$9:$A$1048576,0),MATCH(B$9,'01_FASTPPH'!$8:$8,0))</f>
        <v>#N/A</v>
      </c>
      <c r="C112" s="20" t="e">
        <f>INDEX('01_FASTPPH'!$9:$1048576,MATCH($A112,'01_FASTPPH'!$A$9:$A$1048576,0),MATCH(C$9,'01_FASTPPH'!$8:$8,0))</f>
        <v>#N/A</v>
      </c>
      <c r="D112" s="20" t="e">
        <f>INDEX('01_FASTPPH'!$9:$1048576,MATCH($A112,'01_FASTPPH'!$A$9:$A$1048576,0),MATCH(D$9,'01_FASTPPH'!$8:$8,0))</f>
        <v>#N/A</v>
      </c>
      <c r="E112" s="20" t="e">
        <f>INDEX('01_FASTPPH'!$9:$1048576,MATCH($A112,'01_FASTPPH'!$A$9:$A$1048576,0),MATCH(E$9,'01_FASTPPH'!$8:$8,0))</f>
        <v>#N/A</v>
      </c>
      <c r="F112" s="20" t="e">
        <f>INDEX('01_FASTPPH'!$9:$1048576,MATCH($A112,'01_FASTPPH'!$A$9:$A$1048576,0),MATCH(F$9,'01_FASTPPH'!$8:$8,0))</f>
        <v>#N/A</v>
      </c>
      <c r="G112" s="20" t="e">
        <f>INDEX('01_FASTPPH'!$9:$1048576,MATCH($A112,'01_FASTPPH'!$A$9:$A$1048576,0),MATCH(G$9,'01_FASTPPH'!$8:$8,0))</f>
        <v>#N/A</v>
      </c>
      <c r="H112" s="20" t="e">
        <f>INDEX('01_FASTPPH'!$9:$1048576,MATCH($A112,'01_FASTPPH'!$A$9:$A$1048576,0),MATCH(H$9,'01_FASTPPH'!$8:$8,0))</f>
        <v>#N/A</v>
      </c>
      <c r="I112" s="20" t="e">
        <f>INDEX('01_FASTPPH'!$9:$1048576,MATCH($A112,'01_FASTPPH'!$A$9:$A$1048576,0),MATCH(I$9,'01_FASTPPH'!$8:$8,0))</f>
        <v>#N/A</v>
      </c>
      <c r="J112" s="20" t="e">
        <f>INDEX('01_FASTPPH'!$9:$1048576,MATCH($A112,'01_FASTPPH'!$A$9:$A$1048576,0),MATCH(J$9,'01_FASTPPH'!$8:$8,0))</f>
        <v>#N/A</v>
      </c>
      <c r="K112" s="23" t="e">
        <f>INDEX('01_FASTPPH'!$9:$1048576,MATCH($A112,'01_FASTPPH'!$A$9:$A$1048576,0),MATCH(K$9,'01_FASTPPH'!$8:$8,0))</f>
        <v>#N/A</v>
      </c>
      <c r="L112" s="20" t="e">
        <f>INDEX('01_FASTPPH'!$9:$1048576,MATCH($A112,'01_FASTPPH'!$A$9:$A$1048576,0),MATCH(L$9,'01_FASTPPH'!$8:$8,0))</f>
        <v>#N/A</v>
      </c>
      <c r="M112" s="20" t="e">
        <f>INDEX('01_FASTPPH'!$9:$1048576,MATCH($A112,'01_FASTPPH'!$A$9:$A$1048576,0),MATCH(M$9,'01_FASTPPH'!$8:$8,0))</f>
        <v>#N/A</v>
      </c>
      <c r="N112" s="24" t="e">
        <f>INDEX('01_FASTPPH'!$9:$1048576,MATCH($A112,'01_FASTPPH'!$A$9:$A$1048576,0),MATCH(N$9,'01_FASTPPH'!$8:$8,0))</f>
        <v>#N/A</v>
      </c>
      <c r="O112" s="23" t="e">
        <f>INDEX('01_FASTPPH'!$9:$1048576,MATCH($A112,'01_FASTPPH'!$A$9:$A$1048576,0),MATCH(O$9,'01_FASTPPH'!$8:$8,0))</f>
        <v>#N/A</v>
      </c>
      <c r="P112" s="20" t="e">
        <f>INDEX('01_FASTPPH'!$9:$1048576,MATCH($A112,'01_FASTPPH'!$A$9:$A$1048576,0),MATCH(P$9,'01_FASTPPH'!$8:$8,0))</f>
        <v>#N/A</v>
      </c>
      <c r="Q112" s="20" t="e">
        <f>INDEX('01_FASTPPH'!$9:$1048576,MATCH($A112,'01_FASTPPH'!$A$9:$A$1048576,0),MATCH(Q$9,'01_FASTPPH'!$8:$8,0))</f>
        <v>#N/A</v>
      </c>
      <c r="R112" s="20" t="e">
        <f>INDEX('01_FASTPPH'!$9:$1048576,MATCH($A112,'01_FASTPPH'!$A$9:$A$1048576,0),MATCH(R$9,'01_FASTPPH'!$8:$8,0))</f>
        <v>#N/A</v>
      </c>
      <c r="S112" s="20" t="e">
        <f>INDEX('01_FASTPPH'!$9:$1048576,MATCH($A112,'01_FASTPPH'!$A$9:$A$1048576,0),MATCH(S$9,'01_FASTPPH'!$8:$8,0))</f>
        <v>#N/A</v>
      </c>
      <c r="T112" s="24" t="e">
        <f>INDEX('01_FASTPPH'!$9:$1048576,MATCH($A112,'01_FASTPPH'!$A$9:$A$1048576,0),MATCH(T$9,'01_FASTPPH'!$8:$8,0))</f>
        <v>#N/A</v>
      </c>
      <c r="U112" s="23" t="e">
        <f>INDEX('01_FASTPPH'!$9:$1048576,MATCH($A112,'01_FASTPPH'!$A$9:$A$1048576,0),MATCH(U$9,'01_FASTPPH'!$8:$8,0))</f>
        <v>#N/A</v>
      </c>
      <c r="V112" s="20" t="e">
        <f>INDEX('01_FASTPPH'!$9:$1048576,MATCH($A112,'01_FASTPPH'!$A$9:$A$1048576,0),MATCH(V$9,'01_FASTPPH'!$8:$8,0))</f>
        <v>#N/A</v>
      </c>
      <c r="W112" s="24" t="e">
        <f>INDEX('01_FASTPPH'!$9:$1048576,MATCH($A112,'01_FASTPPH'!$A$9:$A$1048576,0),MATCH(W$9,'01_FASTPPH'!$8:$8,0))</f>
        <v>#N/A</v>
      </c>
      <c r="X112" s="20" t="e">
        <f>INDEX('01_FASTPPH'!$9:$1048576,MATCH($A112,'01_FASTPPH'!$A$9:$A$1048576,0),MATCH(X$9,'01_FASTPPH'!$8:$8,0))</f>
        <v>#N/A</v>
      </c>
      <c r="Y112" s="20" t="e">
        <f>INDEX('01_FASTPPH'!$9:$1048576,MATCH($A112,'01_FASTPPH'!$A$9:$A$1048576,0),MATCH(Y$9,'01_FASTPPH'!$8:$8,0))</f>
        <v>#N/A</v>
      </c>
      <c r="AA112" s="32" t="e">
        <f>INDEX('02_PROPERTIES'!$C$10:$I$1048576,MATCH('03_CALCULATIONS'!$D112,'02_PROPERTIES'!$C$10:$C$1048576,0),MATCH('03_CALCULATIONS'!AA$9,'02_PROPERTIES'!$C$10:$I$10,0))</f>
        <v>#N/A</v>
      </c>
      <c r="AB112" s="20" t="e">
        <f>INDEX('02_PROPERTIES'!$C$10:$I$1048576,MATCH('03_CALCULATIONS'!$D112,'02_PROPERTIES'!$C$10:$C$1048576,0),MATCH('03_CALCULATIONS'!AB$9,'02_PROPERTIES'!$C$10:$I$10,0))</f>
        <v>#N/A</v>
      </c>
      <c r="AC112" s="20" t="e">
        <f>INDEX('02_PROPERTIES'!$C$10:$I$1048576,MATCH('03_CALCULATIONS'!$D112,'02_PROPERTIES'!$C$10:$C$1048576,0),MATCH('03_CALCULATIONS'!AC$9,'02_PROPERTIES'!$C$10:$I$10,0))</f>
        <v>#N/A</v>
      </c>
      <c r="AD112" s="20" t="e">
        <f>INDEX('02_PROPERTIES'!$C$10:$I$1048576,MATCH('03_CALCULATIONS'!$D112,'02_PROPERTIES'!$C$10:$C$1048576,0),MATCH('03_CALCULATIONS'!AD$9,'02_PROPERTIES'!$C$10:$I$10,0))</f>
        <v>#N/A</v>
      </c>
      <c r="AE112" s="32" t="e">
        <f>INDEX('02_PROPERTIES'!$C$10:$I$1048576,MATCH('03_CALCULATIONS'!$D112,'02_PROPERTIES'!$C$10:$C$1048576,0),MATCH('03_CALCULATIONS'!AE$9,'02_PROPERTIES'!$C$10:$I$10,0))</f>
        <v>#N/A</v>
      </c>
      <c r="AF112" s="32" t="e">
        <f>INDEX('02_PROPERTIES'!$C$10:$I$1048576,MATCH('03_CALCULATIONS'!$D112,'02_PROPERTIES'!$C$10:$C$1048576,0),MATCH('03_CALCULATIONS'!AF$9,'02_PROPERTIES'!$C$10:$I$10,0))</f>
        <v>#N/A</v>
      </c>
      <c r="AH112" s="20" t="e">
        <f t="shared" si="11"/>
        <v>#N/A</v>
      </c>
      <c r="AI112" s="20" t="e">
        <f t="shared" si="12"/>
        <v>#N/A</v>
      </c>
      <c r="AJ112" s="20" t="e">
        <f t="shared" si="13"/>
        <v>#N/A</v>
      </c>
      <c r="AL112" s="20" t="e">
        <f t="shared" si="14"/>
        <v>#N/A</v>
      </c>
      <c r="AM112" s="20" t="e">
        <f t="shared" si="15"/>
        <v>#N/A</v>
      </c>
      <c r="AN112" s="20" t="e">
        <f t="shared" si="16"/>
        <v>#N/A</v>
      </c>
      <c r="AO112" s="20" t="e">
        <f t="shared" si="17"/>
        <v>#N/A</v>
      </c>
      <c r="AP112" s="20" t="e">
        <f t="shared" si="18"/>
        <v>#N/A</v>
      </c>
      <c r="AR112" s="20" t="e">
        <f t="shared" si="19"/>
        <v>#N/A</v>
      </c>
      <c r="AS112" s="20" t="e">
        <f t="shared" si="20"/>
        <v>#N/A</v>
      </c>
      <c r="AT112" s="20" t="e">
        <f t="shared" si="21"/>
        <v>#N/A</v>
      </c>
    </row>
    <row r="113" spans="1:46" x14ac:dyDescent="0.3">
      <c r="A113" s="18"/>
      <c r="B113" s="20" t="e">
        <f>INDEX('01_FASTPPH'!$9:$1048576,MATCH($A113,'01_FASTPPH'!$A$9:$A$1048576,0),MATCH(B$9,'01_FASTPPH'!$8:$8,0))</f>
        <v>#N/A</v>
      </c>
      <c r="C113" s="20" t="e">
        <f>INDEX('01_FASTPPH'!$9:$1048576,MATCH($A113,'01_FASTPPH'!$A$9:$A$1048576,0),MATCH(C$9,'01_FASTPPH'!$8:$8,0))</f>
        <v>#N/A</v>
      </c>
      <c r="D113" s="20" t="e">
        <f>INDEX('01_FASTPPH'!$9:$1048576,MATCH($A113,'01_FASTPPH'!$A$9:$A$1048576,0),MATCH(D$9,'01_FASTPPH'!$8:$8,0))</f>
        <v>#N/A</v>
      </c>
      <c r="E113" s="20" t="e">
        <f>INDEX('01_FASTPPH'!$9:$1048576,MATCH($A113,'01_FASTPPH'!$A$9:$A$1048576,0),MATCH(E$9,'01_FASTPPH'!$8:$8,0))</f>
        <v>#N/A</v>
      </c>
      <c r="F113" s="20" t="e">
        <f>INDEX('01_FASTPPH'!$9:$1048576,MATCH($A113,'01_FASTPPH'!$A$9:$A$1048576,0),MATCH(F$9,'01_FASTPPH'!$8:$8,0))</f>
        <v>#N/A</v>
      </c>
      <c r="G113" s="20" t="e">
        <f>INDEX('01_FASTPPH'!$9:$1048576,MATCH($A113,'01_FASTPPH'!$A$9:$A$1048576,0),MATCH(G$9,'01_FASTPPH'!$8:$8,0))</f>
        <v>#N/A</v>
      </c>
      <c r="H113" s="20" t="e">
        <f>INDEX('01_FASTPPH'!$9:$1048576,MATCH($A113,'01_FASTPPH'!$A$9:$A$1048576,0),MATCH(H$9,'01_FASTPPH'!$8:$8,0))</f>
        <v>#N/A</v>
      </c>
      <c r="I113" s="20" t="e">
        <f>INDEX('01_FASTPPH'!$9:$1048576,MATCH($A113,'01_FASTPPH'!$A$9:$A$1048576,0),MATCH(I$9,'01_FASTPPH'!$8:$8,0))</f>
        <v>#N/A</v>
      </c>
      <c r="J113" s="20" t="e">
        <f>INDEX('01_FASTPPH'!$9:$1048576,MATCH($A113,'01_FASTPPH'!$A$9:$A$1048576,0),MATCH(J$9,'01_FASTPPH'!$8:$8,0))</f>
        <v>#N/A</v>
      </c>
      <c r="K113" s="23" t="e">
        <f>INDEX('01_FASTPPH'!$9:$1048576,MATCH($A113,'01_FASTPPH'!$A$9:$A$1048576,0),MATCH(K$9,'01_FASTPPH'!$8:$8,0))</f>
        <v>#N/A</v>
      </c>
      <c r="L113" s="20" t="e">
        <f>INDEX('01_FASTPPH'!$9:$1048576,MATCH($A113,'01_FASTPPH'!$A$9:$A$1048576,0),MATCH(L$9,'01_FASTPPH'!$8:$8,0))</f>
        <v>#N/A</v>
      </c>
      <c r="M113" s="20" t="e">
        <f>INDEX('01_FASTPPH'!$9:$1048576,MATCH($A113,'01_FASTPPH'!$A$9:$A$1048576,0),MATCH(M$9,'01_FASTPPH'!$8:$8,0))</f>
        <v>#N/A</v>
      </c>
      <c r="N113" s="24" t="e">
        <f>INDEX('01_FASTPPH'!$9:$1048576,MATCH($A113,'01_FASTPPH'!$A$9:$A$1048576,0),MATCH(N$9,'01_FASTPPH'!$8:$8,0))</f>
        <v>#N/A</v>
      </c>
      <c r="O113" s="23" t="e">
        <f>INDEX('01_FASTPPH'!$9:$1048576,MATCH($A113,'01_FASTPPH'!$A$9:$A$1048576,0),MATCH(O$9,'01_FASTPPH'!$8:$8,0))</f>
        <v>#N/A</v>
      </c>
      <c r="P113" s="20" t="e">
        <f>INDEX('01_FASTPPH'!$9:$1048576,MATCH($A113,'01_FASTPPH'!$A$9:$A$1048576,0),MATCH(P$9,'01_FASTPPH'!$8:$8,0))</f>
        <v>#N/A</v>
      </c>
      <c r="Q113" s="20" t="e">
        <f>INDEX('01_FASTPPH'!$9:$1048576,MATCH($A113,'01_FASTPPH'!$A$9:$A$1048576,0),MATCH(Q$9,'01_FASTPPH'!$8:$8,0))</f>
        <v>#N/A</v>
      </c>
      <c r="R113" s="20" t="e">
        <f>INDEX('01_FASTPPH'!$9:$1048576,MATCH($A113,'01_FASTPPH'!$A$9:$A$1048576,0),MATCH(R$9,'01_FASTPPH'!$8:$8,0))</f>
        <v>#N/A</v>
      </c>
      <c r="S113" s="20" t="e">
        <f>INDEX('01_FASTPPH'!$9:$1048576,MATCH($A113,'01_FASTPPH'!$A$9:$A$1048576,0),MATCH(S$9,'01_FASTPPH'!$8:$8,0))</f>
        <v>#N/A</v>
      </c>
      <c r="T113" s="24" t="e">
        <f>INDEX('01_FASTPPH'!$9:$1048576,MATCH($A113,'01_FASTPPH'!$A$9:$A$1048576,0),MATCH(T$9,'01_FASTPPH'!$8:$8,0))</f>
        <v>#N/A</v>
      </c>
      <c r="U113" s="23" t="e">
        <f>INDEX('01_FASTPPH'!$9:$1048576,MATCH($A113,'01_FASTPPH'!$A$9:$A$1048576,0),MATCH(U$9,'01_FASTPPH'!$8:$8,0))</f>
        <v>#N/A</v>
      </c>
      <c r="V113" s="20" t="e">
        <f>INDEX('01_FASTPPH'!$9:$1048576,MATCH($A113,'01_FASTPPH'!$A$9:$A$1048576,0),MATCH(V$9,'01_FASTPPH'!$8:$8,0))</f>
        <v>#N/A</v>
      </c>
      <c r="W113" s="24" t="e">
        <f>INDEX('01_FASTPPH'!$9:$1048576,MATCH($A113,'01_FASTPPH'!$A$9:$A$1048576,0),MATCH(W$9,'01_FASTPPH'!$8:$8,0))</f>
        <v>#N/A</v>
      </c>
      <c r="X113" s="20" t="e">
        <f>INDEX('01_FASTPPH'!$9:$1048576,MATCH($A113,'01_FASTPPH'!$A$9:$A$1048576,0),MATCH(X$9,'01_FASTPPH'!$8:$8,0))</f>
        <v>#N/A</v>
      </c>
      <c r="Y113" s="20" t="e">
        <f>INDEX('01_FASTPPH'!$9:$1048576,MATCH($A113,'01_FASTPPH'!$A$9:$A$1048576,0),MATCH(Y$9,'01_FASTPPH'!$8:$8,0))</f>
        <v>#N/A</v>
      </c>
      <c r="AA113" s="32" t="e">
        <f>INDEX('02_PROPERTIES'!$C$10:$I$1048576,MATCH('03_CALCULATIONS'!$D113,'02_PROPERTIES'!$C$10:$C$1048576,0),MATCH('03_CALCULATIONS'!AA$9,'02_PROPERTIES'!$C$10:$I$10,0))</f>
        <v>#N/A</v>
      </c>
      <c r="AB113" s="20" t="e">
        <f>INDEX('02_PROPERTIES'!$C$10:$I$1048576,MATCH('03_CALCULATIONS'!$D113,'02_PROPERTIES'!$C$10:$C$1048576,0),MATCH('03_CALCULATIONS'!AB$9,'02_PROPERTIES'!$C$10:$I$10,0))</f>
        <v>#N/A</v>
      </c>
      <c r="AC113" s="20" t="e">
        <f>INDEX('02_PROPERTIES'!$C$10:$I$1048576,MATCH('03_CALCULATIONS'!$D113,'02_PROPERTIES'!$C$10:$C$1048576,0),MATCH('03_CALCULATIONS'!AC$9,'02_PROPERTIES'!$C$10:$I$10,0))</f>
        <v>#N/A</v>
      </c>
      <c r="AD113" s="20" t="e">
        <f>INDEX('02_PROPERTIES'!$C$10:$I$1048576,MATCH('03_CALCULATIONS'!$D113,'02_PROPERTIES'!$C$10:$C$1048576,0),MATCH('03_CALCULATIONS'!AD$9,'02_PROPERTIES'!$C$10:$I$10,0))</f>
        <v>#N/A</v>
      </c>
      <c r="AE113" s="32" t="e">
        <f>INDEX('02_PROPERTIES'!$C$10:$I$1048576,MATCH('03_CALCULATIONS'!$D113,'02_PROPERTIES'!$C$10:$C$1048576,0),MATCH('03_CALCULATIONS'!AE$9,'02_PROPERTIES'!$C$10:$I$10,0))</f>
        <v>#N/A</v>
      </c>
      <c r="AF113" s="32" t="e">
        <f>INDEX('02_PROPERTIES'!$C$10:$I$1048576,MATCH('03_CALCULATIONS'!$D113,'02_PROPERTIES'!$C$10:$C$1048576,0),MATCH('03_CALCULATIONS'!AF$9,'02_PROPERTIES'!$C$10:$I$10,0))</f>
        <v>#N/A</v>
      </c>
      <c r="AH113" s="20" t="e">
        <f t="shared" si="11"/>
        <v>#N/A</v>
      </c>
      <c r="AI113" s="20" t="e">
        <f t="shared" si="12"/>
        <v>#N/A</v>
      </c>
      <c r="AJ113" s="20" t="e">
        <f t="shared" si="13"/>
        <v>#N/A</v>
      </c>
      <c r="AL113" s="20" t="e">
        <f t="shared" si="14"/>
        <v>#N/A</v>
      </c>
      <c r="AM113" s="20" t="e">
        <f t="shared" si="15"/>
        <v>#N/A</v>
      </c>
      <c r="AN113" s="20" t="e">
        <f t="shared" si="16"/>
        <v>#N/A</v>
      </c>
      <c r="AO113" s="20" t="e">
        <f t="shared" si="17"/>
        <v>#N/A</v>
      </c>
      <c r="AP113" s="20" t="e">
        <f t="shared" si="18"/>
        <v>#N/A</v>
      </c>
      <c r="AR113" s="20" t="e">
        <f t="shared" si="19"/>
        <v>#N/A</v>
      </c>
      <c r="AS113" s="20" t="e">
        <f t="shared" si="20"/>
        <v>#N/A</v>
      </c>
      <c r="AT113" s="20" t="e">
        <f t="shared" si="21"/>
        <v>#N/A</v>
      </c>
    </row>
    <row r="114" spans="1:46" x14ac:dyDescent="0.3">
      <c r="A114" s="18"/>
      <c r="B114" s="20" t="e">
        <f>INDEX('01_FASTPPH'!$9:$1048576,MATCH($A114,'01_FASTPPH'!$A$9:$A$1048576,0),MATCH(B$9,'01_FASTPPH'!$8:$8,0))</f>
        <v>#N/A</v>
      </c>
      <c r="C114" s="20" t="e">
        <f>INDEX('01_FASTPPH'!$9:$1048576,MATCH($A114,'01_FASTPPH'!$A$9:$A$1048576,0),MATCH(C$9,'01_FASTPPH'!$8:$8,0))</f>
        <v>#N/A</v>
      </c>
      <c r="D114" s="20" t="e">
        <f>INDEX('01_FASTPPH'!$9:$1048576,MATCH($A114,'01_FASTPPH'!$A$9:$A$1048576,0),MATCH(D$9,'01_FASTPPH'!$8:$8,0))</f>
        <v>#N/A</v>
      </c>
      <c r="E114" s="20" t="e">
        <f>INDEX('01_FASTPPH'!$9:$1048576,MATCH($A114,'01_FASTPPH'!$A$9:$A$1048576,0),MATCH(E$9,'01_FASTPPH'!$8:$8,0))</f>
        <v>#N/A</v>
      </c>
      <c r="F114" s="20" t="e">
        <f>INDEX('01_FASTPPH'!$9:$1048576,MATCH($A114,'01_FASTPPH'!$A$9:$A$1048576,0),MATCH(F$9,'01_FASTPPH'!$8:$8,0))</f>
        <v>#N/A</v>
      </c>
      <c r="G114" s="20" t="e">
        <f>INDEX('01_FASTPPH'!$9:$1048576,MATCH($A114,'01_FASTPPH'!$A$9:$A$1048576,0),MATCH(G$9,'01_FASTPPH'!$8:$8,0))</f>
        <v>#N/A</v>
      </c>
      <c r="H114" s="20" t="e">
        <f>INDEX('01_FASTPPH'!$9:$1048576,MATCH($A114,'01_FASTPPH'!$A$9:$A$1048576,0),MATCH(H$9,'01_FASTPPH'!$8:$8,0))</f>
        <v>#N/A</v>
      </c>
      <c r="I114" s="20" t="e">
        <f>INDEX('01_FASTPPH'!$9:$1048576,MATCH($A114,'01_FASTPPH'!$A$9:$A$1048576,0),MATCH(I$9,'01_FASTPPH'!$8:$8,0))</f>
        <v>#N/A</v>
      </c>
      <c r="J114" s="20" t="e">
        <f>INDEX('01_FASTPPH'!$9:$1048576,MATCH($A114,'01_FASTPPH'!$A$9:$A$1048576,0),MATCH(J$9,'01_FASTPPH'!$8:$8,0))</f>
        <v>#N/A</v>
      </c>
      <c r="K114" s="23" t="e">
        <f>INDEX('01_FASTPPH'!$9:$1048576,MATCH($A114,'01_FASTPPH'!$A$9:$A$1048576,0),MATCH(K$9,'01_FASTPPH'!$8:$8,0))</f>
        <v>#N/A</v>
      </c>
      <c r="L114" s="20" t="e">
        <f>INDEX('01_FASTPPH'!$9:$1048576,MATCH($A114,'01_FASTPPH'!$A$9:$A$1048576,0),MATCH(L$9,'01_FASTPPH'!$8:$8,0))</f>
        <v>#N/A</v>
      </c>
      <c r="M114" s="20" t="e">
        <f>INDEX('01_FASTPPH'!$9:$1048576,MATCH($A114,'01_FASTPPH'!$A$9:$A$1048576,0),MATCH(M$9,'01_FASTPPH'!$8:$8,0))</f>
        <v>#N/A</v>
      </c>
      <c r="N114" s="24" t="e">
        <f>INDEX('01_FASTPPH'!$9:$1048576,MATCH($A114,'01_FASTPPH'!$A$9:$A$1048576,0),MATCH(N$9,'01_FASTPPH'!$8:$8,0))</f>
        <v>#N/A</v>
      </c>
      <c r="O114" s="23" t="e">
        <f>INDEX('01_FASTPPH'!$9:$1048576,MATCH($A114,'01_FASTPPH'!$A$9:$A$1048576,0),MATCH(O$9,'01_FASTPPH'!$8:$8,0))</f>
        <v>#N/A</v>
      </c>
      <c r="P114" s="20" t="e">
        <f>INDEX('01_FASTPPH'!$9:$1048576,MATCH($A114,'01_FASTPPH'!$A$9:$A$1048576,0),MATCH(P$9,'01_FASTPPH'!$8:$8,0))</f>
        <v>#N/A</v>
      </c>
      <c r="Q114" s="20" t="e">
        <f>INDEX('01_FASTPPH'!$9:$1048576,MATCH($A114,'01_FASTPPH'!$A$9:$A$1048576,0),MATCH(Q$9,'01_FASTPPH'!$8:$8,0))</f>
        <v>#N/A</v>
      </c>
      <c r="R114" s="20" t="e">
        <f>INDEX('01_FASTPPH'!$9:$1048576,MATCH($A114,'01_FASTPPH'!$A$9:$A$1048576,0),MATCH(R$9,'01_FASTPPH'!$8:$8,0))</f>
        <v>#N/A</v>
      </c>
      <c r="S114" s="20" t="e">
        <f>INDEX('01_FASTPPH'!$9:$1048576,MATCH($A114,'01_FASTPPH'!$A$9:$A$1048576,0),MATCH(S$9,'01_FASTPPH'!$8:$8,0))</f>
        <v>#N/A</v>
      </c>
      <c r="T114" s="24" t="e">
        <f>INDEX('01_FASTPPH'!$9:$1048576,MATCH($A114,'01_FASTPPH'!$A$9:$A$1048576,0),MATCH(T$9,'01_FASTPPH'!$8:$8,0))</f>
        <v>#N/A</v>
      </c>
      <c r="U114" s="23" t="e">
        <f>INDEX('01_FASTPPH'!$9:$1048576,MATCH($A114,'01_FASTPPH'!$A$9:$A$1048576,0),MATCH(U$9,'01_FASTPPH'!$8:$8,0))</f>
        <v>#N/A</v>
      </c>
      <c r="V114" s="20" t="e">
        <f>INDEX('01_FASTPPH'!$9:$1048576,MATCH($A114,'01_FASTPPH'!$A$9:$A$1048576,0),MATCH(V$9,'01_FASTPPH'!$8:$8,0))</f>
        <v>#N/A</v>
      </c>
      <c r="W114" s="24" t="e">
        <f>INDEX('01_FASTPPH'!$9:$1048576,MATCH($A114,'01_FASTPPH'!$A$9:$A$1048576,0),MATCH(W$9,'01_FASTPPH'!$8:$8,0))</f>
        <v>#N/A</v>
      </c>
      <c r="X114" s="20" t="e">
        <f>INDEX('01_FASTPPH'!$9:$1048576,MATCH($A114,'01_FASTPPH'!$A$9:$A$1048576,0),MATCH(X$9,'01_FASTPPH'!$8:$8,0))</f>
        <v>#N/A</v>
      </c>
      <c r="Y114" s="20" t="e">
        <f>INDEX('01_FASTPPH'!$9:$1048576,MATCH($A114,'01_FASTPPH'!$A$9:$A$1048576,0),MATCH(Y$9,'01_FASTPPH'!$8:$8,0))</f>
        <v>#N/A</v>
      </c>
      <c r="AA114" s="32" t="e">
        <f>INDEX('02_PROPERTIES'!$C$10:$I$1048576,MATCH('03_CALCULATIONS'!$D114,'02_PROPERTIES'!$C$10:$C$1048576,0),MATCH('03_CALCULATIONS'!AA$9,'02_PROPERTIES'!$C$10:$I$10,0))</f>
        <v>#N/A</v>
      </c>
      <c r="AB114" s="20" t="e">
        <f>INDEX('02_PROPERTIES'!$C$10:$I$1048576,MATCH('03_CALCULATIONS'!$D114,'02_PROPERTIES'!$C$10:$C$1048576,0),MATCH('03_CALCULATIONS'!AB$9,'02_PROPERTIES'!$C$10:$I$10,0))</f>
        <v>#N/A</v>
      </c>
      <c r="AC114" s="20" t="e">
        <f>INDEX('02_PROPERTIES'!$C$10:$I$1048576,MATCH('03_CALCULATIONS'!$D114,'02_PROPERTIES'!$C$10:$C$1048576,0),MATCH('03_CALCULATIONS'!AC$9,'02_PROPERTIES'!$C$10:$I$10,0))</f>
        <v>#N/A</v>
      </c>
      <c r="AD114" s="20" t="e">
        <f>INDEX('02_PROPERTIES'!$C$10:$I$1048576,MATCH('03_CALCULATIONS'!$D114,'02_PROPERTIES'!$C$10:$C$1048576,0),MATCH('03_CALCULATIONS'!AD$9,'02_PROPERTIES'!$C$10:$I$10,0))</f>
        <v>#N/A</v>
      </c>
      <c r="AE114" s="32" t="e">
        <f>INDEX('02_PROPERTIES'!$C$10:$I$1048576,MATCH('03_CALCULATIONS'!$D114,'02_PROPERTIES'!$C$10:$C$1048576,0),MATCH('03_CALCULATIONS'!AE$9,'02_PROPERTIES'!$C$10:$I$10,0))</f>
        <v>#N/A</v>
      </c>
      <c r="AF114" s="32" t="e">
        <f>INDEX('02_PROPERTIES'!$C$10:$I$1048576,MATCH('03_CALCULATIONS'!$D114,'02_PROPERTIES'!$C$10:$C$1048576,0),MATCH('03_CALCULATIONS'!AF$9,'02_PROPERTIES'!$C$10:$I$10,0))</f>
        <v>#N/A</v>
      </c>
      <c r="AH114" s="20" t="e">
        <f t="shared" si="11"/>
        <v>#N/A</v>
      </c>
      <c r="AI114" s="20" t="e">
        <f t="shared" si="12"/>
        <v>#N/A</v>
      </c>
      <c r="AJ114" s="20" t="e">
        <f t="shared" si="13"/>
        <v>#N/A</v>
      </c>
      <c r="AL114" s="20" t="e">
        <f t="shared" si="14"/>
        <v>#N/A</v>
      </c>
      <c r="AM114" s="20" t="e">
        <f t="shared" si="15"/>
        <v>#N/A</v>
      </c>
      <c r="AN114" s="20" t="e">
        <f t="shared" si="16"/>
        <v>#N/A</v>
      </c>
      <c r="AO114" s="20" t="e">
        <f t="shared" si="17"/>
        <v>#N/A</v>
      </c>
      <c r="AP114" s="20" t="e">
        <f t="shared" si="18"/>
        <v>#N/A</v>
      </c>
      <c r="AR114" s="20" t="e">
        <f t="shared" si="19"/>
        <v>#N/A</v>
      </c>
      <c r="AS114" s="20" t="e">
        <f t="shared" si="20"/>
        <v>#N/A</v>
      </c>
      <c r="AT114" s="20" t="e">
        <f t="shared" si="21"/>
        <v>#N/A</v>
      </c>
    </row>
    <row r="115" spans="1:46" x14ac:dyDescent="0.3">
      <c r="A115" s="18"/>
      <c r="B115" s="20" t="e">
        <f>INDEX('01_FASTPPH'!$9:$1048576,MATCH($A115,'01_FASTPPH'!$A$9:$A$1048576,0),MATCH(B$9,'01_FASTPPH'!$8:$8,0))</f>
        <v>#N/A</v>
      </c>
      <c r="C115" s="20" t="e">
        <f>INDEX('01_FASTPPH'!$9:$1048576,MATCH($A115,'01_FASTPPH'!$A$9:$A$1048576,0),MATCH(C$9,'01_FASTPPH'!$8:$8,0))</f>
        <v>#N/A</v>
      </c>
      <c r="D115" s="20" t="e">
        <f>INDEX('01_FASTPPH'!$9:$1048576,MATCH($A115,'01_FASTPPH'!$A$9:$A$1048576,0),MATCH(D$9,'01_FASTPPH'!$8:$8,0))</f>
        <v>#N/A</v>
      </c>
      <c r="E115" s="20" t="e">
        <f>INDEX('01_FASTPPH'!$9:$1048576,MATCH($A115,'01_FASTPPH'!$A$9:$A$1048576,0),MATCH(E$9,'01_FASTPPH'!$8:$8,0))</f>
        <v>#N/A</v>
      </c>
      <c r="F115" s="20" t="e">
        <f>INDEX('01_FASTPPH'!$9:$1048576,MATCH($A115,'01_FASTPPH'!$A$9:$A$1048576,0),MATCH(F$9,'01_FASTPPH'!$8:$8,0))</f>
        <v>#N/A</v>
      </c>
      <c r="G115" s="20" t="e">
        <f>INDEX('01_FASTPPH'!$9:$1048576,MATCH($A115,'01_FASTPPH'!$A$9:$A$1048576,0),MATCH(G$9,'01_FASTPPH'!$8:$8,0))</f>
        <v>#N/A</v>
      </c>
      <c r="H115" s="20" t="e">
        <f>INDEX('01_FASTPPH'!$9:$1048576,MATCH($A115,'01_FASTPPH'!$A$9:$A$1048576,0),MATCH(H$9,'01_FASTPPH'!$8:$8,0))</f>
        <v>#N/A</v>
      </c>
      <c r="I115" s="20" t="e">
        <f>INDEX('01_FASTPPH'!$9:$1048576,MATCH($A115,'01_FASTPPH'!$A$9:$A$1048576,0),MATCH(I$9,'01_FASTPPH'!$8:$8,0))</f>
        <v>#N/A</v>
      </c>
      <c r="J115" s="20" t="e">
        <f>INDEX('01_FASTPPH'!$9:$1048576,MATCH($A115,'01_FASTPPH'!$A$9:$A$1048576,0),MATCH(J$9,'01_FASTPPH'!$8:$8,0))</f>
        <v>#N/A</v>
      </c>
      <c r="K115" s="23" t="e">
        <f>INDEX('01_FASTPPH'!$9:$1048576,MATCH($A115,'01_FASTPPH'!$A$9:$A$1048576,0),MATCH(K$9,'01_FASTPPH'!$8:$8,0))</f>
        <v>#N/A</v>
      </c>
      <c r="L115" s="20" t="e">
        <f>INDEX('01_FASTPPH'!$9:$1048576,MATCH($A115,'01_FASTPPH'!$A$9:$A$1048576,0),MATCH(L$9,'01_FASTPPH'!$8:$8,0))</f>
        <v>#N/A</v>
      </c>
      <c r="M115" s="20" t="e">
        <f>INDEX('01_FASTPPH'!$9:$1048576,MATCH($A115,'01_FASTPPH'!$A$9:$A$1048576,0),MATCH(M$9,'01_FASTPPH'!$8:$8,0))</f>
        <v>#N/A</v>
      </c>
      <c r="N115" s="24" t="e">
        <f>INDEX('01_FASTPPH'!$9:$1048576,MATCH($A115,'01_FASTPPH'!$A$9:$A$1048576,0),MATCH(N$9,'01_FASTPPH'!$8:$8,0))</f>
        <v>#N/A</v>
      </c>
      <c r="O115" s="23" t="e">
        <f>INDEX('01_FASTPPH'!$9:$1048576,MATCH($A115,'01_FASTPPH'!$A$9:$A$1048576,0),MATCH(O$9,'01_FASTPPH'!$8:$8,0))</f>
        <v>#N/A</v>
      </c>
      <c r="P115" s="20" t="e">
        <f>INDEX('01_FASTPPH'!$9:$1048576,MATCH($A115,'01_FASTPPH'!$A$9:$A$1048576,0),MATCH(P$9,'01_FASTPPH'!$8:$8,0))</f>
        <v>#N/A</v>
      </c>
      <c r="Q115" s="20" t="e">
        <f>INDEX('01_FASTPPH'!$9:$1048576,MATCH($A115,'01_FASTPPH'!$A$9:$A$1048576,0),MATCH(Q$9,'01_FASTPPH'!$8:$8,0))</f>
        <v>#N/A</v>
      </c>
      <c r="R115" s="20" t="e">
        <f>INDEX('01_FASTPPH'!$9:$1048576,MATCH($A115,'01_FASTPPH'!$A$9:$A$1048576,0),MATCH(R$9,'01_FASTPPH'!$8:$8,0))</f>
        <v>#N/A</v>
      </c>
      <c r="S115" s="20" t="e">
        <f>INDEX('01_FASTPPH'!$9:$1048576,MATCH($A115,'01_FASTPPH'!$A$9:$A$1048576,0),MATCH(S$9,'01_FASTPPH'!$8:$8,0))</f>
        <v>#N/A</v>
      </c>
      <c r="T115" s="24" t="e">
        <f>INDEX('01_FASTPPH'!$9:$1048576,MATCH($A115,'01_FASTPPH'!$A$9:$A$1048576,0),MATCH(T$9,'01_FASTPPH'!$8:$8,0))</f>
        <v>#N/A</v>
      </c>
      <c r="U115" s="23" t="e">
        <f>INDEX('01_FASTPPH'!$9:$1048576,MATCH($A115,'01_FASTPPH'!$A$9:$A$1048576,0),MATCH(U$9,'01_FASTPPH'!$8:$8,0))</f>
        <v>#N/A</v>
      </c>
      <c r="V115" s="20" t="e">
        <f>INDEX('01_FASTPPH'!$9:$1048576,MATCH($A115,'01_FASTPPH'!$A$9:$A$1048576,0),MATCH(V$9,'01_FASTPPH'!$8:$8,0))</f>
        <v>#N/A</v>
      </c>
      <c r="W115" s="24" t="e">
        <f>INDEX('01_FASTPPH'!$9:$1048576,MATCH($A115,'01_FASTPPH'!$A$9:$A$1048576,0),MATCH(W$9,'01_FASTPPH'!$8:$8,0))</f>
        <v>#N/A</v>
      </c>
      <c r="X115" s="20" t="e">
        <f>INDEX('01_FASTPPH'!$9:$1048576,MATCH($A115,'01_FASTPPH'!$A$9:$A$1048576,0),MATCH(X$9,'01_FASTPPH'!$8:$8,0))</f>
        <v>#N/A</v>
      </c>
      <c r="Y115" s="20" t="e">
        <f>INDEX('01_FASTPPH'!$9:$1048576,MATCH($A115,'01_FASTPPH'!$A$9:$A$1048576,0),MATCH(Y$9,'01_FASTPPH'!$8:$8,0))</f>
        <v>#N/A</v>
      </c>
      <c r="AA115" s="32" t="e">
        <f>INDEX('02_PROPERTIES'!$C$10:$I$1048576,MATCH('03_CALCULATIONS'!$D115,'02_PROPERTIES'!$C$10:$C$1048576,0),MATCH('03_CALCULATIONS'!AA$9,'02_PROPERTIES'!$C$10:$I$10,0))</f>
        <v>#N/A</v>
      </c>
      <c r="AB115" s="20" t="e">
        <f>INDEX('02_PROPERTIES'!$C$10:$I$1048576,MATCH('03_CALCULATIONS'!$D115,'02_PROPERTIES'!$C$10:$C$1048576,0),MATCH('03_CALCULATIONS'!AB$9,'02_PROPERTIES'!$C$10:$I$10,0))</f>
        <v>#N/A</v>
      </c>
      <c r="AC115" s="20" t="e">
        <f>INDEX('02_PROPERTIES'!$C$10:$I$1048576,MATCH('03_CALCULATIONS'!$D115,'02_PROPERTIES'!$C$10:$C$1048576,0),MATCH('03_CALCULATIONS'!AC$9,'02_PROPERTIES'!$C$10:$I$10,0))</f>
        <v>#N/A</v>
      </c>
      <c r="AD115" s="20" t="e">
        <f>INDEX('02_PROPERTIES'!$C$10:$I$1048576,MATCH('03_CALCULATIONS'!$D115,'02_PROPERTIES'!$C$10:$C$1048576,0),MATCH('03_CALCULATIONS'!AD$9,'02_PROPERTIES'!$C$10:$I$10,0))</f>
        <v>#N/A</v>
      </c>
      <c r="AE115" s="32" t="e">
        <f>INDEX('02_PROPERTIES'!$C$10:$I$1048576,MATCH('03_CALCULATIONS'!$D115,'02_PROPERTIES'!$C$10:$C$1048576,0),MATCH('03_CALCULATIONS'!AE$9,'02_PROPERTIES'!$C$10:$I$10,0))</f>
        <v>#N/A</v>
      </c>
      <c r="AF115" s="32" t="e">
        <f>INDEX('02_PROPERTIES'!$C$10:$I$1048576,MATCH('03_CALCULATIONS'!$D115,'02_PROPERTIES'!$C$10:$C$1048576,0),MATCH('03_CALCULATIONS'!AF$9,'02_PROPERTIES'!$C$10:$I$10,0))</f>
        <v>#N/A</v>
      </c>
      <c r="AH115" s="20" t="e">
        <f t="shared" si="11"/>
        <v>#N/A</v>
      </c>
      <c r="AI115" s="20" t="e">
        <f t="shared" si="12"/>
        <v>#N/A</v>
      </c>
      <c r="AJ115" s="20" t="e">
        <f t="shared" si="13"/>
        <v>#N/A</v>
      </c>
      <c r="AL115" s="20" t="e">
        <f t="shared" si="14"/>
        <v>#N/A</v>
      </c>
      <c r="AM115" s="20" t="e">
        <f t="shared" si="15"/>
        <v>#N/A</v>
      </c>
      <c r="AN115" s="20" t="e">
        <f t="shared" si="16"/>
        <v>#N/A</v>
      </c>
      <c r="AO115" s="20" t="e">
        <f t="shared" si="17"/>
        <v>#N/A</v>
      </c>
      <c r="AP115" s="20" t="e">
        <f t="shared" si="18"/>
        <v>#N/A</v>
      </c>
      <c r="AR115" s="20" t="e">
        <f t="shared" si="19"/>
        <v>#N/A</v>
      </c>
      <c r="AS115" s="20" t="e">
        <f t="shared" si="20"/>
        <v>#N/A</v>
      </c>
      <c r="AT115" s="20" t="e">
        <f t="shared" si="21"/>
        <v>#N/A</v>
      </c>
    </row>
    <row r="116" spans="1:46" x14ac:dyDescent="0.3">
      <c r="A116" s="18"/>
      <c r="B116" s="20" t="e">
        <f>INDEX('01_FASTPPH'!$9:$1048576,MATCH($A116,'01_FASTPPH'!$A$9:$A$1048576,0),MATCH(B$9,'01_FASTPPH'!$8:$8,0))</f>
        <v>#N/A</v>
      </c>
      <c r="C116" s="20" t="e">
        <f>INDEX('01_FASTPPH'!$9:$1048576,MATCH($A116,'01_FASTPPH'!$A$9:$A$1048576,0),MATCH(C$9,'01_FASTPPH'!$8:$8,0))</f>
        <v>#N/A</v>
      </c>
      <c r="D116" s="20" t="e">
        <f>INDEX('01_FASTPPH'!$9:$1048576,MATCH($A116,'01_FASTPPH'!$A$9:$A$1048576,0),MATCH(D$9,'01_FASTPPH'!$8:$8,0))</f>
        <v>#N/A</v>
      </c>
      <c r="E116" s="20" t="e">
        <f>INDEX('01_FASTPPH'!$9:$1048576,MATCH($A116,'01_FASTPPH'!$A$9:$A$1048576,0),MATCH(E$9,'01_FASTPPH'!$8:$8,0))</f>
        <v>#N/A</v>
      </c>
      <c r="F116" s="20" t="e">
        <f>INDEX('01_FASTPPH'!$9:$1048576,MATCH($A116,'01_FASTPPH'!$A$9:$A$1048576,0),MATCH(F$9,'01_FASTPPH'!$8:$8,0))</f>
        <v>#N/A</v>
      </c>
      <c r="G116" s="20" t="e">
        <f>INDEX('01_FASTPPH'!$9:$1048576,MATCH($A116,'01_FASTPPH'!$A$9:$A$1048576,0),MATCH(G$9,'01_FASTPPH'!$8:$8,0))</f>
        <v>#N/A</v>
      </c>
      <c r="H116" s="20" t="e">
        <f>INDEX('01_FASTPPH'!$9:$1048576,MATCH($A116,'01_FASTPPH'!$A$9:$A$1048576,0),MATCH(H$9,'01_FASTPPH'!$8:$8,0))</f>
        <v>#N/A</v>
      </c>
      <c r="I116" s="20" t="e">
        <f>INDEX('01_FASTPPH'!$9:$1048576,MATCH($A116,'01_FASTPPH'!$A$9:$A$1048576,0),MATCH(I$9,'01_FASTPPH'!$8:$8,0))</f>
        <v>#N/A</v>
      </c>
      <c r="J116" s="20" t="e">
        <f>INDEX('01_FASTPPH'!$9:$1048576,MATCH($A116,'01_FASTPPH'!$A$9:$A$1048576,0),MATCH(J$9,'01_FASTPPH'!$8:$8,0))</f>
        <v>#N/A</v>
      </c>
      <c r="K116" s="23" t="e">
        <f>INDEX('01_FASTPPH'!$9:$1048576,MATCH($A116,'01_FASTPPH'!$A$9:$A$1048576,0),MATCH(K$9,'01_FASTPPH'!$8:$8,0))</f>
        <v>#N/A</v>
      </c>
      <c r="L116" s="20" t="e">
        <f>INDEX('01_FASTPPH'!$9:$1048576,MATCH($A116,'01_FASTPPH'!$A$9:$A$1048576,0),MATCH(L$9,'01_FASTPPH'!$8:$8,0))</f>
        <v>#N/A</v>
      </c>
      <c r="M116" s="20" t="e">
        <f>INDEX('01_FASTPPH'!$9:$1048576,MATCH($A116,'01_FASTPPH'!$A$9:$A$1048576,0),MATCH(M$9,'01_FASTPPH'!$8:$8,0))</f>
        <v>#N/A</v>
      </c>
      <c r="N116" s="24" t="e">
        <f>INDEX('01_FASTPPH'!$9:$1048576,MATCH($A116,'01_FASTPPH'!$A$9:$A$1048576,0),MATCH(N$9,'01_FASTPPH'!$8:$8,0))</f>
        <v>#N/A</v>
      </c>
      <c r="O116" s="23" t="e">
        <f>INDEX('01_FASTPPH'!$9:$1048576,MATCH($A116,'01_FASTPPH'!$A$9:$A$1048576,0),MATCH(O$9,'01_FASTPPH'!$8:$8,0))</f>
        <v>#N/A</v>
      </c>
      <c r="P116" s="20" t="e">
        <f>INDEX('01_FASTPPH'!$9:$1048576,MATCH($A116,'01_FASTPPH'!$A$9:$A$1048576,0),MATCH(P$9,'01_FASTPPH'!$8:$8,0))</f>
        <v>#N/A</v>
      </c>
      <c r="Q116" s="20" t="e">
        <f>INDEX('01_FASTPPH'!$9:$1048576,MATCH($A116,'01_FASTPPH'!$A$9:$A$1048576,0),MATCH(Q$9,'01_FASTPPH'!$8:$8,0))</f>
        <v>#N/A</v>
      </c>
      <c r="R116" s="20" t="e">
        <f>INDEX('01_FASTPPH'!$9:$1048576,MATCH($A116,'01_FASTPPH'!$A$9:$A$1048576,0),MATCH(R$9,'01_FASTPPH'!$8:$8,0))</f>
        <v>#N/A</v>
      </c>
      <c r="S116" s="20" t="e">
        <f>INDEX('01_FASTPPH'!$9:$1048576,MATCH($A116,'01_FASTPPH'!$A$9:$A$1048576,0),MATCH(S$9,'01_FASTPPH'!$8:$8,0))</f>
        <v>#N/A</v>
      </c>
      <c r="T116" s="24" t="e">
        <f>INDEX('01_FASTPPH'!$9:$1048576,MATCH($A116,'01_FASTPPH'!$A$9:$A$1048576,0),MATCH(T$9,'01_FASTPPH'!$8:$8,0))</f>
        <v>#N/A</v>
      </c>
      <c r="U116" s="23" t="e">
        <f>INDEX('01_FASTPPH'!$9:$1048576,MATCH($A116,'01_FASTPPH'!$A$9:$A$1048576,0),MATCH(U$9,'01_FASTPPH'!$8:$8,0))</f>
        <v>#N/A</v>
      </c>
      <c r="V116" s="20" t="e">
        <f>INDEX('01_FASTPPH'!$9:$1048576,MATCH($A116,'01_FASTPPH'!$A$9:$A$1048576,0),MATCH(V$9,'01_FASTPPH'!$8:$8,0))</f>
        <v>#N/A</v>
      </c>
      <c r="W116" s="24" t="e">
        <f>INDEX('01_FASTPPH'!$9:$1048576,MATCH($A116,'01_FASTPPH'!$A$9:$A$1048576,0),MATCH(W$9,'01_FASTPPH'!$8:$8,0))</f>
        <v>#N/A</v>
      </c>
      <c r="X116" s="20" t="e">
        <f>INDEX('01_FASTPPH'!$9:$1048576,MATCH($A116,'01_FASTPPH'!$A$9:$A$1048576,0),MATCH(X$9,'01_FASTPPH'!$8:$8,0))</f>
        <v>#N/A</v>
      </c>
      <c r="Y116" s="20" t="e">
        <f>INDEX('01_FASTPPH'!$9:$1048576,MATCH($A116,'01_FASTPPH'!$A$9:$A$1048576,0),MATCH(Y$9,'01_FASTPPH'!$8:$8,0))</f>
        <v>#N/A</v>
      </c>
      <c r="AA116" s="32" t="e">
        <f>INDEX('02_PROPERTIES'!$C$10:$I$1048576,MATCH('03_CALCULATIONS'!$D116,'02_PROPERTIES'!$C$10:$C$1048576,0),MATCH('03_CALCULATIONS'!AA$9,'02_PROPERTIES'!$C$10:$I$10,0))</f>
        <v>#N/A</v>
      </c>
      <c r="AB116" s="20" t="e">
        <f>INDEX('02_PROPERTIES'!$C$10:$I$1048576,MATCH('03_CALCULATIONS'!$D116,'02_PROPERTIES'!$C$10:$C$1048576,0),MATCH('03_CALCULATIONS'!AB$9,'02_PROPERTIES'!$C$10:$I$10,0))</f>
        <v>#N/A</v>
      </c>
      <c r="AC116" s="20" t="e">
        <f>INDEX('02_PROPERTIES'!$C$10:$I$1048576,MATCH('03_CALCULATIONS'!$D116,'02_PROPERTIES'!$C$10:$C$1048576,0),MATCH('03_CALCULATIONS'!AC$9,'02_PROPERTIES'!$C$10:$I$10,0))</f>
        <v>#N/A</v>
      </c>
      <c r="AD116" s="20" t="e">
        <f>INDEX('02_PROPERTIES'!$C$10:$I$1048576,MATCH('03_CALCULATIONS'!$D116,'02_PROPERTIES'!$C$10:$C$1048576,0),MATCH('03_CALCULATIONS'!AD$9,'02_PROPERTIES'!$C$10:$I$10,0))</f>
        <v>#N/A</v>
      </c>
      <c r="AE116" s="32" t="e">
        <f>INDEX('02_PROPERTIES'!$C$10:$I$1048576,MATCH('03_CALCULATIONS'!$D116,'02_PROPERTIES'!$C$10:$C$1048576,0),MATCH('03_CALCULATIONS'!AE$9,'02_PROPERTIES'!$C$10:$I$10,0))</f>
        <v>#N/A</v>
      </c>
      <c r="AF116" s="32" t="e">
        <f>INDEX('02_PROPERTIES'!$C$10:$I$1048576,MATCH('03_CALCULATIONS'!$D116,'02_PROPERTIES'!$C$10:$C$1048576,0),MATCH('03_CALCULATIONS'!AF$9,'02_PROPERTIES'!$C$10:$I$10,0))</f>
        <v>#N/A</v>
      </c>
      <c r="AH116" s="20" t="e">
        <f t="shared" si="11"/>
        <v>#N/A</v>
      </c>
      <c r="AI116" s="20" t="e">
        <f t="shared" si="12"/>
        <v>#N/A</v>
      </c>
      <c r="AJ116" s="20" t="e">
        <f t="shared" si="13"/>
        <v>#N/A</v>
      </c>
      <c r="AL116" s="20" t="e">
        <f t="shared" si="14"/>
        <v>#N/A</v>
      </c>
      <c r="AM116" s="20" t="e">
        <f t="shared" si="15"/>
        <v>#N/A</v>
      </c>
      <c r="AN116" s="20" t="e">
        <f t="shared" si="16"/>
        <v>#N/A</v>
      </c>
      <c r="AO116" s="20" t="e">
        <f t="shared" si="17"/>
        <v>#N/A</v>
      </c>
      <c r="AP116" s="20" t="e">
        <f t="shared" si="18"/>
        <v>#N/A</v>
      </c>
      <c r="AR116" s="20" t="e">
        <f t="shared" si="19"/>
        <v>#N/A</v>
      </c>
      <c r="AS116" s="20" t="e">
        <f t="shared" si="20"/>
        <v>#N/A</v>
      </c>
      <c r="AT116" s="20" t="e">
        <f t="shared" si="21"/>
        <v>#N/A</v>
      </c>
    </row>
    <row r="117" spans="1:46" x14ac:dyDescent="0.3">
      <c r="A117" s="18"/>
      <c r="B117" s="20" t="e">
        <f>INDEX('01_FASTPPH'!$9:$1048576,MATCH($A117,'01_FASTPPH'!$A$9:$A$1048576,0),MATCH(B$9,'01_FASTPPH'!$8:$8,0))</f>
        <v>#N/A</v>
      </c>
      <c r="C117" s="20" t="e">
        <f>INDEX('01_FASTPPH'!$9:$1048576,MATCH($A117,'01_FASTPPH'!$A$9:$A$1048576,0),MATCH(C$9,'01_FASTPPH'!$8:$8,0))</f>
        <v>#N/A</v>
      </c>
      <c r="D117" s="20" t="e">
        <f>INDEX('01_FASTPPH'!$9:$1048576,MATCH($A117,'01_FASTPPH'!$A$9:$A$1048576,0),MATCH(D$9,'01_FASTPPH'!$8:$8,0))</f>
        <v>#N/A</v>
      </c>
      <c r="E117" s="20" t="e">
        <f>INDEX('01_FASTPPH'!$9:$1048576,MATCH($A117,'01_FASTPPH'!$A$9:$A$1048576,0),MATCH(E$9,'01_FASTPPH'!$8:$8,0))</f>
        <v>#N/A</v>
      </c>
      <c r="F117" s="20" t="e">
        <f>INDEX('01_FASTPPH'!$9:$1048576,MATCH($A117,'01_FASTPPH'!$A$9:$A$1048576,0),MATCH(F$9,'01_FASTPPH'!$8:$8,0))</f>
        <v>#N/A</v>
      </c>
      <c r="G117" s="20" t="e">
        <f>INDEX('01_FASTPPH'!$9:$1048576,MATCH($A117,'01_FASTPPH'!$A$9:$A$1048576,0),MATCH(G$9,'01_FASTPPH'!$8:$8,0))</f>
        <v>#N/A</v>
      </c>
      <c r="H117" s="20" t="e">
        <f>INDEX('01_FASTPPH'!$9:$1048576,MATCH($A117,'01_FASTPPH'!$A$9:$A$1048576,0),MATCH(H$9,'01_FASTPPH'!$8:$8,0))</f>
        <v>#N/A</v>
      </c>
      <c r="I117" s="20" t="e">
        <f>INDEX('01_FASTPPH'!$9:$1048576,MATCH($A117,'01_FASTPPH'!$A$9:$A$1048576,0),MATCH(I$9,'01_FASTPPH'!$8:$8,0))</f>
        <v>#N/A</v>
      </c>
      <c r="J117" s="20" t="e">
        <f>INDEX('01_FASTPPH'!$9:$1048576,MATCH($A117,'01_FASTPPH'!$A$9:$A$1048576,0),MATCH(J$9,'01_FASTPPH'!$8:$8,0))</f>
        <v>#N/A</v>
      </c>
      <c r="K117" s="23" t="e">
        <f>INDEX('01_FASTPPH'!$9:$1048576,MATCH($A117,'01_FASTPPH'!$A$9:$A$1048576,0),MATCH(K$9,'01_FASTPPH'!$8:$8,0))</f>
        <v>#N/A</v>
      </c>
      <c r="L117" s="20" t="e">
        <f>INDEX('01_FASTPPH'!$9:$1048576,MATCH($A117,'01_FASTPPH'!$A$9:$A$1048576,0),MATCH(L$9,'01_FASTPPH'!$8:$8,0))</f>
        <v>#N/A</v>
      </c>
      <c r="M117" s="20" t="e">
        <f>INDEX('01_FASTPPH'!$9:$1048576,MATCH($A117,'01_FASTPPH'!$A$9:$A$1048576,0),MATCH(M$9,'01_FASTPPH'!$8:$8,0))</f>
        <v>#N/A</v>
      </c>
      <c r="N117" s="24" t="e">
        <f>INDEX('01_FASTPPH'!$9:$1048576,MATCH($A117,'01_FASTPPH'!$A$9:$A$1048576,0),MATCH(N$9,'01_FASTPPH'!$8:$8,0))</f>
        <v>#N/A</v>
      </c>
      <c r="O117" s="23" t="e">
        <f>INDEX('01_FASTPPH'!$9:$1048576,MATCH($A117,'01_FASTPPH'!$A$9:$A$1048576,0),MATCH(O$9,'01_FASTPPH'!$8:$8,0))</f>
        <v>#N/A</v>
      </c>
      <c r="P117" s="20" t="e">
        <f>INDEX('01_FASTPPH'!$9:$1048576,MATCH($A117,'01_FASTPPH'!$A$9:$A$1048576,0),MATCH(P$9,'01_FASTPPH'!$8:$8,0))</f>
        <v>#N/A</v>
      </c>
      <c r="Q117" s="20" t="e">
        <f>INDEX('01_FASTPPH'!$9:$1048576,MATCH($A117,'01_FASTPPH'!$A$9:$A$1048576,0),MATCH(Q$9,'01_FASTPPH'!$8:$8,0))</f>
        <v>#N/A</v>
      </c>
      <c r="R117" s="20" t="e">
        <f>INDEX('01_FASTPPH'!$9:$1048576,MATCH($A117,'01_FASTPPH'!$A$9:$A$1048576,0),MATCH(R$9,'01_FASTPPH'!$8:$8,0))</f>
        <v>#N/A</v>
      </c>
      <c r="S117" s="20" t="e">
        <f>INDEX('01_FASTPPH'!$9:$1048576,MATCH($A117,'01_FASTPPH'!$A$9:$A$1048576,0),MATCH(S$9,'01_FASTPPH'!$8:$8,0))</f>
        <v>#N/A</v>
      </c>
      <c r="T117" s="24" t="e">
        <f>INDEX('01_FASTPPH'!$9:$1048576,MATCH($A117,'01_FASTPPH'!$A$9:$A$1048576,0),MATCH(T$9,'01_FASTPPH'!$8:$8,0))</f>
        <v>#N/A</v>
      </c>
      <c r="U117" s="23" t="e">
        <f>INDEX('01_FASTPPH'!$9:$1048576,MATCH($A117,'01_FASTPPH'!$A$9:$A$1048576,0),MATCH(U$9,'01_FASTPPH'!$8:$8,0))</f>
        <v>#N/A</v>
      </c>
      <c r="V117" s="20" t="e">
        <f>INDEX('01_FASTPPH'!$9:$1048576,MATCH($A117,'01_FASTPPH'!$A$9:$A$1048576,0),MATCH(V$9,'01_FASTPPH'!$8:$8,0))</f>
        <v>#N/A</v>
      </c>
      <c r="W117" s="24" t="e">
        <f>INDEX('01_FASTPPH'!$9:$1048576,MATCH($A117,'01_FASTPPH'!$A$9:$A$1048576,0),MATCH(W$9,'01_FASTPPH'!$8:$8,0))</f>
        <v>#N/A</v>
      </c>
      <c r="X117" s="20" t="e">
        <f>INDEX('01_FASTPPH'!$9:$1048576,MATCH($A117,'01_FASTPPH'!$A$9:$A$1048576,0),MATCH(X$9,'01_FASTPPH'!$8:$8,0))</f>
        <v>#N/A</v>
      </c>
      <c r="Y117" s="20" t="e">
        <f>INDEX('01_FASTPPH'!$9:$1048576,MATCH($A117,'01_FASTPPH'!$A$9:$A$1048576,0),MATCH(Y$9,'01_FASTPPH'!$8:$8,0))</f>
        <v>#N/A</v>
      </c>
      <c r="AA117" s="32" t="e">
        <f>INDEX('02_PROPERTIES'!$C$10:$I$1048576,MATCH('03_CALCULATIONS'!$D117,'02_PROPERTIES'!$C$10:$C$1048576,0),MATCH('03_CALCULATIONS'!AA$9,'02_PROPERTIES'!$C$10:$I$10,0))</f>
        <v>#N/A</v>
      </c>
      <c r="AB117" s="20" t="e">
        <f>INDEX('02_PROPERTIES'!$C$10:$I$1048576,MATCH('03_CALCULATIONS'!$D117,'02_PROPERTIES'!$C$10:$C$1048576,0),MATCH('03_CALCULATIONS'!AB$9,'02_PROPERTIES'!$C$10:$I$10,0))</f>
        <v>#N/A</v>
      </c>
      <c r="AC117" s="20" t="e">
        <f>INDEX('02_PROPERTIES'!$C$10:$I$1048576,MATCH('03_CALCULATIONS'!$D117,'02_PROPERTIES'!$C$10:$C$1048576,0),MATCH('03_CALCULATIONS'!AC$9,'02_PROPERTIES'!$C$10:$I$10,0))</f>
        <v>#N/A</v>
      </c>
      <c r="AD117" s="20" t="e">
        <f>INDEX('02_PROPERTIES'!$C$10:$I$1048576,MATCH('03_CALCULATIONS'!$D117,'02_PROPERTIES'!$C$10:$C$1048576,0),MATCH('03_CALCULATIONS'!AD$9,'02_PROPERTIES'!$C$10:$I$10,0))</f>
        <v>#N/A</v>
      </c>
      <c r="AE117" s="32" t="e">
        <f>INDEX('02_PROPERTIES'!$C$10:$I$1048576,MATCH('03_CALCULATIONS'!$D117,'02_PROPERTIES'!$C$10:$C$1048576,0),MATCH('03_CALCULATIONS'!AE$9,'02_PROPERTIES'!$C$10:$I$10,0))</f>
        <v>#N/A</v>
      </c>
      <c r="AF117" s="32" t="e">
        <f>INDEX('02_PROPERTIES'!$C$10:$I$1048576,MATCH('03_CALCULATIONS'!$D117,'02_PROPERTIES'!$C$10:$C$1048576,0),MATCH('03_CALCULATIONS'!AF$9,'02_PROPERTIES'!$C$10:$I$10,0))</f>
        <v>#N/A</v>
      </c>
      <c r="AH117" s="20" t="e">
        <f t="shared" si="11"/>
        <v>#N/A</v>
      </c>
      <c r="AI117" s="20" t="e">
        <f t="shared" si="12"/>
        <v>#N/A</v>
      </c>
      <c r="AJ117" s="20" t="e">
        <f t="shared" si="13"/>
        <v>#N/A</v>
      </c>
      <c r="AL117" s="20" t="e">
        <f t="shared" si="14"/>
        <v>#N/A</v>
      </c>
      <c r="AM117" s="20" t="e">
        <f t="shared" si="15"/>
        <v>#N/A</v>
      </c>
      <c r="AN117" s="20" t="e">
        <f t="shared" si="16"/>
        <v>#N/A</v>
      </c>
      <c r="AO117" s="20" t="e">
        <f t="shared" si="17"/>
        <v>#N/A</v>
      </c>
      <c r="AP117" s="20" t="e">
        <f t="shared" si="18"/>
        <v>#N/A</v>
      </c>
      <c r="AR117" s="20" t="e">
        <f t="shared" si="19"/>
        <v>#N/A</v>
      </c>
      <c r="AS117" s="20" t="e">
        <f t="shared" si="20"/>
        <v>#N/A</v>
      </c>
      <c r="AT117" s="20" t="e">
        <f t="shared" si="21"/>
        <v>#N/A</v>
      </c>
    </row>
    <row r="118" spans="1:46" x14ac:dyDescent="0.3">
      <c r="A118" s="18"/>
      <c r="B118" s="20" t="e">
        <f>INDEX('01_FASTPPH'!$9:$1048576,MATCH($A118,'01_FASTPPH'!$A$9:$A$1048576,0),MATCH(B$9,'01_FASTPPH'!$8:$8,0))</f>
        <v>#N/A</v>
      </c>
      <c r="C118" s="20" t="e">
        <f>INDEX('01_FASTPPH'!$9:$1048576,MATCH($A118,'01_FASTPPH'!$A$9:$A$1048576,0),MATCH(C$9,'01_FASTPPH'!$8:$8,0))</f>
        <v>#N/A</v>
      </c>
      <c r="D118" s="20" t="e">
        <f>INDEX('01_FASTPPH'!$9:$1048576,MATCH($A118,'01_FASTPPH'!$A$9:$A$1048576,0),MATCH(D$9,'01_FASTPPH'!$8:$8,0))</f>
        <v>#N/A</v>
      </c>
      <c r="E118" s="20" t="e">
        <f>INDEX('01_FASTPPH'!$9:$1048576,MATCH($A118,'01_FASTPPH'!$A$9:$A$1048576,0),MATCH(E$9,'01_FASTPPH'!$8:$8,0))</f>
        <v>#N/A</v>
      </c>
      <c r="F118" s="20" t="e">
        <f>INDEX('01_FASTPPH'!$9:$1048576,MATCH($A118,'01_FASTPPH'!$A$9:$A$1048576,0),MATCH(F$9,'01_FASTPPH'!$8:$8,0))</f>
        <v>#N/A</v>
      </c>
      <c r="G118" s="20" t="e">
        <f>INDEX('01_FASTPPH'!$9:$1048576,MATCH($A118,'01_FASTPPH'!$A$9:$A$1048576,0),MATCH(G$9,'01_FASTPPH'!$8:$8,0))</f>
        <v>#N/A</v>
      </c>
      <c r="H118" s="20" t="e">
        <f>INDEX('01_FASTPPH'!$9:$1048576,MATCH($A118,'01_FASTPPH'!$A$9:$A$1048576,0),MATCH(H$9,'01_FASTPPH'!$8:$8,0))</f>
        <v>#N/A</v>
      </c>
      <c r="I118" s="20" t="e">
        <f>INDEX('01_FASTPPH'!$9:$1048576,MATCH($A118,'01_FASTPPH'!$A$9:$A$1048576,0),MATCH(I$9,'01_FASTPPH'!$8:$8,0))</f>
        <v>#N/A</v>
      </c>
      <c r="J118" s="20" t="e">
        <f>INDEX('01_FASTPPH'!$9:$1048576,MATCH($A118,'01_FASTPPH'!$A$9:$A$1048576,0),MATCH(J$9,'01_FASTPPH'!$8:$8,0))</f>
        <v>#N/A</v>
      </c>
      <c r="K118" s="23" t="e">
        <f>INDEX('01_FASTPPH'!$9:$1048576,MATCH($A118,'01_FASTPPH'!$A$9:$A$1048576,0),MATCH(K$9,'01_FASTPPH'!$8:$8,0))</f>
        <v>#N/A</v>
      </c>
      <c r="L118" s="20" t="e">
        <f>INDEX('01_FASTPPH'!$9:$1048576,MATCH($A118,'01_FASTPPH'!$A$9:$A$1048576,0),MATCH(L$9,'01_FASTPPH'!$8:$8,0))</f>
        <v>#N/A</v>
      </c>
      <c r="M118" s="20" t="e">
        <f>INDEX('01_FASTPPH'!$9:$1048576,MATCH($A118,'01_FASTPPH'!$A$9:$A$1048576,0),MATCH(M$9,'01_FASTPPH'!$8:$8,0))</f>
        <v>#N/A</v>
      </c>
      <c r="N118" s="24" t="e">
        <f>INDEX('01_FASTPPH'!$9:$1048576,MATCH($A118,'01_FASTPPH'!$A$9:$A$1048576,0),MATCH(N$9,'01_FASTPPH'!$8:$8,0))</f>
        <v>#N/A</v>
      </c>
      <c r="O118" s="23" t="e">
        <f>INDEX('01_FASTPPH'!$9:$1048576,MATCH($A118,'01_FASTPPH'!$A$9:$A$1048576,0),MATCH(O$9,'01_FASTPPH'!$8:$8,0))</f>
        <v>#N/A</v>
      </c>
      <c r="P118" s="20" t="e">
        <f>INDEX('01_FASTPPH'!$9:$1048576,MATCH($A118,'01_FASTPPH'!$A$9:$A$1048576,0),MATCH(P$9,'01_FASTPPH'!$8:$8,0))</f>
        <v>#N/A</v>
      </c>
      <c r="Q118" s="20" t="e">
        <f>INDEX('01_FASTPPH'!$9:$1048576,MATCH($A118,'01_FASTPPH'!$A$9:$A$1048576,0),MATCH(Q$9,'01_FASTPPH'!$8:$8,0))</f>
        <v>#N/A</v>
      </c>
      <c r="R118" s="20" t="e">
        <f>INDEX('01_FASTPPH'!$9:$1048576,MATCH($A118,'01_FASTPPH'!$A$9:$A$1048576,0),MATCH(R$9,'01_FASTPPH'!$8:$8,0))</f>
        <v>#N/A</v>
      </c>
      <c r="S118" s="20" t="e">
        <f>INDEX('01_FASTPPH'!$9:$1048576,MATCH($A118,'01_FASTPPH'!$A$9:$A$1048576,0),MATCH(S$9,'01_FASTPPH'!$8:$8,0))</f>
        <v>#N/A</v>
      </c>
      <c r="T118" s="24" t="e">
        <f>INDEX('01_FASTPPH'!$9:$1048576,MATCH($A118,'01_FASTPPH'!$A$9:$A$1048576,0),MATCH(T$9,'01_FASTPPH'!$8:$8,0))</f>
        <v>#N/A</v>
      </c>
      <c r="U118" s="23" t="e">
        <f>INDEX('01_FASTPPH'!$9:$1048576,MATCH($A118,'01_FASTPPH'!$A$9:$A$1048576,0),MATCH(U$9,'01_FASTPPH'!$8:$8,0))</f>
        <v>#N/A</v>
      </c>
      <c r="V118" s="20" t="e">
        <f>INDEX('01_FASTPPH'!$9:$1048576,MATCH($A118,'01_FASTPPH'!$A$9:$A$1048576,0),MATCH(V$9,'01_FASTPPH'!$8:$8,0))</f>
        <v>#N/A</v>
      </c>
      <c r="W118" s="24" t="e">
        <f>INDEX('01_FASTPPH'!$9:$1048576,MATCH($A118,'01_FASTPPH'!$A$9:$A$1048576,0),MATCH(W$9,'01_FASTPPH'!$8:$8,0))</f>
        <v>#N/A</v>
      </c>
      <c r="X118" s="20" t="e">
        <f>INDEX('01_FASTPPH'!$9:$1048576,MATCH($A118,'01_FASTPPH'!$A$9:$A$1048576,0),MATCH(X$9,'01_FASTPPH'!$8:$8,0))</f>
        <v>#N/A</v>
      </c>
      <c r="Y118" s="20" t="e">
        <f>INDEX('01_FASTPPH'!$9:$1048576,MATCH($A118,'01_FASTPPH'!$A$9:$A$1048576,0),MATCH(Y$9,'01_FASTPPH'!$8:$8,0))</f>
        <v>#N/A</v>
      </c>
      <c r="AA118" s="32" t="e">
        <f>INDEX('02_PROPERTIES'!$C$10:$I$1048576,MATCH('03_CALCULATIONS'!$D118,'02_PROPERTIES'!$C$10:$C$1048576,0),MATCH('03_CALCULATIONS'!AA$9,'02_PROPERTIES'!$C$10:$I$10,0))</f>
        <v>#N/A</v>
      </c>
      <c r="AB118" s="20" t="e">
        <f>INDEX('02_PROPERTIES'!$C$10:$I$1048576,MATCH('03_CALCULATIONS'!$D118,'02_PROPERTIES'!$C$10:$C$1048576,0),MATCH('03_CALCULATIONS'!AB$9,'02_PROPERTIES'!$C$10:$I$10,0))</f>
        <v>#N/A</v>
      </c>
      <c r="AC118" s="20" t="e">
        <f>INDEX('02_PROPERTIES'!$C$10:$I$1048576,MATCH('03_CALCULATIONS'!$D118,'02_PROPERTIES'!$C$10:$C$1048576,0),MATCH('03_CALCULATIONS'!AC$9,'02_PROPERTIES'!$C$10:$I$10,0))</f>
        <v>#N/A</v>
      </c>
      <c r="AD118" s="20" t="e">
        <f>INDEX('02_PROPERTIES'!$C$10:$I$1048576,MATCH('03_CALCULATIONS'!$D118,'02_PROPERTIES'!$C$10:$C$1048576,0),MATCH('03_CALCULATIONS'!AD$9,'02_PROPERTIES'!$C$10:$I$10,0))</f>
        <v>#N/A</v>
      </c>
      <c r="AE118" s="32" t="e">
        <f>INDEX('02_PROPERTIES'!$C$10:$I$1048576,MATCH('03_CALCULATIONS'!$D118,'02_PROPERTIES'!$C$10:$C$1048576,0),MATCH('03_CALCULATIONS'!AE$9,'02_PROPERTIES'!$C$10:$I$10,0))</f>
        <v>#N/A</v>
      </c>
      <c r="AF118" s="32" t="e">
        <f>INDEX('02_PROPERTIES'!$C$10:$I$1048576,MATCH('03_CALCULATIONS'!$D118,'02_PROPERTIES'!$C$10:$C$1048576,0),MATCH('03_CALCULATIONS'!AF$9,'02_PROPERTIES'!$C$10:$I$10,0))</f>
        <v>#N/A</v>
      </c>
      <c r="AH118" s="20" t="e">
        <f t="shared" si="11"/>
        <v>#N/A</v>
      </c>
      <c r="AI118" s="20" t="e">
        <f t="shared" si="12"/>
        <v>#N/A</v>
      </c>
      <c r="AJ118" s="20" t="e">
        <f t="shared" si="13"/>
        <v>#N/A</v>
      </c>
      <c r="AL118" s="20" t="e">
        <f t="shared" si="14"/>
        <v>#N/A</v>
      </c>
      <c r="AM118" s="20" t="e">
        <f t="shared" si="15"/>
        <v>#N/A</v>
      </c>
      <c r="AN118" s="20" t="e">
        <f t="shared" si="16"/>
        <v>#N/A</v>
      </c>
      <c r="AO118" s="20" t="e">
        <f t="shared" si="17"/>
        <v>#N/A</v>
      </c>
      <c r="AP118" s="20" t="e">
        <f t="shared" si="18"/>
        <v>#N/A</v>
      </c>
      <c r="AR118" s="20" t="e">
        <f t="shared" si="19"/>
        <v>#N/A</v>
      </c>
      <c r="AS118" s="20" t="e">
        <f t="shared" si="20"/>
        <v>#N/A</v>
      </c>
      <c r="AT118" s="20" t="e">
        <f t="shared" si="21"/>
        <v>#N/A</v>
      </c>
    </row>
    <row r="119" spans="1:46" x14ac:dyDescent="0.3">
      <c r="A119" s="18"/>
      <c r="B119" s="20" t="e">
        <f>INDEX('01_FASTPPH'!$9:$1048576,MATCH($A119,'01_FASTPPH'!$A$9:$A$1048576,0),MATCH(B$9,'01_FASTPPH'!$8:$8,0))</f>
        <v>#N/A</v>
      </c>
      <c r="C119" s="20" t="e">
        <f>INDEX('01_FASTPPH'!$9:$1048576,MATCH($A119,'01_FASTPPH'!$A$9:$A$1048576,0),MATCH(C$9,'01_FASTPPH'!$8:$8,0))</f>
        <v>#N/A</v>
      </c>
      <c r="D119" s="20" t="e">
        <f>INDEX('01_FASTPPH'!$9:$1048576,MATCH($A119,'01_FASTPPH'!$A$9:$A$1048576,0),MATCH(D$9,'01_FASTPPH'!$8:$8,0))</f>
        <v>#N/A</v>
      </c>
      <c r="E119" s="20" t="e">
        <f>INDEX('01_FASTPPH'!$9:$1048576,MATCH($A119,'01_FASTPPH'!$A$9:$A$1048576,0),MATCH(E$9,'01_FASTPPH'!$8:$8,0))</f>
        <v>#N/A</v>
      </c>
      <c r="F119" s="20" t="e">
        <f>INDEX('01_FASTPPH'!$9:$1048576,MATCH($A119,'01_FASTPPH'!$A$9:$A$1048576,0),MATCH(F$9,'01_FASTPPH'!$8:$8,0))</f>
        <v>#N/A</v>
      </c>
      <c r="G119" s="20" t="e">
        <f>INDEX('01_FASTPPH'!$9:$1048576,MATCH($A119,'01_FASTPPH'!$A$9:$A$1048576,0),MATCH(G$9,'01_FASTPPH'!$8:$8,0))</f>
        <v>#N/A</v>
      </c>
      <c r="H119" s="20" t="e">
        <f>INDEX('01_FASTPPH'!$9:$1048576,MATCH($A119,'01_FASTPPH'!$A$9:$A$1048576,0),MATCH(H$9,'01_FASTPPH'!$8:$8,0))</f>
        <v>#N/A</v>
      </c>
      <c r="I119" s="20" t="e">
        <f>INDEX('01_FASTPPH'!$9:$1048576,MATCH($A119,'01_FASTPPH'!$A$9:$A$1048576,0),MATCH(I$9,'01_FASTPPH'!$8:$8,0))</f>
        <v>#N/A</v>
      </c>
      <c r="J119" s="20" t="e">
        <f>INDEX('01_FASTPPH'!$9:$1048576,MATCH($A119,'01_FASTPPH'!$A$9:$A$1048576,0),MATCH(J$9,'01_FASTPPH'!$8:$8,0))</f>
        <v>#N/A</v>
      </c>
      <c r="K119" s="23" t="e">
        <f>INDEX('01_FASTPPH'!$9:$1048576,MATCH($A119,'01_FASTPPH'!$A$9:$A$1048576,0),MATCH(K$9,'01_FASTPPH'!$8:$8,0))</f>
        <v>#N/A</v>
      </c>
      <c r="L119" s="20" t="e">
        <f>INDEX('01_FASTPPH'!$9:$1048576,MATCH($A119,'01_FASTPPH'!$A$9:$A$1048576,0),MATCH(L$9,'01_FASTPPH'!$8:$8,0))</f>
        <v>#N/A</v>
      </c>
      <c r="M119" s="20" t="e">
        <f>INDEX('01_FASTPPH'!$9:$1048576,MATCH($A119,'01_FASTPPH'!$A$9:$A$1048576,0),MATCH(M$9,'01_FASTPPH'!$8:$8,0))</f>
        <v>#N/A</v>
      </c>
      <c r="N119" s="24" t="e">
        <f>INDEX('01_FASTPPH'!$9:$1048576,MATCH($A119,'01_FASTPPH'!$A$9:$A$1048576,0),MATCH(N$9,'01_FASTPPH'!$8:$8,0))</f>
        <v>#N/A</v>
      </c>
      <c r="O119" s="23" t="e">
        <f>INDEX('01_FASTPPH'!$9:$1048576,MATCH($A119,'01_FASTPPH'!$A$9:$A$1048576,0),MATCH(O$9,'01_FASTPPH'!$8:$8,0))</f>
        <v>#N/A</v>
      </c>
      <c r="P119" s="20" t="e">
        <f>INDEX('01_FASTPPH'!$9:$1048576,MATCH($A119,'01_FASTPPH'!$A$9:$A$1048576,0),MATCH(P$9,'01_FASTPPH'!$8:$8,0))</f>
        <v>#N/A</v>
      </c>
      <c r="Q119" s="20" t="e">
        <f>INDEX('01_FASTPPH'!$9:$1048576,MATCH($A119,'01_FASTPPH'!$A$9:$A$1048576,0),MATCH(Q$9,'01_FASTPPH'!$8:$8,0))</f>
        <v>#N/A</v>
      </c>
      <c r="R119" s="20" t="e">
        <f>INDEX('01_FASTPPH'!$9:$1048576,MATCH($A119,'01_FASTPPH'!$A$9:$A$1048576,0),MATCH(R$9,'01_FASTPPH'!$8:$8,0))</f>
        <v>#N/A</v>
      </c>
      <c r="S119" s="20" t="e">
        <f>INDEX('01_FASTPPH'!$9:$1048576,MATCH($A119,'01_FASTPPH'!$A$9:$A$1048576,0),MATCH(S$9,'01_FASTPPH'!$8:$8,0))</f>
        <v>#N/A</v>
      </c>
      <c r="T119" s="24" t="e">
        <f>INDEX('01_FASTPPH'!$9:$1048576,MATCH($A119,'01_FASTPPH'!$A$9:$A$1048576,0),MATCH(T$9,'01_FASTPPH'!$8:$8,0))</f>
        <v>#N/A</v>
      </c>
      <c r="U119" s="23" t="e">
        <f>INDEX('01_FASTPPH'!$9:$1048576,MATCH($A119,'01_FASTPPH'!$A$9:$A$1048576,0),MATCH(U$9,'01_FASTPPH'!$8:$8,0))</f>
        <v>#N/A</v>
      </c>
      <c r="V119" s="20" t="e">
        <f>INDEX('01_FASTPPH'!$9:$1048576,MATCH($A119,'01_FASTPPH'!$A$9:$A$1048576,0),MATCH(V$9,'01_FASTPPH'!$8:$8,0))</f>
        <v>#N/A</v>
      </c>
      <c r="W119" s="24" t="e">
        <f>INDEX('01_FASTPPH'!$9:$1048576,MATCH($A119,'01_FASTPPH'!$A$9:$A$1048576,0),MATCH(W$9,'01_FASTPPH'!$8:$8,0))</f>
        <v>#N/A</v>
      </c>
      <c r="X119" s="20" t="e">
        <f>INDEX('01_FASTPPH'!$9:$1048576,MATCH($A119,'01_FASTPPH'!$A$9:$A$1048576,0),MATCH(X$9,'01_FASTPPH'!$8:$8,0))</f>
        <v>#N/A</v>
      </c>
      <c r="Y119" s="20" t="e">
        <f>INDEX('01_FASTPPH'!$9:$1048576,MATCH($A119,'01_FASTPPH'!$A$9:$A$1048576,0),MATCH(Y$9,'01_FASTPPH'!$8:$8,0))</f>
        <v>#N/A</v>
      </c>
      <c r="AA119" s="32" t="e">
        <f>INDEX('02_PROPERTIES'!$C$10:$I$1048576,MATCH('03_CALCULATIONS'!$D119,'02_PROPERTIES'!$C$10:$C$1048576,0),MATCH('03_CALCULATIONS'!AA$9,'02_PROPERTIES'!$C$10:$I$10,0))</f>
        <v>#N/A</v>
      </c>
      <c r="AB119" s="20" t="e">
        <f>INDEX('02_PROPERTIES'!$C$10:$I$1048576,MATCH('03_CALCULATIONS'!$D119,'02_PROPERTIES'!$C$10:$C$1048576,0),MATCH('03_CALCULATIONS'!AB$9,'02_PROPERTIES'!$C$10:$I$10,0))</f>
        <v>#N/A</v>
      </c>
      <c r="AC119" s="20" t="e">
        <f>INDEX('02_PROPERTIES'!$C$10:$I$1048576,MATCH('03_CALCULATIONS'!$D119,'02_PROPERTIES'!$C$10:$C$1048576,0),MATCH('03_CALCULATIONS'!AC$9,'02_PROPERTIES'!$C$10:$I$10,0))</f>
        <v>#N/A</v>
      </c>
      <c r="AD119" s="20" t="e">
        <f>INDEX('02_PROPERTIES'!$C$10:$I$1048576,MATCH('03_CALCULATIONS'!$D119,'02_PROPERTIES'!$C$10:$C$1048576,0),MATCH('03_CALCULATIONS'!AD$9,'02_PROPERTIES'!$C$10:$I$10,0))</f>
        <v>#N/A</v>
      </c>
      <c r="AE119" s="32" t="e">
        <f>INDEX('02_PROPERTIES'!$C$10:$I$1048576,MATCH('03_CALCULATIONS'!$D119,'02_PROPERTIES'!$C$10:$C$1048576,0),MATCH('03_CALCULATIONS'!AE$9,'02_PROPERTIES'!$C$10:$I$10,0))</f>
        <v>#N/A</v>
      </c>
      <c r="AF119" s="32" t="e">
        <f>INDEX('02_PROPERTIES'!$C$10:$I$1048576,MATCH('03_CALCULATIONS'!$D119,'02_PROPERTIES'!$C$10:$C$1048576,0),MATCH('03_CALCULATIONS'!AF$9,'02_PROPERTIES'!$C$10:$I$10,0))</f>
        <v>#N/A</v>
      </c>
      <c r="AH119" s="20" t="e">
        <f t="shared" si="11"/>
        <v>#N/A</v>
      </c>
      <c r="AI119" s="20" t="e">
        <f t="shared" si="12"/>
        <v>#N/A</v>
      </c>
      <c r="AJ119" s="20" t="e">
        <f t="shared" si="13"/>
        <v>#N/A</v>
      </c>
      <c r="AL119" s="20" t="e">
        <f t="shared" si="14"/>
        <v>#N/A</v>
      </c>
      <c r="AM119" s="20" t="e">
        <f t="shared" si="15"/>
        <v>#N/A</v>
      </c>
      <c r="AN119" s="20" t="e">
        <f t="shared" si="16"/>
        <v>#N/A</v>
      </c>
      <c r="AO119" s="20" t="e">
        <f t="shared" si="17"/>
        <v>#N/A</v>
      </c>
      <c r="AP119" s="20" t="e">
        <f t="shared" si="18"/>
        <v>#N/A</v>
      </c>
      <c r="AR119" s="20" t="e">
        <f t="shared" si="19"/>
        <v>#N/A</v>
      </c>
      <c r="AS119" s="20" t="e">
        <f t="shared" si="20"/>
        <v>#N/A</v>
      </c>
      <c r="AT119" s="20" t="e">
        <f t="shared" si="21"/>
        <v>#N/A</v>
      </c>
    </row>
    <row r="120" spans="1:46" x14ac:dyDescent="0.3">
      <c r="A120" s="18"/>
      <c r="B120" s="20" t="e">
        <f>INDEX('01_FASTPPH'!$9:$1048576,MATCH($A120,'01_FASTPPH'!$A$9:$A$1048576,0),MATCH(B$9,'01_FASTPPH'!$8:$8,0))</f>
        <v>#N/A</v>
      </c>
      <c r="C120" s="20" t="e">
        <f>INDEX('01_FASTPPH'!$9:$1048576,MATCH($A120,'01_FASTPPH'!$A$9:$A$1048576,0),MATCH(C$9,'01_FASTPPH'!$8:$8,0))</f>
        <v>#N/A</v>
      </c>
      <c r="D120" s="20" t="e">
        <f>INDEX('01_FASTPPH'!$9:$1048576,MATCH($A120,'01_FASTPPH'!$A$9:$A$1048576,0),MATCH(D$9,'01_FASTPPH'!$8:$8,0))</f>
        <v>#N/A</v>
      </c>
      <c r="E120" s="20" t="e">
        <f>INDEX('01_FASTPPH'!$9:$1048576,MATCH($A120,'01_FASTPPH'!$A$9:$A$1048576,0),MATCH(E$9,'01_FASTPPH'!$8:$8,0))</f>
        <v>#N/A</v>
      </c>
      <c r="F120" s="20" t="e">
        <f>INDEX('01_FASTPPH'!$9:$1048576,MATCH($A120,'01_FASTPPH'!$A$9:$A$1048576,0),MATCH(F$9,'01_FASTPPH'!$8:$8,0))</f>
        <v>#N/A</v>
      </c>
      <c r="G120" s="20" t="e">
        <f>INDEX('01_FASTPPH'!$9:$1048576,MATCH($A120,'01_FASTPPH'!$A$9:$A$1048576,0),MATCH(G$9,'01_FASTPPH'!$8:$8,0))</f>
        <v>#N/A</v>
      </c>
      <c r="H120" s="20" t="e">
        <f>INDEX('01_FASTPPH'!$9:$1048576,MATCH($A120,'01_FASTPPH'!$A$9:$A$1048576,0),MATCH(H$9,'01_FASTPPH'!$8:$8,0))</f>
        <v>#N/A</v>
      </c>
      <c r="I120" s="20" t="e">
        <f>INDEX('01_FASTPPH'!$9:$1048576,MATCH($A120,'01_FASTPPH'!$A$9:$A$1048576,0),MATCH(I$9,'01_FASTPPH'!$8:$8,0))</f>
        <v>#N/A</v>
      </c>
      <c r="J120" s="20" t="e">
        <f>INDEX('01_FASTPPH'!$9:$1048576,MATCH($A120,'01_FASTPPH'!$A$9:$A$1048576,0),MATCH(J$9,'01_FASTPPH'!$8:$8,0))</f>
        <v>#N/A</v>
      </c>
      <c r="K120" s="23" t="e">
        <f>INDEX('01_FASTPPH'!$9:$1048576,MATCH($A120,'01_FASTPPH'!$A$9:$A$1048576,0),MATCH(K$9,'01_FASTPPH'!$8:$8,0))</f>
        <v>#N/A</v>
      </c>
      <c r="L120" s="20" t="e">
        <f>INDEX('01_FASTPPH'!$9:$1048576,MATCH($A120,'01_FASTPPH'!$A$9:$A$1048576,0),MATCH(L$9,'01_FASTPPH'!$8:$8,0))</f>
        <v>#N/A</v>
      </c>
      <c r="M120" s="20" t="e">
        <f>INDEX('01_FASTPPH'!$9:$1048576,MATCH($A120,'01_FASTPPH'!$A$9:$A$1048576,0),MATCH(M$9,'01_FASTPPH'!$8:$8,0))</f>
        <v>#N/A</v>
      </c>
      <c r="N120" s="24" t="e">
        <f>INDEX('01_FASTPPH'!$9:$1048576,MATCH($A120,'01_FASTPPH'!$A$9:$A$1048576,0),MATCH(N$9,'01_FASTPPH'!$8:$8,0))</f>
        <v>#N/A</v>
      </c>
      <c r="O120" s="23" t="e">
        <f>INDEX('01_FASTPPH'!$9:$1048576,MATCH($A120,'01_FASTPPH'!$A$9:$A$1048576,0),MATCH(O$9,'01_FASTPPH'!$8:$8,0))</f>
        <v>#N/A</v>
      </c>
      <c r="P120" s="20" t="e">
        <f>INDEX('01_FASTPPH'!$9:$1048576,MATCH($A120,'01_FASTPPH'!$A$9:$A$1048576,0),MATCH(P$9,'01_FASTPPH'!$8:$8,0))</f>
        <v>#N/A</v>
      </c>
      <c r="Q120" s="20" t="e">
        <f>INDEX('01_FASTPPH'!$9:$1048576,MATCH($A120,'01_FASTPPH'!$A$9:$A$1048576,0),MATCH(Q$9,'01_FASTPPH'!$8:$8,0))</f>
        <v>#N/A</v>
      </c>
      <c r="R120" s="20" t="e">
        <f>INDEX('01_FASTPPH'!$9:$1048576,MATCH($A120,'01_FASTPPH'!$A$9:$A$1048576,0),MATCH(R$9,'01_FASTPPH'!$8:$8,0))</f>
        <v>#N/A</v>
      </c>
      <c r="S120" s="20" t="e">
        <f>INDEX('01_FASTPPH'!$9:$1048576,MATCH($A120,'01_FASTPPH'!$A$9:$A$1048576,0),MATCH(S$9,'01_FASTPPH'!$8:$8,0))</f>
        <v>#N/A</v>
      </c>
      <c r="T120" s="24" t="e">
        <f>INDEX('01_FASTPPH'!$9:$1048576,MATCH($A120,'01_FASTPPH'!$A$9:$A$1048576,0),MATCH(T$9,'01_FASTPPH'!$8:$8,0))</f>
        <v>#N/A</v>
      </c>
      <c r="U120" s="23" t="e">
        <f>INDEX('01_FASTPPH'!$9:$1048576,MATCH($A120,'01_FASTPPH'!$A$9:$A$1048576,0),MATCH(U$9,'01_FASTPPH'!$8:$8,0))</f>
        <v>#N/A</v>
      </c>
      <c r="V120" s="20" t="e">
        <f>INDEX('01_FASTPPH'!$9:$1048576,MATCH($A120,'01_FASTPPH'!$A$9:$A$1048576,0),MATCH(V$9,'01_FASTPPH'!$8:$8,0))</f>
        <v>#N/A</v>
      </c>
      <c r="W120" s="24" t="e">
        <f>INDEX('01_FASTPPH'!$9:$1048576,MATCH($A120,'01_FASTPPH'!$A$9:$A$1048576,0),MATCH(W$9,'01_FASTPPH'!$8:$8,0))</f>
        <v>#N/A</v>
      </c>
      <c r="X120" s="20" t="e">
        <f>INDEX('01_FASTPPH'!$9:$1048576,MATCH($A120,'01_FASTPPH'!$A$9:$A$1048576,0),MATCH(X$9,'01_FASTPPH'!$8:$8,0))</f>
        <v>#N/A</v>
      </c>
      <c r="Y120" s="20" t="e">
        <f>INDEX('01_FASTPPH'!$9:$1048576,MATCH($A120,'01_FASTPPH'!$A$9:$A$1048576,0),MATCH(Y$9,'01_FASTPPH'!$8:$8,0))</f>
        <v>#N/A</v>
      </c>
      <c r="AA120" s="32" t="e">
        <f>INDEX('02_PROPERTIES'!$C$10:$I$1048576,MATCH('03_CALCULATIONS'!$D120,'02_PROPERTIES'!$C$10:$C$1048576,0),MATCH('03_CALCULATIONS'!AA$9,'02_PROPERTIES'!$C$10:$I$10,0))</f>
        <v>#N/A</v>
      </c>
      <c r="AB120" s="20" t="e">
        <f>INDEX('02_PROPERTIES'!$C$10:$I$1048576,MATCH('03_CALCULATIONS'!$D120,'02_PROPERTIES'!$C$10:$C$1048576,0),MATCH('03_CALCULATIONS'!AB$9,'02_PROPERTIES'!$C$10:$I$10,0))</f>
        <v>#N/A</v>
      </c>
      <c r="AC120" s="20" t="e">
        <f>INDEX('02_PROPERTIES'!$C$10:$I$1048576,MATCH('03_CALCULATIONS'!$D120,'02_PROPERTIES'!$C$10:$C$1048576,0),MATCH('03_CALCULATIONS'!AC$9,'02_PROPERTIES'!$C$10:$I$10,0))</f>
        <v>#N/A</v>
      </c>
      <c r="AD120" s="20" t="e">
        <f>INDEX('02_PROPERTIES'!$C$10:$I$1048576,MATCH('03_CALCULATIONS'!$D120,'02_PROPERTIES'!$C$10:$C$1048576,0),MATCH('03_CALCULATIONS'!AD$9,'02_PROPERTIES'!$C$10:$I$10,0))</f>
        <v>#N/A</v>
      </c>
      <c r="AE120" s="32" t="e">
        <f>INDEX('02_PROPERTIES'!$C$10:$I$1048576,MATCH('03_CALCULATIONS'!$D120,'02_PROPERTIES'!$C$10:$C$1048576,0),MATCH('03_CALCULATIONS'!AE$9,'02_PROPERTIES'!$C$10:$I$10,0))</f>
        <v>#N/A</v>
      </c>
      <c r="AF120" s="32" t="e">
        <f>INDEX('02_PROPERTIES'!$C$10:$I$1048576,MATCH('03_CALCULATIONS'!$D120,'02_PROPERTIES'!$C$10:$C$1048576,0),MATCH('03_CALCULATIONS'!AF$9,'02_PROPERTIES'!$C$10:$I$10,0))</f>
        <v>#N/A</v>
      </c>
      <c r="AH120" s="20" t="e">
        <f t="shared" si="11"/>
        <v>#N/A</v>
      </c>
      <c r="AI120" s="20" t="e">
        <f t="shared" si="12"/>
        <v>#N/A</v>
      </c>
      <c r="AJ120" s="20" t="e">
        <f t="shared" si="13"/>
        <v>#N/A</v>
      </c>
      <c r="AL120" s="20" t="e">
        <f t="shared" si="14"/>
        <v>#N/A</v>
      </c>
      <c r="AM120" s="20" t="e">
        <f t="shared" si="15"/>
        <v>#N/A</v>
      </c>
      <c r="AN120" s="20" t="e">
        <f t="shared" si="16"/>
        <v>#N/A</v>
      </c>
      <c r="AO120" s="20" t="e">
        <f t="shared" si="17"/>
        <v>#N/A</v>
      </c>
      <c r="AP120" s="20" t="e">
        <f t="shared" si="18"/>
        <v>#N/A</v>
      </c>
      <c r="AR120" s="20" t="e">
        <f t="shared" si="19"/>
        <v>#N/A</v>
      </c>
      <c r="AS120" s="20" t="e">
        <f t="shared" si="20"/>
        <v>#N/A</v>
      </c>
      <c r="AT120" s="20" t="e">
        <f t="shared" si="21"/>
        <v>#N/A</v>
      </c>
    </row>
    <row r="121" spans="1:46" x14ac:dyDescent="0.3">
      <c r="A121" s="18"/>
      <c r="B121" s="20" t="e">
        <f>INDEX('01_FASTPPH'!$9:$1048576,MATCH($A121,'01_FASTPPH'!$A$9:$A$1048576,0),MATCH(B$9,'01_FASTPPH'!$8:$8,0))</f>
        <v>#N/A</v>
      </c>
      <c r="C121" s="20" t="e">
        <f>INDEX('01_FASTPPH'!$9:$1048576,MATCH($A121,'01_FASTPPH'!$A$9:$A$1048576,0),MATCH(C$9,'01_FASTPPH'!$8:$8,0))</f>
        <v>#N/A</v>
      </c>
      <c r="D121" s="20" t="e">
        <f>INDEX('01_FASTPPH'!$9:$1048576,MATCH($A121,'01_FASTPPH'!$A$9:$A$1048576,0),MATCH(D$9,'01_FASTPPH'!$8:$8,0))</f>
        <v>#N/A</v>
      </c>
      <c r="E121" s="20" t="e">
        <f>INDEX('01_FASTPPH'!$9:$1048576,MATCH($A121,'01_FASTPPH'!$A$9:$A$1048576,0),MATCH(E$9,'01_FASTPPH'!$8:$8,0))</f>
        <v>#N/A</v>
      </c>
      <c r="F121" s="20" t="e">
        <f>INDEX('01_FASTPPH'!$9:$1048576,MATCH($A121,'01_FASTPPH'!$A$9:$A$1048576,0),MATCH(F$9,'01_FASTPPH'!$8:$8,0))</f>
        <v>#N/A</v>
      </c>
      <c r="G121" s="20" t="e">
        <f>INDEX('01_FASTPPH'!$9:$1048576,MATCH($A121,'01_FASTPPH'!$A$9:$A$1048576,0),MATCH(G$9,'01_FASTPPH'!$8:$8,0))</f>
        <v>#N/A</v>
      </c>
      <c r="H121" s="20" t="e">
        <f>INDEX('01_FASTPPH'!$9:$1048576,MATCH($A121,'01_FASTPPH'!$A$9:$A$1048576,0),MATCH(H$9,'01_FASTPPH'!$8:$8,0))</f>
        <v>#N/A</v>
      </c>
      <c r="I121" s="20" t="e">
        <f>INDEX('01_FASTPPH'!$9:$1048576,MATCH($A121,'01_FASTPPH'!$A$9:$A$1048576,0),MATCH(I$9,'01_FASTPPH'!$8:$8,0))</f>
        <v>#N/A</v>
      </c>
      <c r="J121" s="20" t="e">
        <f>INDEX('01_FASTPPH'!$9:$1048576,MATCH($A121,'01_FASTPPH'!$A$9:$A$1048576,0),MATCH(J$9,'01_FASTPPH'!$8:$8,0))</f>
        <v>#N/A</v>
      </c>
      <c r="K121" s="23" t="e">
        <f>INDEX('01_FASTPPH'!$9:$1048576,MATCH($A121,'01_FASTPPH'!$A$9:$A$1048576,0),MATCH(K$9,'01_FASTPPH'!$8:$8,0))</f>
        <v>#N/A</v>
      </c>
      <c r="L121" s="20" t="e">
        <f>INDEX('01_FASTPPH'!$9:$1048576,MATCH($A121,'01_FASTPPH'!$A$9:$A$1048576,0),MATCH(L$9,'01_FASTPPH'!$8:$8,0))</f>
        <v>#N/A</v>
      </c>
      <c r="M121" s="20" t="e">
        <f>INDEX('01_FASTPPH'!$9:$1048576,MATCH($A121,'01_FASTPPH'!$A$9:$A$1048576,0),MATCH(M$9,'01_FASTPPH'!$8:$8,0))</f>
        <v>#N/A</v>
      </c>
      <c r="N121" s="24" t="e">
        <f>INDEX('01_FASTPPH'!$9:$1048576,MATCH($A121,'01_FASTPPH'!$A$9:$A$1048576,0),MATCH(N$9,'01_FASTPPH'!$8:$8,0))</f>
        <v>#N/A</v>
      </c>
      <c r="O121" s="23" t="e">
        <f>INDEX('01_FASTPPH'!$9:$1048576,MATCH($A121,'01_FASTPPH'!$A$9:$A$1048576,0),MATCH(O$9,'01_FASTPPH'!$8:$8,0))</f>
        <v>#N/A</v>
      </c>
      <c r="P121" s="20" t="e">
        <f>INDEX('01_FASTPPH'!$9:$1048576,MATCH($A121,'01_FASTPPH'!$A$9:$A$1048576,0),MATCH(P$9,'01_FASTPPH'!$8:$8,0))</f>
        <v>#N/A</v>
      </c>
      <c r="Q121" s="20" t="e">
        <f>INDEX('01_FASTPPH'!$9:$1048576,MATCH($A121,'01_FASTPPH'!$A$9:$A$1048576,0),MATCH(Q$9,'01_FASTPPH'!$8:$8,0))</f>
        <v>#N/A</v>
      </c>
      <c r="R121" s="20" t="e">
        <f>INDEX('01_FASTPPH'!$9:$1048576,MATCH($A121,'01_FASTPPH'!$A$9:$A$1048576,0),MATCH(R$9,'01_FASTPPH'!$8:$8,0))</f>
        <v>#N/A</v>
      </c>
      <c r="S121" s="20" t="e">
        <f>INDEX('01_FASTPPH'!$9:$1048576,MATCH($A121,'01_FASTPPH'!$A$9:$A$1048576,0),MATCH(S$9,'01_FASTPPH'!$8:$8,0))</f>
        <v>#N/A</v>
      </c>
      <c r="T121" s="24" t="e">
        <f>INDEX('01_FASTPPH'!$9:$1048576,MATCH($A121,'01_FASTPPH'!$A$9:$A$1048576,0),MATCH(T$9,'01_FASTPPH'!$8:$8,0))</f>
        <v>#N/A</v>
      </c>
      <c r="U121" s="23" t="e">
        <f>INDEX('01_FASTPPH'!$9:$1048576,MATCH($A121,'01_FASTPPH'!$A$9:$A$1048576,0),MATCH(U$9,'01_FASTPPH'!$8:$8,0))</f>
        <v>#N/A</v>
      </c>
      <c r="V121" s="20" t="e">
        <f>INDEX('01_FASTPPH'!$9:$1048576,MATCH($A121,'01_FASTPPH'!$A$9:$A$1048576,0),MATCH(V$9,'01_FASTPPH'!$8:$8,0))</f>
        <v>#N/A</v>
      </c>
      <c r="W121" s="24" t="e">
        <f>INDEX('01_FASTPPH'!$9:$1048576,MATCH($A121,'01_FASTPPH'!$A$9:$A$1048576,0),MATCH(W$9,'01_FASTPPH'!$8:$8,0))</f>
        <v>#N/A</v>
      </c>
      <c r="X121" s="20" t="e">
        <f>INDEX('01_FASTPPH'!$9:$1048576,MATCH($A121,'01_FASTPPH'!$A$9:$A$1048576,0),MATCH(X$9,'01_FASTPPH'!$8:$8,0))</f>
        <v>#N/A</v>
      </c>
      <c r="Y121" s="20" t="e">
        <f>INDEX('01_FASTPPH'!$9:$1048576,MATCH($A121,'01_FASTPPH'!$A$9:$A$1048576,0),MATCH(Y$9,'01_FASTPPH'!$8:$8,0))</f>
        <v>#N/A</v>
      </c>
      <c r="AA121" s="32" t="e">
        <f>INDEX('02_PROPERTIES'!$C$10:$I$1048576,MATCH('03_CALCULATIONS'!$D121,'02_PROPERTIES'!$C$10:$C$1048576,0),MATCH('03_CALCULATIONS'!AA$9,'02_PROPERTIES'!$C$10:$I$10,0))</f>
        <v>#N/A</v>
      </c>
      <c r="AB121" s="20" t="e">
        <f>INDEX('02_PROPERTIES'!$C$10:$I$1048576,MATCH('03_CALCULATIONS'!$D121,'02_PROPERTIES'!$C$10:$C$1048576,0),MATCH('03_CALCULATIONS'!AB$9,'02_PROPERTIES'!$C$10:$I$10,0))</f>
        <v>#N/A</v>
      </c>
      <c r="AC121" s="20" t="e">
        <f>INDEX('02_PROPERTIES'!$C$10:$I$1048576,MATCH('03_CALCULATIONS'!$D121,'02_PROPERTIES'!$C$10:$C$1048576,0),MATCH('03_CALCULATIONS'!AC$9,'02_PROPERTIES'!$C$10:$I$10,0))</f>
        <v>#N/A</v>
      </c>
      <c r="AD121" s="20" t="e">
        <f>INDEX('02_PROPERTIES'!$C$10:$I$1048576,MATCH('03_CALCULATIONS'!$D121,'02_PROPERTIES'!$C$10:$C$1048576,0),MATCH('03_CALCULATIONS'!AD$9,'02_PROPERTIES'!$C$10:$I$10,0))</f>
        <v>#N/A</v>
      </c>
      <c r="AE121" s="32" t="e">
        <f>INDEX('02_PROPERTIES'!$C$10:$I$1048576,MATCH('03_CALCULATIONS'!$D121,'02_PROPERTIES'!$C$10:$C$1048576,0),MATCH('03_CALCULATIONS'!AE$9,'02_PROPERTIES'!$C$10:$I$10,0))</f>
        <v>#N/A</v>
      </c>
      <c r="AF121" s="32" t="e">
        <f>INDEX('02_PROPERTIES'!$C$10:$I$1048576,MATCH('03_CALCULATIONS'!$D121,'02_PROPERTIES'!$C$10:$C$1048576,0),MATCH('03_CALCULATIONS'!AF$9,'02_PROPERTIES'!$C$10:$I$10,0))</f>
        <v>#N/A</v>
      </c>
      <c r="AH121" s="20" t="e">
        <f t="shared" si="11"/>
        <v>#N/A</v>
      </c>
      <c r="AI121" s="20" t="e">
        <f t="shared" si="12"/>
        <v>#N/A</v>
      </c>
      <c r="AJ121" s="20" t="e">
        <f t="shared" si="13"/>
        <v>#N/A</v>
      </c>
      <c r="AL121" s="20" t="e">
        <f t="shared" si="14"/>
        <v>#N/A</v>
      </c>
      <c r="AM121" s="20" t="e">
        <f t="shared" si="15"/>
        <v>#N/A</v>
      </c>
      <c r="AN121" s="20" t="e">
        <f t="shared" si="16"/>
        <v>#N/A</v>
      </c>
      <c r="AO121" s="20" t="e">
        <f t="shared" si="17"/>
        <v>#N/A</v>
      </c>
      <c r="AP121" s="20" t="e">
        <f t="shared" si="18"/>
        <v>#N/A</v>
      </c>
      <c r="AR121" s="20" t="e">
        <f t="shared" si="19"/>
        <v>#N/A</v>
      </c>
      <c r="AS121" s="20" t="e">
        <f t="shared" si="20"/>
        <v>#N/A</v>
      </c>
      <c r="AT121" s="20" t="e">
        <f t="shared" si="21"/>
        <v>#N/A</v>
      </c>
    </row>
    <row r="122" spans="1:46" x14ac:dyDescent="0.3">
      <c r="A122" s="18"/>
      <c r="B122" s="20" t="e">
        <f>INDEX('01_FASTPPH'!$9:$1048576,MATCH($A122,'01_FASTPPH'!$A$9:$A$1048576,0),MATCH(B$9,'01_FASTPPH'!$8:$8,0))</f>
        <v>#N/A</v>
      </c>
      <c r="C122" s="20" t="e">
        <f>INDEX('01_FASTPPH'!$9:$1048576,MATCH($A122,'01_FASTPPH'!$A$9:$A$1048576,0),MATCH(C$9,'01_FASTPPH'!$8:$8,0))</f>
        <v>#N/A</v>
      </c>
      <c r="D122" s="20" t="e">
        <f>INDEX('01_FASTPPH'!$9:$1048576,MATCH($A122,'01_FASTPPH'!$A$9:$A$1048576,0),MATCH(D$9,'01_FASTPPH'!$8:$8,0))</f>
        <v>#N/A</v>
      </c>
      <c r="E122" s="20" t="e">
        <f>INDEX('01_FASTPPH'!$9:$1048576,MATCH($A122,'01_FASTPPH'!$A$9:$A$1048576,0),MATCH(E$9,'01_FASTPPH'!$8:$8,0))</f>
        <v>#N/A</v>
      </c>
      <c r="F122" s="20" t="e">
        <f>INDEX('01_FASTPPH'!$9:$1048576,MATCH($A122,'01_FASTPPH'!$A$9:$A$1048576,0),MATCH(F$9,'01_FASTPPH'!$8:$8,0))</f>
        <v>#N/A</v>
      </c>
      <c r="G122" s="20" t="e">
        <f>INDEX('01_FASTPPH'!$9:$1048576,MATCH($A122,'01_FASTPPH'!$A$9:$A$1048576,0),MATCH(G$9,'01_FASTPPH'!$8:$8,0))</f>
        <v>#N/A</v>
      </c>
      <c r="H122" s="20" t="e">
        <f>INDEX('01_FASTPPH'!$9:$1048576,MATCH($A122,'01_FASTPPH'!$A$9:$A$1048576,0),MATCH(H$9,'01_FASTPPH'!$8:$8,0))</f>
        <v>#N/A</v>
      </c>
      <c r="I122" s="20" t="e">
        <f>INDEX('01_FASTPPH'!$9:$1048576,MATCH($A122,'01_FASTPPH'!$A$9:$A$1048576,0),MATCH(I$9,'01_FASTPPH'!$8:$8,0))</f>
        <v>#N/A</v>
      </c>
      <c r="J122" s="20" t="e">
        <f>INDEX('01_FASTPPH'!$9:$1048576,MATCH($A122,'01_FASTPPH'!$A$9:$A$1048576,0),MATCH(J$9,'01_FASTPPH'!$8:$8,0))</f>
        <v>#N/A</v>
      </c>
      <c r="K122" s="23" t="e">
        <f>INDEX('01_FASTPPH'!$9:$1048576,MATCH($A122,'01_FASTPPH'!$A$9:$A$1048576,0),MATCH(K$9,'01_FASTPPH'!$8:$8,0))</f>
        <v>#N/A</v>
      </c>
      <c r="L122" s="20" t="e">
        <f>INDEX('01_FASTPPH'!$9:$1048576,MATCH($A122,'01_FASTPPH'!$A$9:$A$1048576,0),MATCH(L$9,'01_FASTPPH'!$8:$8,0))</f>
        <v>#N/A</v>
      </c>
      <c r="M122" s="20" t="e">
        <f>INDEX('01_FASTPPH'!$9:$1048576,MATCH($A122,'01_FASTPPH'!$A$9:$A$1048576,0),MATCH(M$9,'01_FASTPPH'!$8:$8,0))</f>
        <v>#N/A</v>
      </c>
      <c r="N122" s="24" t="e">
        <f>INDEX('01_FASTPPH'!$9:$1048576,MATCH($A122,'01_FASTPPH'!$A$9:$A$1048576,0),MATCH(N$9,'01_FASTPPH'!$8:$8,0))</f>
        <v>#N/A</v>
      </c>
      <c r="O122" s="23" t="e">
        <f>INDEX('01_FASTPPH'!$9:$1048576,MATCH($A122,'01_FASTPPH'!$A$9:$A$1048576,0),MATCH(O$9,'01_FASTPPH'!$8:$8,0))</f>
        <v>#N/A</v>
      </c>
      <c r="P122" s="20" t="e">
        <f>INDEX('01_FASTPPH'!$9:$1048576,MATCH($A122,'01_FASTPPH'!$A$9:$A$1048576,0),MATCH(P$9,'01_FASTPPH'!$8:$8,0))</f>
        <v>#N/A</v>
      </c>
      <c r="Q122" s="20" t="e">
        <f>INDEX('01_FASTPPH'!$9:$1048576,MATCH($A122,'01_FASTPPH'!$A$9:$A$1048576,0),MATCH(Q$9,'01_FASTPPH'!$8:$8,0))</f>
        <v>#N/A</v>
      </c>
      <c r="R122" s="20" t="e">
        <f>INDEX('01_FASTPPH'!$9:$1048576,MATCH($A122,'01_FASTPPH'!$A$9:$A$1048576,0),MATCH(R$9,'01_FASTPPH'!$8:$8,0))</f>
        <v>#N/A</v>
      </c>
      <c r="S122" s="20" t="e">
        <f>INDEX('01_FASTPPH'!$9:$1048576,MATCH($A122,'01_FASTPPH'!$A$9:$A$1048576,0),MATCH(S$9,'01_FASTPPH'!$8:$8,0))</f>
        <v>#N/A</v>
      </c>
      <c r="T122" s="24" t="e">
        <f>INDEX('01_FASTPPH'!$9:$1048576,MATCH($A122,'01_FASTPPH'!$A$9:$A$1048576,0),MATCH(T$9,'01_FASTPPH'!$8:$8,0))</f>
        <v>#N/A</v>
      </c>
      <c r="U122" s="23" t="e">
        <f>INDEX('01_FASTPPH'!$9:$1048576,MATCH($A122,'01_FASTPPH'!$A$9:$A$1048576,0),MATCH(U$9,'01_FASTPPH'!$8:$8,0))</f>
        <v>#N/A</v>
      </c>
      <c r="V122" s="20" t="e">
        <f>INDEX('01_FASTPPH'!$9:$1048576,MATCH($A122,'01_FASTPPH'!$A$9:$A$1048576,0),MATCH(V$9,'01_FASTPPH'!$8:$8,0))</f>
        <v>#N/A</v>
      </c>
      <c r="W122" s="24" t="e">
        <f>INDEX('01_FASTPPH'!$9:$1048576,MATCH($A122,'01_FASTPPH'!$A$9:$A$1048576,0),MATCH(W$9,'01_FASTPPH'!$8:$8,0))</f>
        <v>#N/A</v>
      </c>
      <c r="X122" s="20" t="e">
        <f>INDEX('01_FASTPPH'!$9:$1048576,MATCH($A122,'01_FASTPPH'!$A$9:$A$1048576,0),MATCH(X$9,'01_FASTPPH'!$8:$8,0))</f>
        <v>#N/A</v>
      </c>
      <c r="Y122" s="20" t="e">
        <f>INDEX('01_FASTPPH'!$9:$1048576,MATCH($A122,'01_FASTPPH'!$A$9:$A$1048576,0),MATCH(Y$9,'01_FASTPPH'!$8:$8,0))</f>
        <v>#N/A</v>
      </c>
      <c r="AA122" s="32" t="e">
        <f>INDEX('02_PROPERTIES'!$C$10:$I$1048576,MATCH('03_CALCULATIONS'!$D122,'02_PROPERTIES'!$C$10:$C$1048576,0),MATCH('03_CALCULATIONS'!AA$9,'02_PROPERTIES'!$C$10:$I$10,0))</f>
        <v>#N/A</v>
      </c>
      <c r="AB122" s="20" t="e">
        <f>INDEX('02_PROPERTIES'!$C$10:$I$1048576,MATCH('03_CALCULATIONS'!$D122,'02_PROPERTIES'!$C$10:$C$1048576,0),MATCH('03_CALCULATIONS'!AB$9,'02_PROPERTIES'!$C$10:$I$10,0))</f>
        <v>#N/A</v>
      </c>
      <c r="AC122" s="20" t="e">
        <f>INDEX('02_PROPERTIES'!$C$10:$I$1048576,MATCH('03_CALCULATIONS'!$D122,'02_PROPERTIES'!$C$10:$C$1048576,0),MATCH('03_CALCULATIONS'!AC$9,'02_PROPERTIES'!$C$10:$I$10,0))</f>
        <v>#N/A</v>
      </c>
      <c r="AD122" s="20" t="e">
        <f>INDEX('02_PROPERTIES'!$C$10:$I$1048576,MATCH('03_CALCULATIONS'!$D122,'02_PROPERTIES'!$C$10:$C$1048576,0),MATCH('03_CALCULATIONS'!AD$9,'02_PROPERTIES'!$C$10:$I$10,0))</f>
        <v>#N/A</v>
      </c>
      <c r="AE122" s="32" t="e">
        <f>INDEX('02_PROPERTIES'!$C$10:$I$1048576,MATCH('03_CALCULATIONS'!$D122,'02_PROPERTIES'!$C$10:$C$1048576,0),MATCH('03_CALCULATIONS'!AE$9,'02_PROPERTIES'!$C$10:$I$10,0))</f>
        <v>#N/A</v>
      </c>
      <c r="AF122" s="32" t="e">
        <f>INDEX('02_PROPERTIES'!$C$10:$I$1048576,MATCH('03_CALCULATIONS'!$D122,'02_PROPERTIES'!$C$10:$C$1048576,0),MATCH('03_CALCULATIONS'!AF$9,'02_PROPERTIES'!$C$10:$I$10,0))</f>
        <v>#N/A</v>
      </c>
      <c r="AH122" s="20" t="e">
        <f t="shared" si="11"/>
        <v>#N/A</v>
      </c>
      <c r="AI122" s="20" t="e">
        <f t="shared" si="12"/>
        <v>#N/A</v>
      </c>
      <c r="AJ122" s="20" t="e">
        <f t="shared" si="13"/>
        <v>#N/A</v>
      </c>
      <c r="AL122" s="20" t="e">
        <f t="shared" si="14"/>
        <v>#N/A</v>
      </c>
      <c r="AM122" s="20" t="e">
        <f t="shared" si="15"/>
        <v>#N/A</v>
      </c>
      <c r="AN122" s="20" t="e">
        <f t="shared" si="16"/>
        <v>#N/A</v>
      </c>
      <c r="AO122" s="20" t="e">
        <f t="shared" si="17"/>
        <v>#N/A</v>
      </c>
      <c r="AP122" s="20" t="e">
        <f t="shared" si="18"/>
        <v>#N/A</v>
      </c>
      <c r="AR122" s="20" t="e">
        <f t="shared" si="19"/>
        <v>#N/A</v>
      </c>
      <c r="AS122" s="20" t="e">
        <f t="shared" si="20"/>
        <v>#N/A</v>
      </c>
      <c r="AT122" s="20" t="e">
        <f t="shared" si="21"/>
        <v>#N/A</v>
      </c>
    </row>
    <row r="123" spans="1:46" x14ac:dyDescent="0.3">
      <c r="A123" s="18"/>
      <c r="B123" s="20" t="e">
        <f>INDEX('01_FASTPPH'!$9:$1048576,MATCH($A123,'01_FASTPPH'!$A$9:$A$1048576,0),MATCH(B$9,'01_FASTPPH'!$8:$8,0))</f>
        <v>#N/A</v>
      </c>
      <c r="C123" s="20" t="e">
        <f>INDEX('01_FASTPPH'!$9:$1048576,MATCH($A123,'01_FASTPPH'!$A$9:$A$1048576,0),MATCH(C$9,'01_FASTPPH'!$8:$8,0))</f>
        <v>#N/A</v>
      </c>
      <c r="D123" s="20" t="e">
        <f>INDEX('01_FASTPPH'!$9:$1048576,MATCH($A123,'01_FASTPPH'!$A$9:$A$1048576,0),MATCH(D$9,'01_FASTPPH'!$8:$8,0))</f>
        <v>#N/A</v>
      </c>
      <c r="E123" s="20" t="e">
        <f>INDEX('01_FASTPPH'!$9:$1048576,MATCH($A123,'01_FASTPPH'!$A$9:$A$1048576,0),MATCH(E$9,'01_FASTPPH'!$8:$8,0))</f>
        <v>#N/A</v>
      </c>
      <c r="F123" s="20" t="e">
        <f>INDEX('01_FASTPPH'!$9:$1048576,MATCH($A123,'01_FASTPPH'!$A$9:$A$1048576,0),MATCH(F$9,'01_FASTPPH'!$8:$8,0))</f>
        <v>#N/A</v>
      </c>
      <c r="G123" s="20" t="e">
        <f>INDEX('01_FASTPPH'!$9:$1048576,MATCH($A123,'01_FASTPPH'!$A$9:$A$1048576,0),MATCH(G$9,'01_FASTPPH'!$8:$8,0))</f>
        <v>#N/A</v>
      </c>
      <c r="H123" s="20" t="e">
        <f>INDEX('01_FASTPPH'!$9:$1048576,MATCH($A123,'01_FASTPPH'!$A$9:$A$1048576,0),MATCH(H$9,'01_FASTPPH'!$8:$8,0))</f>
        <v>#N/A</v>
      </c>
      <c r="I123" s="20" t="e">
        <f>INDEX('01_FASTPPH'!$9:$1048576,MATCH($A123,'01_FASTPPH'!$A$9:$A$1048576,0),MATCH(I$9,'01_FASTPPH'!$8:$8,0))</f>
        <v>#N/A</v>
      </c>
      <c r="J123" s="20" t="e">
        <f>INDEX('01_FASTPPH'!$9:$1048576,MATCH($A123,'01_FASTPPH'!$A$9:$A$1048576,0),MATCH(J$9,'01_FASTPPH'!$8:$8,0))</f>
        <v>#N/A</v>
      </c>
      <c r="K123" s="23" t="e">
        <f>INDEX('01_FASTPPH'!$9:$1048576,MATCH($A123,'01_FASTPPH'!$A$9:$A$1048576,0),MATCH(K$9,'01_FASTPPH'!$8:$8,0))</f>
        <v>#N/A</v>
      </c>
      <c r="L123" s="20" t="e">
        <f>INDEX('01_FASTPPH'!$9:$1048576,MATCH($A123,'01_FASTPPH'!$A$9:$A$1048576,0),MATCH(L$9,'01_FASTPPH'!$8:$8,0))</f>
        <v>#N/A</v>
      </c>
      <c r="M123" s="20" t="e">
        <f>INDEX('01_FASTPPH'!$9:$1048576,MATCH($A123,'01_FASTPPH'!$A$9:$A$1048576,0),MATCH(M$9,'01_FASTPPH'!$8:$8,0))</f>
        <v>#N/A</v>
      </c>
      <c r="N123" s="24" t="e">
        <f>INDEX('01_FASTPPH'!$9:$1048576,MATCH($A123,'01_FASTPPH'!$A$9:$A$1048576,0),MATCH(N$9,'01_FASTPPH'!$8:$8,0))</f>
        <v>#N/A</v>
      </c>
      <c r="O123" s="23" t="e">
        <f>INDEX('01_FASTPPH'!$9:$1048576,MATCH($A123,'01_FASTPPH'!$A$9:$A$1048576,0),MATCH(O$9,'01_FASTPPH'!$8:$8,0))</f>
        <v>#N/A</v>
      </c>
      <c r="P123" s="20" t="e">
        <f>INDEX('01_FASTPPH'!$9:$1048576,MATCH($A123,'01_FASTPPH'!$A$9:$A$1048576,0),MATCH(P$9,'01_FASTPPH'!$8:$8,0))</f>
        <v>#N/A</v>
      </c>
      <c r="Q123" s="20" t="e">
        <f>INDEX('01_FASTPPH'!$9:$1048576,MATCH($A123,'01_FASTPPH'!$A$9:$A$1048576,0),MATCH(Q$9,'01_FASTPPH'!$8:$8,0))</f>
        <v>#N/A</v>
      </c>
      <c r="R123" s="20" t="e">
        <f>INDEX('01_FASTPPH'!$9:$1048576,MATCH($A123,'01_FASTPPH'!$A$9:$A$1048576,0),MATCH(R$9,'01_FASTPPH'!$8:$8,0))</f>
        <v>#N/A</v>
      </c>
      <c r="S123" s="20" t="e">
        <f>INDEX('01_FASTPPH'!$9:$1048576,MATCH($A123,'01_FASTPPH'!$A$9:$A$1048576,0),MATCH(S$9,'01_FASTPPH'!$8:$8,0))</f>
        <v>#N/A</v>
      </c>
      <c r="T123" s="24" t="e">
        <f>INDEX('01_FASTPPH'!$9:$1048576,MATCH($A123,'01_FASTPPH'!$A$9:$A$1048576,0),MATCH(T$9,'01_FASTPPH'!$8:$8,0))</f>
        <v>#N/A</v>
      </c>
      <c r="U123" s="23" t="e">
        <f>INDEX('01_FASTPPH'!$9:$1048576,MATCH($A123,'01_FASTPPH'!$A$9:$A$1048576,0),MATCH(U$9,'01_FASTPPH'!$8:$8,0))</f>
        <v>#N/A</v>
      </c>
      <c r="V123" s="20" t="e">
        <f>INDEX('01_FASTPPH'!$9:$1048576,MATCH($A123,'01_FASTPPH'!$A$9:$A$1048576,0),MATCH(V$9,'01_FASTPPH'!$8:$8,0))</f>
        <v>#N/A</v>
      </c>
      <c r="W123" s="24" t="e">
        <f>INDEX('01_FASTPPH'!$9:$1048576,MATCH($A123,'01_FASTPPH'!$A$9:$A$1048576,0),MATCH(W$9,'01_FASTPPH'!$8:$8,0))</f>
        <v>#N/A</v>
      </c>
      <c r="X123" s="20" t="e">
        <f>INDEX('01_FASTPPH'!$9:$1048576,MATCH($A123,'01_FASTPPH'!$A$9:$A$1048576,0),MATCH(X$9,'01_FASTPPH'!$8:$8,0))</f>
        <v>#N/A</v>
      </c>
      <c r="Y123" s="20" t="e">
        <f>INDEX('01_FASTPPH'!$9:$1048576,MATCH($A123,'01_FASTPPH'!$A$9:$A$1048576,0),MATCH(Y$9,'01_FASTPPH'!$8:$8,0))</f>
        <v>#N/A</v>
      </c>
      <c r="AA123" s="32" t="e">
        <f>INDEX('02_PROPERTIES'!$C$10:$I$1048576,MATCH('03_CALCULATIONS'!$D123,'02_PROPERTIES'!$C$10:$C$1048576,0),MATCH('03_CALCULATIONS'!AA$9,'02_PROPERTIES'!$C$10:$I$10,0))</f>
        <v>#N/A</v>
      </c>
      <c r="AB123" s="20" t="e">
        <f>INDEX('02_PROPERTIES'!$C$10:$I$1048576,MATCH('03_CALCULATIONS'!$D123,'02_PROPERTIES'!$C$10:$C$1048576,0),MATCH('03_CALCULATIONS'!AB$9,'02_PROPERTIES'!$C$10:$I$10,0))</f>
        <v>#N/A</v>
      </c>
      <c r="AC123" s="20" t="e">
        <f>INDEX('02_PROPERTIES'!$C$10:$I$1048576,MATCH('03_CALCULATIONS'!$D123,'02_PROPERTIES'!$C$10:$C$1048576,0),MATCH('03_CALCULATIONS'!AC$9,'02_PROPERTIES'!$C$10:$I$10,0))</f>
        <v>#N/A</v>
      </c>
      <c r="AD123" s="20" t="e">
        <f>INDEX('02_PROPERTIES'!$C$10:$I$1048576,MATCH('03_CALCULATIONS'!$D123,'02_PROPERTIES'!$C$10:$C$1048576,0),MATCH('03_CALCULATIONS'!AD$9,'02_PROPERTIES'!$C$10:$I$10,0))</f>
        <v>#N/A</v>
      </c>
      <c r="AE123" s="32" t="e">
        <f>INDEX('02_PROPERTIES'!$C$10:$I$1048576,MATCH('03_CALCULATIONS'!$D123,'02_PROPERTIES'!$C$10:$C$1048576,0),MATCH('03_CALCULATIONS'!AE$9,'02_PROPERTIES'!$C$10:$I$10,0))</f>
        <v>#N/A</v>
      </c>
      <c r="AF123" s="32" t="e">
        <f>INDEX('02_PROPERTIES'!$C$10:$I$1048576,MATCH('03_CALCULATIONS'!$D123,'02_PROPERTIES'!$C$10:$C$1048576,0),MATCH('03_CALCULATIONS'!AF$9,'02_PROPERTIES'!$C$10:$I$10,0))</f>
        <v>#N/A</v>
      </c>
      <c r="AH123" s="20" t="e">
        <f t="shared" si="11"/>
        <v>#N/A</v>
      </c>
      <c r="AI123" s="20" t="e">
        <f t="shared" si="12"/>
        <v>#N/A</v>
      </c>
      <c r="AJ123" s="20" t="e">
        <f t="shared" si="13"/>
        <v>#N/A</v>
      </c>
      <c r="AL123" s="20" t="e">
        <f t="shared" si="14"/>
        <v>#N/A</v>
      </c>
      <c r="AM123" s="20" t="e">
        <f t="shared" si="15"/>
        <v>#N/A</v>
      </c>
      <c r="AN123" s="20" t="e">
        <f t="shared" si="16"/>
        <v>#N/A</v>
      </c>
      <c r="AO123" s="20" t="e">
        <f t="shared" si="17"/>
        <v>#N/A</v>
      </c>
      <c r="AP123" s="20" t="e">
        <f t="shared" si="18"/>
        <v>#N/A</v>
      </c>
      <c r="AR123" s="20" t="e">
        <f t="shared" si="19"/>
        <v>#N/A</v>
      </c>
      <c r="AS123" s="20" t="e">
        <f t="shared" si="20"/>
        <v>#N/A</v>
      </c>
      <c r="AT123" s="20" t="e">
        <f t="shared" si="21"/>
        <v>#N/A</v>
      </c>
    </row>
    <row r="124" spans="1:46" x14ac:dyDescent="0.3">
      <c r="A124" s="18"/>
      <c r="B124" s="20" t="e">
        <f>INDEX('01_FASTPPH'!$9:$1048576,MATCH($A124,'01_FASTPPH'!$A$9:$A$1048576,0),MATCH(B$9,'01_FASTPPH'!$8:$8,0))</f>
        <v>#N/A</v>
      </c>
      <c r="C124" s="20" t="e">
        <f>INDEX('01_FASTPPH'!$9:$1048576,MATCH($A124,'01_FASTPPH'!$A$9:$A$1048576,0),MATCH(C$9,'01_FASTPPH'!$8:$8,0))</f>
        <v>#N/A</v>
      </c>
      <c r="D124" s="20" t="e">
        <f>INDEX('01_FASTPPH'!$9:$1048576,MATCH($A124,'01_FASTPPH'!$A$9:$A$1048576,0),MATCH(D$9,'01_FASTPPH'!$8:$8,0))</f>
        <v>#N/A</v>
      </c>
      <c r="E124" s="20" t="e">
        <f>INDEX('01_FASTPPH'!$9:$1048576,MATCH($A124,'01_FASTPPH'!$A$9:$A$1048576,0),MATCH(E$9,'01_FASTPPH'!$8:$8,0))</f>
        <v>#N/A</v>
      </c>
      <c r="F124" s="20" t="e">
        <f>INDEX('01_FASTPPH'!$9:$1048576,MATCH($A124,'01_FASTPPH'!$A$9:$A$1048576,0),MATCH(F$9,'01_FASTPPH'!$8:$8,0))</f>
        <v>#N/A</v>
      </c>
      <c r="G124" s="20" t="e">
        <f>INDEX('01_FASTPPH'!$9:$1048576,MATCH($A124,'01_FASTPPH'!$A$9:$A$1048576,0),MATCH(G$9,'01_FASTPPH'!$8:$8,0))</f>
        <v>#N/A</v>
      </c>
      <c r="H124" s="20" t="e">
        <f>INDEX('01_FASTPPH'!$9:$1048576,MATCH($A124,'01_FASTPPH'!$A$9:$A$1048576,0),MATCH(H$9,'01_FASTPPH'!$8:$8,0))</f>
        <v>#N/A</v>
      </c>
      <c r="I124" s="20" t="e">
        <f>INDEX('01_FASTPPH'!$9:$1048576,MATCH($A124,'01_FASTPPH'!$A$9:$A$1048576,0),MATCH(I$9,'01_FASTPPH'!$8:$8,0))</f>
        <v>#N/A</v>
      </c>
      <c r="J124" s="20" t="e">
        <f>INDEX('01_FASTPPH'!$9:$1048576,MATCH($A124,'01_FASTPPH'!$A$9:$A$1048576,0),MATCH(J$9,'01_FASTPPH'!$8:$8,0))</f>
        <v>#N/A</v>
      </c>
      <c r="K124" s="23" t="e">
        <f>INDEX('01_FASTPPH'!$9:$1048576,MATCH($A124,'01_FASTPPH'!$A$9:$A$1048576,0),MATCH(K$9,'01_FASTPPH'!$8:$8,0))</f>
        <v>#N/A</v>
      </c>
      <c r="L124" s="20" t="e">
        <f>INDEX('01_FASTPPH'!$9:$1048576,MATCH($A124,'01_FASTPPH'!$A$9:$A$1048576,0),MATCH(L$9,'01_FASTPPH'!$8:$8,0))</f>
        <v>#N/A</v>
      </c>
      <c r="M124" s="20" t="e">
        <f>INDEX('01_FASTPPH'!$9:$1048576,MATCH($A124,'01_FASTPPH'!$A$9:$A$1048576,0),MATCH(M$9,'01_FASTPPH'!$8:$8,0))</f>
        <v>#N/A</v>
      </c>
      <c r="N124" s="24" t="e">
        <f>INDEX('01_FASTPPH'!$9:$1048576,MATCH($A124,'01_FASTPPH'!$A$9:$A$1048576,0),MATCH(N$9,'01_FASTPPH'!$8:$8,0))</f>
        <v>#N/A</v>
      </c>
      <c r="O124" s="23" t="e">
        <f>INDEX('01_FASTPPH'!$9:$1048576,MATCH($A124,'01_FASTPPH'!$A$9:$A$1048576,0),MATCH(O$9,'01_FASTPPH'!$8:$8,0))</f>
        <v>#N/A</v>
      </c>
      <c r="P124" s="20" t="e">
        <f>INDEX('01_FASTPPH'!$9:$1048576,MATCH($A124,'01_FASTPPH'!$A$9:$A$1048576,0),MATCH(P$9,'01_FASTPPH'!$8:$8,0))</f>
        <v>#N/A</v>
      </c>
      <c r="Q124" s="20" t="e">
        <f>INDEX('01_FASTPPH'!$9:$1048576,MATCH($A124,'01_FASTPPH'!$A$9:$A$1048576,0),MATCH(Q$9,'01_FASTPPH'!$8:$8,0))</f>
        <v>#N/A</v>
      </c>
      <c r="R124" s="20" t="e">
        <f>INDEX('01_FASTPPH'!$9:$1048576,MATCH($A124,'01_FASTPPH'!$A$9:$A$1048576,0),MATCH(R$9,'01_FASTPPH'!$8:$8,0))</f>
        <v>#N/A</v>
      </c>
      <c r="S124" s="20" t="e">
        <f>INDEX('01_FASTPPH'!$9:$1048576,MATCH($A124,'01_FASTPPH'!$A$9:$A$1048576,0),MATCH(S$9,'01_FASTPPH'!$8:$8,0))</f>
        <v>#N/A</v>
      </c>
      <c r="T124" s="24" t="e">
        <f>INDEX('01_FASTPPH'!$9:$1048576,MATCH($A124,'01_FASTPPH'!$A$9:$A$1048576,0),MATCH(T$9,'01_FASTPPH'!$8:$8,0))</f>
        <v>#N/A</v>
      </c>
      <c r="U124" s="23" t="e">
        <f>INDEX('01_FASTPPH'!$9:$1048576,MATCH($A124,'01_FASTPPH'!$A$9:$A$1048576,0),MATCH(U$9,'01_FASTPPH'!$8:$8,0))</f>
        <v>#N/A</v>
      </c>
      <c r="V124" s="20" t="e">
        <f>INDEX('01_FASTPPH'!$9:$1048576,MATCH($A124,'01_FASTPPH'!$A$9:$A$1048576,0),MATCH(V$9,'01_FASTPPH'!$8:$8,0))</f>
        <v>#N/A</v>
      </c>
      <c r="W124" s="24" t="e">
        <f>INDEX('01_FASTPPH'!$9:$1048576,MATCH($A124,'01_FASTPPH'!$A$9:$A$1048576,0),MATCH(W$9,'01_FASTPPH'!$8:$8,0))</f>
        <v>#N/A</v>
      </c>
      <c r="X124" s="20" t="e">
        <f>INDEX('01_FASTPPH'!$9:$1048576,MATCH($A124,'01_FASTPPH'!$A$9:$A$1048576,0),MATCH(X$9,'01_FASTPPH'!$8:$8,0))</f>
        <v>#N/A</v>
      </c>
      <c r="Y124" s="20" t="e">
        <f>INDEX('01_FASTPPH'!$9:$1048576,MATCH($A124,'01_FASTPPH'!$A$9:$A$1048576,0),MATCH(Y$9,'01_FASTPPH'!$8:$8,0))</f>
        <v>#N/A</v>
      </c>
      <c r="AA124" s="32" t="e">
        <f>INDEX('02_PROPERTIES'!$C$10:$I$1048576,MATCH('03_CALCULATIONS'!$D124,'02_PROPERTIES'!$C$10:$C$1048576,0),MATCH('03_CALCULATIONS'!AA$9,'02_PROPERTIES'!$C$10:$I$10,0))</f>
        <v>#N/A</v>
      </c>
      <c r="AB124" s="20" t="e">
        <f>INDEX('02_PROPERTIES'!$C$10:$I$1048576,MATCH('03_CALCULATIONS'!$D124,'02_PROPERTIES'!$C$10:$C$1048576,0),MATCH('03_CALCULATIONS'!AB$9,'02_PROPERTIES'!$C$10:$I$10,0))</f>
        <v>#N/A</v>
      </c>
      <c r="AC124" s="20" t="e">
        <f>INDEX('02_PROPERTIES'!$C$10:$I$1048576,MATCH('03_CALCULATIONS'!$D124,'02_PROPERTIES'!$C$10:$C$1048576,0),MATCH('03_CALCULATIONS'!AC$9,'02_PROPERTIES'!$C$10:$I$10,0))</f>
        <v>#N/A</v>
      </c>
      <c r="AD124" s="20" t="e">
        <f>INDEX('02_PROPERTIES'!$C$10:$I$1048576,MATCH('03_CALCULATIONS'!$D124,'02_PROPERTIES'!$C$10:$C$1048576,0),MATCH('03_CALCULATIONS'!AD$9,'02_PROPERTIES'!$C$10:$I$10,0))</f>
        <v>#N/A</v>
      </c>
      <c r="AE124" s="32" t="e">
        <f>INDEX('02_PROPERTIES'!$C$10:$I$1048576,MATCH('03_CALCULATIONS'!$D124,'02_PROPERTIES'!$C$10:$C$1048576,0),MATCH('03_CALCULATIONS'!AE$9,'02_PROPERTIES'!$C$10:$I$10,0))</f>
        <v>#N/A</v>
      </c>
      <c r="AF124" s="32" t="e">
        <f>INDEX('02_PROPERTIES'!$C$10:$I$1048576,MATCH('03_CALCULATIONS'!$D124,'02_PROPERTIES'!$C$10:$C$1048576,0),MATCH('03_CALCULATIONS'!AF$9,'02_PROPERTIES'!$C$10:$I$10,0))</f>
        <v>#N/A</v>
      </c>
      <c r="AH124" s="20" t="e">
        <f t="shared" si="11"/>
        <v>#N/A</v>
      </c>
      <c r="AI124" s="20" t="e">
        <f t="shared" si="12"/>
        <v>#N/A</v>
      </c>
      <c r="AJ124" s="20" t="e">
        <f t="shared" si="13"/>
        <v>#N/A</v>
      </c>
      <c r="AL124" s="20" t="e">
        <f t="shared" si="14"/>
        <v>#N/A</v>
      </c>
      <c r="AM124" s="20" t="e">
        <f t="shared" si="15"/>
        <v>#N/A</v>
      </c>
      <c r="AN124" s="20" t="e">
        <f t="shared" si="16"/>
        <v>#N/A</v>
      </c>
      <c r="AO124" s="20" t="e">
        <f t="shared" si="17"/>
        <v>#N/A</v>
      </c>
      <c r="AP124" s="20" t="e">
        <f t="shared" si="18"/>
        <v>#N/A</v>
      </c>
      <c r="AR124" s="20" t="e">
        <f t="shared" si="19"/>
        <v>#N/A</v>
      </c>
      <c r="AS124" s="20" t="e">
        <f t="shared" si="20"/>
        <v>#N/A</v>
      </c>
      <c r="AT124" s="20" t="e">
        <f t="shared" si="21"/>
        <v>#N/A</v>
      </c>
    </row>
    <row r="125" spans="1:46" x14ac:dyDescent="0.3">
      <c r="A125" s="18"/>
      <c r="B125" s="20" t="e">
        <f>INDEX('01_FASTPPH'!$9:$1048576,MATCH($A125,'01_FASTPPH'!$A$9:$A$1048576,0),MATCH(B$9,'01_FASTPPH'!$8:$8,0))</f>
        <v>#N/A</v>
      </c>
      <c r="C125" s="20" t="e">
        <f>INDEX('01_FASTPPH'!$9:$1048576,MATCH($A125,'01_FASTPPH'!$A$9:$A$1048576,0),MATCH(C$9,'01_FASTPPH'!$8:$8,0))</f>
        <v>#N/A</v>
      </c>
      <c r="D125" s="20" t="e">
        <f>INDEX('01_FASTPPH'!$9:$1048576,MATCH($A125,'01_FASTPPH'!$A$9:$A$1048576,0),MATCH(D$9,'01_FASTPPH'!$8:$8,0))</f>
        <v>#N/A</v>
      </c>
      <c r="E125" s="20" t="e">
        <f>INDEX('01_FASTPPH'!$9:$1048576,MATCH($A125,'01_FASTPPH'!$A$9:$A$1048576,0),MATCH(E$9,'01_FASTPPH'!$8:$8,0))</f>
        <v>#N/A</v>
      </c>
      <c r="F125" s="20" t="e">
        <f>INDEX('01_FASTPPH'!$9:$1048576,MATCH($A125,'01_FASTPPH'!$A$9:$A$1048576,0),MATCH(F$9,'01_FASTPPH'!$8:$8,0))</f>
        <v>#N/A</v>
      </c>
      <c r="G125" s="20" t="e">
        <f>INDEX('01_FASTPPH'!$9:$1048576,MATCH($A125,'01_FASTPPH'!$A$9:$A$1048576,0),MATCH(G$9,'01_FASTPPH'!$8:$8,0))</f>
        <v>#N/A</v>
      </c>
      <c r="H125" s="20" t="e">
        <f>INDEX('01_FASTPPH'!$9:$1048576,MATCH($A125,'01_FASTPPH'!$A$9:$A$1048576,0),MATCH(H$9,'01_FASTPPH'!$8:$8,0))</f>
        <v>#N/A</v>
      </c>
      <c r="I125" s="20" t="e">
        <f>INDEX('01_FASTPPH'!$9:$1048576,MATCH($A125,'01_FASTPPH'!$A$9:$A$1048576,0),MATCH(I$9,'01_FASTPPH'!$8:$8,0))</f>
        <v>#N/A</v>
      </c>
      <c r="J125" s="20" t="e">
        <f>INDEX('01_FASTPPH'!$9:$1048576,MATCH($A125,'01_FASTPPH'!$A$9:$A$1048576,0),MATCH(J$9,'01_FASTPPH'!$8:$8,0))</f>
        <v>#N/A</v>
      </c>
      <c r="K125" s="23" t="e">
        <f>INDEX('01_FASTPPH'!$9:$1048576,MATCH($A125,'01_FASTPPH'!$A$9:$A$1048576,0),MATCH(K$9,'01_FASTPPH'!$8:$8,0))</f>
        <v>#N/A</v>
      </c>
      <c r="L125" s="20" t="e">
        <f>INDEX('01_FASTPPH'!$9:$1048576,MATCH($A125,'01_FASTPPH'!$A$9:$A$1048576,0),MATCH(L$9,'01_FASTPPH'!$8:$8,0))</f>
        <v>#N/A</v>
      </c>
      <c r="M125" s="20" t="e">
        <f>INDEX('01_FASTPPH'!$9:$1048576,MATCH($A125,'01_FASTPPH'!$A$9:$A$1048576,0),MATCH(M$9,'01_FASTPPH'!$8:$8,0))</f>
        <v>#N/A</v>
      </c>
      <c r="N125" s="24" t="e">
        <f>INDEX('01_FASTPPH'!$9:$1048576,MATCH($A125,'01_FASTPPH'!$A$9:$A$1048576,0),MATCH(N$9,'01_FASTPPH'!$8:$8,0))</f>
        <v>#N/A</v>
      </c>
      <c r="O125" s="23" t="e">
        <f>INDEX('01_FASTPPH'!$9:$1048576,MATCH($A125,'01_FASTPPH'!$A$9:$A$1048576,0),MATCH(O$9,'01_FASTPPH'!$8:$8,0))</f>
        <v>#N/A</v>
      </c>
      <c r="P125" s="20" t="e">
        <f>INDEX('01_FASTPPH'!$9:$1048576,MATCH($A125,'01_FASTPPH'!$A$9:$A$1048576,0),MATCH(P$9,'01_FASTPPH'!$8:$8,0))</f>
        <v>#N/A</v>
      </c>
      <c r="Q125" s="20" t="e">
        <f>INDEX('01_FASTPPH'!$9:$1048576,MATCH($A125,'01_FASTPPH'!$A$9:$A$1048576,0),MATCH(Q$9,'01_FASTPPH'!$8:$8,0))</f>
        <v>#N/A</v>
      </c>
      <c r="R125" s="20" t="e">
        <f>INDEX('01_FASTPPH'!$9:$1048576,MATCH($A125,'01_FASTPPH'!$A$9:$A$1048576,0),MATCH(R$9,'01_FASTPPH'!$8:$8,0))</f>
        <v>#N/A</v>
      </c>
      <c r="S125" s="20" t="e">
        <f>INDEX('01_FASTPPH'!$9:$1048576,MATCH($A125,'01_FASTPPH'!$A$9:$A$1048576,0),MATCH(S$9,'01_FASTPPH'!$8:$8,0))</f>
        <v>#N/A</v>
      </c>
      <c r="T125" s="24" t="e">
        <f>INDEX('01_FASTPPH'!$9:$1048576,MATCH($A125,'01_FASTPPH'!$A$9:$A$1048576,0),MATCH(T$9,'01_FASTPPH'!$8:$8,0))</f>
        <v>#N/A</v>
      </c>
      <c r="U125" s="23" t="e">
        <f>INDEX('01_FASTPPH'!$9:$1048576,MATCH($A125,'01_FASTPPH'!$A$9:$A$1048576,0),MATCH(U$9,'01_FASTPPH'!$8:$8,0))</f>
        <v>#N/A</v>
      </c>
      <c r="V125" s="20" t="e">
        <f>INDEX('01_FASTPPH'!$9:$1048576,MATCH($A125,'01_FASTPPH'!$A$9:$A$1048576,0),MATCH(V$9,'01_FASTPPH'!$8:$8,0))</f>
        <v>#N/A</v>
      </c>
      <c r="W125" s="24" t="e">
        <f>INDEX('01_FASTPPH'!$9:$1048576,MATCH($A125,'01_FASTPPH'!$A$9:$A$1048576,0),MATCH(W$9,'01_FASTPPH'!$8:$8,0))</f>
        <v>#N/A</v>
      </c>
      <c r="X125" s="20" t="e">
        <f>INDEX('01_FASTPPH'!$9:$1048576,MATCH($A125,'01_FASTPPH'!$A$9:$A$1048576,0),MATCH(X$9,'01_FASTPPH'!$8:$8,0))</f>
        <v>#N/A</v>
      </c>
      <c r="Y125" s="20" t="e">
        <f>INDEX('01_FASTPPH'!$9:$1048576,MATCH($A125,'01_FASTPPH'!$A$9:$A$1048576,0),MATCH(Y$9,'01_FASTPPH'!$8:$8,0))</f>
        <v>#N/A</v>
      </c>
      <c r="AA125" s="32" t="e">
        <f>INDEX('02_PROPERTIES'!$C$10:$I$1048576,MATCH('03_CALCULATIONS'!$D125,'02_PROPERTIES'!$C$10:$C$1048576,0),MATCH('03_CALCULATIONS'!AA$9,'02_PROPERTIES'!$C$10:$I$10,0))</f>
        <v>#N/A</v>
      </c>
      <c r="AB125" s="20" t="e">
        <f>INDEX('02_PROPERTIES'!$C$10:$I$1048576,MATCH('03_CALCULATIONS'!$D125,'02_PROPERTIES'!$C$10:$C$1048576,0),MATCH('03_CALCULATIONS'!AB$9,'02_PROPERTIES'!$C$10:$I$10,0))</f>
        <v>#N/A</v>
      </c>
      <c r="AC125" s="20" t="e">
        <f>INDEX('02_PROPERTIES'!$C$10:$I$1048576,MATCH('03_CALCULATIONS'!$D125,'02_PROPERTIES'!$C$10:$C$1048576,0),MATCH('03_CALCULATIONS'!AC$9,'02_PROPERTIES'!$C$10:$I$10,0))</f>
        <v>#N/A</v>
      </c>
      <c r="AD125" s="20" t="e">
        <f>INDEX('02_PROPERTIES'!$C$10:$I$1048576,MATCH('03_CALCULATIONS'!$D125,'02_PROPERTIES'!$C$10:$C$1048576,0),MATCH('03_CALCULATIONS'!AD$9,'02_PROPERTIES'!$C$10:$I$10,0))</f>
        <v>#N/A</v>
      </c>
      <c r="AE125" s="32" t="e">
        <f>INDEX('02_PROPERTIES'!$C$10:$I$1048576,MATCH('03_CALCULATIONS'!$D125,'02_PROPERTIES'!$C$10:$C$1048576,0),MATCH('03_CALCULATIONS'!AE$9,'02_PROPERTIES'!$C$10:$I$10,0))</f>
        <v>#N/A</v>
      </c>
      <c r="AF125" s="32" t="e">
        <f>INDEX('02_PROPERTIES'!$C$10:$I$1048576,MATCH('03_CALCULATIONS'!$D125,'02_PROPERTIES'!$C$10:$C$1048576,0),MATCH('03_CALCULATIONS'!AF$9,'02_PROPERTIES'!$C$10:$I$10,0))</f>
        <v>#N/A</v>
      </c>
      <c r="AH125" s="20" t="e">
        <f t="shared" si="11"/>
        <v>#N/A</v>
      </c>
      <c r="AI125" s="20" t="e">
        <f t="shared" si="12"/>
        <v>#N/A</v>
      </c>
      <c r="AJ125" s="20" t="e">
        <f t="shared" si="13"/>
        <v>#N/A</v>
      </c>
      <c r="AL125" s="20" t="e">
        <f t="shared" si="14"/>
        <v>#N/A</v>
      </c>
      <c r="AM125" s="20" t="e">
        <f t="shared" si="15"/>
        <v>#N/A</v>
      </c>
      <c r="AN125" s="20" t="e">
        <f t="shared" si="16"/>
        <v>#N/A</v>
      </c>
      <c r="AO125" s="20" t="e">
        <f t="shared" si="17"/>
        <v>#N/A</v>
      </c>
      <c r="AP125" s="20" t="e">
        <f t="shared" si="18"/>
        <v>#N/A</v>
      </c>
      <c r="AR125" s="20" t="e">
        <f t="shared" si="19"/>
        <v>#N/A</v>
      </c>
      <c r="AS125" s="20" t="e">
        <f t="shared" si="20"/>
        <v>#N/A</v>
      </c>
      <c r="AT125" s="20" t="e">
        <f t="shared" si="21"/>
        <v>#N/A</v>
      </c>
    </row>
    <row r="126" spans="1:46" x14ac:dyDescent="0.3">
      <c r="A126" s="18"/>
      <c r="B126" s="20" t="e">
        <f>INDEX('01_FASTPPH'!$9:$1048576,MATCH($A126,'01_FASTPPH'!$A$9:$A$1048576,0),MATCH(B$9,'01_FASTPPH'!$8:$8,0))</f>
        <v>#N/A</v>
      </c>
      <c r="C126" s="20" t="e">
        <f>INDEX('01_FASTPPH'!$9:$1048576,MATCH($A126,'01_FASTPPH'!$A$9:$A$1048576,0),MATCH(C$9,'01_FASTPPH'!$8:$8,0))</f>
        <v>#N/A</v>
      </c>
      <c r="D126" s="20" t="e">
        <f>INDEX('01_FASTPPH'!$9:$1048576,MATCH($A126,'01_FASTPPH'!$A$9:$A$1048576,0),MATCH(D$9,'01_FASTPPH'!$8:$8,0))</f>
        <v>#N/A</v>
      </c>
      <c r="E126" s="20" t="e">
        <f>INDEX('01_FASTPPH'!$9:$1048576,MATCH($A126,'01_FASTPPH'!$A$9:$A$1048576,0),MATCH(E$9,'01_FASTPPH'!$8:$8,0))</f>
        <v>#N/A</v>
      </c>
      <c r="F126" s="20" t="e">
        <f>INDEX('01_FASTPPH'!$9:$1048576,MATCH($A126,'01_FASTPPH'!$A$9:$A$1048576,0),MATCH(F$9,'01_FASTPPH'!$8:$8,0))</f>
        <v>#N/A</v>
      </c>
      <c r="G126" s="20" t="e">
        <f>INDEX('01_FASTPPH'!$9:$1048576,MATCH($A126,'01_FASTPPH'!$A$9:$A$1048576,0),MATCH(G$9,'01_FASTPPH'!$8:$8,0))</f>
        <v>#N/A</v>
      </c>
      <c r="H126" s="20" t="e">
        <f>INDEX('01_FASTPPH'!$9:$1048576,MATCH($A126,'01_FASTPPH'!$A$9:$A$1048576,0),MATCH(H$9,'01_FASTPPH'!$8:$8,0))</f>
        <v>#N/A</v>
      </c>
      <c r="I126" s="20" t="e">
        <f>INDEX('01_FASTPPH'!$9:$1048576,MATCH($A126,'01_FASTPPH'!$A$9:$A$1048576,0),MATCH(I$9,'01_FASTPPH'!$8:$8,0))</f>
        <v>#N/A</v>
      </c>
      <c r="J126" s="20" t="e">
        <f>INDEX('01_FASTPPH'!$9:$1048576,MATCH($A126,'01_FASTPPH'!$A$9:$A$1048576,0),MATCH(J$9,'01_FASTPPH'!$8:$8,0))</f>
        <v>#N/A</v>
      </c>
      <c r="K126" s="23" t="e">
        <f>INDEX('01_FASTPPH'!$9:$1048576,MATCH($A126,'01_FASTPPH'!$A$9:$A$1048576,0),MATCH(K$9,'01_FASTPPH'!$8:$8,0))</f>
        <v>#N/A</v>
      </c>
      <c r="L126" s="20" t="e">
        <f>INDEX('01_FASTPPH'!$9:$1048576,MATCH($A126,'01_FASTPPH'!$A$9:$A$1048576,0),MATCH(L$9,'01_FASTPPH'!$8:$8,0))</f>
        <v>#N/A</v>
      </c>
      <c r="M126" s="20" t="e">
        <f>INDEX('01_FASTPPH'!$9:$1048576,MATCH($A126,'01_FASTPPH'!$A$9:$A$1048576,0),MATCH(M$9,'01_FASTPPH'!$8:$8,0))</f>
        <v>#N/A</v>
      </c>
      <c r="N126" s="24" t="e">
        <f>INDEX('01_FASTPPH'!$9:$1048576,MATCH($A126,'01_FASTPPH'!$A$9:$A$1048576,0),MATCH(N$9,'01_FASTPPH'!$8:$8,0))</f>
        <v>#N/A</v>
      </c>
      <c r="O126" s="23" t="e">
        <f>INDEX('01_FASTPPH'!$9:$1048576,MATCH($A126,'01_FASTPPH'!$A$9:$A$1048576,0),MATCH(O$9,'01_FASTPPH'!$8:$8,0))</f>
        <v>#N/A</v>
      </c>
      <c r="P126" s="20" t="e">
        <f>INDEX('01_FASTPPH'!$9:$1048576,MATCH($A126,'01_FASTPPH'!$A$9:$A$1048576,0),MATCH(P$9,'01_FASTPPH'!$8:$8,0))</f>
        <v>#N/A</v>
      </c>
      <c r="Q126" s="20" t="e">
        <f>INDEX('01_FASTPPH'!$9:$1048576,MATCH($A126,'01_FASTPPH'!$A$9:$A$1048576,0),MATCH(Q$9,'01_FASTPPH'!$8:$8,0))</f>
        <v>#N/A</v>
      </c>
      <c r="R126" s="20" t="e">
        <f>INDEX('01_FASTPPH'!$9:$1048576,MATCH($A126,'01_FASTPPH'!$A$9:$A$1048576,0),MATCH(R$9,'01_FASTPPH'!$8:$8,0))</f>
        <v>#N/A</v>
      </c>
      <c r="S126" s="20" t="e">
        <f>INDEX('01_FASTPPH'!$9:$1048576,MATCH($A126,'01_FASTPPH'!$A$9:$A$1048576,0),MATCH(S$9,'01_FASTPPH'!$8:$8,0))</f>
        <v>#N/A</v>
      </c>
      <c r="T126" s="24" t="e">
        <f>INDEX('01_FASTPPH'!$9:$1048576,MATCH($A126,'01_FASTPPH'!$A$9:$A$1048576,0),MATCH(T$9,'01_FASTPPH'!$8:$8,0))</f>
        <v>#N/A</v>
      </c>
      <c r="U126" s="23" t="e">
        <f>INDEX('01_FASTPPH'!$9:$1048576,MATCH($A126,'01_FASTPPH'!$A$9:$A$1048576,0),MATCH(U$9,'01_FASTPPH'!$8:$8,0))</f>
        <v>#N/A</v>
      </c>
      <c r="V126" s="20" t="e">
        <f>INDEX('01_FASTPPH'!$9:$1048576,MATCH($A126,'01_FASTPPH'!$A$9:$A$1048576,0),MATCH(V$9,'01_FASTPPH'!$8:$8,0))</f>
        <v>#N/A</v>
      </c>
      <c r="W126" s="24" t="e">
        <f>INDEX('01_FASTPPH'!$9:$1048576,MATCH($A126,'01_FASTPPH'!$A$9:$A$1048576,0),MATCH(W$9,'01_FASTPPH'!$8:$8,0))</f>
        <v>#N/A</v>
      </c>
      <c r="X126" s="20" t="e">
        <f>INDEX('01_FASTPPH'!$9:$1048576,MATCH($A126,'01_FASTPPH'!$A$9:$A$1048576,0),MATCH(X$9,'01_FASTPPH'!$8:$8,0))</f>
        <v>#N/A</v>
      </c>
      <c r="Y126" s="20" t="e">
        <f>INDEX('01_FASTPPH'!$9:$1048576,MATCH($A126,'01_FASTPPH'!$A$9:$A$1048576,0),MATCH(Y$9,'01_FASTPPH'!$8:$8,0))</f>
        <v>#N/A</v>
      </c>
      <c r="AA126" s="32" t="e">
        <f>INDEX('02_PROPERTIES'!$C$10:$I$1048576,MATCH('03_CALCULATIONS'!$D126,'02_PROPERTIES'!$C$10:$C$1048576,0),MATCH('03_CALCULATIONS'!AA$9,'02_PROPERTIES'!$C$10:$I$10,0))</f>
        <v>#N/A</v>
      </c>
      <c r="AB126" s="20" t="e">
        <f>INDEX('02_PROPERTIES'!$C$10:$I$1048576,MATCH('03_CALCULATIONS'!$D126,'02_PROPERTIES'!$C$10:$C$1048576,0),MATCH('03_CALCULATIONS'!AB$9,'02_PROPERTIES'!$C$10:$I$10,0))</f>
        <v>#N/A</v>
      </c>
      <c r="AC126" s="20" t="e">
        <f>INDEX('02_PROPERTIES'!$C$10:$I$1048576,MATCH('03_CALCULATIONS'!$D126,'02_PROPERTIES'!$C$10:$C$1048576,0),MATCH('03_CALCULATIONS'!AC$9,'02_PROPERTIES'!$C$10:$I$10,0))</f>
        <v>#N/A</v>
      </c>
      <c r="AD126" s="20" t="e">
        <f>INDEX('02_PROPERTIES'!$C$10:$I$1048576,MATCH('03_CALCULATIONS'!$D126,'02_PROPERTIES'!$C$10:$C$1048576,0),MATCH('03_CALCULATIONS'!AD$9,'02_PROPERTIES'!$C$10:$I$10,0))</f>
        <v>#N/A</v>
      </c>
      <c r="AE126" s="32" t="e">
        <f>INDEX('02_PROPERTIES'!$C$10:$I$1048576,MATCH('03_CALCULATIONS'!$D126,'02_PROPERTIES'!$C$10:$C$1048576,0),MATCH('03_CALCULATIONS'!AE$9,'02_PROPERTIES'!$C$10:$I$10,0))</f>
        <v>#N/A</v>
      </c>
      <c r="AF126" s="32" t="e">
        <f>INDEX('02_PROPERTIES'!$C$10:$I$1048576,MATCH('03_CALCULATIONS'!$D126,'02_PROPERTIES'!$C$10:$C$1048576,0),MATCH('03_CALCULATIONS'!AF$9,'02_PROPERTIES'!$C$10:$I$10,0))</f>
        <v>#N/A</v>
      </c>
      <c r="AH126" s="20" t="e">
        <f t="shared" si="11"/>
        <v>#N/A</v>
      </c>
      <c r="AI126" s="20" t="e">
        <f t="shared" si="12"/>
        <v>#N/A</v>
      </c>
      <c r="AJ126" s="20" t="e">
        <f t="shared" si="13"/>
        <v>#N/A</v>
      </c>
      <c r="AL126" s="20" t="e">
        <f t="shared" si="14"/>
        <v>#N/A</v>
      </c>
      <c r="AM126" s="20" t="e">
        <f t="shared" si="15"/>
        <v>#N/A</v>
      </c>
      <c r="AN126" s="20" t="e">
        <f t="shared" si="16"/>
        <v>#N/A</v>
      </c>
      <c r="AO126" s="20" t="e">
        <f t="shared" si="17"/>
        <v>#N/A</v>
      </c>
      <c r="AP126" s="20" t="e">
        <f t="shared" si="18"/>
        <v>#N/A</v>
      </c>
      <c r="AR126" s="20" t="e">
        <f t="shared" si="19"/>
        <v>#N/A</v>
      </c>
      <c r="AS126" s="20" t="e">
        <f t="shared" si="20"/>
        <v>#N/A</v>
      </c>
      <c r="AT126" s="20" t="e">
        <f t="shared" si="21"/>
        <v>#N/A</v>
      </c>
    </row>
    <row r="127" spans="1:46" x14ac:dyDescent="0.3">
      <c r="A127" s="18"/>
      <c r="B127" s="20" t="e">
        <f>INDEX('01_FASTPPH'!$9:$1048576,MATCH($A127,'01_FASTPPH'!$A$9:$A$1048576,0),MATCH(B$9,'01_FASTPPH'!$8:$8,0))</f>
        <v>#N/A</v>
      </c>
      <c r="C127" s="20" t="e">
        <f>INDEX('01_FASTPPH'!$9:$1048576,MATCH($A127,'01_FASTPPH'!$A$9:$A$1048576,0),MATCH(C$9,'01_FASTPPH'!$8:$8,0))</f>
        <v>#N/A</v>
      </c>
      <c r="D127" s="20" t="e">
        <f>INDEX('01_FASTPPH'!$9:$1048576,MATCH($A127,'01_FASTPPH'!$A$9:$A$1048576,0),MATCH(D$9,'01_FASTPPH'!$8:$8,0))</f>
        <v>#N/A</v>
      </c>
      <c r="E127" s="20" t="e">
        <f>INDEX('01_FASTPPH'!$9:$1048576,MATCH($A127,'01_FASTPPH'!$A$9:$A$1048576,0),MATCH(E$9,'01_FASTPPH'!$8:$8,0))</f>
        <v>#N/A</v>
      </c>
      <c r="F127" s="20" t="e">
        <f>INDEX('01_FASTPPH'!$9:$1048576,MATCH($A127,'01_FASTPPH'!$A$9:$A$1048576,0),MATCH(F$9,'01_FASTPPH'!$8:$8,0))</f>
        <v>#N/A</v>
      </c>
      <c r="G127" s="20" t="e">
        <f>INDEX('01_FASTPPH'!$9:$1048576,MATCH($A127,'01_FASTPPH'!$A$9:$A$1048576,0),MATCH(G$9,'01_FASTPPH'!$8:$8,0))</f>
        <v>#N/A</v>
      </c>
      <c r="H127" s="20" t="e">
        <f>INDEX('01_FASTPPH'!$9:$1048576,MATCH($A127,'01_FASTPPH'!$A$9:$A$1048576,0),MATCH(H$9,'01_FASTPPH'!$8:$8,0))</f>
        <v>#N/A</v>
      </c>
      <c r="I127" s="20" t="e">
        <f>INDEX('01_FASTPPH'!$9:$1048576,MATCH($A127,'01_FASTPPH'!$A$9:$A$1048576,0),MATCH(I$9,'01_FASTPPH'!$8:$8,0))</f>
        <v>#N/A</v>
      </c>
      <c r="J127" s="20" t="e">
        <f>INDEX('01_FASTPPH'!$9:$1048576,MATCH($A127,'01_FASTPPH'!$A$9:$A$1048576,0),MATCH(J$9,'01_FASTPPH'!$8:$8,0))</f>
        <v>#N/A</v>
      </c>
      <c r="K127" s="23" t="e">
        <f>INDEX('01_FASTPPH'!$9:$1048576,MATCH($A127,'01_FASTPPH'!$A$9:$A$1048576,0),MATCH(K$9,'01_FASTPPH'!$8:$8,0))</f>
        <v>#N/A</v>
      </c>
      <c r="L127" s="20" t="e">
        <f>INDEX('01_FASTPPH'!$9:$1048576,MATCH($A127,'01_FASTPPH'!$A$9:$A$1048576,0),MATCH(L$9,'01_FASTPPH'!$8:$8,0))</f>
        <v>#N/A</v>
      </c>
      <c r="M127" s="20" t="e">
        <f>INDEX('01_FASTPPH'!$9:$1048576,MATCH($A127,'01_FASTPPH'!$A$9:$A$1048576,0),MATCH(M$9,'01_FASTPPH'!$8:$8,0))</f>
        <v>#N/A</v>
      </c>
      <c r="N127" s="24" t="e">
        <f>INDEX('01_FASTPPH'!$9:$1048576,MATCH($A127,'01_FASTPPH'!$A$9:$A$1048576,0),MATCH(N$9,'01_FASTPPH'!$8:$8,0))</f>
        <v>#N/A</v>
      </c>
      <c r="O127" s="23" t="e">
        <f>INDEX('01_FASTPPH'!$9:$1048576,MATCH($A127,'01_FASTPPH'!$A$9:$A$1048576,0),MATCH(O$9,'01_FASTPPH'!$8:$8,0))</f>
        <v>#N/A</v>
      </c>
      <c r="P127" s="20" t="e">
        <f>INDEX('01_FASTPPH'!$9:$1048576,MATCH($A127,'01_FASTPPH'!$A$9:$A$1048576,0),MATCH(P$9,'01_FASTPPH'!$8:$8,0))</f>
        <v>#N/A</v>
      </c>
      <c r="Q127" s="20" t="e">
        <f>INDEX('01_FASTPPH'!$9:$1048576,MATCH($A127,'01_FASTPPH'!$A$9:$A$1048576,0),MATCH(Q$9,'01_FASTPPH'!$8:$8,0))</f>
        <v>#N/A</v>
      </c>
      <c r="R127" s="20" t="e">
        <f>INDEX('01_FASTPPH'!$9:$1048576,MATCH($A127,'01_FASTPPH'!$A$9:$A$1048576,0),MATCH(R$9,'01_FASTPPH'!$8:$8,0))</f>
        <v>#N/A</v>
      </c>
      <c r="S127" s="20" t="e">
        <f>INDEX('01_FASTPPH'!$9:$1048576,MATCH($A127,'01_FASTPPH'!$A$9:$A$1048576,0),MATCH(S$9,'01_FASTPPH'!$8:$8,0))</f>
        <v>#N/A</v>
      </c>
      <c r="T127" s="24" t="e">
        <f>INDEX('01_FASTPPH'!$9:$1048576,MATCH($A127,'01_FASTPPH'!$A$9:$A$1048576,0),MATCH(T$9,'01_FASTPPH'!$8:$8,0))</f>
        <v>#N/A</v>
      </c>
      <c r="U127" s="23" t="e">
        <f>INDEX('01_FASTPPH'!$9:$1048576,MATCH($A127,'01_FASTPPH'!$A$9:$A$1048576,0),MATCH(U$9,'01_FASTPPH'!$8:$8,0))</f>
        <v>#N/A</v>
      </c>
      <c r="V127" s="20" t="e">
        <f>INDEX('01_FASTPPH'!$9:$1048576,MATCH($A127,'01_FASTPPH'!$A$9:$A$1048576,0),MATCH(V$9,'01_FASTPPH'!$8:$8,0))</f>
        <v>#N/A</v>
      </c>
      <c r="W127" s="24" t="e">
        <f>INDEX('01_FASTPPH'!$9:$1048576,MATCH($A127,'01_FASTPPH'!$A$9:$A$1048576,0),MATCH(W$9,'01_FASTPPH'!$8:$8,0))</f>
        <v>#N/A</v>
      </c>
      <c r="X127" s="20" t="e">
        <f>INDEX('01_FASTPPH'!$9:$1048576,MATCH($A127,'01_FASTPPH'!$A$9:$A$1048576,0),MATCH(X$9,'01_FASTPPH'!$8:$8,0))</f>
        <v>#N/A</v>
      </c>
      <c r="Y127" s="20" t="e">
        <f>INDEX('01_FASTPPH'!$9:$1048576,MATCH($A127,'01_FASTPPH'!$A$9:$A$1048576,0),MATCH(Y$9,'01_FASTPPH'!$8:$8,0))</f>
        <v>#N/A</v>
      </c>
      <c r="AA127" s="32" t="e">
        <f>INDEX('02_PROPERTIES'!$C$10:$I$1048576,MATCH('03_CALCULATIONS'!$D127,'02_PROPERTIES'!$C$10:$C$1048576,0),MATCH('03_CALCULATIONS'!AA$9,'02_PROPERTIES'!$C$10:$I$10,0))</f>
        <v>#N/A</v>
      </c>
      <c r="AB127" s="20" t="e">
        <f>INDEX('02_PROPERTIES'!$C$10:$I$1048576,MATCH('03_CALCULATIONS'!$D127,'02_PROPERTIES'!$C$10:$C$1048576,0),MATCH('03_CALCULATIONS'!AB$9,'02_PROPERTIES'!$C$10:$I$10,0))</f>
        <v>#N/A</v>
      </c>
      <c r="AC127" s="20" t="e">
        <f>INDEX('02_PROPERTIES'!$C$10:$I$1048576,MATCH('03_CALCULATIONS'!$D127,'02_PROPERTIES'!$C$10:$C$1048576,0),MATCH('03_CALCULATIONS'!AC$9,'02_PROPERTIES'!$C$10:$I$10,0))</f>
        <v>#N/A</v>
      </c>
      <c r="AD127" s="20" t="e">
        <f>INDEX('02_PROPERTIES'!$C$10:$I$1048576,MATCH('03_CALCULATIONS'!$D127,'02_PROPERTIES'!$C$10:$C$1048576,0),MATCH('03_CALCULATIONS'!AD$9,'02_PROPERTIES'!$C$10:$I$10,0))</f>
        <v>#N/A</v>
      </c>
      <c r="AE127" s="32" t="e">
        <f>INDEX('02_PROPERTIES'!$C$10:$I$1048576,MATCH('03_CALCULATIONS'!$D127,'02_PROPERTIES'!$C$10:$C$1048576,0),MATCH('03_CALCULATIONS'!AE$9,'02_PROPERTIES'!$C$10:$I$10,0))</f>
        <v>#N/A</v>
      </c>
      <c r="AF127" s="32" t="e">
        <f>INDEX('02_PROPERTIES'!$C$10:$I$1048576,MATCH('03_CALCULATIONS'!$D127,'02_PROPERTIES'!$C$10:$C$1048576,0),MATCH('03_CALCULATIONS'!AF$9,'02_PROPERTIES'!$C$10:$I$10,0))</f>
        <v>#N/A</v>
      </c>
      <c r="AH127" s="20" t="e">
        <f t="shared" si="11"/>
        <v>#N/A</v>
      </c>
      <c r="AI127" s="20" t="e">
        <f t="shared" si="12"/>
        <v>#N/A</v>
      </c>
      <c r="AJ127" s="20" t="e">
        <f t="shared" si="13"/>
        <v>#N/A</v>
      </c>
      <c r="AL127" s="20" t="e">
        <f t="shared" si="14"/>
        <v>#N/A</v>
      </c>
      <c r="AM127" s="20" t="e">
        <f t="shared" si="15"/>
        <v>#N/A</v>
      </c>
      <c r="AN127" s="20" t="e">
        <f t="shared" si="16"/>
        <v>#N/A</v>
      </c>
      <c r="AO127" s="20" t="e">
        <f t="shared" si="17"/>
        <v>#N/A</v>
      </c>
      <c r="AP127" s="20" t="e">
        <f t="shared" si="18"/>
        <v>#N/A</v>
      </c>
      <c r="AR127" s="20" t="e">
        <f t="shared" si="19"/>
        <v>#N/A</v>
      </c>
      <c r="AS127" s="20" t="e">
        <f t="shared" si="20"/>
        <v>#N/A</v>
      </c>
      <c r="AT127" s="20" t="e">
        <f t="shared" si="21"/>
        <v>#N/A</v>
      </c>
    </row>
    <row r="128" spans="1:46" x14ac:dyDescent="0.3">
      <c r="A128" s="18"/>
      <c r="B128" s="20" t="e">
        <f>INDEX('01_FASTPPH'!$9:$1048576,MATCH($A128,'01_FASTPPH'!$A$9:$A$1048576,0),MATCH(B$9,'01_FASTPPH'!$8:$8,0))</f>
        <v>#N/A</v>
      </c>
      <c r="C128" s="20" t="e">
        <f>INDEX('01_FASTPPH'!$9:$1048576,MATCH($A128,'01_FASTPPH'!$A$9:$A$1048576,0),MATCH(C$9,'01_FASTPPH'!$8:$8,0))</f>
        <v>#N/A</v>
      </c>
      <c r="D128" s="20" t="e">
        <f>INDEX('01_FASTPPH'!$9:$1048576,MATCH($A128,'01_FASTPPH'!$A$9:$A$1048576,0),MATCH(D$9,'01_FASTPPH'!$8:$8,0))</f>
        <v>#N/A</v>
      </c>
      <c r="E128" s="20" t="e">
        <f>INDEX('01_FASTPPH'!$9:$1048576,MATCH($A128,'01_FASTPPH'!$A$9:$A$1048576,0),MATCH(E$9,'01_FASTPPH'!$8:$8,0))</f>
        <v>#N/A</v>
      </c>
      <c r="F128" s="20" t="e">
        <f>INDEX('01_FASTPPH'!$9:$1048576,MATCH($A128,'01_FASTPPH'!$A$9:$A$1048576,0),MATCH(F$9,'01_FASTPPH'!$8:$8,0))</f>
        <v>#N/A</v>
      </c>
      <c r="G128" s="20" t="e">
        <f>INDEX('01_FASTPPH'!$9:$1048576,MATCH($A128,'01_FASTPPH'!$A$9:$A$1048576,0),MATCH(G$9,'01_FASTPPH'!$8:$8,0))</f>
        <v>#N/A</v>
      </c>
      <c r="H128" s="20" t="e">
        <f>INDEX('01_FASTPPH'!$9:$1048576,MATCH($A128,'01_FASTPPH'!$A$9:$A$1048576,0),MATCH(H$9,'01_FASTPPH'!$8:$8,0))</f>
        <v>#N/A</v>
      </c>
      <c r="I128" s="20" t="e">
        <f>INDEX('01_FASTPPH'!$9:$1048576,MATCH($A128,'01_FASTPPH'!$A$9:$A$1048576,0),MATCH(I$9,'01_FASTPPH'!$8:$8,0))</f>
        <v>#N/A</v>
      </c>
      <c r="J128" s="20" t="e">
        <f>INDEX('01_FASTPPH'!$9:$1048576,MATCH($A128,'01_FASTPPH'!$A$9:$A$1048576,0),MATCH(J$9,'01_FASTPPH'!$8:$8,0))</f>
        <v>#N/A</v>
      </c>
      <c r="K128" s="23" t="e">
        <f>INDEX('01_FASTPPH'!$9:$1048576,MATCH($A128,'01_FASTPPH'!$A$9:$A$1048576,0),MATCH(K$9,'01_FASTPPH'!$8:$8,0))</f>
        <v>#N/A</v>
      </c>
      <c r="L128" s="20" t="e">
        <f>INDEX('01_FASTPPH'!$9:$1048576,MATCH($A128,'01_FASTPPH'!$A$9:$A$1048576,0),MATCH(L$9,'01_FASTPPH'!$8:$8,0))</f>
        <v>#N/A</v>
      </c>
      <c r="M128" s="20" t="e">
        <f>INDEX('01_FASTPPH'!$9:$1048576,MATCH($A128,'01_FASTPPH'!$A$9:$A$1048576,0),MATCH(M$9,'01_FASTPPH'!$8:$8,0))</f>
        <v>#N/A</v>
      </c>
      <c r="N128" s="24" t="e">
        <f>INDEX('01_FASTPPH'!$9:$1048576,MATCH($A128,'01_FASTPPH'!$A$9:$A$1048576,0),MATCH(N$9,'01_FASTPPH'!$8:$8,0))</f>
        <v>#N/A</v>
      </c>
      <c r="O128" s="23" t="e">
        <f>INDEX('01_FASTPPH'!$9:$1048576,MATCH($A128,'01_FASTPPH'!$A$9:$A$1048576,0),MATCH(O$9,'01_FASTPPH'!$8:$8,0))</f>
        <v>#N/A</v>
      </c>
      <c r="P128" s="20" t="e">
        <f>INDEX('01_FASTPPH'!$9:$1048576,MATCH($A128,'01_FASTPPH'!$A$9:$A$1048576,0),MATCH(P$9,'01_FASTPPH'!$8:$8,0))</f>
        <v>#N/A</v>
      </c>
      <c r="Q128" s="20" t="e">
        <f>INDEX('01_FASTPPH'!$9:$1048576,MATCH($A128,'01_FASTPPH'!$A$9:$A$1048576,0),MATCH(Q$9,'01_FASTPPH'!$8:$8,0))</f>
        <v>#N/A</v>
      </c>
      <c r="R128" s="20" t="e">
        <f>INDEX('01_FASTPPH'!$9:$1048576,MATCH($A128,'01_FASTPPH'!$A$9:$A$1048576,0),MATCH(R$9,'01_FASTPPH'!$8:$8,0))</f>
        <v>#N/A</v>
      </c>
      <c r="S128" s="20" t="e">
        <f>INDEX('01_FASTPPH'!$9:$1048576,MATCH($A128,'01_FASTPPH'!$A$9:$A$1048576,0),MATCH(S$9,'01_FASTPPH'!$8:$8,0))</f>
        <v>#N/A</v>
      </c>
      <c r="T128" s="24" t="e">
        <f>INDEX('01_FASTPPH'!$9:$1048576,MATCH($A128,'01_FASTPPH'!$A$9:$A$1048576,0),MATCH(T$9,'01_FASTPPH'!$8:$8,0))</f>
        <v>#N/A</v>
      </c>
      <c r="U128" s="23" t="e">
        <f>INDEX('01_FASTPPH'!$9:$1048576,MATCH($A128,'01_FASTPPH'!$A$9:$A$1048576,0),MATCH(U$9,'01_FASTPPH'!$8:$8,0))</f>
        <v>#N/A</v>
      </c>
      <c r="V128" s="20" t="e">
        <f>INDEX('01_FASTPPH'!$9:$1048576,MATCH($A128,'01_FASTPPH'!$A$9:$A$1048576,0),MATCH(V$9,'01_FASTPPH'!$8:$8,0))</f>
        <v>#N/A</v>
      </c>
      <c r="W128" s="24" t="e">
        <f>INDEX('01_FASTPPH'!$9:$1048576,MATCH($A128,'01_FASTPPH'!$A$9:$A$1048576,0),MATCH(W$9,'01_FASTPPH'!$8:$8,0))</f>
        <v>#N/A</v>
      </c>
      <c r="X128" s="20" t="e">
        <f>INDEX('01_FASTPPH'!$9:$1048576,MATCH($A128,'01_FASTPPH'!$A$9:$A$1048576,0),MATCH(X$9,'01_FASTPPH'!$8:$8,0))</f>
        <v>#N/A</v>
      </c>
      <c r="Y128" s="20" t="e">
        <f>INDEX('01_FASTPPH'!$9:$1048576,MATCH($A128,'01_FASTPPH'!$A$9:$A$1048576,0),MATCH(Y$9,'01_FASTPPH'!$8:$8,0))</f>
        <v>#N/A</v>
      </c>
      <c r="AA128" s="32" t="e">
        <f>INDEX('02_PROPERTIES'!$C$10:$I$1048576,MATCH('03_CALCULATIONS'!$D128,'02_PROPERTIES'!$C$10:$C$1048576,0),MATCH('03_CALCULATIONS'!AA$9,'02_PROPERTIES'!$C$10:$I$10,0))</f>
        <v>#N/A</v>
      </c>
      <c r="AB128" s="20" t="e">
        <f>INDEX('02_PROPERTIES'!$C$10:$I$1048576,MATCH('03_CALCULATIONS'!$D128,'02_PROPERTIES'!$C$10:$C$1048576,0),MATCH('03_CALCULATIONS'!AB$9,'02_PROPERTIES'!$C$10:$I$10,0))</f>
        <v>#N/A</v>
      </c>
      <c r="AC128" s="20" t="e">
        <f>INDEX('02_PROPERTIES'!$C$10:$I$1048576,MATCH('03_CALCULATIONS'!$D128,'02_PROPERTIES'!$C$10:$C$1048576,0),MATCH('03_CALCULATIONS'!AC$9,'02_PROPERTIES'!$C$10:$I$10,0))</f>
        <v>#N/A</v>
      </c>
      <c r="AD128" s="20" t="e">
        <f>INDEX('02_PROPERTIES'!$C$10:$I$1048576,MATCH('03_CALCULATIONS'!$D128,'02_PROPERTIES'!$C$10:$C$1048576,0),MATCH('03_CALCULATIONS'!AD$9,'02_PROPERTIES'!$C$10:$I$10,0))</f>
        <v>#N/A</v>
      </c>
      <c r="AE128" s="32" t="e">
        <f>INDEX('02_PROPERTIES'!$C$10:$I$1048576,MATCH('03_CALCULATIONS'!$D128,'02_PROPERTIES'!$C$10:$C$1048576,0),MATCH('03_CALCULATIONS'!AE$9,'02_PROPERTIES'!$C$10:$I$10,0))</f>
        <v>#N/A</v>
      </c>
      <c r="AF128" s="32" t="e">
        <f>INDEX('02_PROPERTIES'!$C$10:$I$1048576,MATCH('03_CALCULATIONS'!$D128,'02_PROPERTIES'!$C$10:$C$1048576,0),MATCH('03_CALCULATIONS'!AF$9,'02_PROPERTIES'!$C$10:$I$10,0))</f>
        <v>#N/A</v>
      </c>
      <c r="AH128" s="20" t="e">
        <f t="shared" si="11"/>
        <v>#N/A</v>
      </c>
      <c r="AI128" s="20" t="e">
        <f t="shared" si="12"/>
        <v>#N/A</v>
      </c>
      <c r="AJ128" s="20" t="e">
        <f t="shared" si="13"/>
        <v>#N/A</v>
      </c>
      <c r="AL128" s="20" t="e">
        <f t="shared" si="14"/>
        <v>#N/A</v>
      </c>
      <c r="AM128" s="20" t="e">
        <f t="shared" si="15"/>
        <v>#N/A</v>
      </c>
      <c r="AN128" s="20" t="e">
        <f t="shared" si="16"/>
        <v>#N/A</v>
      </c>
      <c r="AO128" s="20" t="e">
        <f t="shared" si="17"/>
        <v>#N/A</v>
      </c>
      <c r="AP128" s="20" t="e">
        <f t="shared" si="18"/>
        <v>#N/A</v>
      </c>
      <c r="AR128" s="20" t="e">
        <f t="shared" si="19"/>
        <v>#N/A</v>
      </c>
      <c r="AS128" s="20" t="e">
        <f t="shared" si="20"/>
        <v>#N/A</v>
      </c>
      <c r="AT128" s="20" t="e">
        <f t="shared" si="21"/>
        <v>#N/A</v>
      </c>
    </row>
    <row r="129" spans="1:46" x14ac:dyDescent="0.3">
      <c r="A129" s="18"/>
      <c r="B129" s="20" t="e">
        <f>INDEX('01_FASTPPH'!$9:$1048576,MATCH($A129,'01_FASTPPH'!$A$9:$A$1048576,0),MATCH(B$9,'01_FASTPPH'!$8:$8,0))</f>
        <v>#N/A</v>
      </c>
      <c r="C129" s="20" t="e">
        <f>INDEX('01_FASTPPH'!$9:$1048576,MATCH($A129,'01_FASTPPH'!$A$9:$A$1048576,0),MATCH(C$9,'01_FASTPPH'!$8:$8,0))</f>
        <v>#N/A</v>
      </c>
      <c r="D129" s="20" t="e">
        <f>INDEX('01_FASTPPH'!$9:$1048576,MATCH($A129,'01_FASTPPH'!$A$9:$A$1048576,0),MATCH(D$9,'01_FASTPPH'!$8:$8,0))</f>
        <v>#N/A</v>
      </c>
      <c r="E129" s="20" t="e">
        <f>INDEX('01_FASTPPH'!$9:$1048576,MATCH($A129,'01_FASTPPH'!$A$9:$A$1048576,0),MATCH(E$9,'01_FASTPPH'!$8:$8,0))</f>
        <v>#N/A</v>
      </c>
      <c r="F129" s="20" t="e">
        <f>INDEX('01_FASTPPH'!$9:$1048576,MATCH($A129,'01_FASTPPH'!$A$9:$A$1048576,0),MATCH(F$9,'01_FASTPPH'!$8:$8,0))</f>
        <v>#N/A</v>
      </c>
      <c r="G129" s="20" t="e">
        <f>INDEX('01_FASTPPH'!$9:$1048576,MATCH($A129,'01_FASTPPH'!$A$9:$A$1048576,0),MATCH(G$9,'01_FASTPPH'!$8:$8,0))</f>
        <v>#N/A</v>
      </c>
      <c r="H129" s="20" t="e">
        <f>INDEX('01_FASTPPH'!$9:$1048576,MATCH($A129,'01_FASTPPH'!$A$9:$A$1048576,0),MATCH(H$9,'01_FASTPPH'!$8:$8,0))</f>
        <v>#N/A</v>
      </c>
      <c r="I129" s="20" t="e">
        <f>INDEX('01_FASTPPH'!$9:$1048576,MATCH($A129,'01_FASTPPH'!$A$9:$A$1048576,0),MATCH(I$9,'01_FASTPPH'!$8:$8,0))</f>
        <v>#N/A</v>
      </c>
      <c r="J129" s="20" t="e">
        <f>INDEX('01_FASTPPH'!$9:$1048576,MATCH($A129,'01_FASTPPH'!$A$9:$A$1048576,0),MATCH(J$9,'01_FASTPPH'!$8:$8,0))</f>
        <v>#N/A</v>
      </c>
      <c r="K129" s="23" t="e">
        <f>INDEX('01_FASTPPH'!$9:$1048576,MATCH($A129,'01_FASTPPH'!$A$9:$A$1048576,0),MATCH(K$9,'01_FASTPPH'!$8:$8,0))</f>
        <v>#N/A</v>
      </c>
      <c r="L129" s="20" t="e">
        <f>INDEX('01_FASTPPH'!$9:$1048576,MATCH($A129,'01_FASTPPH'!$A$9:$A$1048576,0),MATCH(L$9,'01_FASTPPH'!$8:$8,0))</f>
        <v>#N/A</v>
      </c>
      <c r="M129" s="20" t="e">
        <f>INDEX('01_FASTPPH'!$9:$1048576,MATCH($A129,'01_FASTPPH'!$A$9:$A$1048576,0),MATCH(M$9,'01_FASTPPH'!$8:$8,0))</f>
        <v>#N/A</v>
      </c>
      <c r="N129" s="24" t="e">
        <f>INDEX('01_FASTPPH'!$9:$1048576,MATCH($A129,'01_FASTPPH'!$A$9:$A$1048576,0),MATCH(N$9,'01_FASTPPH'!$8:$8,0))</f>
        <v>#N/A</v>
      </c>
      <c r="O129" s="23" t="e">
        <f>INDEX('01_FASTPPH'!$9:$1048576,MATCH($A129,'01_FASTPPH'!$A$9:$A$1048576,0),MATCH(O$9,'01_FASTPPH'!$8:$8,0))</f>
        <v>#N/A</v>
      </c>
      <c r="P129" s="20" t="e">
        <f>INDEX('01_FASTPPH'!$9:$1048576,MATCH($A129,'01_FASTPPH'!$A$9:$A$1048576,0),MATCH(P$9,'01_FASTPPH'!$8:$8,0))</f>
        <v>#N/A</v>
      </c>
      <c r="Q129" s="20" t="e">
        <f>INDEX('01_FASTPPH'!$9:$1048576,MATCH($A129,'01_FASTPPH'!$A$9:$A$1048576,0),MATCH(Q$9,'01_FASTPPH'!$8:$8,0))</f>
        <v>#N/A</v>
      </c>
      <c r="R129" s="20" t="e">
        <f>INDEX('01_FASTPPH'!$9:$1048576,MATCH($A129,'01_FASTPPH'!$A$9:$A$1048576,0),MATCH(R$9,'01_FASTPPH'!$8:$8,0))</f>
        <v>#N/A</v>
      </c>
      <c r="S129" s="20" t="e">
        <f>INDEX('01_FASTPPH'!$9:$1048576,MATCH($A129,'01_FASTPPH'!$A$9:$A$1048576,0),MATCH(S$9,'01_FASTPPH'!$8:$8,0))</f>
        <v>#N/A</v>
      </c>
      <c r="T129" s="24" t="e">
        <f>INDEX('01_FASTPPH'!$9:$1048576,MATCH($A129,'01_FASTPPH'!$A$9:$A$1048576,0),MATCH(T$9,'01_FASTPPH'!$8:$8,0))</f>
        <v>#N/A</v>
      </c>
      <c r="U129" s="23" t="e">
        <f>INDEX('01_FASTPPH'!$9:$1048576,MATCH($A129,'01_FASTPPH'!$A$9:$A$1048576,0),MATCH(U$9,'01_FASTPPH'!$8:$8,0))</f>
        <v>#N/A</v>
      </c>
      <c r="V129" s="20" t="e">
        <f>INDEX('01_FASTPPH'!$9:$1048576,MATCH($A129,'01_FASTPPH'!$A$9:$A$1048576,0),MATCH(V$9,'01_FASTPPH'!$8:$8,0))</f>
        <v>#N/A</v>
      </c>
      <c r="W129" s="24" t="e">
        <f>INDEX('01_FASTPPH'!$9:$1048576,MATCH($A129,'01_FASTPPH'!$A$9:$A$1048576,0),MATCH(W$9,'01_FASTPPH'!$8:$8,0))</f>
        <v>#N/A</v>
      </c>
      <c r="X129" s="20" t="e">
        <f>INDEX('01_FASTPPH'!$9:$1048576,MATCH($A129,'01_FASTPPH'!$A$9:$A$1048576,0),MATCH(X$9,'01_FASTPPH'!$8:$8,0))</f>
        <v>#N/A</v>
      </c>
      <c r="Y129" s="20" t="e">
        <f>INDEX('01_FASTPPH'!$9:$1048576,MATCH($A129,'01_FASTPPH'!$A$9:$A$1048576,0),MATCH(Y$9,'01_FASTPPH'!$8:$8,0))</f>
        <v>#N/A</v>
      </c>
      <c r="AA129" s="32" t="e">
        <f>INDEX('02_PROPERTIES'!$C$10:$I$1048576,MATCH('03_CALCULATIONS'!$D129,'02_PROPERTIES'!$C$10:$C$1048576,0),MATCH('03_CALCULATIONS'!AA$9,'02_PROPERTIES'!$C$10:$I$10,0))</f>
        <v>#N/A</v>
      </c>
      <c r="AB129" s="20" t="e">
        <f>INDEX('02_PROPERTIES'!$C$10:$I$1048576,MATCH('03_CALCULATIONS'!$D129,'02_PROPERTIES'!$C$10:$C$1048576,0),MATCH('03_CALCULATIONS'!AB$9,'02_PROPERTIES'!$C$10:$I$10,0))</f>
        <v>#N/A</v>
      </c>
      <c r="AC129" s="20" t="e">
        <f>INDEX('02_PROPERTIES'!$C$10:$I$1048576,MATCH('03_CALCULATIONS'!$D129,'02_PROPERTIES'!$C$10:$C$1048576,0),MATCH('03_CALCULATIONS'!AC$9,'02_PROPERTIES'!$C$10:$I$10,0))</f>
        <v>#N/A</v>
      </c>
      <c r="AD129" s="20" t="e">
        <f>INDEX('02_PROPERTIES'!$C$10:$I$1048576,MATCH('03_CALCULATIONS'!$D129,'02_PROPERTIES'!$C$10:$C$1048576,0),MATCH('03_CALCULATIONS'!AD$9,'02_PROPERTIES'!$C$10:$I$10,0))</f>
        <v>#N/A</v>
      </c>
      <c r="AE129" s="32" t="e">
        <f>INDEX('02_PROPERTIES'!$C$10:$I$1048576,MATCH('03_CALCULATIONS'!$D129,'02_PROPERTIES'!$C$10:$C$1048576,0),MATCH('03_CALCULATIONS'!AE$9,'02_PROPERTIES'!$C$10:$I$10,0))</f>
        <v>#N/A</v>
      </c>
      <c r="AF129" s="32" t="e">
        <f>INDEX('02_PROPERTIES'!$C$10:$I$1048576,MATCH('03_CALCULATIONS'!$D129,'02_PROPERTIES'!$C$10:$C$1048576,0),MATCH('03_CALCULATIONS'!AF$9,'02_PROPERTIES'!$C$10:$I$10,0))</f>
        <v>#N/A</v>
      </c>
      <c r="AH129" s="20" t="e">
        <f t="shared" si="11"/>
        <v>#N/A</v>
      </c>
      <c r="AI129" s="20" t="e">
        <f t="shared" si="12"/>
        <v>#N/A</v>
      </c>
      <c r="AJ129" s="20" t="e">
        <f t="shared" si="13"/>
        <v>#N/A</v>
      </c>
      <c r="AL129" s="20" t="e">
        <f t="shared" si="14"/>
        <v>#N/A</v>
      </c>
      <c r="AM129" s="20" t="e">
        <f t="shared" si="15"/>
        <v>#N/A</v>
      </c>
      <c r="AN129" s="20" t="e">
        <f t="shared" si="16"/>
        <v>#N/A</v>
      </c>
      <c r="AO129" s="20" t="e">
        <f t="shared" si="17"/>
        <v>#N/A</v>
      </c>
      <c r="AP129" s="20" t="e">
        <f t="shared" si="18"/>
        <v>#N/A</v>
      </c>
      <c r="AR129" s="20" t="e">
        <f t="shared" si="19"/>
        <v>#N/A</v>
      </c>
      <c r="AS129" s="20" t="e">
        <f t="shared" si="20"/>
        <v>#N/A</v>
      </c>
      <c r="AT129" s="20" t="e">
        <f t="shared" si="21"/>
        <v>#N/A</v>
      </c>
    </row>
    <row r="130" spans="1:46" x14ac:dyDescent="0.3">
      <c r="A130" s="18"/>
      <c r="B130" s="20" t="e">
        <f>INDEX('01_FASTPPH'!$9:$1048576,MATCH($A130,'01_FASTPPH'!$A$9:$A$1048576,0),MATCH(B$9,'01_FASTPPH'!$8:$8,0))</f>
        <v>#N/A</v>
      </c>
      <c r="C130" s="20" t="e">
        <f>INDEX('01_FASTPPH'!$9:$1048576,MATCH($A130,'01_FASTPPH'!$A$9:$A$1048576,0),MATCH(C$9,'01_FASTPPH'!$8:$8,0))</f>
        <v>#N/A</v>
      </c>
      <c r="D130" s="20" t="e">
        <f>INDEX('01_FASTPPH'!$9:$1048576,MATCH($A130,'01_FASTPPH'!$A$9:$A$1048576,0),MATCH(D$9,'01_FASTPPH'!$8:$8,0))</f>
        <v>#N/A</v>
      </c>
      <c r="E130" s="20" t="e">
        <f>INDEX('01_FASTPPH'!$9:$1048576,MATCH($A130,'01_FASTPPH'!$A$9:$A$1048576,0),MATCH(E$9,'01_FASTPPH'!$8:$8,0))</f>
        <v>#N/A</v>
      </c>
      <c r="F130" s="20" t="e">
        <f>INDEX('01_FASTPPH'!$9:$1048576,MATCH($A130,'01_FASTPPH'!$A$9:$A$1048576,0),MATCH(F$9,'01_FASTPPH'!$8:$8,0))</f>
        <v>#N/A</v>
      </c>
      <c r="G130" s="20" t="e">
        <f>INDEX('01_FASTPPH'!$9:$1048576,MATCH($A130,'01_FASTPPH'!$A$9:$A$1048576,0),MATCH(G$9,'01_FASTPPH'!$8:$8,0))</f>
        <v>#N/A</v>
      </c>
      <c r="H130" s="20" t="e">
        <f>INDEX('01_FASTPPH'!$9:$1048576,MATCH($A130,'01_FASTPPH'!$A$9:$A$1048576,0),MATCH(H$9,'01_FASTPPH'!$8:$8,0))</f>
        <v>#N/A</v>
      </c>
      <c r="I130" s="20" t="e">
        <f>INDEX('01_FASTPPH'!$9:$1048576,MATCH($A130,'01_FASTPPH'!$A$9:$A$1048576,0),MATCH(I$9,'01_FASTPPH'!$8:$8,0))</f>
        <v>#N/A</v>
      </c>
      <c r="J130" s="20" t="e">
        <f>INDEX('01_FASTPPH'!$9:$1048576,MATCH($A130,'01_FASTPPH'!$A$9:$A$1048576,0),MATCH(J$9,'01_FASTPPH'!$8:$8,0))</f>
        <v>#N/A</v>
      </c>
      <c r="K130" s="23" t="e">
        <f>INDEX('01_FASTPPH'!$9:$1048576,MATCH($A130,'01_FASTPPH'!$A$9:$A$1048576,0),MATCH(K$9,'01_FASTPPH'!$8:$8,0))</f>
        <v>#N/A</v>
      </c>
      <c r="L130" s="20" t="e">
        <f>INDEX('01_FASTPPH'!$9:$1048576,MATCH($A130,'01_FASTPPH'!$A$9:$A$1048576,0),MATCH(L$9,'01_FASTPPH'!$8:$8,0))</f>
        <v>#N/A</v>
      </c>
      <c r="M130" s="20" t="e">
        <f>INDEX('01_FASTPPH'!$9:$1048576,MATCH($A130,'01_FASTPPH'!$A$9:$A$1048576,0),MATCH(M$9,'01_FASTPPH'!$8:$8,0))</f>
        <v>#N/A</v>
      </c>
      <c r="N130" s="24" t="e">
        <f>INDEX('01_FASTPPH'!$9:$1048576,MATCH($A130,'01_FASTPPH'!$A$9:$A$1048576,0),MATCH(N$9,'01_FASTPPH'!$8:$8,0))</f>
        <v>#N/A</v>
      </c>
      <c r="O130" s="23" t="e">
        <f>INDEX('01_FASTPPH'!$9:$1048576,MATCH($A130,'01_FASTPPH'!$A$9:$A$1048576,0),MATCH(O$9,'01_FASTPPH'!$8:$8,0))</f>
        <v>#N/A</v>
      </c>
      <c r="P130" s="20" t="e">
        <f>INDEX('01_FASTPPH'!$9:$1048576,MATCH($A130,'01_FASTPPH'!$A$9:$A$1048576,0),MATCH(P$9,'01_FASTPPH'!$8:$8,0))</f>
        <v>#N/A</v>
      </c>
      <c r="Q130" s="20" t="e">
        <f>INDEX('01_FASTPPH'!$9:$1048576,MATCH($A130,'01_FASTPPH'!$A$9:$A$1048576,0),MATCH(Q$9,'01_FASTPPH'!$8:$8,0))</f>
        <v>#N/A</v>
      </c>
      <c r="R130" s="20" t="e">
        <f>INDEX('01_FASTPPH'!$9:$1048576,MATCH($A130,'01_FASTPPH'!$A$9:$A$1048576,0),MATCH(R$9,'01_FASTPPH'!$8:$8,0))</f>
        <v>#N/A</v>
      </c>
      <c r="S130" s="20" t="e">
        <f>INDEX('01_FASTPPH'!$9:$1048576,MATCH($A130,'01_FASTPPH'!$A$9:$A$1048576,0),MATCH(S$9,'01_FASTPPH'!$8:$8,0))</f>
        <v>#N/A</v>
      </c>
      <c r="T130" s="24" t="e">
        <f>INDEX('01_FASTPPH'!$9:$1048576,MATCH($A130,'01_FASTPPH'!$A$9:$A$1048576,0),MATCH(T$9,'01_FASTPPH'!$8:$8,0))</f>
        <v>#N/A</v>
      </c>
      <c r="U130" s="23" t="e">
        <f>INDEX('01_FASTPPH'!$9:$1048576,MATCH($A130,'01_FASTPPH'!$A$9:$A$1048576,0),MATCH(U$9,'01_FASTPPH'!$8:$8,0))</f>
        <v>#N/A</v>
      </c>
      <c r="V130" s="20" t="e">
        <f>INDEX('01_FASTPPH'!$9:$1048576,MATCH($A130,'01_FASTPPH'!$A$9:$A$1048576,0),MATCH(V$9,'01_FASTPPH'!$8:$8,0))</f>
        <v>#N/A</v>
      </c>
      <c r="W130" s="24" t="e">
        <f>INDEX('01_FASTPPH'!$9:$1048576,MATCH($A130,'01_FASTPPH'!$A$9:$A$1048576,0),MATCH(W$9,'01_FASTPPH'!$8:$8,0))</f>
        <v>#N/A</v>
      </c>
      <c r="X130" s="20" t="e">
        <f>INDEX('01_FASTPPH'!$9:$1048576,MATCH($A130,'01_FASTPPH'!$A$9:$A$1048576,0),MATCH(X$9,'01_FASTPPH'!$8:$8,0))</f>
        <v>#N/A</v>
      </c>
      <c r="Y130" s="20" t="e">
        <f>INDEX('01_FASTPPH'!$9:$1048576,MATCH($A130,'01_FASTPPH'!$A$9:$A$1048576,0),MATCH(Y$9,'01_FASTPPH'!$8:$8,0))</f>
        <v>#N/A</v>
      </c>
      <c r="AA130" s="32" t="e">
        <f>INDEX('02_PROPERTIES'!$C$10:$I$1048576,MATCH('03_CALCULATIONS'!$D130,'02_PROPERTIES'!$C$10:$C$1048576,0),MATCH('03_CALCULATIONS'!AA$9,'02_PROPERTIES'!$C$10:$I$10,0))</f>
        <v>#N/A</v>
      </c>
      <c r="AB130" s="20" t="e">
        <f>INDEX('02_PROPERTIES'!$C$10:$I$1048576,MATCH('03_CALCULATIONS'!$D130,'02_PROPERTIES'!$C$10:$C$1048576,0),MATCH('03_CALCULATIONS'!AB$9,'02_PROPERTIES'!$C$10:$I$10,0))</f>
        <v>#N/A</v>
      </c>
      <c r="AC130" s="20" t="e">
        <f>INDEX('02_PROPERTIES'!$C$10:$I$1048576,MATCH('03_CALCULATIONS'!$D130,'02_PROPERTIES'!$C$10:$C$1048576,0),MATCH('03_CALCULATIONS'!AC$9,'02_PROPERTIES'!$C$10:$I$10,0))</f>
        <v>#N/A</v>
      </c>
      <c r="AD130" s="20" t="e">
        <f>INDEX('02_PROPERTIES'!$C$10:$I$1048576,MATCH('03_CALCULATIONS'!$D130,'02_PROPERTIES'!$C$10:$C$1048576,0),MATCH('03_CALCULATIONS'!AD$9,'02_PROPERTIES'!$C$10:$I$10,0))</f>
        <v>#N/A</v>
      </c>
      <c r="AE130" s="32" t="e">
        <f>INDEX('02_PROPERTIES'!$C$10:$I$1048576,MATCH('03_CALCULATIONS'!$D130,'02_PROPERTIES'!$C$10:$C$1048576,0),MATCH('03_CALCULATIONS'!AE$9,'02_PROPERTIES'!$C$10:$I$10,0))</f>
        <v>#N/A</v>
      </c>
      <c r="AF130" s="32" t="e">
        <f>INDEX('02_PROPERTIES'!$C$10:$I$1048576,MATCH('03_CALCULATIONS'!$D130,'02_PROPERTIES'!$C$10:$C$1048576,0),MATCH('03_CALCULATIONS'!AF$9,'02_PROPERTIES'!$C$10:$I$10,0))</f>
        <v>#N/A</v>
      </c>
      <c r="AH130" s="20" t="e">
        <f t="shared" si="11"/>
        <v>#N/A</v>
      </c>
      <c r="AI130" s="20" t="e">
        <f t="shared" si="12"/>
        <v>#N/A</v>
      </c>
      <c r="AJ130" s="20" t="e">
        <f t="shared" si="13"/>
        <v>#N/A</v>
      </c>
      <c r="AL130" s="20" t="e">
        <f t="shared" si="14"/>
        <v>#N/A</v>
      </c>
      <c r="AM130" s="20" t="e">
        <f t="shared" si="15"/>
        <v>#N/A</v>
      </c>
      <c r="AN130" s="20" t="e">
        <f t="shared" si="16"/>
        <v>#N/A</v>
      </c>
      <c r="AO130" s="20" t="e">
        <f t="shared" si="17"/>
        <v>#N/A</v>
      </c>
      <c r="AP130" s="20" t="e">
        <f t="shared" si="18"/>
        <v>#N/A</v>
      </c>
      <c r="AR130" s="20" t="e">
        <f t="shared" si="19"/>
        <v>#N/A</v>
      </c>
      <c r="AS130" s="20" t="e">
        <f t="shared" si="20"/>
        <v>#N/A</v>
      </c>
      <c r="AT130" s="20" t="e">
        <f t="shared" si="21"/>
        <v>#N/A</v>
      </c>
    </row>
    <row r="131" spans="1:46" x14ac:dyDescent="0.3">
      <c r="A131" s="18"/>
      <c r="B131" s="20" t="e">
        <f>INDEX('01_FASTPPH'!$9:$1048576,MATCH($A131,'01_FASTPPH'!$A$9:$A$1048576,0),MATCH(B$9,'01_FASTPPH'!$8:$8,0))</f>
        <v>#N/A</v>
      </c>
      <c r="C131" s="20" t="e">
        <f>INDEX('01_FASTPPH'!$9:$1048576,MATCH($A131,'01_FASTPPH'!$A$9:$A$1048576,0),MATCH(C$9,'01_FASTPPH'!$8:$8,0))</f>
        <v>#N/A</v>
      </c>
      <c r="D131" s="20" t="e">
        <f>INDEX('01_FASTPPH'!$9:$1048576,MATCH($A131,'01_FASTPPH'!$A$9:$A$1048576,0),MATCH(D$9,'01_FASTPPH'!$8:$8,0))</f>
        <v>#N/A</v>
      </c>
      <c r="E131" s="20" t="e">
        <f>INDEX('01_FASTPPH'!$9:$1048576,MATCH($A131,'01_FASTPPH'!$A$9:$A$1048576,0),MATCH(E$9,'01_FASTPPH'!$8:$8,0))</f>
        <v>#N/A</v>
      </c>
      <c r="F131" s="20" t="e">
        <f>INDEX('01_FASTPPH'!$9:$1048576,MATCH($A131,'01_FASTPPH'!$A$9:$A$1048576,0),MATCH(F$9,'01_FASTPPH'!$8:$8,0))</f>
        <v>#N/A</v>
      </c>
      <c r="G131" s="20" t="e">
        <f>INDEX('01_FASTPPH'!$9:$1048576,MATCH($A131,'01_FASTPPH'!$A$9:$A$1048576,0),MATCH(G$9,'01_FASTPPH'!$8:$8,0))</f>
        <v>#N/A</v>
      </c>
      <c r="H131" s="20" t="e">
        <f>INDEX('01_FASTPPH'!$9:$1048576,MATCH($A131,'01_FASTPPH'!$A$9:$A$1048576,0),MATCH(H$9,'01_FASTPPH'!$8:$8,0))</f>
        <v>#N/A</v>
      </c>
      <c r="I131" s="20" t="e">
        <f>INDEX('01_FASTPPH'!$9:$1048576,MATCH($A131,'01_FASTPPH'!$A$9:$A$1048576,0),MATCH(I$9,'01_FASTPPH'!$8:$8,0))</f>
        <v>#N/A</v>
      </c>
      <c r="J131" s="20" t="e">
        <f>INDEX('01_FASTPPH'!$9:$1048576,MATCH($A131,'01_FASTPPH'!$A$9:$A$1048576,0),MATCH(J$9,'01_FASTPPH'!$8:$8,0))</f>
        <v>#N/A</v>
      </c>
      <c r="K131" s="23" t="e">
        <f>INDEX('01_FASTPPH'!$9:$1048576,MATCH($A131,'01_FASTPPH'!$A$9:$A$1048576,0),MATCH(K$9,'01_FASTPPH'!$8:$8,0))</f>
        <v>#N/A</v>
      </c>
      <c r="L131" s="20" t="e">
        <f>INDEX('01_FASTPPH'!$9:$1048576,MATCH($A131,'01_FASTPPH'!$A$9:$A$1048576,0),MATCH(L$9,'01_FASTPPH'!$8:$8,0))</f>
        <v>#N/A</v>
      </c>
      <c r="M131" s="20" t="e">
        <f>INDEX('01_FASTPPH'!$9:$1048576,MATCH($A131,'01_FASTPPH'!$A$9:$A$1048576,0),MATCH(M$9,'01_FASTPPH'!$8:$8,0))</f>
        <v>#N/A</v>
      </c>
      <c r="N131" s="24" t="e">
        <f>INDEX('01_FASTPPH'!$9:$1048576,MATCH($A131,'01_FASTPPH'!$A$9:$A$1048576,0),MATCH(N$9,'01_FASTPPH'!$8:$8,0))</f>
        <v>#N/A</v>
      </c>
      <c r="O131" s="23" t="e">
        <f>INDEX('01_FASTPPH'!$9:$1048576,MATCH($A131,'01_FASTPPH'!$A$9:$A$1048576,0),MATCH(O$9,'01_FASTPPH'!$8:$8,0))</f>
        <v>#N/A</v>
      </c>
      <c r="P131" s="20" t="e">
        <f>INDEX('01_FASTPPH'!$9:$1048576,MATCH($A131,'01_FASTPPH'!$A$9:$A$1048576,0),MATCH(P$9,'01_FASTPPH'!$8:$8,0))</f>
        <v>#N/A</v>
      </c>
      <c r="Q131" s="20" t="e">
        <f>INDEX('01_FASTPPH'!$9:$1048576,MATCH($A131,'01_FASTPPH'!$A$9:$A$1048576,0),MATCH(Q$9,'01_FASTPPH'!$8:$8,0))</f>
        <v>#N/A</v>
      </c>
      <c r="R131" s="20" t="e">
        <f>INDEX('01_FASTPPH'!$9:$1048576,MATCH($A131,'01_FASTPPH'!$A$9:$A$1048576,0),MATCH(R$9,'01_FASTPPH'!$8:$8,0))</f>
        <v>#N/A</v>
      </c>
      <c r="S131" s="20" t="e">
        <f>INDEX('01_FASTPPH'!$9:$1048576,MATCH($A131,'01_FASTPPH'!$A$9:$A$1048576,0),MATCH(S$9,'01_FASTPPH'!$8:$8,0))</f>
        <v>#N/A</v>
      </c>
      <c r="T131" s="24" t="e">
        <f>INDEX('01_FASTPPH'!$9:$1048576,MATCH($A131,'01_FASTPPH'!$A$9:$A$1048576,0),MATCH(T$9,'01_FASTPPH'!$8:$8,0))</f>
        <v>#N/A</v>
      </c>
      <c r="U131" s="23" t="e">
        <f>INDEX('01_FASTPPH'!$9:$1048576,MATCH($A131,'01_FASTPPH'!$A$9:$A$1048576,0),MATCH(U$9,'01_FASTPPH'!$8:$8,0))</f>
        <v>#N/A</v>
      </c>
      <c r="V131" s="20" t="e">
        <f>INDEX('01_FASTPPH'!$9:$1048576,MATCH($A131,'01_FASTPPH'!$A$9:$A$1048576,0),MATCH(V$9,'01_FASTPPH'!$8:$8,0))</f>
        <v>#N/A</v>
      </c>
      <c r="W131" s="24" t="e">
        <f>INDEX('01_FASTPPH'!$9:$1048576,MATCH($A131,'01_FASTPPH'!$A$9:$A$1048576,0),MATCH(W$9,'01_FASTPPH'!$8:$8,0))</f>
        <v>#N/A</v>
      </c>
      <c r="X131" s="20" t="e">
        <f>INDEX('01_FASTPPH'!$9:$1048576,MATCH($A131,'01_FASTPPH'!$A$9:$A$1048576,0),MATCH(X$9,'01_FASTPPH'!$8:$8,0))</f>
        <v>#N/A</v>
      </c>
      <c r="Y131" s="20" t="e">
        <f>INDEX('01_FASTPPH'!$9:$1048576,MATCH($A131,'01_FASTPPH'!$A$9:$A$1048576,0),MATCH(Y$9,'01_FASTPPH'!$8:$8,0))</f>
        <v>#N/A</v>
      </c>
      <c r="AA131" s="32" t="e">
        <f>INDEX('02_PROPERTIES'!$C$10:$I$1048576,MATCH('03_CALCULATIONS'!$D131,'02_PROPERTIES'!$C$10:$C$1048576,0),MATCH('03_CALCULATIONS'!AA$9,'02_PROPERTIES'!$C$10:$I$10,0))</f>
        <v>#N/A</v>
      </c>
      <c r="AB131" s="20" t="e">
        <f>INDEX('02_PROPERTIES'!$C$10:$I$1048576,MATCH('03_CALCULATIONS'!$D131,'02_PROPERTIES'!$C$10:$C$1048576,0),MATCH('03_CALCULATIONS'!AB$9,'02_PROPERTIES'!$C$10:$I$10,0))</f>
        <v>#N/A</v>
      </c>
      <c r="AC131" s="20" t="e">
        <f>INDEX('02_PROPERTIES'!$C$10:$I$1048576,MATCH('03_CALCULATIONS'!$D131,'02_PROPERTIES'!$C$10:$C$1048576,0),MATCH('03_CALCULATIONS'!AC$9,'02_PROPERTIES'!$C$10:$I$10,0))</f>
        <v>#N/A</v>
      </c>
      <c r="AD131" s="20" t="e">
        <f>INDEX('02_PROPERTIES'!$C$10:$I$1048576,MATCH('03_CALCULATIONS'!$D131,'02_PROPERTIES'!$C$10:$C$1048576,0),MATCH('03_CALCULATIONS'!AD$9,'02_PROPERTIES'!$C$10:$I$10,0))</f>
        <v>#N/A</v>
      </c>
      <c r="AE131" s="32" t="e">
        <f>INDEX('02_PROPERTIES'!$C$10:$I$1048576,MATCH('03_CALCULATIONS'!$D131,'02_PROPERTIES'!$C$10:$C$1048576,0),MATCH('03_CALCULATIONS'!AE$9,'02_PROPERTIES'!$C$10:$I$10,0))</f>
        <v>#N/A</v>
      </c>
      <c r="AF131" s="32" t="e">
        <f>INDEX('02_PROPERTIES'!$C$10:$I$1048576,MATCH('03_CALCULATIONS'!$D131,'02_PROPERTIES'!$C$10:$C$1048576,0),MATCH('03_CALCULATIONS'!AF$9,'02_PROPERTIES'!$C$10:$I$10,0))</f>
        <v>#N/A</v>
      </c>
      <c r="AH131" s="20" t="e">
        <f t="shared" si="11"/>
        <v>#N/A</v>
      </c>
      <c r="AI131" s="20" t="e">
        <f t="shared" si="12"/>
        <v>#N/A</v>
      </c>
      <c r="AJ131" s="20" t="e">
        <f t="shared" si="13"/>
        <v>#N/A</v>
      </c>
      <c r="AL131" s="20" t="e">
        <f t="shared" si="14"/>
        <v>#N/A</v>
      </c>
      <c r="AM131" s="20" t="e">
        <f t="shared" si="15"/>
        <v>#N/A</v>
      </c>
      <c r="AN131" s="20" t="e">
        <f t="shared" si="16"/>
        <v>#N/A</v>
      </c>
      <c r="AO131" s="20" t="e">
        <f t="shared" si="17"/>
        <v>#N/A</v>
      </c>
      <c r="AP131" s="20" t="e">
        <f t="shared" si="18"/>
        <v>#N/A</v>
      </c>
      <c r="AR131" s="20" t="e">
        <f t="shared" si="19"/>
        <v>#N/A</v>
      </c>
      <c r="AS131" s="20" t="e">
        <f t="shared" si="20"/>
        <v>#N/A</v>
      </c>
      <c r="AT131" s="20" t="e">
        <f t="shared" si="21"/>
        <v>#N/A</v>
      </c>
    </row>
    <row r="132" spans="1:46" x14ac:dyDescent="0.3">
      <c r="A132" s="18"/>
      <c r="B132" s="20" t="e">
        <f>INDEX('01_FASTPPH'!$9:$1048576,MATCH($A132,'01_FASTPPH'!$A$9:$A$1048576,0),MATCH(B$9,'01_FASTPPH'!$8:$8,0))</f>
        <v>#N/A</v>
      </c>
      <c r="C132" s="20" t="e">
        <f>INDEX('01_FASTPPH'!$9:$1048576,MATCH($A132,'01_FASTPPH'!$A$9:$A$1048576,0),MATCH(C$9,'01_FASTPPH'!$8:$8,0))</f>
        <v>#N/A</v>
      </c>
      <c r="D132" s="20" t="e">
        <f>INDEX('01_FASTPPH'!$9:$1048576,MATCH($A132,'01_FASTPPH'!$A$9:$A$1048576,0),MATCH(D$9,'01_FASTPPH'!$8:$8,0))</f>
        <v>#N/A</v>
      </c>
      <c r="E132" s="20" t="e">
        <f>INDEX('01_FASTPPH'!$9:$1048576,MATCH($A132,'01_FASTPPH'!$A$9:$A$1048576,0),MATCH(E$9,'01_FASTPPH'!$8:$8,0))</f>
        <v>#N/A</v>
      </c>
      <c r="F132" s="20" t="e">
        <f>INDEX('01_FASTPPH'!$9:$1048576,MATCH($A132,'01_FASTPPH'!$A$9:$A$1048576,0),MATCH(F$9,'01_FASTPPH'!$8:$8,0))</f>
        <v>#N/A</v>
      </c>
      <c r="G132" s="20" t="e">
        <f>INDEX('01_FASTPPH'!$9:$1048576,MATCH($A132,'01_FASTPPH'!$A$9:$A$1048576,0),MATCH(G$9,'01_FASTPPH'!$8:$8,0))</f>
        <v>#N/A</v>
      </c>
      <c r="H132" s="20" t="e">
        <f>INDEX('01_FASTPPH'!$9:$1048576,MATCH($A132,'01_FASTPPH'!$A$9:$A$1048576,0),MATCH(H$9,'01_FASTPPH'!$8:$8,0))</f>
        <v>#N/A</v>
      </c>
      <c r="I132" s="20" t="e">
        <f>INDEX('01_FASTPPH'!$9:$1048576,MATCH($A132,'01_FASTPPH'!$A$9:$A$1048576,0),MATCH(I$9,'01_FASTPPH'!$8:$8,0))</f>
        <v>#N/A</v>
      </c>
      <c r="J132" s="20" t="e">
        <f>INDEX('01_FASTPPH'!$9:$1048576,MATCH($A132,'01_FASTPPH'!$A$9:$A$1048576,0),MATCH(J$9,'01_FASTPPH'!$8:$8,0))</f>
        <v>#N/A</v>
      </c>
      <c r="K132" s="23" t="e">
        <f>INDEX('01_FASTPPH'!$9:$1048576,MATCH($A132,'01_FASTPPH'!$A$9:$A$1048576,0),MATCH(K$9,'01_FASTPPH'!$8:$8,0))</f>
        <v>#N/A</v>
      </c>
      <c r="L132" s="20" t="e">
        <f>INDEX('01_FASTPPH'!$9:$1048576,MATCH($A132,'01_FASTPPH'!$A$9:$A$1048576,0),MATCH(L$9,'01_FASTPPH'!$8:$8,0))</f>
        <v>#N/A</v>
      </c>
      <c r="M132" s="20" t="e">
        <f>INDEX('01_FASTPPH'!$9:$1048576,MATCH($A132,'01_FASTPPH'!$A$9:$A$1048576,0),MATCH(M$9,'01_FASTPPH'!$8:$8,0))</f>
        <v>#N/A</v>
      </c>
      <c r="N132" s="24" t="e">
        <f>INDEX('01_FASTPPH'!$9:$1048576,MATCH($A132,'01_FASTPPH'!$A$9:$A$1048576,0),MATCH(N$9,'01_FASTPPH'!$8:$8,0))</f>
        <v>#N/A</v>
      </c>
      <c r="O132" s="23" t="e">
        <f>INDEX('01_FASTPPH'!$9:$1048576,MATCH($A132,'01_FASTPPH'!$A$9:$A$1048576,0),MATCH(O$9,'01_FASTPPH'!$8:$8,0))</f>
        <v>#N/A</v>
      </c>
      <c r="P132" s="20" t="e">
        <f>INDEX('01_FASTPPH'!$9:$1048576,MATCH($A132,'01_FASTPPH'!$A$9:$A$1048576,0),MATCH(P$9,'01_FASTPPH'!$8:$8,0))</f>
        <v>#N/A</v>
      </c>
      <c r="Q132" s="20" t="e">
        <f>INDEX('01_FASTPPH'!$9:$1048576,MATCH($A132,'01_FASTPPH'!$A$9:$A$1048576,0),MATCH(Q$9,'01_FASTPPH'!$8:$8,0))</f>
        <v>#N/A</v>
      </c>
      <c r="R132" s="20" t="e">
        <f>INDEX('01_FASTPPH'!$9:$1048576,MATCH($A132,'01_FASTPPH'!$A$9:$A$1048576,0),MATCH(R$9,'01_FASTPPH'!$8:$8,0))</f>
        <v>#N/A</v>
      </c>
      <c r="S132" s="20" t="e">
        <f>INDEX('01_FASTPPH'!$9:$1048576,MATCH($A132,'01_FASTPPH'!$A$9:$A$1048576,0),MATCH(S$9,'01_FASTPPH'!$8:$8,0))</f>
        <v>#N/A</v>
      </c>
      <c r="T132" s="24" t="e">
        <f>INDEX('01_FASTPPH'!$9:$1048576,MATCH($A132,'01_FASTPPH'!$A$9:$A$1048576,0),MATCH(T$9,'01_FASTPPH'!$8:$8,0))</f>
        <v>#N/A</v>
      </c>
      <c r="U132" s="23" t="e">
        <f>INDEX('01_FASTPPH'!$9:$1048576,MATCH($A132,'01_FASTPPH'!$A$9:$A$1048576,0),MATCH(U$9,'01_FASTPPH'!$8:$8,0))</f>
        <v>#N/A</v>
      </c>
      <c r="V132" s="20" t="e">
        <f>INDEX('01_FASTPPH'!$9:$1048576,MATCH($A132,'01_FASTPPH'!$A$9:$A$1048576,0),MATCH(V$9,'01_FASTPPH'!$8:$8,0))</f>
        <v>#N/A</v>
      </c>
      <c r="W132" s="24" t="e">
        <f>INDEX('01_FASTPPH'!$9:$1048576,MATCH($A132,'01_FASTPPH'!$A$9:$A$1048576,0),MATCH(W$9,'01_FASTPPH'!$8:$8,0))</f>
        <v>#N/A</v>
      </c>
      <c r="X132" s="20" t="e">
        <f>INDEX('01_FASTPPH'!$9:$1048576,MATCH($A132,'01_FASTPPH'!$A$9:$A$1048576,0),MATCH(X$9,'01_FASTPPH'!$8:$8,0))</f>
        <v>#N/A</v>
      </c>
      <c r="Y132" s="20" t="e">
        <f>INDEX('01_FASTPPH'!$9:$1048576,MATCH($A132,'01_FASTPPH'!$A$9:$A$1048576,0),MATCH(Y$9,'01_FASTPPH'!$8:$8,0))</f>
        <v>#N/A</v>
      </c>
      <c r="AA132" s="32" t="e">
        <f>INDEX('02_PROPERTIES'!$C$10:$I$1048576,MATCH('03_CALCULATIONS'!$D132,'02_PROPERTIES'!$C$10:$C$1048576,0),MATCH('03_CALCULATIONS'!AA$9,'02_PROPERTIES'!$C$10:$I$10,0))</f>
        <v>#N/A</v>
      </c>
      <c r="AB132" s="20" t="e">
        <f>INDEX('02_PROPERTIES'!$C$10:$I$1048576,MATCH('03_CALCULATIONS'!$D132,'02_PROPERTIES'!$C$10:$C$1048576,0),MATCH('03_CALCULATIONS'!AB$9,'02_PROPERTIES'!$C$10:$I$10,0))</f>
        <v>#N/A</v>
      </c>
      <c r="AC132" s="20" t="e">
        <f>INDEX('02_PROPERTIES'!$C$10:$I$1048576,MATCH('03_CALCULATIONS'!$D132,'02_PROPERTIES'!$C$10:$C$1048576,0),MATCH('03_CALCULATIONS'!AC$9,'02_PROPERTIES'!$C$10:$I$10,0))</f>
        <v>#N/A</v>
      </c>
      <c r="AD132" s="20" t="e">
        <f>INDEX('02_PROPERTIES'!$C$10:$I$1048576,MATCH('03_CALCULATIONS'!$D132,'02_PROPERTIES'!$C$10:$C$1048576,0),MATCH('03_CALCULATIONS'!AD$9,'02_PROPERTIES'!$C$10:$I$10,0))</f>
        <v>#N/A</v>
      </c>
      <c r="AE132" s="32" t="e">
        <f>INDEX('02_PROPERTIES'!$C$10:$I$1048576,MATCH('03_CALCULATIONS'!$D132,'02_PROPERTIES'!$C$10:$C$1048576,0),MATCH('03_CALCULATIONS'!AE$9,'02_PROPERTIES'!$C$10:$I$10,0))</f>
        <v>#N/A</v>
      </c>
      <c r="AF132" s="32" t="e">
        <f>INDEX('02_PROPERTIES'!$C$10:$I$1048576,MATCH('03_CALCULATIONS'!$D132,'02_PROPERTIES'!$C$10:$C$1048576,0),MATCH('03_CALCULATIONS'!AF$9,'02_PROPERTIES'!$C$10:$I$10,0))</f>
        <v>#N/A</v>
      </c>
      <c r="AH132" s="20" t="e">
        <f t="shared" si="11"/>
        <v>#N/A</v>
      </c>
      <c r="AI132" s="20" t="e">
        <f t="shared" si="12"/>
        <v>#N/A</v>
      </c>
      <c r="AJ132" s="20" t="e">
        <f t="shared" si="13"/>
        <v>#N/A</v>
      </c>
      <c r="AL132" s="20" t="e">
        <f t="shared" si="14"/>
        <v>#N/A</v>
      </c>
      <c r="AM132" s="20" t="e">
        <f t="shared" si="15"/>
        <v>#N/A</v>
      </c>
      <c r="AN132" s="20" t="e">
        <f t="shared" si="16"/>
        <v>#N/A</v>
      </c>
      <c r="AO132" s="20" t="e">
        <f t="shared" si="17"/>
        <v>#N/A</v>
      </c>
      <c r="AP132" s="20" t="e">
        <f t="shared" si="18"/>
        <v>#N/A</v>
      </c>
      <c r="AR132" s="20" t="e">
        <f t="shared" si="19"/>
        <v>#N/A</v>
      </c>
      <c r="AS132" s="20" t="e">
        <f t="shared" si="20"/>
        <v>#N/A</v>
      </c>
      <c r="AT132" s="20" t="e">
        <f t="shared" si="21"/>
        <v>#N/A</v>
      </c>
    </row>
    <row r="133" spans="1:46" x14ac:dyDescent="0.3">
      <c r="A133" s="18"/>
      <c r="B133" s="20" t="e">
        <f>INDEX('01_FASTPPH'!$9:$1048576,MATCH($A133,'01_FASTPPH'!$A$9:$A$1048576,0),MATCH(B$9,'01_FASTPPH'!$8:$8,0))</f>
        <v>#N/A</v>
      </c>
      <c r="C133" s="20" t="e">
        <f>INDEX('01_FASTPPH'!$9:$1048576,MATCH($A133,'01_FASTPPH'!$A$9:$A$1048576,0),MATCH(C$9,'01_FASTPPH'!$8:$8,0))</f>
        <v>#N/A</v>
      </c>
      <c r="D133" s="20" t="e">
        <f>INDEX('01_FASTPPH'!$9:$1048576,MATCH($A133,'01_FASTPPH'!$A$9:$A$1048576,0),MATCH(D$9,'01_FASTPPH'!$8:$8,0))</f>
        <v>#N/A</v>
      </c>
      <c r="E133" s="20" t="e">
        <f>INDEX('01_FASTPPH'!$9:$1048576,MATCH($A133,'01_FASTPPH'!$A$9:$A$1048576,0),MATCH(E$9,'01_FASTPPH'!$8:$8,0))</f>
        <v>#N/A</v>
      </c>
      <c r="F133" s="20" t="e">
        <f>INDEX('01_FASTPPH'!$9:$1048576,MATCH($A133,'01_FASTPPH'!$A$9:$A$1048576,0),MATCH(F$9,'01_FASTPPH'!$8:$8,0))</f>
        <v>#N/A</v>
      </c>
      <c r="G133" s="20" t="e">
        <f>INDEX('01_FASTPPH'!$9:$1048576,MATCH($A133,'01_FASTPPH'!$A$9:$A$1048576,0),MATCH(G$9,'01_FASTPPH'!$8:$8,0))</f>
        <v>#N/A</v>
      </c>
      <c r="H133" s="20" t="e">
        <f>INDEX('01_FASTPPH'!$9:$1048576,MATCH($A133,'01_FASTPPH'!$A$9:$A$1048576,0),MATCH(H$9,'01_FASTPPH'!$8:$8,0))</f>
        <v>#N/A</v>
      </c>
      <c r="I133" s="20" t="e">
        <f>INDEX('01_FASTPPH'!$9:$1048576,MATCH($A133,'01_FASTPPH'!$A$9:$A$1048576,0),MATCH(I$9,'01_FASTPPH'!$8:$8,0))</f>
        <v>#N/A</v>
      </c>
      <c r="J133" s="20" t="e">
        <f>INDEX('01_FASTPPH'!$9:$1048576,MATCH($A133,'01_FASTPPH'!$A$9:$A$1048576,0),MATCH(J$9,'01_FASTPPH'!$8:$8,0))</f>
        <v>#N/A</v>
      </c>
      <c r="K133" s="23" t="e">
        <f>INDEX('01_FASTPPH'!$9:$1048576,MATCH($A133,'01_FASTPPH'!$A$9:$A$1048576,0),MATCH(K$9,'01_FASTPPH'!$8:$8,0))</f>
        <v>#N/A</v>
      </c>
      <c r="L133" s="20" t="e">
        <f>INDEX('01_FASTPPH'!$9:$1048576,MATCH($A133,'01_FASTPPH'!$A$9:$A$1048576,0),MATCH(L$9,'01_FASTPPH'!$8:$8,0))</f>
        <v>#N/A</v>
      </c>
      <c r="M133" s="20" t="e">
        <f>INDEX('01_FASTPPH'!$9:$1048576,MATCH($A133,'01_FASTPPH'!$A$9:$A$1048576,0),MATCH(M$9,'01_FASTPPH'!$8:$8,0))</f>
        <v>#N/A</v>
      </c>
      <c r="N133" s="24" t="e">
        <f>INDEX('01_FASTPPH'!$9:$1048576,MATCH($A133,'01_FASTPPH'!$A$9:$A$1048576,0),MATCH(N$9,'01_FASTPPH'!$8:$8,0))</f>
        <v>#N/A</v>
      </c>
      <c r="O133" s="23" t="e">
        <f>INDEX('01_FASTPPH'!$9:$1048576,MATCH($A133,'01_FASTPPH'!$A$9:$A$1048576,0),MATCH(O$9,'01_FASTPPH'!$8:$8,0))</f>
        <v>#N/A</v>
      </c>
      <c r="P133" s="20" t="e">
        <f>INDEX('01_FASTPPH'!$9:$1048576,MATCH($A133,'01_FASTPPH'!$A$9:$A$1048576,0),MATCH(P$9,'01_FASTPPH'!$8:$8,0))</f>
        <v>#N/A</v>
      </c>
      <c r="Q133" s="20" t="e">
        <f>INDEX('01_FASTPPH'!$9:$1048576,MATCH($A133,'01_FASTPPH'!$A$9:$A$1048576,0),MATCH(Q$9,'01_FASTPPH'!$8:$8,0))</f>
        <v>#N/A</v>
      </c>
      <c r="R133" s="20" t="e">
        <f>INDEX('01_FASTPPH'!$9:$1048576,MATCH($A133,'01_FASTPPH'!$A$9:$A$1048576,0),MATCH(R$9,'01_FASTPPH'!$8:$8,0))</f>
        <v>#N/A</v>
      </c>
      <c r="S133" s="20" t="e">
        <f>INDEX('01_FASTPPH'!$9:$1048576,MATCH($A133,'01_FASTPPH'!$A$9:$A$1048576,0),MATCH(S$9,'01_FASTPPH'!$8:$8,0))</f>
        <v>#N/A</v>
      </c>
      <c r="T133" s="24" t="e">
        <f>INDEX('01_FASTPPH'!$9:$1048576,MATCH($A133,'01_FASTPPH'!$A$9:$A$1048576,0),MATCH(T$9,'01_FASTPPH'!$8:$8,0))</f>
        <v>#N/A</v>
      </c>
      <c r="U133" s="23" t="e">
        <f>INDEX('01_FASTPPH'!$9:$1048576,MATCH($A133,'01_FASTPPH'!$A$9:$A$1048576,0),MATCH(U$9,'01_FASTPPH'!$8:$8,0))</f>
        <v>#N/A</v>
      </c>
      <c r="V133" s="20" t="e">
        <f>INDEX('01_FASTPPH'!$9:$1048576,MATCH($A133,'01_FASTPPH'!$A$9:$A$1048576,0),MATCH(V$9,'01_FASTPPH'!$8:$8,0))</f>
        <v>#N/A</v>
      </c>
      <c r="W133" s="24" t="e">
        <f>INDEX('01_FASTPPH'!$9:$1048576,MATCH($A133,'01_FASTPPH'!$A$9:$A$1048576,0),MATCH(W$9,'01_FASTPPH'!$8:$8,0))</f>
        <v>#N/A</v>
      </c>
      <c r="X133" s="20" t="e">
        <f>INDEX('01_FASTPPH'!$9:$1048576,MATCH($A133,'01_FASTPPH'!$A$9:$A$1048576,0),MATCH(X$9,'01_FASTPPH'!$8:$8,0))</f>
        <v>#N/A</v>
      </c>
      <c r="Y133" s="20" t="e">
        <f>INDEX('01_FASTPPH'!$9:$1048576,MATCH($A133,'01_FASTPPH'!$A$9:$A$1048576,0),MATCH(Y$9,'01_FASTPPH'!$8:$8,0))</f>
        <v>#N/A</v>
      </c>
      <c r="AA133" s="32" t="e">
        <f>INDEX('02_PROPERTIES'!$C$10:$I$1048576,MATCH('03_CALCULATIONS'!$D133,'02_PROPERTIES'!$C$10:$C$1048576,0),MATCH('03_CALCULATIONS'!AA$9,'02_PROPERTIES'!$C$10:$I$10,0))</f>
        <v>#N/A</v>
      </c>
      <c r="AB133" s="20" t="e">
        <f>INDEX('02_PROPERTIES'!$C$10:$I$1048576,MATCH('03_CALCULATIONS'!$D133,'02_PROPERTIES'!$C$10:$C$1048576,0),MATCH('03_CALCULATIONS'!AB$9,'02_PROPERTIES'!$C$10:$I$10,0))</f>
        <v>#N/A</v>
      </c>
      <c r="AC133" s="20" t="e">
        <f>INDEX('02_PROPERTIES'!$C$10:$I$1048576,MATCH('03_CALCULATIONS'!$D133,'02_PROPERTIES'!$C$10:$C$1048576,0),MATCH('03_CALCULATIONS'!AC$9,'02_PROPERTIES'!$C$10:$I$10,0))</f>
        <v>#N/A</v>
      </c>
      <c r="AD133" s="20" t="e">
        <f>INDEX('02_PROPERTIES'!$C$10:$I$1048576,MATCH('03_CALCULATIONS'!$D133,'02_PROPERTIES'!$C$10:$C$1048576,0),MATCH('03_CALCULATIONS'!AD$9,'02_PROPERTIES'!$C$10:$I$10,0))</f>
        <v>#N/A</v>
      </c>
      <c r="AE133" s="32" t="e">
        <f>INDEX('02_PROPERTIES'!$C$10:$I$1048576,MATCH('03_CALCULATIONS'!$D133,'02_PROPERTIES'!$C$10:$C$1048576,0),MATCH('03_CALCULATIONS'!AE$9,'02_PROPERTIES'!$C$10:$I$10,0))</f>
        <v>#N/A</v>
      </c>
      <c r="AF133" s="32" t="e">
        <f>INDEX('02_PROPERTIES'!$C$10:$I$1048576,MATCH('03_CALCULATIONS'!$D133,'02_PROPERTIES'!$C$10:$C$1048576,0),MATCH('03_CALCULATIONS'!AF$9,'02_PROPERTIES'!$C$10:$I$10,0))</f>
        <v>#N/A</v>
      </c>
      <c r="AH133" s="20" t="e">
        <f t="shared" si="11"/>
        <v>#N/A</v>
      </c>
      <c r="AI133" s="20" t="e">
        <f t="shared" si="12"/>
        <v>#N/A</v>
      </c>
      <c r="AJ133" s="20" t="e">
        <f t="shared" si="13"/>
        <v>#N/A</v>
      </c>
      <c r="AL133" s="20" t="e">
        <f t="shared" si="14"/>
        <v>#N/A</v>
      </c>
      <c r="AM133" s="20" t="e">
        <f t="shared" si="15"/>
        <v>#N/A</v>
      </c>
      <c r="AN133" s="20" t="e">
        <f t="shared" si="16"/>
        <v>#N/A</v>
      </c>
      <c r="AO133" s="20" t="e">
        <f t="shared" si="17"/>
        <v>#N/A</v>
      </c>
      <c r="AP133" s="20" t="e">
        <f t="shared" si="18"/>
        <v>#N/A</v>
      </c>
      <c r="AR133" s="20" t="e">
        <f t="shared" si="19"/>
        <v>#N/A</v>
      </c>
      <c r="AS133" s="20" t="e">
        <f t="shared" si="20"/>
        <v>#N/A</v>
      </c>
      <c r="AT133" s="20" t="e">
        <f t="shared" si="21"/>
        <v>#N/A</v>
      </c>
    </row>
    <row r="134" spans="1:46" x14ac:dyDescent="0.3">
      <c r="A134" s="18"/>
      <c r="B134" s="20" t="e">
        <f>INDEX('01_FASTPPH'!$9:$1048576,MATCH($A134,'01_FASTPPH'!$A$9:$A$1048576,0),MATCH(B$9,'01_FASTPPH'!$8:$8,0))</f>
        <v>#N/A</v>
      </c>
      <c r="C134" s="20" t="e">
        <f>INDEX('01_FASTPPH'!$9:$1048576,MATCH($A134,'01_FASTPPH'!$A$9:$A$1048576,0),MATCH(C$9,'01_FASTPPH'!$8:$8,0))</f>
        <v>#N/A</v>
      </c>
      <c r="D134" s="20" t="e">
        <f>INDEX('01_FASTPPH'!$9:$1048576,MATCH($A134,'01_FASTPPH'!$A$9:$A$1048576,0),MATCH(D$9,'01_FASTPPH'!$8:$8,0))</f>
        <v>#N/A</v>
      </c>
      <c r="E134" s="20" t="e">
        <f>INDEX('01_FASTPPH'!$9:$1048576,MATCH($A134,'01_FASTPPH'!$A$9:$A$1048576,0),MATCH(E$9,'01_FASTPPH'!$8:$8,0))</f>
        <v>#N/A</v>
      </c>
      <c r="F134" s="20" t="e">
        <f>INDEX('01_FASTPPH'!$9:$1048576,MATCH($A134,'01_FASTPPH'!$A$9:$A$1048576,0),MATCH(F$9,'01_FASTPPH'!$8:$8,0))</f>
        <v>#N/A</v>
      </c>
      <c r="G134" s="20" t="e">
        <f>INDEX('01_FASTPPH'!$9:$1048576,MATCH($A134,'01_FASTPPH'!$A$9:$A$1048576,0),MATCH(G$9,'01_FASTPPH'!$8:$8,0))</f>
        <v>#N/A</v>
      </c>
      <c r="H134" s="20" t="e">
        <f>INDEX('01_FASTPPH'!$9:$1048576,MATCH($A134,'01_FASTPPH'!$A$9:$A$1048576,0),MATCH(H$9,'01_FASTPPH'!$8:$8,0))</f>
        <v>#N/A</v>
      </c>
      <c r="I134" s="20" t="e">
        <f>INDEX('01_FASTPPH'!$9:$1048576,MATCH($A134,'01_FASTPPH'!$A$9:$A$1048576,0),MATCH(I$9,'01_FASTPPH'!$8:$8,0))</f>
        <v>#N/A</v>
      </c>
      <c r="J134" s="20" t="e">
        <f>INDEX('01_FASTPPH'!$9:$1048576,MATCH($A134,'01_FASTPPH'!$A$9:$A$1048576,0),MATCH(J$9,'01_FASTPPH'!$8:$8,0))</f>
        <v>#N/A</v>
      </c>
      <c r="K134" s="23" t="e">
        <f>INDEX('01_FASTPPH'!$9:$1048576,MATCH($A134,'01_FASTPPH'!$A$9:$A$1048576,0),MATCH(K$9,'01_FASTPPH'!$8:$8,0))</f>
        <v>#N/A</v>
      </c>
      <c r="L134" s="20" t="e">
        <f>INDEX('01_FASTPPH'!$9:$1048576,MATCH($A134,'01_FASTPPH'!$A$9:$A$1048576,0),MATCH(L$9,'01_FASTPPH'!$8:$8,0))</f>
        <v>#N/A</v>
      </c>
      <c r="M134" s="20" t="e">
        <f>INDEX('01_FASTPPH'!$9:$1048576,MATCH($A134,'01_FASTPPH'!$A$9:$A$1048576,0),MATCH(M$9,'01_FASTPPH'!$8:$8,0))</f>
        <v>#N/A</v>
      </c>
      <c r="N134" s="24" t="e">
        <f>INDEX('01_FASTPPH'!$9:$1048576,MATCH($A134,'01_FASTPPH'!$A$9:$A$1048576,0),MATCH(N$9,'01_FASTPPH'!$8:$8,0))</f>
        <v>#N/A</v>
      </c>
      <c r="O134" s="23" t="e">
        <f>INDEX('01_FASTPPH'!$9:$1048576,MATCH($A134,'01_FASTPPH'!$A$9:$A$1048576,0),MATCH(O$9,'01_FASTPPH'!$8:$8,0))</f>
        <v>#N/A</v>
      </c>
      <c r="P134" s="20" t="e">
        <f>INDEX('01_FASTPPH'!$9:$1048576,MATCH($A134,'01_FASTPPH'!$A$9:$A$1048576,0),MATCH(P$9,'01_FASTPPH'!$8:$8,0))</f>
        <v>#N/A</v>
      </c>
      <c r="Q134" s="20" t="e">
        <f>INDEX('01_FASTPPH'!$9:$1048576,MATCH($A134,'01_FASTPPH'!$A$9:$A$1048576,0),MATCH(Q$9,'01_FASTPPH'!$8:$8,0))</f>
        <v>#N/A</v>
      </c>
      <c r="R134" s="20" t="e">
        <f>INDEX('01_FASTPPH'!$9:$1048576,MATCH($A134,'01_FASTPPH'!$A$9:$A$1048576,0),MATCH(R$9,'01_FASTPPH'!$8:$8,0))</f>
        <v>#N/A</v>
      </c>
      <c r="S134" s="20" t="e">
        <f>INDEX('01_FASTPPH'!$9:$1048576,MATCH($A134,'01_FASTPPH'!$A$9:$A$1048576,0),MATCH(S$9,'01_FASTPPH'!$8:$8,0))</f>
        <v>#N/A</v>
      </c>
      <c r="T134" s="24" t="e">
        <f>INDEX('01_FASTPPH'!$9:$1048576,MATCH($A134,'01_FASTPPH'!$A$9:$A$1048576,0),MATCH(T$9,'01_FASTPPH'!$8:$8,0))</f>
        <v>#N/A</v>
      </c>
      <c r="U134" s="23" t="e">
        <f>INDEX('01_FASTPPH'!$9:$1048576,MATCH($A134,'01_FASTPPH'!$A$9:$A$1048576,0),MATCH(U$9,'01_FASTPPH'!$8:$8,0))</f>
        <v>#N/A</v>
      </c>
      <c r="V134" s="20" t="e">
        <f>INDEX('01_FASTPPH'!$9:$1048576,MATCH($A134,'01_FASTPPH'!$A$9:$A$1048576,0),MATCH(V$9,'01_FASTPPH'!$8:$8,0))</f>
        <v>#N/A</v>
      </c>
      <c r="W134" s="24" t="e">
        <f>INDEX('01_FASTPPH'!$9:$1048576,MATCH($A134,'01_FASTPPH'!$A$9:$A$1048576,0),MATCH(W$9,'01_FASTPPH'!$8:$8,0))</f>
        <v>#N/A</v>
      </c>
      <c r="X134" s="20" t="e">
        <f>INDEX('01_FASTPPH'!$9:$1048576,MATCH($A134,'01_FASTPPH'!$A$9:$A$1048576,0),MATCH(X$9,'01_FASTPPH'!$8:$8,0))</f>
        <v>#N/A</v>
      </c>
      <c r="Y134" s="20" t="e">
        <f>INDEX('01_FASTPPH'!$9:$1048576,MATCH($A134,'01_FASTPPH'!$A$9:$A$1048576,0),MATCH(Y$9,'01_FASTPPH'!$8:$8,0))</f>
        <v>#N/A</v>
      </c>
      <c r="AA134" s="32" t="e">
        <f>INDEX('02_PROPERTIES'!$C$10:$I$1048576,MATCH('03_CALCULATIONS'!$D134,'02_PROPERTIES'!$C$10:$C$1048576,0),MATCH('03_CALCULATIONS'!AA$9,'02_PROPERTIES'!$C$10:$I$10,0))</f>
        <v>#N/A</v>
      </c>
      <c r="AB134" s="20" t="e">
        <f>INDEX('02_PROPERTIES'!$C$10:$I$1048576,MATCH('03_CALCULATIONS'!$D134,'02_PROPERTIES'!$C$10:$C$1048576,0),MATCH('03_CALCULATIONS'!AB$9,'02_PROPERTIES'!$C$10:$I$10,0))</f>
        <v>#N/A</v>
      </c>
      <c r="AC134" s="20" t="e">
        <f>INDEX('02_PROPERTIES'!$C$10:$I$1048576,MATCH('03_CALCULATIONS'!$D134,'02_PROPERTIES'!$C$10:$C$1048576,0),MATCH('03_CALCULATIONS'!AC$9,'02_PROPERTIES'!$C$10:$I$10,0))</f>
        <v>#N/A</v>
      </c>
      <c r="AD134" s="20" t="e">
        <f>INDEX('02_PROPERTIES'!$C$10:$I$1048576,MATCH('03_CALCULATIONS'!$D134,'02_PROPERTIES'!$C$10:$C$1048576,0),MATCH('03_CALCULATIONS'!AD$9,'02_PROPERTIES'!$C$10:$I$10,0))</f>
        <v>#N/A</v>
      </c>
      <c r="AE134" s="32" t="e">
        <f>INDEX('02_PROPERTIES'!$C$10:$I$1048576,MATCH('03_CALCULATIONS'!$D134,'02_PROPERTIES'!$C$10:$C$1048576,0),MATCH('03_CALCULATIONS'!AE$9,'02_PROPERTIES'!$C$10:$I$10,0))</f>
        <v>#N/A</v>
      </c>
      <c r="AF134" s="32" t="e">
        <f>INDEX('02_PROPERTIES'!$C$10:$I$1048576,MATCH('03_CALCULATIONS'!$D134,'02_PROPERTIES'!$C$10:$C$1048576,0),MATCH('03_CALCULATIONS'!AF$9,'02_PROPERTIES'!$C$10:$I$10,0))</f>
        <v>#N/A</v>
      </c>
      <c r="AH134" s="20" t="e">
        <f t="shared" si="11"/>
        <v>#N/A</v>
      </c>
      <c r="AI134" s="20" t="e">
        <f t="shared" si="12"/>
        <v>#N/A</v>
      </c>
      <c r="AJ134" s="20" t="e">
        <f t="shared" si="13"/>
        <v>#N/A</v>
      </c>
      <c r="AL134" s="20" t="e">
        <f t="shared" si="14"/>
        <v>#N/A</v>
      </c>
      <c r="AM134" s="20" t="e">
        <f t="shared" si="15"/>
        <v>#N/A</v>
      </c>
      <c r="AN134" s="20" t="e">
        <f t="shared" si="16"/>
        <v>#N/A</v>
      </c>
      <c r="AO134" s="20" t="e">
        <f t="shared" si="17"/>
        <v>#N/A</v>
      </c>
      <c r="AP134" s="20" t="e">
        <f t="shared" si="18"/>
        <v>#N/A</v>
      </c>
      <c r="AR134" s="20" t="e">
        <f t="shared" si="19"/>
        <v>#N/A</v>
      </c>
      <c r="AS134" s="20" t="e">
        <f t="shared" si="20"/>
        <v>#N/A</v>
      </c>
      <c r="AT134" s="20" t="e">
        <f t="shared" si="21"/>
        <v>#N/A</v>
      </c>
    </row>
    <row r="135" spans="1:46" x14ac:dyDescent="0.3">
      <c r="A135" s="18"/>
      <c r="B135" s="20" t="e">
        <f>INDEX('01_FASTPPH'!$9:$1048576,MATCH($A135,'01_FASTPPH'!$A$9:$A$1048576,0),MATCH(B$9,'01_FASTPPH'!$8:$8,0))</f>
        <v>#N/A</v>
      </c>
      <c r="C135" s="20" t="e">
        <f>INDEX('01_FASTPPH'!$9:$1048576,MATCH($A135,'01_FASTPPH'!$A$9:$A$1048576,0),MATCH(C$9,'01_FASTPPH'!$8:$8,0))</f>
        <v>#N/A</v>
      </c>
      <c r="D135" s="20" t="e">
        <f>INDEX('01_FASTPPH'!$9:$1048576,MATCH($A135,'01_FASTPPH'!$A$9:$A$1048576,0),MATCH(D$9,'01_FASTPPH'!$8:$8,0))</f>
        <v>#N/A</v>
      </c>
      <c r="E135" s="20" t="e">
        <f>INDEX('01_FASTPPH'!$9:$1048576,MATCH($A135,'01_FASTPPH'!$A$9:$A$1048576,0),MATCH(E$9,'01_FASTPPH'!$8:$8,0))</f>
        <v>#N/A</v>
      </c>
      <c r="F135" s="20" t="e">
        <f>INDEX('01_FASTPPH'!$9:$1048576,MATCH($A135,'01_FASTPPH'!$A$9:$A$1048576,0),MATCH(F$9,'01_FASTPPH'!$8:$8,0))</f>
        <v>#N/A</v>
      </c>
      <c r="G135" s="20" t="e">
        <f>INDEX('01_FASTPPH'!$9:$1048576,MATCH($A135,'01_FASTPPH'!$A$9:$A$1048576,0),MATCH(G$9,'01_FASTPPH'!$8:$8,0))</f>
        <v>#N/A</v>
      </c>
      <c r="H135" s="20" t="e">
        <f>INDEX('01_FASTPPH'!$9:$1048576,MATCH($A135,'01_FASTPPH'!$A$9:$A$1048576,0),MATCH(H$9,'01_FASTPPH'!$8:$8,0))</f>
        <v>#N/A</v>
      </c>
      <c r="I135" s="20" t="e">
        <f>INDEX('01_FASTPPH'!$9:$1048576,MATCH($A135,'01_FASTPPH'!$A$9:$A$1048576,0),MATCH(I$9,'01_FASTPPH'!$8:$8,0))</f>
        <v>#N/A</v>
      </c>
      <c r="J135" s="20" t="e">
        <f>INDEX('01_FASTPPH'!$9:$1048576,MATCH($A135,'01_FASTPPH'!$A$9:$A$1048576,0),MATCH(J$9,'01_FASTPPH'!$8:$8,0))</f>
        <v>#N/A</v>
      </c>
      <c r="K135" s="23" t="e">
        <f>INDEX('01_FASTPPH'!$9:$1048576,MATCH($A135,'01_FASTPPH'!$A$9:$A$1048576,0),MATCH(K$9,'01_FASTPPH'!$8:$8,0))</f>
        <v>#N/A</v>
      </c>
      <c r="L135" s="20" t="e">
        <f>INDEX('01_FASTPPH'!$9:$1048576,MATCH($A135,'01_FASTPPH'!$A$9:$A$1048576,0),MATCH(L$9,'01_FASTPPH'!$8:$8,0))</f>
        <v>#N/A</v>
      </c>
      <c r="M135" s="20" t="e">
        <f>INDEX('01_FASTPPH'!$9:$1048576,MATCH($A135,'01_FASTPPH'!$A$9:$A$1048576,0),MATCH(M$9,'01_FASTPPH'!$8:$8,0))</f>
        <v>#N/A</v>
      </c>
      <c r="N135" s="24" t="e">
        <f>INDEX('01_FASTPPH'!$9:$1048576,MATCH($A135,'01_FASTPPH'!$A$9:$A$1048576,0),MATCH(N$9,'01_FASTPPH'!$8:$8,0))</f>
        <v>#N/A</v>
      </c>
      <c r="O135" s="23" t="e">
        <f>INDEX('01_FASTPPH'!$9:$1048576,MATCH($A135,'01_FASTPPH'!$A$9:$A$1048576,0),MATCH(O$9,'01_FASTPPH'!$8:$8,0))</f>
        <v>#N/A</v>
      </c>
      <c r="P135" s="20" t="e">
        <f>INDEX('01_FASTPPH'!$9:$1048576,MATCH($A135,'01_FASTPPH'!$A$9:$A$1048576,0),MATCH(P$9,'01_FASTPPH'!$8:$8,0))</f>
        <v>#N/A</v>
      </c>
      <c r="Q135" s="20" t="e">
        <f>INDEX('01_FASTPPH'!$9:$1048576,MATCH($A135,'01_FASTPPH'!$A$9:$A$1048576,0),MATCH(Q$9,'01_FASTPPH'!$8:$8,0))</f>
        <v>#N/A</v>
      </c>
      <c r="R135" s="20" t="e">
        <f>INDEX('01_FASTPPH'!$9:$1048576,MATCH($A135,'01_FASTPPH'!$A$9:$A$1048576,0),MATCH(R$9,'01_FASTPPH'!$8:$8,0))</f>
        <v>#N/A</v>
      </c>
      <c r="S135" s="20" t="e">
        <f>INDEX('01_FASTPPH'!$9:$1048576,MATCH($A135,'01_FASTPPH'!$A$9:$A$1048576,0),MATCH(S$9,'01_FASTPPH'!$8:$8,0))</f>
        <v>#N/A</v>
      </c>
      <c r="T135" s="24" t="e">
        <f>INDEX('01_FASTPPH'!$9:$1048576,MATCH($A135,'01_FASTPPH'!$A$9:$A$1048576,0),MATCH(T$9,'01_FASTPPH'!$8:$8,0))</f>
        <v>#N/A</v>
      </c>
      <c r="U135" s="23" t="e">
        <f>INDEX('01_FASTPPH'!$9:$1048576,MATCH($A135,'01_FASTPPH'!$A$9:$A$1048576,0),MATCH(U$9,'01_FASTPPH'!$8:$8,0))</f>
        <v>#N/A</v>
      </c>
      <c r="V135" s="20" t="e">
        <f>INDEX('01_FASTPPH'!$9:$1048576,MATCH($A135,'01_FASTPPH'!$A$9:$A$1048576,0),MATCH(V$9,'01_FASTPPH'!$8:$8,0))</f>
        <v>#N/A</v>
      </c>
      <c r="W135" s="24" t="e">
        <f>INDEX('01_FASTPPH'!$9:$1048576,MATCH($A135,'01_FASTPPH'!$A$9:$A$1048576,0),MATCH(W$9,'01_FASTPPH'!$8:$8,0))</f>
        <v>#N/A</v>
      </c>
      <c r="X135" s="20" t="e">
        <f>INDEX('01_FASTPPH'!$9:$1048576,MATCH($A135,'01_FASTPPH'!$A$9:$A$1048576,0),MATCH(X$9,'01_FASTPPH'!$8:$8,0))</f>
        <v>#N/A</v>
      </c>
      <c r="Y135" s="20" t="e">
        <f>INDEX('01_FASTPPH'!$9:$1048576,MATCH($A135,'01_FASTPPH'!$A$9:$A$1048576,0),MATCH(Y$9,'01_FASTPPH'!$8:$8,0))</f>
        <v>#N/A</v>
      </c>
      <c r="AA135" s="32" t="e">
        <f>INDEX('02_PROPERTIES'!$C$10:$I$1048576,MATCH('03_CALCULATIONS'!$D135,'02_PROPERTIES'!$C$10:$C$1048576,0),MATCH('03_CALCULATIONS'!AA$9,'02_PROPERTIES'!$C$10:$I$10,0))</f>
        <v>#N/A</v>
      </c>
      <c r="AB135" s="20" t="e">
        <f>INDEX('02_PROPERTIES'!$C$10:$I$1048576,MATCH('03_CALCULATIONS'!$D135,'02_PROPERTIES'!$C$10:$C$1048576,0),MATCH('03_CALCULATIONS'!AB$9,'02_PROPERTIES'!$C$10:$I$10,0))</f>
        <v>#N/A</v>
      </c>
      <c r="AC135" s="20" t="e">
        <f>INDEX('02_PROPERTIES'!$C$10:$I$1048576,MATCH('03_CALCULATIONS'!$D135,'02_PROPERTIES'!$C$10:$C$1048576,0),MATCH('03_CALCULATIONS'!AC$9,'02_PROPERTIES'!$C$10:$I$10,0))</f>
        <v>#N/A</v>
      </c>
      <c r="AD135" s="20" t="e">
        <f>INDEX('02_PROPERTIES'!$C$10:$I$1048576,MATCH('03_CALCULATIONS'!$D135,'02_PROPERTIES'!$C$10:$C$1048576,0),MATCH('03_CALCULATIONS'!AD$9,'02_PROPERTIES'!$C$10:$I$10,0))</f>
        <v>#N/A</v>
      </c>
      <c r="AE135" s="32" t="e">
        <f>INDEX('02_PROPERTIES'!$C$10:$I$1048576,MATCH('03_CALCULATIONS'!$D135,'02_PROPERTIES'!$C$10:$C$1048576,0),MATCH('03_CALCULATIONS'!AE$9,'02_PROPERTIES'!$C$10:$I$10,0))</f>
        <v>#N/A</v>
      </c>
      <c r="AF135" s="32" t="e">
        <f>INDEX('02_PROPERTIES'!$C$10:$I$1048576,MATCH('03_CALCULATIONS'!$D135,'02_PROPERTIES'!$C$10:$C$1048576,0),MATCH('03_CALCULATIONS'!AF$9,'02_PROPERTIES'!$C$10:$I$10,0))</f>
        <v>#N/A</v>
      </c>
      <c r="AH135" s="20" t="e">
        <f t="shared" si="11"/>
        <v>#N/A</v>
      </c>
      <c r="AI135" s="20" t="e">
        <f t="shared" si="12"/>
        <v>#N/A</v>
      </c>
      <c r="AJ135" s="20" t="e">
        <f t="shared" si="13"/>
        <v>#N/A</v>
      </c>
      <c r="AL135" s="20" t="e">
        <f t="shared" si="14"/>
        <v>#N/A</v>
      </c>
      <c r="AM135" s="20" t="e">
        <f t="shared" si="15"/>
        <v>#N/A</v>
      </c>
      <c r="AN135" s="20" t="e">
        <f t="shared" si="16"/>
        <v>#N/A</v>
      </c>
      <c r="AO135" s="20" t="e">
        <f t="shared" si="17"/>
        <v>#N/A</v>
      </c>
      <c r="AP135" s="20" t="e">
        <f t="shared" si="18"/>
        <v>#N/A</v>
      </c>
      <c r="AR135" s="20" t="e">
        <f t="shared" si="19"/>
        <v>#N/A</v>
      </c>
      <c r="AS135" s="20" t="e">
        <f t="shared" si="20"/>
        <v>#N/A</v>
      </c>
      <c r="AT135" s="20" t="e">
        <f t="shared" si="21"/>
        <v>#N/A</v>
      </c>
    </row>
    <row r="136" spans="1:46" x14ac:dyDescent="0.3">
      <c r="A136" s="18"/>
      <c r="B136" s="20" t="e">
        <f>INDEX('01_FASTPPH'!$9:$1048576,MATCH($A136,'01_FASTPPH'!$A$9:$A$1048576,0),MATCH(B$9,'01_FASTPPH'!$8:$8,0))</f>
        <v>#N/A</v>
      </c>
      <c r="C136" s="20" t="e">
        <f>INDEX('01_FASTPPH'!$9:$1048576,MATCH($A136,'01_FASTPPH'!$A$9:$A$1048576,0),MATCH(C$9,'01_FASTPPH'!$8:$8,0))</f>
        <v>#N/A</v>
      </c>
      <c r="D136" s="20" t="e">
        <f>INDEX('01_FASTPPH'!$9:$1048576,MATCH($A136,'01_FASTPPH'!$A$9:$A$1048576,0),MATCH(D$9,'01_FASTPPH'!$8:$8,0))</f>
        <v>#N/A</v>
      </c>
      <c r="E136" s="20" t="e">
        <f>INDEX('01_FASTPPH'!$9:$1048576,MATCH($A136,'01_FASTPPH'!$A$9:$A$1048576,0),MATCH(E$9,'01_FASTPPH'!$8:$8,0))</f>
        <v>#N/A</v>
      </c>
      <c r="F136" s="20" t="e">
        <f>INDEX('01_FASTPPH'!$9:$1048576,MATCH($A136,'01_FASTPPH'!$A$9:$A$1048576,0),MATCH(F$9,'01_FASTPPH'!$8:$8,0))</f>
        <v>#N/A</v>
      </c>
      <c r="G136" s="20" t="e">
        <f>INDEX('01_FASTPPH'!$9:$1048576,MATCH($A136,'01_FASTPPH'!$A$9:$A$1048576,0),MATCH(G$9,'01_FASTPPH'!$8:$8,0))</f>
        <v>#N/A</v>
      </c>
      <c r="H136" s="20" t="e">
        <f>INDEX('01_FASTPPH'!$9:$1048576,MATCH($A136,'01_FASTPPH'!$A$9:$A$1048576,0),MATCH(H$9,'01_FASTPPH'!$8:$8,0))</f>
        <v>#N/A</v>
      </c>
      <c r="I136" s="20" t="e">
        <f>INDEX('01_FASTPPH'!$9:$1048576,MATCH($A136,'01_FASTPPH'!$A$9:$A$1048576,0),MATCH(I$9,'01_FASTPPH'!$8:$8,0))</f>
        <v>#N/A</v>
      </c>
      <c r="J136" s="20" t="e">
        <f>INDEX('01_FASTPPH'!$9:$1048576,MATCH($A136,'01_FASTPPH'!$A$9:$A$1048576,0),MATCH(J$9,'01_FASTPPH'!$8:$8,0))</f>
        <v>#N/A</v>
      </c>
      <c r="K136" s="23" t="e">
        <f>INDEX('01_FASTPPH'!$9:$1048576,MATCH($A136,'01_FASTPPH'!$A$9:$A$1048576,0),MATCH(K$9,'01_FASTPPH'!$8:$8,0))</f>
        <v>#N/A</v>
      </c>
      <c r="L136" s="20" t="e">
        <f>INDEX('01_FASTPPH'!$9:$1048576,MATCH($A136,'01_FASTPPH'!$A$9:$A$1048576,0),MATCH(L$9,'01_FASTPPH'!$8:$8,0))</f>
        <v>#N/A</v>
      </c>
      <c r="M136" s="20" t="e">
        <f>INDEX('01_FASTPPH'!$9:$1048576,MATCH($A136,'01_FASTPPH'!$A$9:$A$1048576,0),MATCH(M$9,'01_FASTPPH'!$8:$8,0))</f>
        <v>#N/A</v>
      </c>
      <c r="N136" s="24" t="e">
        <f>INDEX('01_FASTPPH'!$9:$1048576,MATCH($A136,'01_FASTPPH'!$A$9:$A$1048576,0),MATCH(N$9,'01_FASTPPH'!$8:$8,0))</f>
        <v>#N/A</v>
      </c>
      <c r="O136" s="23" t="e">
        <f>INDEX('01_FASTPPH'!$9:$1048576,MATCH($A136,'01_FASTPPH'!$A$9:$A$1048576,0),MATCH(O$9,'01_FASTPPH'!$8:$8,0))</f>
        <v>#N/A</v>
      </c>
      <c r="P136" s="20" t="e">
        <f>INDEX('01_FASTPPH'!$9:$1048576,MATCH($A136,'01_FASTPPH'!$A$9:$A$1048576,0),MATCH(P$9,'01_FASTPPH'!$8:$8,0))</f>
        <v>#N/A</v>
      </c>
      <c r="Q136" s="20" t="e">
        <f>INDEX('01_FASTPPH'!$9:$1048576,MATCH($A136,'01_FASTPPH'!$A$9:$A$1048576,0),MATCH(Q$9,'01_FASTPPH'!$8:$8,0))</f>
        <v>#N/A</v>
      </c>
      <c r="R136" s="20" t="e">
        <f>INDEX('01_FASTPPH'!$9:$1048576,MATCH($A136,'01_FASTPPH'!$A$9:$A$1048576,0),MATCH(R$9,'01_FASTPPH'!$8:$8,0))</f>
        <v>#N/A</v>
      </c>
      <c r="S136" s="20" t="e">
        <f>INDEX('01_FASTPPH'!$9:$1048576,MATCH($A136,'01_FASTPPH'!$A$9:$A$1048576,0),MATCH(S$9,'01_FASTPPH'!$8:$8,0))</f>
        <v>#N/A</v>
      </c>
      <c r="T136" s="24" t="e">
        <f>INDEX('01_FASTPPH'!$9:$1048576,MATCH($A136,'01_FASTPPH'!$A$9:$A$1048576,0),MATCH(T$9,'01_FASTPPH'!$8:$8,0))</f>
        <v>#N/A</v>
      </c>
      <c r="U136" s="23" t="e">
        <f>INDEX('01_FASTPPH'!$9:$1048576,MATCH($A136,'01_FASTPPH'!$A$9:$A$1048576,0),MATCH(U$9,'01_FASTPPH'!$8:$8,0))</f>
        <v>#N/A</v>
      </c>
      <c r="V136" s="20" t="e">
        <f>INDEX('01_FASTPPH'!$9:$1048576,MATCH($A136,'01_FASTPPH'!$A$9:$A$1048576,0),MATCH(V$9,'01_FASTPPH'!$8:$8,0))</f>
        <v>#N/A</v>
      </c>
      <c r="W136" s="24" t="e">
        <f>INDEX('01_FASTPPH'!$9:$1048576,MATCH($A136,'01_FASTPPH'!$A$9:$A$1048576,0),MATCH(W$9,'01_FASTPPH'!$8:$8,0))</f>
        <v>#N/A</v>
      </c>
      <c r="X136" s="20" t="e">
        <f>INDEX('01_FASTPPH'!$9:$1048576,MATCH($A136,'01_FASTPPH'!$A$9:$A$1048576,0),MATCH(X$9,'01_FASTPPH'!$8:$8,0))</f>
        <v>#N/A</v>
      </c>
      <c r="Y136" s="20" t="e">
        <f>INDEX('01_FASTPPH'!$9:$1048576,MATCH($A136,'01_FASTPPH'!$A$9:$A$1048576,0),MATCH(Y$9,'01_FASTPPH'!$8:$8,0))</f>
        <v>#N/A</v>
      </c>
      <c r="AA136" s="32" t="e">
        <f>INDEX('02_PROPERTIES'!$C$10:$I$1048576,MATCH('03_CALCULATIONS'!$D136,'02_PROPERTIES'!$C$10:$C$1048576,0),MATCH('03_CALCULATIONS'!AA$9,'02_PROPERTIES'!$C$10:$I$10,0))</f>
        <v>#N/A</v>
      </c>
      <c r="AB136" s="20" t="e">
        <f>INDEX('02_PROPERTIES'!$C$10:$I$1048576,MATCH('03_CALCULATIONS'!$D136,'02_PROPERTIES'!$C$10:$C$1048576,0),MATCH('03_CALCULATIONS'!AB$9,'02_PROPERTIES'!$C$10:$I$10,0))</f>
        <v>#N/A</v>
      </c>
      <c r="AC136" s="20" t="e">
        <f>INDEX('02_PROPERTIES'!$C$10:$I$1048576,MATCH('03_CALCULATIONS'!$D136,'02_PROPERTIES'!$C$10:$C$1048576,0),MATCH('03_CALCULATIONS'!AC$9,'02_PROPERTIES'!$C$10:$I$10,0))</f>
        <v>#N/A</v>
      </c>
      <c r="AD136" s="20" t="e">
        <f>INDEX('02_PROPERTIES'!$C$10:$I$1048576,MATCH('03_CALCULATIONS'!$D136,'02_PROPERTIES'!$C$10:$C$1048576,0),MATCH('03_CALCULATIONS'!AD$9,'02_PROPERTIES'!$C$10:$I$10,0))</f>
        <v>#N/A</v>
      </c>
      <c r="AE136" s="32" t="e">
        <f>INDEX('02_PROPERTIES'!$C$10:$I$1048576,MATCH('03_CALCULATIONS'!$D136,'02_PROPERTIES'!$C$10:$C$1048576,0),MATCH('03_CALCULATIONS'!AE$9,'02_PROPERTIES'!$C$10:$I$10,0))</f>
        <v>#N/A</v>
      </c>
      <c r="AF136" s="32" t="e">
        <f>INDEX('02_PROPERTIES'!$C$10:$I$1048576,MATCH('03_CALCULATIONS'!$D136,'02_PROPERTIES'!$C$10:$C$1048576,0),MATCH('03_CALCULATIONS'!AF$9,'02_PROPERTIES'!$C$10:$I$10,0))</f>
        <v>#N/A</v>
      </c>
      <c r="AH136" s="20" t="e">
        <f t="shared" si="11"/>
        <v>#N/A</v>
      </c>
      <c r="AI136" s="20" t="e">
        <f t="shared" si="12"/>
        <v>#N/A</v>
      </c>
      <c r="AJ136" s="20" t="e">
        <f t="shared" si="13"/>
        <v>#N/A</v>
      </c>
      <c r="AL136" s="20" t="e">
        <f t="shared" si="14"/>
        <v>#N/A</v>
      </c>
      <c r="AM136" s="20" t="e">
        <f t="shared" si="15"/>
        <v>#N/A</v>
      </c>
      <c r="AN136" s="20" t="e">
        <f t="shared" si="16"/>
        <v>#N/A</v>
      </c>
      <c r="AO136" s="20" t="e">
        <f t="shared" si="17"/>
        <v>#N/A</v>
      </c>
      <c r="AP136" s="20" t="e">
        <f t="shared" si="18"/>
        <v>#N/A</v>
      </c>
      <c r="AR136" s="20" t="e">
        <f t="shared" si="19"/>
        <v>#N/A</v>
      </c>
      <c r="AS136" s="20" t="e">
        <f t="shared" si="20"/>
        <v>#N/A</v>
      </c>
      <c r="AT136" s="20" t="e">
        <f t="shared" si="21"/>
        <v>#N/A</v>
      </c>
    </row>
    <row r="137" spans="1:46" x14ac:dyDescent="0.3">
      <c r="A137" s="18"/>
      <c r="B137" s="20" t="e">
        <f>INDEX('01_FASTPPH'!$9:$1048576,MATCH($A137,'01_FASTPPH'!$A$9:$A$1048576,0),MATCH(B$9,'01_FASTPPH'!$8:$8,0))</f>
        <v>#N/A</v>
      </c>
      <c r="C137" s="20" t="e">
        <f>INDEX('01_FASTPPH'!$9:$1048576,MATCH($A137,'01_FASTPPH'!$A$9:$A$1048576,0),MATCH(C$9,'01_FASTPPH'!$8:$8,0))</f>
        <v>#N/A</v>
      </c>
      <c r="D137" s="20" t="e">
        <f>INDEX('01_FASTPPH'!$9:$1048576,MATCH($A137,'01_FASTPPH'!$A$9:$A$1048576,0),MATCH(D$9,'01_FASTPPH'!$8:$8,0))</f>
        <v>#N/A</v>
      </c>
      <c r="E137" s="20" t="e">
        <f>INDEX('01_FASTPPH'!$9:$1048576,MATCH($A137,'01_FASTPPH'!$A$9:$A$1048576,0),MATCH(E$9,'01_FASTPPH'!$8:$8,0))</f>
        <v>#N/A</v>
      </c>
      <c r="F137" s="20" t="e">
        <f>INDEX('01_FASTPPH'!$9:$1048576,MATCH($A137,'01_FASTPPH'!$A$9:$A$1048576,0),MATCH(F$9,'01_FASTPPH'!$8:$8,0))</f>
        <v>#N/A</v>
      </c>
      <c r="G137" s="20" t="e">
        <f>INDEX('01_FASTPPH'!$9:$1048576,MATCH($A137,'01_FASTPPH'!$A$9:$A$1048576,0),MATCH(G$9,'01_FASTPPH'!$8:$8,0))</f>
        <v>#N/A</v>
      </c>
      <c r="H137" s="20" t="e">
        <f>INDEX('01_FASTPPH'!$9:$1048576,MATCH($A137,'01_FASTPPH'!$A$9:$A$1048576,0),MATCH(H$9,'01_FASTPPH'!$8:$8,0))</f>
        <v>#N/A</v>
      </c>
      <c r="I137" s="20" t="e">
        <f>INDEX('01_FASTPPH'!$9:$1048576,MATCH($A137,'01_FASTPPH'!$A$9:$A$1048576,0),MATCH(I$9,'01_FASTPPH'!$8:$8,0))</f>
        <v>#N/A</v>
      </c>
      <c r="J137" s="20" t="e">
        <f>INDEX('01_FASTPPH'!$9:$1048576,MATCH($A137,'01_FASTPPH'!$A$9:$A$1048576,0),MATCH(J$9,'01_FASTPPH'!$8:$8,0))</f>
        <v>#N/A</v>
      </c>
      <c r="K137" s="23" t="e">
        <f>INDEX('01_FASTPPH'!$9:$1048576,MATCH($A137,'01_FASTPPH'!$A$9:$A$1048576,0),MATCH(K$9,'01_FASTPPH'!$8:$8,0))</f>
        <v>#N/A</v>
      </c>
      <c r="L137" s="20" t="e">
        <f>INDEX('01_FASTPPH'!$9:$1048576,MATCH($A137,'01_FASTPPH'!$A$9:$A$1048576,0),MATCH(L$9,'01_FASTPPH'!$8:$8,0))</f>
        <v>#N/A</v>
      </c>
      <c r="M137" s="20" t="e">
        <f>INDEX('01_FASTPPH'!$9:$1048576,MATCH($A137,'01_FASTPPH'!$A$9:$A$1048576,0),MATCH(M$9,'01_FASTPPH'!$8:$8,0))</f>
        <v>#N/A</v>
      </c>
      <c r="N137" s="24" t="e">
        <f>INDEX('01_FASTPPH'!$9:$1048576,MATCH($A137,'01_FASTPPH'!$A$9:$A$1048576,0),MATCH(N$9,'01_FASTPPH'!$8:$8,0))</f>
        <v>#N/A</v>
      </c>
      <c r="O137" s="23" t="e">
        <f>INDEX('01_FASTPPH'!$9:$1048576,MATCH($A137,'01_FASTPPH'!$A$9:$A$1048576,0),MATCH(O$9,'01_FASTPPH'!$8:$8,0))</f>
        <v>#N/A</v>
      </c>
      <c r="P137" s="20" t="e">
        <f>INDEX('01_FASTPPH'!$9:$1048576,MATCH($A137,'01_FASTPPH'!$A$9:$A$1048576,0),MATCH(P$9,'01_FASTPPH'!$8:$8,0))</f>
        <v>#N/A</v>
      </c>
      <c r="Q137" s="20" t="e">
        <f>INDEX('01_FASTPPH'!$9:$1048576,MATCH($A137,'01_FASTPPH'!$A$9:$A$1048576,0),MATCH(Q$9,'01_FASTPPH'!$8:$8,0))</f>
        <v>#N/A</v>
      </c>
      <c r="R137" s="20" t="e">
        <f>INDEX('01_FASTPPH'!$9:$1048576,MATCH($A137,'01_FASTPPH'!$A$9:$A$1048576,0),MATCH(R$9,'01_FASTPPH'!$8:$8,0))</f>
        <v>#N/A</v>
      </c>
      <c r="S137" s="20" t="e">
        <f>INDEX('01_FASTPPH'!$9:$1048576,MATCH($A137,'01_FASTPPH'!$A$9:$A$1048576,0),MATCH(S$9,'01_FASTPPH'!$8:$8,0))</f>
        <v>#N/A</v>
      </c>
      <c r="T137" s="24" t="e">
        <f>INDEX('01_FASTPPH'!$9:$1048576,MATCH($A137,'01_FASTPPH'!$A$9:$A$1048576,0),MATCH(T$9,'01_FASTPPH'!$8:$8,0))</f>
        <v>#N/A</v>
      </c>
      <c r="U137" s="23" t="e">
        <f>INDEX('01_FASTPPH'!$9:$1048576,MATCH($A137,'01_FASTPPH'!$A$9:$A$1048576,0),MATCH(U$9,'01_FASTPPH'!$8:$8,0))</f>
        <v>#N/A</v>
      </c>
      <c r="V137" s="20" t="e">
        <f>INDEX('01_FASTPPH'!$9:$1048576,MATCH($A137,'01_FASTPPH'!$A$9:$A$1048576,0),MATCH(V$9,'01_FASTPPH'!$8:$8,0))</f>
        <v>#N/A</v>
      </c>
      <c r="W137" s="24" t="e">
        <f>INDEX('01_FASTPPH'!$9:$1048576,MATCH($A137,'01_FASTPPH'!$A$9:$A$1048576,0),MATCH(W$9,'01_FASTPPH'!$8:$8,0))</f>
        <v>#N/A</v>
      </c>
      <c r="X137" s="20" t="e">
        <f>INDEX('01_FASTPPH'!$9:$1048576,MATCH($A137,'01_FASTPPH'!$A$9:$A$1048576,0),MATCH(X$9,'01_FASTPPH'!$8:$8,0))</f>
        <v>#N/A</v>
      </c>
      <c r="Y137" s="20" t="e">
        <f>INDEX('01_FASTPPH'!$9:$1048576,MATCH($A137,'01_FASTPPH'!$A$9:$A$1048576,0),MATCH(Y$9,'01_FASTPPH'!$8:$8,0))</f>
        <v>#N/A</v>
      </c>
      <c r="AA137" s="32" t="e">
        <f>INDEX('02_PROPERTIES'!$C$10:$I$1048576,MATCH('03_CALCULATIONS'!$D137,'02_PROPERTIES'!$C$10:$C$1048576,0),MATCH('03_CALCULATIONS'!AA$9,'02_PROPERTIES'!$C$10:$I$10,0))</f>
        <v>#N/A</v>
      </c>
      <c r="AB137" s="20" t="e">
        <f>INDEX('02_PROPERTIES'!$C$10:$I$1048576,MATCH('03_CALCULATIONS'!$D137,'02_PROPERTIES'!$C$10:$C$1048576,0),MATCH('03_CALCULATIONS'!AB$9,'02_PROPERTIES'!$C$10:$I$10,0))</f>
        <v>#N/A</v>
      </c>
      <c r="AC137" s="20" t="e">
        <f>INDEX('02_PROPERTIES'!$C$10:$I$1048576,MATCH('03_CALCULATIONS'!$D137,'02_PROPERTIES'!$C$10:$C$1048576,0),MATCH('03_CALCULATIONS'!AC$9,'02_PROPERTIES'!$C$10:$I$10,0))</f>
        <v>#N/A</v>
      </c>
      <c r="AD137" s="20" t="e">
        <f>INDEX('02_PROPERTIES'!$C$10:$I$1048576,MATCH('03_CALCULATIONS'!$D137,'02_PROPERTIES'!$C$10:$C$1048576,0),MATCH('03_CALCULATIONS'!AD$9,'02_PROPERTIES'!$C$10:$I$10,0))</f>
        <v>#N/A</v>
      </c>
      <c r="AE137" s="32" t="e">
        <f>INDEX('02_PROPERTIES'!$C$10:$I$1048576,MATCH('03_CALCULATIONS'!$D137,'02_PROPERTIES'!$C$10:$C$1048576,0),MATCH('03_CALCULATIONS'!AE$9,'02_PROPERTIES'!$C$10:$I$10,0))</f>
        <v>#N/A</v>
      </c>
      <c r="AF137" s="32" t="e">
        <f>INDEX('02_PROPERTIES'!$C$10:$I$1048576,MATCH('03_CALCULATIONS'!$D137,'02_PROPERTIES'!$C$10:$C$1048576,0),MATCH('03_CALCULATIONS'!AF$9,'02_PROPERTIES'!$C$10:$I$10,0))</f>
        <v>#N/A</v>
      </c>
      <c r="AH137" s="20" t="e">
        <f t="shared" si="11"/>
        <v>#N/A</v>
      </c>
      <c r="AI137" s="20" t="e">
        <f t="shared" si="12"/>
        <v>#N/A</v>
      </c>
      <c r="AJ137" s="20" t="e">
        <f t="shared" si="13"/>
        <v>#N/A</v>
      </c>
      <c r="AL137" s="20" t="e">
        <f t="shared" si="14"/>
        <v>#N/A</v>
      </c>
      <c r="AM137" s="20" t="e">
        <f t="shared" si="15"/>
        <v>#N/A</v>
      </c>
      <c r="AN137" s="20" t="e">
        <f t="shared" si="16"/>
        <v>#N/A</v>
      </c>
      <c r="AO137" s="20" t="e">
        <f t="shared" si="17"/>
        <v>#N/A</v>
      </c>
      <c r="AP137" s="20" t="e">
        <f t="shared" si="18"/>
        <v>#N/A</v>
      </c>
      <c r="AR137" s="20" t="e">
        <f t="shared" si="19"/>
        <v>#N/A</v>
      </c>
      <c r="AS137" s="20" t="e">
        <f t="shared" si="20"/>
        <v>#N/A</v>
      </c>
      <c r="AT137" s="20" t="e">
        <f t="shared" si="21"/>
        <v>#N/A</v>
      </c>
    </row>
    <row r="138" spans="1:46" x14ac:dyDescent="0.3">
      <c r="A138" s="18"/>
      <c r="B138" s="20" t="e">
        <f>INDEX('01_FASTPPH'!$9:$1048576,MATCH($A138,'01_FASTPPH'!$A$9:$A$1048576,0),MATCH(B$9,'01_FASTPPH'!$8:$8,0))</f>
        <v>#N/A</v>
      </c>
      <c r="C138" s="20" t="e">
        <f>INDEX('01_FASTPPH'!$9:$1048576,MATCH($A138,'01_FASTPPH'!$A$9:$A$1048576,0),MATCH(C$9,'01_FASTPPH'!$8:$8,0))</f>
        <v>#N/A</v>
      </c>
      <c r="D138" s="20" t="e">
        <f>INDEX('01_FASTPPH'!$9:$1048576,MATCH($A138,'01_FASTPPH'!$A$9:$A$1048576,0),MATCH(D$9,'01_FASTPPH'!$8:$8,0))</f>
        <v>#N/A</v>
      </c>
      <c r="E138" s="20" t="e">
        <f>INDEX('01_FASTPPH'!$9:$1048576,MATCH($A138,'01_FASTPPH'!$A$9:$A$1048576,0),MATCH(E$9,'01_FASTPPH'!$8:$8,0))</f>
        <v>#N/A</v>
      </c>
      <c r="F138" s="20" t="e">
        <f>INDEX('01_FASTPPH'!$9:$1048576,MATCH($A138,'01_FASTPPH'!$A$9:$A$1048576,0),MATCH(F$9,'01_FASTPPH'!$8:$8,0))</f>
        <v>#N/A</v>
      </c>
      <c r="G138" s="20" t="e">
        <f>INDEX('01_FASTPPH'!$9:$1048576,MATCH($A138,'01_FASTPPH'!$A$9:$A$1048576,0),MATCH(G$9,'01_FASTPPH'!$8:$8,0))</f>
        <v>#N/A</v>
      </c>
      <c r="H138" s="20" t="e">
        <f>INDEX('01_FASTPPH'!$9:$1048576,MATCH($A138,'01_FASTPPH'!$A$9:$A$1048576,0),MATCH(H$9,'01_FASTPPH'!$8:$8,0))</f>
        <v>#N/A</v>
      </c>
      <c r="I138" s="20" t="e">
        <f>INDEX('01_FASTPPH'!$9:$1048576,MATCH($A138,'01_FASTPPH'!$A$9:$A$1048576,0),MATCH(I$9,'01_FASTPPH'!$8:$8,0))</f>
        <v>#N/A</v>
      </c>
      <c r="J138" s="20" t="e">
        <f>INDEX('01_FASTPPH'!$9:$1048576,MATCH($A138,'01_FASTPPH'!$A$9:$A$1048576,0),MATCH(J$9,'01_FASTPPH'!$8:$8,0))</f>
        <v>#N/A</v>
      </c>
      <c r="K138" s="23" t="e">
        <f>INDEX('01_FASTPPH'!$9:$1048576,MATCH($A138,'01_FASTPPH'!$A$9:$A$1048576,0),MATCH(K$9,'01_FASTPPH'!$8:$8,0))</f>
        <v>#N/A</v>
      </c>
      <c r="L138" s="20" t="e">
        <f>INDEX('01_FASTPPH'!$9:$1048576,MATCH($A138,'01_FASTPPH'!$A$9:$A$1048576,0),MATCH(L$9,'01_FASTPPH'!$8:$8,0))</f>
        <v>#N/A</v>
      </c>
      <c r="M138" s="20" t="e">
        <f>INDEX('01_FASTPPH'!$9:$1048576,MATCH($A138,'01_FASTPPH'!$A$9:$A$1048576,0),MATCH(M$9,'01_FASTPPH'!$8:$8,0))</f>
        <v>#N/A</v>
      </c>
      <c r="N138" s="24" t="e">
        <f>INDEX('01_FASTPPH'!$9:$1048576,MATCH($A138,'01_FASTPPH'!$A$9:$A$1048576,0),MATCH(N$9,'01_FASTPPH'!$8:$8,0))</f>
        <v>#N/A</v>
      </c>
      <c r="O138" s="23" t="e">
        <f>INDEX('01_FASTPPH'!$9:$1048576,MATCH($A138,'01_FASTPPH'!$A$9:$A$1048576,0),MATCH(O$9,'01_FASTPPH'!$8:$8,0))</f>
        <v>#N/A</v>
      </c>
      <c r="P138" s="20" t="e">
        <f>INDEX('01_FASTPPH'!$9:$1048576,MATCH($A138,'01_FASTPPH'!$A$9:$A$1048576,0),MATCH(P$9,'01_FASTPPH'!$8:$8,0))</f>
        <v>#N/A</v>
      </c>
      <c r="Q138" s="20" t="e">
        <f>INDEX('01_FASTPPH'!$9:$1048576,MATCH($A138,'01_FASTPPH'!$A$9:$A$1048576,0),MATCH(Q$9,'01_FASTPPH'!$8:$8,0))</f>
        <v>#N/A</v>
      </c>
      <c r="R138" s="20" t="e">
        <f>INDEX('01_FASTPPH'!$9:$1048576,MATCH($A138,'01_FASTPPH'!$A$9:$A$1048576,0),MATCH(R$9,'01_FASTPPH'!$8:$8,0))</f>
        <v>#N/A</v>
      </c>
      <c r="S138" s="20" t="e">
        <f>INDEX('01_FASTPPH'!$9:$1048576,MATCH($A138,'01_FASTPPH'!$A$9:$A$1048576,0),MATCH(S$9,'01_FASTPPH'!$8:$8,0))</f>
        <v>#N/A</v>
      </c>
      <c r="T138" s="24" t="e">
        <f>INDEX('01_FASTPPH'!$9:$1048576,MATCH($A138,'01_FASTPPH'!$A$9:$A$1048576,0),MATCH(T$9,'01_FASTPPH'!$8:$8,0))</f>
        <v>#N/A</v>
      </c>
      <c r="U138" s="23" t="e">
        <f>INDEX('01_FASTPPH'!$9:$1048576,MATCH($A138,'01_FASTPPH'!$A$9:$A$1048576,0),MATCH(U$9,'01_FASTPPH'!$8:$8,0))</f>
        <v>#N/A</v>
      </c>
      <c r="V138" s="20" t="e">
        <f>INDEX('01_FASTPPH'!$9:$1048576,MATCH($A138,'01_FASTPPH'!$A$9:$A$1048576,0),MATCH(V$9,'01_FASTPPH'!$8:$8,0))</f>
        <v>#N/A</v>
      </c>
      <c r="W138" s="24" t="e">
        <f>INDEX('01_FASTPPH'!$9:$1048576,MATCH($A138,'01_FASTPPH'!$A$9:$A$1048576,0),MATCH(W$9,'01_FASTPPH'!$8:$8,0))</f>
        <v>#N/A</v>
      </c>
      <c r="X138" s="20" t="e">
        <f>INDEX('01_FASTPPH'!$9:$1048576,MATCH($A138,'01_FASTPPH'!$A$9:$A$1048576,0),MATCH(X$9,'01_FASTPPH'!$8:$8,0))</f>
        <v>#N/A</v>
      </c>
      <c r="Y138" s="20" t="e">
        <f>INDEX('01_FASTPPH'!$9:$1048576,MATCH($A138,'01_FASTPPH'!$A$9:$A$1048576,0),MATCH(Y$9,'01_FASTPPH'!$8:$8,0))</f>
        <v>#N/A</v>
      </c>
      <c r="AA138" s="32" t="e">
        <f>INDEX('02_PROPERTIES'!$C$10:$I$1048576,MATCH('03_CALCULATIONS'!$D138,'02_PROPERTIES'!$C$10:$C$1048576,0),MATCH('03_CALCULATIONS'!AA$9,'02_PROPERTIES'!$C$10:$I$10,0))</f>
        <v>#N/A</v>
      </c>
      <c r="AB138" s="20" t="e">
        <f>INDEX('02_PROPERTIES'!$C$10:$I$1048576,MATCH('03_CALCULATIONS'!$D138,'02_PROPERTIES'!$C$10:$C$1048576,0),MATCH('03_CALCULATIONS'!AB$9,'02_PROPERTIES'!$C$10:$I$10,0))</f>
        <v>#N/A</v>
      </c>
      <c r="AC138" s="20" t="e">
        <f>INDEX('02_PROPERTIES'!$C$10:$I$1048576,MATCH('03_CALCULATIONS'!$D138,'02_PROPERTIES'!$C$10:$C$1048576,0),MATCH('03_CALCULATIONS'!AC$9,'02_PROPERTIES'!$C$10:$I$10,0))</f>
        <v>#N/A</v>
      </c>
      <c r="AD138" s="20" t="e">
        <f>INDEX('02_PROPERTIES'!$C$10:$I$1048576,MATCH('03_CALCULATIONS'!$D138,'02_PROPERTIES'!$C$10:$C$1048576,0),MATCH('03_CALCULATIONS'!AD$9,'02_PROPERTIES'!$C$10:$I$10,0))</f>
        <v>#N/A</v>
      </c>
      <c r="AE138" s="32" t="e">
        <f>INDEX('02_PROPERTIES'!$C$10:$I$1048576,MATCH('03_CALCULATIONS'!$D138,'02_PROPERTIES'!$C$10:$C$1048576,0),MATCH('03_CALCULATIONS'!AE$9,'02_PROPERTIES'!$C$10:$I$10,0))</f>
        <v>#N/A</v>
      </c>
      <c r="AF138" s="32" t="e">
        <f>INDEX('02_PROPERTIES'!$C$10:$I$1048576,MATCH('03_CALCULATIONS'!$D138,'02_PROPERTIES'!$C$10:$C$1048576,0),MATCH('03_CALCULATIONS'!AF$9,'02_PROPERTIES'!$C$10:$I$10,0))</f>
        <v>#N/A</v>
      </c>
      <c r="AH138" s="20" t="e">
        <f t="shared" si="11"/>
        <v>#N/A</v>
      </c>
      <c r="AI138" s="20" t="e">
        <f t="shared" si="12"/>
        <v>#N/A</v>
      </c>
      <c r="AJ138" s="20" t="e">
        <f t="shared" si="13"/>
        <v>#N/A</v>
      </c>
      <c r="AL138" s="20" t="e">
        <f t="shared" si="14"/>
        <v>#N/A</v>
      </c>
      <c r="AM138" s="20" t="e">
        <f t="shared" si="15"/>
        <v>#N/A</v>
      </c>
      <c r="AN138" s="20" t="e">
        <f t="shared" si="16"/>
        <v>#N/A</v>
      </c>
      <c r="AO138" s="20" t="e">
        <f t="shared" si="17"/>
        <v>#N/A</v>
      </c>
      <c r="AP138" s="20" t="e">
        <f t="shared" si="18"/>
        <v>#N/A</v>
      </c>
      <c r="AR138" s="20" t="e">
        <f t="shared" si="19"/>
        <v>#N/A</v>
      </c>
      <c r="AS138" s="20" t="e">
        <f t="shared" si="20"/>
        <v>#N/A</v>
      </c>
      <c r="AT138" s="20" t="e">
        <f t="shared" si="21"/>
        <v>#N/A</v>
      </c>
    </row>
    <row r="139" spans="1:46" x14ac:dyDescent="0.3">
      <c r="A139" s="18"/>
      <c r="B139" s="20" t="e">
        <f>INDEX('01_FASTPPH'!$9:$1048576,MATCH($A139,'01_FASTPPH'!$A$9:$A$1048576,0),MATCH(B$9,'01_FASTPPH'!$8:$8,0))</f>
        <v>#N/A</v>
      </c>
      <c r="C139" s="20" t="e">
        <f>INDEX('01_FASTPPH'!$9:$1048576,MATCH($A139,'01_FASTPPH'!$A$9:$A$1048576,0),MATCH(C$9,'01_FASTPPH'!$8:$8,0))</f>
        <v>#N/A</v>
      </c>
      <c r="D139" s="20" t="e">
        <f>INDEX('01_FASTPPH'!$9:$1048576,MATCH($A139,'01_FASTPPH'!$A$9:$A$1048576,0),MATCH(D$9,'01_FASTPPH'!$8:$8,0))</f>
        <v>#N/A</v>
      </c>
      <c r="E139" s="20" t="e">
        <f>INDEX('01_FASTPPH'!$9:$1048576,MATCH($A139,'01_FASTPPH'!$A$9:$A$1048576,0),MATCH(E$9,'01_FASTPPH'!$8:$8,0))</f>
        <v>#N/A</v>
      </c>
      <c r="F139" s="20" t="e">
        <f>INDEX('01_FASTPPH'!$9:$1048576,MATCH($A139,'01_FASTPPH'!$A$9:$A$1048576,0),MATCH(F$9,'01_FASTPPH'!$8:$8,0))</f>
        <v>#N/A</v>
      </c>
      <c r="G139" s="20" t="e">
        <f>INDEX('01_FASTPPH'!$9:$1048576,MATCH($A139,'01_FASTPPH'!$A$9:$A$1048576,0),MATCH(G$9,'01_FASTPPH'!$8:$8,0))</f>
        <v>#N/A</v>
      </c>
      <c r="H139" s="20" t="e">
        <f>INDEX('01_FASTPPH'!$9:$1048576,MATCH($A139,'01_FASTPPH'!$A$9:$A$1048576,0),MATCH(H$9,'01_FASTPPH'!$8:$8,0))</f>
        <v>#N/A</v>
      </c>
      <c r="I139" s="20" t="e">
        <f>INDEX('01_FASTPPH'!$9:$1048576,MATCH($A139,'01_FASTPPH'!$A$9:$A$1048576,0),MATCH(I$9,'01_FASTPPH'!$8:$8,0))</f>
        <v>#N/A</v>
      </c>
      <c r="J139" s="20" t="e">
        <f>INDEX('01_FASTPPH'!$9:$1048576,MATCH($A139,'01_FASTPPH'!$A$9:$A$1048576,0),MATCH(J$9,'01_FASTPPH'!$8:$8,0))</f>
        <v>#N/A</v>
      </c>
      <c r="K139" s="23" t="e">
        <f>INDEX('01_FASTPPH'!$9:$1048576,MATCH($A139,'01_FASTPPH'!$A$9:$A$1048576,0),MATCH(K$9,'01_FASTPPH'!$8:$8,0))</f>
        <v>#N/A</v>
      </c>
      <c r="L139" s="20" t="e">
        <f>INDEX('01_FASTPPH'!$9:$1048576,MATCH($A139,'01_FASTPPH'!$A$9:$A$1048576,0),MATCH(L$9,'01_FASTPPH'!$8:$8,0))</f>
        <v>#N/A</v>
      </c>
      <c r="M139" s="20" t="e">
        <f>INDEX('01_FASTPPH'!$9:$1048576,MATCH($A139,'01_FASTPPH'!$A$9:$A$1048576,0),MATCH(M$9,'01_FASTPPH'!$8:$8,0))</f>
        <v>#N/A</v>
      </c>
      <c r="N139" s="24" t="e">
        <f>INDEX('01_FASTPPH'!$9:$1048576,MATCH($A139,'01_FASTPPH'!$A$9:$A$1048576,0),MATCH(N$9,'01_FASTPPH'!$8:$8,0))</f>
        <v>#N/A</v>
      </c>
      <c r="O139" s="23" t="e">
        <f>INDEX('01_FASTPPH'!$9:$1048576,MATCH($A139,'01_FASTPPH'!$A$9:$A$1048576,0),MATCH(O$9,'01_FASTPPH'!$8:$8,0))</f>
        <v>#N/A</v>
      </c>
      <c r="P139" s="20" t="e">
        <f>INDEX('01_FASTPPH'!$9:$1048576,MATCH($A139,'01_FASTPPH'!$A$9:$A$1048576,0),MATCH(P$9,'01_FASTPPH'!$8:$8,0))</f>
        <v>#N/A</v>
      </c>
      <c r="Q139" s="20" t="e">
        <f>INDEX('01_FASTPPH'!$9:$1048576,MATCH($A139,'01_FASTPPH'!$A$9:$A$1048576,0),MATCH(Q$9,'01_FASTPPH'!$8:$8,0))</f>
        <v>#N/A</v>
      </c>
      <c r="R139" s="20" t="e">
        <f>INDEX('01_FASTPPH'!$9:$1048576,MATCH($A139,'01_FASTPPH'!$A$9:$A$1048576,0),MATCH(R$9,'01_FASTPPH'!$8:$8,0))</f>
        <v>#N/A</v>
      </c>
      <c r="S139" s="20" t="e">
        <f>INDEX('01_FASTPPH'!$9:$1048576,MATCH($A139,'01_FASTPPH'!$A$9:$A$1048576,0),MATCH(S$9,'01_FASTPPH'!$8:$8,0))</f>
        <v>#N/A</v>
      </c>
      <c r="T139" s="24" t="e">
        <f>INDEX('01_FASTPPH'!$9:$1048576,MATCH($A139,'01_FASTPPH'!$A$9:$A$1048576,0),MATCH(T$9,'01_FASTPPH'!$8:$8,0))</f>
        <v>#N/A</v>
      </c>
      <c r="U139" s="23" t="e">
        <f>INDEX('01_FASTPPH'!$9:$1048576,MATCH($A139,'01_FASTPPH'!$A$9:$A$1048576,0),MATCH(U$9,'01_FASTPPH'!$8:$8,0))</f>
        <v>#N/A</v>
      </c>
      <c r="V139" s="20" t="e">
        <f>INDEX('01_FASTPPH'!$9:$1048576,MATCH($A139,'01_FASTPPH'!$A$9:$A$1048576,0),MATCH(V$9,'01_FASTPPH'!$8:$8,0))</f>
        <v>#N/A</v>
      </c>
      <c r="W139" s="24" t="e">
        <f>INDEX('01_FASTPPH'!$9:$1048576,MATCH($A139,'01_FASTPPH'!$A$9:$A$1048576,0),MATCH(W$9,'01_FASTPPH'!$8:$8,0))</f>
        <v>#N/A</v>
      </c>
      <c r="X139" s="20" t="e">
        <f>INDEX('01_FASTPPH'!$9:$1048576,MATCH($A139,'01_FASTPPH'!$A$9:$A$1048576,0),MATCH(X$9,'01_FASTPPH'!$8:$8,0))</f>
        <v>#N/A</v>
      </c>
      <c r="Y139" s="20" t="e">
        <f>INDEX('01_FASTPPH'!$9:$1048576,MATCH($A139,'01_FASTPPH'!$A$9:$A$1048576,0),MATCH(Y$9,'01_FASTPPH'!$8:$8,0))</f>
        <v>#N/A</v>
      </c>
      <c r="AA139" s="32" t="e">
        <f>INDEX('02_PROPERTIES'!$C$10:$I$1048576,MATCH('03_CALCULATIONS'!$D139,'02_PROPERTIES'!$C$10:$C$1048576,0),MATCH('03_CALCULATIONS'!AA$9,'02_PROPERTIES'!$C$10:$I$10,0))</f>
        <v>#N/A</v>
      </c>
      <c r="AB139" s="20" t="e">
        <f>INDEX('02_PROPERTIES'!$C$10:$I$1048576,MATCH('03_CALCULATIONS'!$D139,'02_PROPERTIES'!$C$10:$C$1048576,0),MATCH('03_CALCULATIONS'!AB$9,'02_PROPERTIES'!$C$10:$I$10,0))</f>
        <v>#N/A</v>
      </c>
      <c r="AC139" s="20" t="e">
        <f>INDEX('02_PROPERTIES'!$C$10:$I$1048576,MATCH('03_CALCULATIONS'!$D139,'02_PROPERTIES'!$C$10:$C$1048576,0),MATCH('03_CALCULATIONS'!AC$9,'02_PROPERTIES'!$C$10:$I$10,0))</f>
        <v>#N/A</v>
      </c>
      <c r="AD139" s="20" t="e">
        <f>INDEX('02_PROPERTIES'!$C$10:$I$1048576,MATCH('03_CALCULATIONS'!$D139,'02_PROPERTIES'!$C$10:$C$1048576,0),MATCH('03_CALCULATIONS'!AD$9,'02_PROPERTIES'!$C$10:$I$10,0))</f>
        <v>#N/A</v>
      </c>
      <c r="AE139" s="32" t="e">
        <f>INDEX('02_PROPERTIES'!$C$10:$I$1048576,MATCH('03_CALCULATIONS'!$D139,'02_PROPERTIES'!$C$10:$C$1048576,0),MATCH('03_CALCULATIONS'!AE$9,'02_PROPERTIES'!$C$10:$I$10,0))</f>
        <v>#N/A</v>
      </c>
      <c r="AF139" s="32" t="e">
        <f>INDEX('02_PROPERTIES'!$C$10:$I$1048576,MATCH('03_CALCULATIONS'!$D139,'02_PROPERTIES'!$C$10:$C$1048576,0),MATCH('03_CALCULATIONS'!AF$9,'02_PROPERTIES'!$C$10:$I$10,0))</f>
        <v>#N/A</v>
      </c>
      <c r="AH139" s="20" t="e">
        <f t="shared" ref="AH139:AH202" si="22">O139+SIGN(O139)*ABS(AF139*6*U139/AA139)</f>
        <v>#N/A</v>
      </c>
      <c r="AI139" s="20" t="e">
        <f t="shared" ref="AI139:AI202" si="23">Q139+SIGN(Q139)*ABS(AF139*6*V139/AA139)</f>
        <v>#N/A</v>
      </c>
      <c r="AJ139" s="20" t="e">
        <f t="shared" ref="AJ139:AJ202" si="24">S139+SIGN(S139)*ABS(AF139*6*W139/AA139)</f>
        <v>#N/A</v>
      </c>
      <c r="AL139" s="20" t="e">
        <f t="shared" ref="AL139:AL202" si="25">(AH139/(AB139*AA139)-AI139*AE139/(AB139*AA139))*1000000</f>
        <v>#N/A</v>
      </c>
      <c r="AM139" s="20" t="e">
        <f t="shared" ref="AM139:AM202" si="26">(AI139/(AC139*AA139)-AH139*AE139/(AC139*AA139))*1000000</f>
        <v>#N/A</v>
      </c>
      <c r="AN139" s="20" t="e">
        <f t="shared" ref="AN139:AN202" si="27">0.5*(AJ139/(AD139*AA139))*1000000</f>
        <v>#N/A</v>
      </c>
      <c r="AO139" s="20" t="e">
        <f t="shared" ref="AO139:AO202" si="28">0.5*(AL139+AM139+AN139)</f>
        <v>#N/A</v>
      </c>
      <c r="AP139" s="20" t="e">
        <f t="shared" ref="AP139:AP202" si="29">0.5*(AL139+AM139-AN139)</f>
        <v>#N/A</v>
      </c>
      <c r="AR139" s="20" t="e">
        <f t="shared" ref="AR139:AR202" si="30">0.5*(AL139+AM139)+SQRT(0.25*(AL139-AM139)^2+0.25*AN139^2)</f>
        <v>#N/A</v>
      </c>
      <c r="AS139" s="20" t="e">
        <f t="shared" ref="AS139:AS202" si="31">0.5*(AL139+AM139)-SQRT(0.25*(AL139-AM139)^2+0.25*AN139^2)</f>
        <v>#N/A</v>
      </c>
      <c r="AT139" s="20" t="e">
        <f t="shared" ref="AT139:AT202" si="32">0.5*SQRT((AL139-AM139)^2+(2*AN139)^2)</f>
        <v>#N/A</v>
      </c>
    </row>
    <row r="140" spans="1:46" x14ac:dyDescent="0.3">
      <c r="A140" s="18"/>
      <c r="B140" s="20" t="e">
        <f>INDEX('01_FASTPPH'!$9:$1048576,MATCH($A140,'01_FASTPPH'!$A$9:$A$1048576,0),MATCH(B$9,'01_FASTPPH'!$8:$8,0))</f>
        <v>#N/A</v>
      </c>
      <c r="C140" s="20" t="e">
        <f>INDEX('01_FASTPPH'!$9:$1048576,MATCH($A140,'01_FASTPPH'!$A$9:$A$1048576,0),MATCH(C$9,'01_FASTPPH'!$8:$8,0))</f>
        <v>#N/A</v>
      </c>
      <c r="D140" s="20" t="e">
        <f>INDEX('01_FASTPPH'!$9:$1048576,MATCH($A140,'01_FASTPPH'!$A$9:$A$1048576,0),MATCH(D$9,'01_FASTPPH'!$8:$8,0))</f>
        <v>#N/A</v>
      </c>
      <c r="E140" s="20" t="e">
        <f>INDEX('01_FASTPPH'!$9:$1048576,MATCH($A140,'01_FASTPPH'!$A$9:$A$1048576,0),MATCH(E$9,'01_FASTPPH'!$8:$8,0))</f>
        <v>#N/A</v>
      </c>
      <c r="F140" s="20" t="e">
        <f>INDEX('01_FASTPPH'!$9:$1048576,MATCH($A140,'01_FASTPPH'!$A$9:$A$1048576,0),MATCH(F$9,'01_FASTPPH'!$8:$8,0))</f>
        <v>#N/A</v>
      </c>
      <c r="G140" s="20" t="e">
        <f>INDEX('01_FASTPPH'!$9:$1048576,MATCH($A140,'01_FASTPPH'!$A$9:$A$1048576,0),MATCH(G$9,'01_FASTPPH'!$8:$8,0))</f>
        <v>#N/A</v>
      </c>
      <c r="H140" s="20" t="e">
        <f>INDEX('01_FASTPPH'!$9:$1048576,MATCH($A140,'01_FASTPPH'!$A$9:$A$1048576,0),MATCH(H$9,'01_FASTPPH'!$8:$8,0))</f>
        <v>#N/A</v>
      </c>
      <c r="I140" s="20" t="e">
        <f>INDEX('01_FASTPPH'!$9:$1048576,MATCH($A140,'01_FASTPPH'!$A$9:$A$1048576,0),MATCH(I$9,'01_FASTPPH'!$8:$8,0))</f>
        <v>#N/A</v>
      </c>
      <c r="J140" s="20" t="e">
        <f>INDEX('01_FASTPPH'!$9:$1048576,MATCH($A140,'01_FASTPPH'!$A$9:$A$1048576,0),MATCH(J$9,'01_FASTPPH'!$8:$8,0))</f>
        <v>#N/A</v>
      </c>
      <c r="K140" s="23" t="e">
        <f>INDEX('01_FASTPPH'!$9:$1048576,MATCH($A140,'01_FASTPPH'!$A$9:$A$1048576,0),MATCH(K$9,'01_FASTPPH'!$8:$8,0))</f>
        <v>#N/A</v>
      </c>
      <c r="L140" s="20" t="e">
        <f>INDEX('01_FASTPPH'!$9:$1048576,MATCH($A140,'01_FASTPPH'!$A$9:$A$1048576,0),MATCH(L$9,'01_FASTPPH'!$8:$8,0))</f>
        <v>#N/A</v>
      </c>
      <c r="M140" s="20" t="e">
        <f>INDEX('01_FASTPPH'!$9:$1048576,MATCH($A140,'01_FASTPPH'!$A$9:$A$1048576,0),MATCH(M$9,'01_FASTPPH'!$8:$8,0))</f>
        <v>#N/A</v>
      </c>
      <c r="N140" s="24" t="e">
        <f>INDEX('01_FASTPPH'!$9:$1048576,MATCH($A140,'01_FASTPPH'!$A$9:$A$1048576,0),MATCH(N$9,'01_FASTPPH'!$8:$8,0))</f>
        <v>#N/A</v>
      </c>
      <c r="O140" s="23" t="e">
        <f>INDEX('01_FASTPPH'!$9:$1048576,MATCH($A140,'01_FASTPPH'!$A$9:$A$1048576,0),MATCH(O$9,'01_FASTPPH'!$8:$8,0))</f>
        <v>#N/A</v>
      </c>
      <c r="P140" s="20" t="e">
        <f>INDEX('01_FASTPPH'!$9:$1048576,MATCH($A140,'01_FASTPPH'!$A$9:$A$1048576,0),MATCH(P$9,'01_FASTPPH'!$8:$8,0))</f>
        <v>#N/A</v>
      </c>
      <c r="Q140" s="20" t="e">
        <f>INDEX('01_FASTPPH'!$9:$1048576,MATCH($A140,'01_FASTPPH'!$A$9:$A$1048576,0),MATCH(Q$9,'01_FASTPPH'!$8:$8,0))</f>
        <v>#N/A</v>
      </c>
      <c r="R140" s="20" t="e">
        <f>INDEX('01_FASTPPH'!$9:$1048576,MATCH($A140,'01_FASTPPH'!$A$9:$A$1048576,0),MATCH(R$9,'01_FASTPPH'!$8:$8,0))</f>
        <v>#N/A</v>
      </c>
      <c r="S140" s="20" t="e">
        <f>INDEX('01_FASTPPH'!$9:$1048576,MATCH($A140,'01_FASTPPH'!$A$9:$A$1048576,0),MATCH(S$9,'01_FASTPPH'!$8:$8,0))</f>
        <v>#N/A</v>
      </c>
      <c r="T140" s="24" t="e">
        <f>INDEX('01_FASTPPH'!$9:$1048576,MATCH($A140,'01_FASTPPH'!$A$9:$A$1048576,0),MATCH(T$9,'01_FASTPPH'!$8:$8,0))</f>
        <v>#N/A</v>
      </c>
      <c r="U140" s="23" t="e">
        <f>INDEX('01_FASTPPH'!$9:$1048576,MATCH($A140,'01_FASTPPH'!$A$9:$A$1048576,0),MATCH(U$9,'01_FASTPPH'!$8:$8,0))</f>
        <v>#N/A</v>
      </c>
      <c r="V140" s="20" t="e">
        <f>INDEX('01_FASTPPH'!$9:$1048576,MATCH($A140,'01_FASTPPH'!$A$9:$A$1048576,0),MATCH(V$9,'01_FASTPPH'!$8:$8,0))</f>
        <v>#N/A</v>
      </c>
      <c r="W140" s="24" t="e">
        <f>INDEX('01_FASTPPH'!$9:$1048576,MATCH($A140,'01_FASTPPH'!$A$9:$A$1048576,0),MATCH(W$9,'01_FASTPPH'!$8:$8,0))</f>
        <v>#N/A</v>
      </c>
      <c r="X140" s="20" t="e">
        <f>INDEX('01_FASTPPH'!$9:$1048576,MATCH($A140,'01_FASTPPH'!$A$9:$A$1048576,0),MATCH(X$9,'01_FASTPPH'!$8:$8,0))</f>
        <v>#N/A</v>
      </c>
      <c r="Y140" s="20" t="e">
        <f>INDEX('01_FASTPPH'!$9:$1048576,MATCH($A140,'01_FASTPPH'!$A$9:$A$1048576,0),MATCH(Y$9,'01_FASTPPH'!$8:$8,0))</f>
        <v>#N/A</v>
      </c>
      <c r="AA140" s="32" t="e">
        <f>INDEX('02_PROPERTIES'!$C$10:$I$1048576,MATCH('03_CALCULATIONS'!$D140,'02_PROPERTIES'!$C$10:$C$1048576,0),MATCH('03_CALCULATIONS'!AA$9,'02_PROPERTIES'!$C$10:$I$10,0))</f>
        <v>#N/A</v>
      </c>
      <c r="AB140" s="20" t="e">
        <f>INDEX('02_PROPERTIES'!$C$10:$I$1048576,MATCH('03_CALCULATIONS'!$D140,'02_PROPERTIES'!$C$10:$C$1048576,0),MATCH('03_CALCULATIONS'!AB$9,'02_PROPERTIES'!$C$10:$I$10,0))</f>
        <v>#N/A</v>
      </c>
      <c r="AC140" s="20" t="e">
        <f>INDEX('02_PROPERTIES'!$C$10:$I$1048576,MATCH('03_CALCULATIONS'!$D140,'02_PROPERTIES'!$C$10:$C$1048576,0),MATCH('03_CALCULATIONS'!AC$9,'02_PROPERTIES'!$C$10:$I$10,0))</f>
        <v>#N/A</v>
      </c>
      <c r="AD140" s="20" t="e">
        <f>INDEX('02_PROPERTIES'!$C$10:$I$1048576,MATCH('03_CALCULATIONS'!$D140,'02_PROPERTIES'!$C$10:$C$1048576,0),MATCH('03_CALCULATIONS'!AD$9,'02_PROPERTIES'!$C$10:$I$10,0))</f>
        <v>#N/A</v>
      </c>
      <c r="AE140" s="32" t="e">
        <f>INDEX('02_PROPERTIES'!$C$10:$I$1048576,MATCH('03_CALCULATIONS'!$D140,'02_PROPERTIES'!$C$10:$C$1048576,0),MATCH('03_CALCULATIONS'!AE$9,'02_PROPERTIES'!$C$10:$I$10,0))</f>
        <v>#N/A</v>
      </c>
      <c r="AF140" s="32" t="e">
        <f>INDEX('02_PROPERTIES'!$C$10:$I$1048576,MATCH('03_CALCULATIONS'!$D140,'02_PROPERTIES'!$C$10:$C$1048576,0),MATCH('03_CALCULATIONS'!AF$9,'02_PROPERTIES'!$C$10:$I$10,0))</f>
        <v>#N/A</v>
      </c>
      <c r="AH140" s="20" t="e">
        <f t="shared" si="22"/>
        <v>#N/A</v>
      </c>
      <c r="AI140" s="20" t="e">
        <f t="shared" si="23"/>
        <v>#N/A</v>
      </c>
      <c r="AJ140" s="20" t="e">
        <f t="shared" si="24"/>
        <v>#N/A</v>
      </c>
      <c r="AL140" s="20" t="e">
        <f t="shared" si="25"/>
        <v>#N/A</v>
      </c>
      <c r="AM140" s="20" t="e">
        <f t="shared" si="26"/>
        <v>#N/A</v>
      </c>
      <c r="AN140" s="20" t="e">
        <f t="shared" si="27"/>
        <v>#N/A</v>
      </c>
      <c r="AO140" s="20" t="e">
        <f t="shared" si="28"/>
        <v>#N/A</v>
      </c>
      <c r="AP140" s="20" t="e">
        <f t="shared" si="29"/>
        <v>#N/A</v>
      </c>
      <c r="AR140" s="20" t="e">
        <f t="shared" si="30"/>
        <v>#N/A</v>
      </c>
      <c r="AS140" s="20" t="e">
        <f t="shared" si="31"/>
        <v>#N/A</v>
      </c>
      <c r="AT140" s="20" t="e">
        <f t="shared" si="32"/>
        <v>#N/A</v>
      </c>
    </row>
    <row r="141" spans="1:46" x14ac:dyDescent="0.3">
      <c r="A141" s="18"/>
      <c r="B141" s="20" t="e">
        <f>INDEX('01_FASTPPH'!$9:$1048576,MATCH($A141,'01_FASTPPH'!$A$9:$A$1048576,0),MATCH(B$9,'01_FASTPPH'!$8:$8,0))</f>
        <v>#N/A</v>
      </c>
      <c r="C141" s="20" t="e">
        <f>INDEX('01_FASTPPH'!$9:$1048576,MATCH($A141,'01_FASTPPH'!$A$9:$A$1048576,0),MATCH(C$9,'01_FASTPPH'!$8:$8,0))</f>
        <v>#N/A</v>
      </c>
      <c r="D141" s="20" t="e">
        <f>INDEX('01_FASTPPH'!$9:$1048576,MATCH($A141,'01_FASTPPH'!$A$9:$A$1048576,0),MATCH(D$9,'01_FASTPPH'!$8:$8,0))</f>
        <v>#N/A</v>
      </c>
      <c r="E141" s="20" t="e">
        <f>INDEX('01_FASTPPH'!$9:$1048576,MATCH($A141,'01_FASTPPH'!$A$9:$A$1048576,0),MATCH(E$9,'01_FASTPPH'!$8:$8,0))</f>
        <v>#N/A</v>
      </c>
      <c r="F141" s="20" t="e">
        <f>INDEX('01_FASTPPH'!$9:$1048576,MATCH($A141,'01_FASTPPH'!$A$9:$A$1048576,0),MATCH(F$9,'01_FASTPPH'!$8:$8,0))</f>
        <v>#N/A</v>
      </c>
      <c r="G141" s="20" t="e">
        <f>INDEX('01_FASTPPH'!$9:$1048576,MATCH($A141,'01_FASTPPH'!$A$9:$A$1048576,0),MATCH(G$9,'01_FASTPPH'!$8:$8,0))</f>
        <v>#N/A</v>
      </c>
      <c r="H141" s="20" t="e">
        <f>INDEX('01_FASTPPH'!$9:$1048576,MATCH($A141,'01_FASTPPH'!$A$9:$A$1048576,0),MATCH(H$9,'01_FASTPPH'!$8:$8,0))</f>
        <v>#N/A</v>
      </c>
      <c r="I141" s="20" t="e">
        <f>INDEX('01_FASTPPH'!$9:$1048576,MATCH($A141,'01_FASTPPH'!$A$9:$A$1048576,0),MATCH(I$9,'01_FASTPPH'!$8:$8,0))</f>
        <v>#N/A</v>
      </c>
      <c r="J141" s="20" t="e">
        <f>INDEX('01_FASTPPH'!$9:$1048576,MATCH($A141,'01_FASTPPH'!$A$9:$A$1048576,0),MATCH(J$9,'01_FASTPPH'!$8:$8,0))</f>
        <v>#N/A</v>
      </c>
      <c r="K141" s="23" t="e">
        <f>INDEX('01_FASTPPH'!$9:$1048576,MATCH($A141,'01_FASTPPH'!$A$9:$A$1048576,0),MATCH(K$9,'01_FASTPPH'!$8:$8,0))</f>
        <v>#N/A</v>
      </c>
      <c r="L141" s="20" t="e">
        <f>INDEX('01_FASTPPH'!$9:$1048576,MATCH($A141,'01_FASTPPH'!$A$9:$A$1048576,0),MATCH(L$9,'01_FASTPPH'!$8:$8,0))</f>
        <v>#N/A</v>
      </c>
      <c r="M141" s="20" t="e">
        <f>INDEX('01_FASTPPH'!$9:$1048576,MATCH($A141,'01_FASTPPH'!$A$9:$A$1048576,0),MATCH(M$9,'01_FASTPPH'!$8:$8,0))</f>
        <v>#N/A</v>
      </c>
      <c r="N141" s="24" t="e">
        <f>INDEX('01_FASTPPH'!$9:$1048576,MATCH($A141,'01_FASTPPH'!$A$9:$A$1048576,0),MATCH(N$9,'01_FASTPPH'!$8:$8,0))</f>
        <v>#N/A</v>
      </c>
      <c r="O141" s="23" t="e">
        <f>INDEX('01_FASTPPH'!$9:$1048576,MATCH($A141,'01_FASTPPH'!$A$9:$A$1048576,0),MATCH(O$9,'01_FASTPPH'!$8:$8,0))</f>
        <v>#N/A</v>
      </c>
      <c r="P141" s="20" t="e">
        <f>INDEX('01_FASTPPH'!$9:$1048576,MATCH($A141,'01_FASTPPH'!$A$9:$A$1048576,0),MATCH(P$9,'01_FASTPPH'!$8:$8,0))</f>
        <v>#N/A</v>
      </c>
      <c r="Q141" s="20" t="e">
        <f>INDEX('01_FASTPPH'!$9:$1048576,MATCH($A141,'01_FASTPPH'!$A$9:$A$1048576,0),MATCH(Q$9,'01_FASTPPH'!$8:$8,0))</f>
        <v>#N/A</v>
      </c>
      <c r="R141" s="20" t="e">
        <f>INDEX('01_FASTPPH'!$9:$1048576,MATCH($A141,'01_FASTPPH'!$A$9:$A$1048576,0),MATCH(R$9,'01_FASTPPH'!$8:$8,0))</f>
        <v>#N/A</v>
      </c>
      <c r="S141" s="20" t="e">
        <f>INDEX('01_FASTPPH'!$9:$1048576,MATCH($A141,'01_FASTPPH'!$A$9:$A$1048576,0),MATCH(S$9,'01_FASTPPH'!$8:$8,0))</f>
        <v>#N/A</v>
      </c>
      <c r="T141" s="24" t="e">
        <f>INDEX('01_FASTPPH'!$9:$1048576,MATCH($A141,'01_FASTPPH'!$A$9:$A$1048576,0),MATCH(T$9,'01_FASTPPH'!$8:$8,0))</f>
        <v>#N/A</v>
      </c>
      <c r="U141" s="23" t="e">
        <f>INDEX('01_FASTPPH'!$9:$1048576,MATCH($A141,'01_FASTPPH'!$A$9:$A$1048576,0),MATCH(U$9,'01_FASTPPH'!$8:$8,0))</f>
        <v>#N/A</v>
      </c>
      <c r="V141" s="20" t="e">
        <f>INDEX('01_FASTPPH'!$9:$1048576,MATCH($A141,'01_FASTPPH'!$A$9:$A$1048576,0),MATCH(V$9,'01_FASTPPH'!$8:$8,0))</f>
        <v>#N/A</v>
      </c>
      <c r="W141" s="24" t="e">
        <f>INDEX('01_FASTPPH'!$9:$1048576,MATCH($A141,'01_FASTPPH'!$A$9:$A$1048576,0),MATCH(W$9,'01_FASTPPH'!$8:$8,0))</f>
        <v>#N/A</v>
      </c>
      <c r="X141" s="20" t="e">
        <f>INDEX('01_FASTPPH'!$9:$1048576,MATCH($A141,'01_FASTPPH'!$A$9:$A$1048576,0),MATCH(X$9,'01_FASTPPH'!$8:$8,0))</f>
        <v>#N/A</v>
      </c>
      <c r="Y141" s="20" t="e">
        <f>INDEX('01_FASTPPH'!$9:$1048576,MATCH($A141,'01_FASTPPH'!$A$9:$A$1048576,0),MATCH(Y$9,'01_FASTPPH'!$8:$8,0))</f>
        <v>#N/A</v>
      </c>
      <c r="AA141" s="32" t="e">
        <f>INDEX('02_PROPERTIES'!$C$10:$I$1048576,MATCH('03_CALCULATIONS'!$D141,'02_PROPERTIES'!$C$10:$C$1048576,0),MATCH('03_CALCULATIONS'!AA$9,'02_PROPERTIES'!$C$10:$I$10,0))</f>
        <v>#N/A</v>
      </c>
      <c r="AB141" s="20" t="e">
        <f>INDEX('02_PROPERTIES'!$C$10:$I$1048576,MATCH('03_CALCULATIONS'!$D141,'02_PROPERTIES'!$C$10:$C$1048576,0),MATCH('03_CALCULATIONS'!AB$9,'02_PROPERTIES'!$C$10:$I$10,0))</f>
        <v>#N/A</v>
      </c>
      <c r="AC141" s="20" t="e">
        <f>INDEX('02_PROPERTIES'!$C$10:$I$1048576,MATCH('03_CALCULATIONS'!$D141,'02_PROPERTIES'!$C$10:$C$1048576,0),MATCH('03_CALCULATIONS'!AC$9,'02_PROPERTIES'!$C$10:$I$10,0))</f>
        <v>#N/A</v>
      </c>
      <c r="AD141" s="20" t="e">
        <f>INDEX('02_PROPERTIES'!$C$10:$I$1048576,MATCH('03_CALCULATIONS'!$D141,'02_PROPERTIES'!$C$10:$C$1048576,0),MATCH('03_CALCULATIONS'!AD$9,'02_PROPERTIES'!$C$10:$I$10,0))</f>
        <v>#N/A</v>
      </c>
      <c r="AE141" s="32" t="e">
        <f>INDEX('02_PROPERTIES'!$C$10:$I$1048576,MATCH('03_CALCULATIONS'!$D141,'02_PROPERTIES'!$C$10:$C$1048576,0),MATCH('03_CALCULATIONS'!AE$9,'02_PROPERTIES'!$C$10:$I$10,0))</f>
        <v>#N/A</v>
      </c>
      <c r="AF141" s="32" t="e">
        <f>INDEX('02_PROPERTIES'!$C$10:$I$1048576,MATCH('03_CALCULATIONS'!$D141,'02_PROPERTIES'!$C$10:$C$1048576,0),MATCH('03_CALCULATIONS'!AF$9,'02_PROPERTIES'!$C$10:$I$10,0))</f>
        <v>#N/A</v>
      </c>
      <c r="AH141" s="20" t="e">
        <f t="shared" si="22"/>
        <v>#N/A</v>
      </c>
      <c r="AI141" s="20" t="e">
        <f t="shared" si="23"/>
        <v>#N/A</v>
      </c>
      <c r="AJ141" s="20" t="e">
        <f t="shared" si="24"/>
        <v>#N/A</v>
      </c>
      <c r="AL141" s="20" t="e">
        <f t="shared" si="25"/>
        <v>#N/A</v>
      </c>
      <c r="AM141" s="20" t="e">
        <f t="shared" si="26"/>
        <v>#N/A</v>
      </c>
      <c r="AN141" s="20" t="e">
        <f t="shared" si="27"/>
        <v>#N/A</v>
      </c>
      <c r="AO141" s="20" t="e">
        <f t="shared" si="28"/>
        <v>#N/A</v>
      </c>
      <c r="AP141" s="20" t="e">
        <f t="shared" si="29"/>
        <v>#N/A</v>
      </c>
      <c r="AR141" s="20" t="e">
        <f t="shared" si="30"/>
        <v>#N/A</v>
      </c>
      <c r="AS141" s="20" t="e">
        <f t="shared" si="31"/>
        <v>#N/A</v>
      </c>
      <c r="AT141" s="20" t="e">
        <f t="shared" si="32"/>
        <v>#N/A</v>
      </c>
    </row>
    <row r="142" spans="1:46" x14ac:dyDescent="0.3">
      <c r="A142" s="18"/>
      <c r="B142" s="20" t="e">
        <f>INDEX('01_FASTPPH'!$9:$1048576,MATCH($A142,'01_FASTPPH'!$A$9:$A$1048576,0),MATCH(B$9,'01_FASTPPH'!$8:$8,0))</f>
        <v>#N/A</v>
      </c>
      <c r="C142" s="20" t="e">
        <f>INDEX('01_FASTPPH'!$9:$1048576,MATCH($A142,'01_FASTPPH'!$A$9:$A$1048576,0),MATCH(C$9,'01_FASTPPH'!$8:$8,0))</f>
        <v>#N/A</v>
      </c>
      <c r="D142" s="20" t="e">
        <f>INDEX('01_FASTPPH'!$9:$1048576,MATCH($A142,'01_FASTPPH'!$A$9:$A$1048576,0),MATCH(D$9,'01_FASTPPH'!$8:$8,0))</f>
        <v>#N/A</v>
      </c>
      <c r="E142" s="20" t="e">
        <f>INDEX('01_FASTPPH'!$9:$1048576,MATCH($A142,'01_FASTPPH'!$A$9:$A$1048576,0),MATCH(E$9,'01_FASTPPH'!$8:$8,0))</f>
        <v>#N/A</v>
      </c>
      <c r="F142" s="20" t="e">
        <f>INDEX('01_FASTPPH'!$9:$1048576,MATCH($A142,'01_FASTPPH'!$A$9:$A$1048576,0),MATCH(F$9,'01_FASTPPH'!$8:$8,0))</f>
        <v>#N/A</v>
      </c>
      <c r="G142" s="20" t="e">
        <f>INDEX('01_FASTPPH'!$9:$1048576,MATCH($A142,'01_FASTPPH'!$A$9:$A$1048576,0),MATCH(G$9,'01_FASTPPH'!$8:$8,0))</f>
        <v>#N/A</v>
      </c>
      <c r="H142" s="20" t="e">
        <f>INDEX('01_FASTPPH'!$9:$1048576,MATCH($A142,'01_FASTPPH'!$A$9:$A$1048576,0),MATCH(H$9,'01_FASTPPH'!$8:$8,0))</f>
        <v>#N/A</v>
      </c>
      <c r="I142" s="20" t="e">
        <f>INDEX('01_FASTPPH'!$9:$1048576,MATCH($A142,'01_FASTPPH'!$A$9:$A$1048576,0),MATCH(I$9,'01_FASTPPH'!$8:$8,0))</f>
        <v>#N/A</v>
      </c>
      <c r="J142" s="20" t="e">
        <f>INDEX('01_FASTPPH'!$9:$1048576,MATCH($A142,'01_FASTPPH'!$A$9:$A$1048576,0),MATCH(J$9,'01_FASTPPH'!$8:$8,0))</f>
        <v>#N/A</v>
      </c>
      <c r="K142" s="23" t="e">
        <f>INDEX('01_FASTPPH'!$9:$1048576,MATCH($A142,'01_FASTPPH'!$A$9:$A$1048576,0),MATCH(K$9,'01_FASTPPH'!$8:$8,0))</f>
        <v>#N/A</v>
      </c>
      <c r="L142" s="20" t="e">
        <f>INDEX('01_FASTPPH'!$9:$1048576,MATCH($A142,'01_FASTPPH'!$A$9:$A$1048576,0),MATCH(L$9,'01_FASTPPH'!$8:$8,0))</f>
        <v>#N/A</v>
      </c>
      <c r="M142" s="20" t="e">
        <f>INDEX('01_FASTPPH'!$9:$1048576,MATCH($A142,'01_FASTPPH'!$A$9:$A$1048576,0),MATCH(M$9,'01_FASTPPH'!$8:$8,0))</f>
        <v>#N/A</v>
      </c>
      <c r="N142" s="24" t="e">
        <f>INDEX('01_FASTPPH'!$9:$1048576,MATCH($A142,'01_FASTPPH'!$A$9:$A$1048576,0),MATCH(N$9,'01_FASTPPH'!$8:$8,0))</f>
        <v>#N/A</v>
      </c>
      <c r="O142" s="23" t="e">
        <f>INDEX('01_FASTPPH'!$9:$1048576,MATCH($A142,'01_FASTPPH'!$A$9:$A$1048576,0),MATCH(O$9,'01_FASTPPH'!$8:$8,0))</f>
        <v>#N/A</v>
      </c>
      <c r="P142" s="20" t="e">
        <f>INDEX('01_FASTPPH'!$9:$1048576,MATCH($A142,'01_FASTPPH'!$A$9:$A$1048576,0),MATCH(P$9,'01_FASTPPH'!$8:$8,0))</f>
        <v>#N/A</v>
      </c>
      <c r="Q142" s="20" t="e">
        <f>INDEX('01_FASTPPH'!$9:$1048576,MATCH($A142,'01_FASTPPH'!$A$9:$A$1048576,0),MATCH(Q$9,'01_FASTPPH'!$8:$8,0))</f>
        <v>#N/A</v>
      </c>
      <c r="R142" s="20" t="e">
        <f>INDEX('01_FASTPPH'!$9:$1048576,MATCH($A142,'01_FASTPPH'!$A$9:$A$1048576,0),MATCH(R$9,'01_FASTPPH'!$8:$8,0))</f>
        <v>#N/A</v>
      </c>
      <c r="S142" s="20" t="e">
        <f>INDEX('01_FASTPPH'!$9:$1048576,MATCH($A142,'01_FASTPPH'!$A$9:$A$1048576,0),MATCH(S$9,'01_FASTPPH'!$8:$8,0))</f>
        <v>#N/A</v>
      </c>
      <c r="T142" s="24" t="e">
        <f>INDEX('01_FASTPPH'!$9:$1048576,MATCH($A142,'01_FASTPPH'!$A$9:$A$1048576,0),MATCH(T$9,'01_FASTPPH'!$8:$8,0))</f>
        <v>#N/A</v>
      </c>
      <c r="U142" s="23" t="e">
        <f>INDEX('01_FASTPPH'!$9:$1048576,MATCH($A142,'01_FASTPPH'!$A$9:$A$1048576,0),MATCH(U$9,'01_FASTPPH'!$8:$8,0))</f>
        <v>#N/A</v>
      </c>
      <c r="V142" s="20" t="e">
        <f>INDEX('01_FASTPPH'!$9:$1048576,MATCH($A142,'01_FASTPPH'!$A$9:$A$1048576,0),MATCH(V$9,'01_FASTPPH'!$8:$8,0))</f>
        <v>#N/A</v>
      </c>
      <c r="W142" s="24" t="e">
        <f>INDEX('01_FASTPPH'!$9:$1048576,MATCH($A142,'01_FASTPPH'!$A$9:$A$1048576,0),MATCH(W$9,'01_FASTPPH'!$8:$8,0))</f>
        <v>#N/A</v>
      </c>
      <c r="X142" s="20" t="e">
        <f>INDEX('01_FASTPPH'!$9:$1048576,MATCH($A142,'01_FASTPPH'!$A$9:$A$1048576,0),MATCH(X$9,'01_FASTPPH'!$8:$8,0))</f>
        <v>#N/A</v>
      </c>
      <c r="Y142" s="20" t="e">
        <f>INDEX('01_FASTPPH'!$9:$1048576,MATCH($A142,'01_FASTPPH'!$A$9:$A$1048576,0),MATCH(Y$9,'01_FASTPPH'!$8:$8,0))</f>
        <v>#N/A</v>
      </c>
      <c r="AA142" s="32" t="e">
        <f>INDEX('02_PROPERTIES'!$C$10:$I$1048576,MATCH('03_CALCULATIONS'!$D142,'02_PROPERTIES'!$C$10:$C$1048576,0),MATCH('03_CALCULATIONS'!AA$9,'02_PROPERTIES'!$C$10:$I$10,0))</f>
        <v>#N/A</v>
      </c>
      <c r="AB142" s="20" t="e">
        <f>INDEX('02_PROPERTIES'!$C$10:$I$1048576,MATCH('03_CALCULATIONS'!$D142,'02_PROPERTIES'!$C$10:$C$1048576,0),MATCH('03_CALCULATIONS'!AB$9,'02_PROPERTIES'!$C$10:$I$10,0))</f>
        <v>#N/A</v>
      </c>
      <c r="AC142" s="20" t="e">
        <f>INDEX('02_PROPERTIES'!$C$10:$I$1048576,MATCH('03_CALCULATIONS'!$D142,'02_PROPERTIES'!$C$10:$C$1048576,0),MATCH('03_CALCULATIONS'!AC$9,'02_PROPERTIES'!$C$10:$I$10,0))</f>
        <v>#N/A</v>
      </c>
      <c r="AD142" s="20" t="e">
        <f>INDEX('02_PROPERTIES'!$C$10:$I$1048576,MATCH('03_CALCULATIONS'!$D142,'02_PROPERTIES'!$C$10:$C$1048576,0),MATCH('03_CALCULATIONS'!AD$9,'02_PROPERTIES'!$C$10:$I$10,0))</f>
        <v>#N/A</v>
      </c>
      <c r="AE142" s="32" t="e">
        <f>INDEX('02_PROPERTIES'!$C$10:$I$1048576,MATCH('03_CALCULATIONS'!$D142,'02_PROPERTIES'!$C$10:$C$1048576,0),MATCH('03_CALCULATIONS'!AE$9,'02_PROPERTIES'!$C$10:$I$10,0))</f>
        <v>#N/A</v>
      </c>
      <c r="AF142" s="32" t="e">
        <f>INDEX('02_PROPERTIES'!$C$10:$I$1048576,MATCH('03_CALCULATIONS'!$D142,'02_PROPERTIES'!$C$10:$C$1048576,0),MATCH('03_CALCULATIONS'!AF$9,'02_PROPERTIES'!$C$10:$I$10,0))</f>
        <v>#N/A</v>
      </c>
      <c r="AH142" s="20" t="e">
        <f t="shared" si="22"/>
        <v>#N/A</v>
      </c>
      <c r="AI142" s="20" t="e">
        <f t="shared" si="23"/>
        <v>#N/A</v>
      </c>
      <c r="AJ142" s="20" t="e">
        <f t="shared" si="24"/>
        <v>#N/A</v>
      </c>
      <c r="AL142" s="20" t="e">
        <f t="shared" si="25"/>
        <v>#N/A</v>
      </c>
      <c r="AM142" s="20" t="e">
        <f t="shared" si="26"/>
        <v>#N/A</v>
      </c>
      <c r="AN142" s="20" t="e">
        <f t="shared" si="27"/>
        <v>#N/A</v>
      </c>
      <c r="AO142" s="20" t="e">
        <f t="shared" si="28"/>
        <v>#N/A</v>
      </c>
      <c r="AP142" s="20" t="e">
        <f t="shared" si="29"/>
        <v>#N/A</v>
      </c>
      <c r="AR142" s="20" t="e">
        <f t="shared" si="30"/>
        <v>#N/A</v>
      </c>
      <c r="AS142" s="20" t="e">
        <f t="shared" si="31"/>
        <v>#N/A</v>
      </c>
      <c r="AT142" s="20" t="e">
        <f t="shared" si="32"/>
        <v>#N/A</v>
      </c>
    </row>
    <row r="143" spans="1:46" x14ac:dyDescent="0.3">
      <c r="A143" s="18"/>
      <c r="B143" s="20" t="e">
        <f>INDEX('01_FASTPPH'!$9:$1048576,MATCH($A143,'01_FASTPPH'!$A$9:$A$1048576,0),MATCH(B$9,'01_FASTPPH'!$8:$8,0))</f>
        <v>#N/A</v>
      </c>
      <c r="C143" s="20" t="e">
        <f>INDEX('01_FASTPPH'!$9:$1048576,MATCH($A143,'01_FASTPPH'!$A$9:$A$1048576,0),MATCH(C$9,'01_FASTPPH'!$8:$8,0))</f>
        <v>#N/A</v>
      </c>
      <c r="D143" s="20" t="e">
        <f>INDEX('01_FASTPPH'!$9:$1048576,MATCH($A143,'01_FASTPPH'!$A$9:$A$1048576,0),MATCH(D$9,'01_FASTPPH'!$8:$8,0))</f>
        <v>#N/A</v>
      </c>
      <c r="E143" s="20" t="e">
        <f>INDEX('01_FASTPPH'!$9:$1048576,MATCH($A143,'01_FASTPPH'!$A$9:$A$1048576,0),MATCH(E$9,'01_FASTPPH'!$8:$8,0))</f>
        <v>#N/A</v>
      </c>
      <c r="F143" s="20" t="e">
        <f>INDEX('01_FASTPPH'!$9:$1048576,MATCH($A143,'01_FASTPPH'!$A$9:$A$1048576,0),MATCH(F$9,'01_FASTPPH'!$8:$8,0))</f>
        <v>#N/A</v>
      </c>
      <c r="G143" s="20" t="e">
        <f>INDEX('01_FASTPPH'!$9:$1048576,MATCH($A143,'01_FASTPPH'!$A$9:$A$1048576,0),MATCH(G$9,'01_FASTPPH'!$8:$8,0))</f>
        <v>#N/A</v>
      </c>
      <c r="H143" s="20" t="e">
        <f>INDEX('01_FASTPPH'!$9:$1048576,MATCH($A143,'01_FASTPPH'!$A$9:$A$1048576,0),MATCH(H$9,'01_FASTPPH'!$8:$8,0))</f>
        <v>#N/A</v>
      </c>
      <c r="I143" s="20" t="e">
        <f>INDEX('01_FASTPPH'!$9:$1048576,MATCH($A143,'01_FASTPPH'!$A$9:$A$1048576,0),MATCH(I$9,'01_FASTPPH'!$8:$8,0))</f>
        <v>#N/A</v>
      </c>
      <c r="J143" s="20" t="e">
        <f>INDEX('01_FASTPPH'!$9:$1048576,MATCH($A143,'01_FASTPPH'!$A$9:$A$1048576,0),MATCH(J$9,'01_FASTPPH'!$8:$8,0))</f>
        <v>#N/A</v>
      </c>
      <c r="K143" s="23" t="e">
        <f>INDEX('01_FASTPPH'!$9:$1048576,MATCH($A143,'01_FASTPPH'!$A$9:$A$1048576,0),MATCH(K$9,'01_FASTPPH'!$8:$8,0))</f>
        <v>#N/A</v>
      </c>
      <c r="L143" s="20" t="e">
        <f>INDEX('01_FASTPPH'!$9:$1048576,MATCH($A143,'01_FASTPPH'!$A$9:$A$1048576,0),MATCH(L$9,'01_FASTPPH'!$8:$8,0))</f>
        <v>#N/A</v>
      </c>
      <c r="M143" s="20" t="e">
        <f>INDEX('01_FASTPPH'!$9:$1048576,MATCH($A143,'01_FASTPPH'!$A$9:$A$1048576,0),MATCH(M$9,'01_FASTPPH'!$8:$8,0))</f>
        <v>#N/A</v>
      </c>
      <c r="N143" s="24" t="e">
        <f>INDEX('01_FASTPPH'!$9:$1048576,MATCH($A143,'01_FASTPPH'!$A$9:$A$1048576,0),MATCH(N$9,'01_FASTPPH'!$8:$8,0))</f>
        <v>#N/A</v>
      </c>
      <c r="O143" s="23" t="e">
        <f>INDEX('01_FASTPPH'!$9:$1048576,MATCH($A143,'01_FASTPPH'!$A$9:$A$1048576,0),MATCH(O$9,'01_FASTPPH'!$8:$8,0))</f>
        <v>#N/A</v>
      </c>
      <c r="P143" s="20" t="e">
        <f>INDEX('01_FASTPPH'!$9:$1048576,MATCH($A143,'01_FASTPPH'!$A$9:$A$1048576,0),MATCH(P$9,'01_FASTPPH'!$8:$8,0))</f>
        <v>#N/A</v>
      </c>
      <c r="Q143" s="20" t="e">
        <f>INDEX('01_FASTPPH'!$9:$1048576,MATCH($A143,'01_FASTPPH'!$A$9:$A$1048576,0),MATCH(Q$9,'01_FASTPPH'!$8:$8,0))</f>
        <v>#N/A</v>
      </c>
      <c r="R143" s="20" t="e">
        <f>INDEX('01_FASTPPH'!$9:$1048576,MATCH($A143,'01_FASTPPH'!$A$9:$A$1048576,0),MATCH(R$9,'01_FASTPPH'!$8:$8,0))</f>
        <v>#N/A</v>
      </c>
      <c r="S143" s="20" t="e">
        <f>INDEX('01_FASTPPH'!$9:$1048576,MATCH($A143,'01_FASTPPH'!$A$9:$A$1048576,0),MATCH(S$9,'01_FASTPPH'!$8:$8,0))</f>
        <v>#N/A</v>
      </c>
      <c r="T143" s="24" t="e">
        <f>INDEX('01_FASTPPH'!$9:$1048576,MATCH($A143,'01_FASTPPH'!$A$9:$A$1048576,0),MATCH(T$9,'01_FASTPPH'!$8:$8,0))</f>
        <v>#N/A</v>
      </c>
      <c r="U143" s="23" t="e">
        <f>INDEX('01_FASTPPH'!$9:$1048576,MATCH($A143,'01_FASTPPH'!$A$9:$A$1048576,0),MATCH(U$9,'01_FASTPPH'!$8:$8,0))</f>
        <v>#N/A</v>
      </c>
      <c r="V143" s="20" t="e">
        <f>INDEX('01_FASTPPH'!$9:$1048576,MATCH($A143,'01_FASTPPH'!$A$9:$A$1048576,0),MATCH(V$9,'01_FASTPPH'!$8:$8,0))</f>
        <v>#N/A</v>
      </c>
      <c r="W143" s="24" t="e">
        <f>INDEX('01_FASTPPH'!$9:$1048576,MATCH($A143,'01_FASTPPH'!$A$9:$A$1048576,0),MATCH(W$9,'01_FASTPPH'!$8:$8,0))</f>
        <v>#N/A</v>
      </c>
      <c r="X143" s="20" t="e">
        <f>INDEX('01_FASTPPH'!$9:$1048576,MATCH($A143,'01_FASTPPH'!$A$9:$A$1048576,0),MATCH(X$9,'01_FASTPPH'!$8:$8,0))</f>
        <v>#N/A</v>
      </c>
      <c r="Y143" s="20" t="e">
        <f>INDEX('01_FASTPPH'!$9:$1048576,MATCH($A143,'01_FASTPPH'!$A$9:$A$1048576,0),MATCH(Y$9,'01_FASTPPH'!$8:$8,0))</f>
        <v>#N/A</v>
      </c>
      <c r="AA143" s="32" t="e">
        <f>INDEX('02_PROPERTIES'!$C$10:$I$1048576,MATCH('03_CALCULATIONS'!$D143,'02_PROPERTIES'!$C$10:$C$1048576,0),MATCH('03_CALCULATIONS'!AA$9,'02_PROPERTIES'!$C$10:$I$10,0))</f>
        <v>#N/A</v>
      </c>
      <c r="AB143" s="20" t="e">
        <f>INDEX('02_PROPERTIES'!$C$10:$I$1048576,MATCH('03_CALCULATIONS'!$D143,'02_PROPERTIES'!$C$10:$C$1048576,0),MATCH('03_CALCULATIONS'!AB$9,'02_PROPERTIES'!$C$10:$I$10,0))</f>
        <v>#N/A</v>
      </c>
      <c r="AC143" s="20" t="e">
        <f>INDEX('02_PROPERTIES'!$C$10:$I$1048576,MATCH('03_CALCULATIONS'!$D143,'02_PROPERTIES'!$C$10:$C$1048576,0),MATCH('03_CALCULATIONS'!AC$9,'02_PROPERTIES'!$C$10:$I$10,0))</f>
        <v>#N/A</v>
      </c>
      <c r="AD143" s="20" t="e">
        <f>INDEX('02_PROPERTIES'!$C$10:$I$1048576,MATCH('03_CALCULATIONS'!$D143,'02_PROPERTIES'!$C$10:$C$1048576,0),MATCH('03_CALCULATIONS'!AD$9,'02_PROPERTIES'!$C$10:$I$10,0))</f>
        <v>#N/A</v>
      </c>
      <c r="AE143" s="32" t="e">
        <f>INDEX('02_PROPERTIES'!$C$10:$I$1048576,MATCH('03_CALCULATIONS'!$D143,'02_PROPERTIES'!$C$10:$C$1048576,0),MATCH('03_CALCULATIONS'!AE$9,'02_PROPERTIES'!$C$10:$I$10,0))</f>
        <v>#N/A</v>
      </c>
      <c r="AF143" s="32" t="e">
        <f>INDEX('02_PROPERTIES'!$C$10:$I$1048576,MATCH('03_CALCULATIONS'!$D143,'02_PROPERTIES'!$C$10:$C$1048576,0),MATCH('03_CALCULATIONS'!AF$9,'02_PROPERTIES'!$C$10:$I$10,0))</f>
        <v>#N/A</v>
      </c>
      <c r="AH143" s="20" t="e">
        <f t="shared" si="22"/>
        <v>#N/A</v>
      </c>
      <c r="AI143" s="20" t="e">
        <f t="shared" si="23"/>
        <v>#N/A</v>
      </c>
      <c r="AJ143" s="20" t="e">
        <f t="shared" si="24"/>
        <v>#N/A</v>
      </c>
      <c r="AL143" s="20" t="e">
        <f t="shared" si="25"/>
        <v>#N/A</v>
      </c>
      <c r="AM143" s="20" t="e">
        <f t="shared" si="26"/>
        <v>#N/A</v>
      </c>
      <c r="AN143" s="20" t="e">
        <f t="shared" si="27"/>
        <v>#N/A</v>
      </c>
      <c r="AO143" s="20" t="e">
        <f t="shared" si="28"/>
        <v>#N/A</v>
      </c>
      <c r="AP143" s="20" t="e">
        <f t="shared" si="29"/>
        <v>#N/A</v>
      </c>
      <c r="AR143" s="20" t="e">
        <f t="shared" si="30"/>
        <v>#N/A</v>
      </c>
      <c r="AS143" s="20" t="e">
        <f t="shared" si="31"/>
        <v>#N/A</v>
      </c>
      <c r="AT143" s="20" t="e">
        <f t="shared" si="32"/>
        <v>#N/A</v>
      </c>
    </row>
    <row r="144" spans="1:46" x14ac:dyDescent="0.3">
      <c r="A144" s="18"/>
      <c r="B144" s="20" t="e">
        <f>INDEX('01_FASTPPH'!$9:$1048576,MATCH($A144,'01_FASTPPH'!$A$9:$A$1048576,0),MATCH(B$9,'01_FASTPPH'!$8:$8,0))</f>
        <v>#N/A</v>
      </c>
      <c r="C144" s="20" t="e">
        <f>INDEX('01_FASTPPH'!$9:$1048576,MATCH($A144,'01_FASTPPH'!$A$9:$A$1048576,0),MATCH(C$9,'01_FASTPPH'!$8:$8,0))</f>
        <v>#N/A</v>
      </c>
      <c r="D144" s="20" t="e">
        <f>INDEX('01_FASTPPH'!$9:$1048576,MATCH($A144,'01_FASTPPH'!$A$9:$A$1048576,0),MATCH(D$9,'01_FASTPPH'!$8:$8,0))</f>
        <v>#N/A</v>
      </c>
      <c r="E144" s="20" t="e">
        <f>INDEX('01_FASTPPH'!$9:$1048576,MATCH($A144,'01_FASTPPH'!$A$9:$A$1048576,0),MATCH(E$9,'01_FASTPPH'!$8:$8,0))</f>
        <v>#N/A</v>
      </c>
      <c r="F144" s="20" t="e">
        <f>INDEX('01_FASTPPH'!$9:$1048576,MATCH($A144,'01_FASTPPH'!$A$9:$A$1048576,0),MATCH(F$9,'01_FASTPPH'!$8:$8,0))</f>
        <v>#N/A</v>
      </c>
      <c r="G144" s="20" t="e">
        <f>INDEX('01_FASTPPH'!$9:$1048576,MATCH($A144,'01_FASTPPH'!$A$9:$A$1048576,0),MATCH(G$9,'01_FASTPPH'!$8:$8,0))</f>
        <v>#N/A</v>
      </c>
      <c r="H144" s="20" t="e">
        <f>INDEX('01_FASTPPH'!$9:$1048576,MATCH($A144,'01_FASTPPH'!$A$9:$A$1048576,0),MATCH(H$9,'01_FASTPPH'!$8:$8,0))</f>
        <v>#N/A</v>
      </c>
      <c r="I144" s="20" t="e">
        <f>INDEX('01_FASTPPH'!$9:$1048576,MATCH($A144,'01_FASTPPH'!$A$9:$A$1048576,0),MATCH(I$9,'01_FASTPPH'!$8:$8,0))</f>
        <v>#N/A</v>
      </c>
      <c r="J144" s="20" t="e">
        <f>INDEX('01_FASTPPH'!$9:$1048576,MATCH($A144,'01_FASTPPH'!$A$9:$A$1048576,0),MATCH(J$9,'01_FASTPPH'!$8:$8,0))</f>
        <v>#N/A</v>
      </c>
      <c r="K144" s="23" t="e">
        <f>INDEX('01_FASTPPH'!$9:$1048576,MATCH($A144,'01_FASTPPH'!$A$9:$A$1048576,0),MATCH(K$9,'01_FASTPPH'!$8:$8,0))</f>
        <v>#N/A</v>
      </c>
      <c r="L144" s="20" t="e">
        <f>INDEX('01_FASTPPH'!$9:$1048576,MATCH($A144,'01_FASTPPH'!$A$9:$A$1048576,0),MATCH(L$9,'01_FASTPPH'!$8:$8,0))</f>
        <v>#N/A</v>
      </c>
      <c r="M144" s="20" t="e">
        <f>INDEX('01_FASTPPH'!$9:$1048576,MATCH($A144,'01_FASTPPH'!$A$9:$A$1048576,0),MATCH(M$9,'01_FASTPPH'!$8:$8,0))</f>
        <v>#N/A</v>
      </c>
      <c r="N144" s="24" t="e">
        <f>INDEX('01_FASTPPH'!$9:$1048576,MATCH($A144,'01_FASTPPH'!$A$9:$A$1048576,0),MATCH(N$9,'01_FASTPPH'!$8:$8,0))</f>
        <v>#N/A</v>
      </c>
      <c r="O144" s="23" t="e">
        <f>INDEX('01_FASTPPH'!$9:$1048576,MATCH($A144,'01_FASTPPH'!$A$9:$A$1048576,0),MATCH(O$9,'01_FASTPPH'!$8:$8,0))</f>
        <v>#N/A</v>
      </c>
      <c r="P144" s="20" t="e">
        <f>INDEX('01_FASTPPH'!$9:$1048576,MATCH($A144,'01_FASTPPH'!$A$9:$A$1048576,0),MATCH(P$9,'01_FASTPPH'!$8:$8,0))</f>
        <v>#N/A</v>
      </c>
      <c r="Q144" s="20" t="e">
        <f>INDEX('01_FASTPPH'!$9:$1048576,MATCH($A144,'01_FASTPPH'!$A$9:$A$1048576,0),MATCH(Q$9,'01_FASTPPH'!$8:$8,0))</f>
        <v>#N/A</v>
      </c>
      <c r="R144" s="20" t="e">
        <f>INDEX('01_FASTPPH'!$9:$1048576,MATCH($A144,'01_FASTPPH'!$A$9:$A$1048576,0),MATCH(R$9,'01_FASTPPH'!$8:$8,0))</f>
        <v>#N/A</v>
      </c>
      <c r="S144" s="20" t="e">
        <f>INDEX('01_FASTPPH'!$9:$1048576,MATCH($A144,'01_FASTPPH'!$A$9:$A$1048576,0),MATCH(S$9,'01_FASTPPH'!$8:$8,0))</f>
        <v>#N/A</v>
      </c>
      <c r="T144" s="24" t="e">
        <f>INDEX('01_FASTPPH'!$9:$1048576,MATCH($A144,'01_FASTPPH'!$A$9:$A$1048576,0),MATCH(T$9,'01_FASTPPH'!$8:$8,0))</f>
        <v>#N/A</v>
      </c>
      <c r="U144" s="23" t="e">
        <f>INDEX('01_FASTPPH'!$9:$1048576,MATCH($A144,'01_FASTPPH'!$A$9:$A$1048576,0),MATCH(U$9,'01_FASTPPH'!$8:$8,0))</f>
        <v>#N/A</v>
      </c>
      <c r="V144" s="20" t="e">
        <f>INDEX('01_FASTPPH'!$9:$1048576,MATCH($A144,'01_FASTPPH'!$A$9:$A$1048576,0),MATCH(V$9,'01_FASTPPH'!$8:$8,0))</f>
        <v>#N/A</v>
      </c>
      <c r="W144" s="24" t="e">
        <f>INDEX('01_FASTPPH'!$9:$1048576,MATCH($A144,'01_FASTPPH'!$A$9:$A$1048576,0),MATCH(W$9,'01_FASTPPH'!$8:$8,0))</f>
        <v>#N/A</v>
      </c>
      <c r="X144" s="20" t="e">
        <f>INDEX('01_FASTPPH'!$9:$1048576,MATCH($A144,'01_FASTPPH'!$A$9:$A$1048576,0),MATCH(X$9,'01_FASTPPH'!$8:$8,0))</f>
        <v>#N/A</v>
      </c>
      <c r="Y144" s="20" t="e">
        <f>INDEX('01_FASTPPH'!$9:$1048576,MATCH($A144,'01_FASTPPH'!$A$9:$A$1048576,0),MATCH(Y$9,'01_FASTPPH'!$8:$8,0))</f>
        <v>#N/A</v>
      </c>
      <c r="AA144" s="32" t="e">
        <f>INDEX('02_PROPERTIES'!$C$10:$I$1048576,MATCH('03_CALCULATIONS'!$D144,'02_PROPERTIES'!$C$10:$C$1048576,0),MATCH('03_CALCULATIONS'!AA$9,'02_PROPERTIES'!$C$10:$I$10,0))</f>
        <v>#N/A</v>
      </c>
      <c r="AB144" s="20" t="e">
        <f>INDEX('02_PROPERTIES'!$C$10:$I$1048576,MATCH('03_CALCULATIONS'!$D144,'02_PROPERTIES'!$C$10:$C$1048576,0),MATCH('03_CALCULATIONS'!AB$9,'02_PROPERTIES'!$C$10:$I$10,0))</f>
        <v>#N/A</v>
      </c>
      <c r="AC144" s="20" t="e">
        <f>INDEX('02_PROPERTIES'!$C$10:$I$1048576,MATCH('03_CALCULATIONS'!$D144,'02_PROPERTIES'!$C$10:$C$1048576,0),MATCH('03_CALCULATIONS'!AC$9,'02_PROPERTIES'!$C$10:$I$10,0))</f>
        <v>#N/A</v>
      </c>
      <c r="AD144" s="20" t="e">
        <f>INDEX('02_PROPERTIES'!$C$10:$I$1048576,MATCH('03_CALCULATIONS'!$D144,'02_PROPERTIES'!$C$10:$C$1048576,0),MATCH('03_CALCULATIONS'!AD$9,'02_PROPERTIES'!$C$10:$I$10,0))</f>
        <v>#N/A</v>
      </c>
      <c r="AE144" s="32" t="e">
        <f>INDEX('02_PROPERTIES'!$C$10:$I$1048576,MATCH('03_CALCULATIONS'!$D144,'02_PROPERTIES'!$C$10:$C$1048576,0),MATCH('03_CALCULATIONS'!AE$9,'02_PROPERTIES'!$C$10:$I$10,0))</f>
        <v>#N/A</v>
      </c>
      <c r="AF144" s="32" t="e">
        <f>INDEX('02_PROPERTIES'!$C$10:$I$1048576,MATCH('03_CALCULATIONS'!$D144,'02_PROPERTIES'!$C$10:$C$1048576,0),MATCH('03_CALCULATIONS'!AF$9,'02_PROPERTIES'!$C$10:$I$10,0))</f>
        <v>#N/A</v>
      </c>
      <c r="AH144" s="20" t="e">
        <f t="shared" si="22"/>
        <v>#N/A</v>
      </c>
      <c r="AI144" s="20" t="e">
        <f t="shared" si="23"/>
        <v>#N/A</v>
      </c>
      <c r="AJ144" s="20" t="e">
        <f t="shared" si="24"/>
        <v>#N/A</v>
      </c>
      <c r="AL144" s="20" t="e">
        <f t="shared" si="25"/>
        <v>#N/A</v>
      </c>
      <c r="AM144" s="20" t="e">
        <f t="shared" si="26"/>
        <v>#N/A</v>
      </c>
      <c r="AN144" s="20" t="e">
        <f t="shared" si="27"/>
        <v>#N/A</v>
      </c>
      <c r="AO144" s="20" t="e">
        <f t="shared" si="28"/>
        <v>#N/A</v>
      </c>
      <c r="AP144" s="20" t="e">
        <f t="shared" si="29"/>
        <v>#N/A</v>
      </c>
      <c r="AR144" s="20" t="e">
        <f t="shared" si="30"/>
        <v>#N/A</v>
      </c>
      <c r="AS144" s="20" t="e">
        <f t="shared" si="31"/>
        <v>#N/A</v>
      </c>
      <c r="AT144" s="20" t="e">
        <f t="shared" si="32"/>
        <v>#N/A</v>
      </c>
    </row>
    <row r="145" spans="1:46" x14ac:dyDescent="0.3">
      <c r="A145" s="18"/>
      <c r="B145" s="20" t="e">
        <f>INDEX('01_FASTPPH'!$9:$1048576,MATCH($A145,'01_FASTPPH'!$A$9:$A$1048576,0),MATCH(B$9,'01_FASTPPH'!$8:$8,0))</f>
        <v>#N/A</v>
      </c>
      <c r="C145" s="20" t="e">
        <f>INDEX('01_FASTPPH'!$9:$1048576,MATCH($A145,'01_FASTPPH'!$A$9:$A$1048576,0),MATCH(C$9,'01_FASTPPH'!$8:$8,0))</f>
        <v>#N/A</v>
      </c>
      <c r="D145" s="20" t="e">
        <f>INDEX('01_FASTPPH'!$9:$1048576,MATCH($A145,'01_FASTPPH'!$A$9:$A$1048576,0),MATCH(D$9,'01_FASTPPH'!$8:$8,0))</f>
        <v>#N/A</v>
      </c>
      <c r="E145" s="20" t="e">
        <f>INDEX('01_FASTPPH'!$9:$1048576,MATCH($A145,'01_FASTPPH'!$A$9:$A$1048576,0),MATCH(E$9,'01_FASTPPH'!$8:$8,0))</f>
        <v>#N/A</v>
      </c>
      <c r="F145" s="20" t="e">
        <f>INDEX('01_FASTPPH'!$9:$1048576,MATCH($A145,'01_FASTPPH'!$A$9:$A$1048576,0),MATCH(F$9,'01_FASTPPH'!$8:$8,0))</f>
        <v>#N/A</v>
      </c>
      <c r="G145" s="20" t="e">
        <f>INDEX('01_FASTPPH'!$9:$1048576,MATCH($A145,'01_FASTPPH'!$A$9:$A$1048576,0),MATCH(G$9,'01_FASTPPH'!$8:$8,0))</f>
        <v>#N/A</v>
      </c>
      <c r="H145" s="20" t="e">
        <f>INDEX('01_FASTPPH'!$9:$1048576,MATCH($A145,'01_FASTPPH'!$A$9:$A$1048576,0),MATCH(H$9,'01_FASTPPH'!$8:$8,0))</f>
        <v>#N/A</v>
      </c>
      <c r="I145" s="20" t="e">
        <f>INDEX('01_FASTPPH'!$9:$1048576,MATCH($A145,'01_FASTPPH'!$A$9:$A$1048576,0),MATCH(I$9,'01_FASTPPH'!$8:$8,0))</f>
        <v>#N/A</v>
      </c>
      <c r="J145" s="20" t="e">
        <f>INDEX('01_FASTPPH'!$9:$1048576,MATCH($A145,'01_FASTPPH'!$A$9:$A$1048576,0),MATCH(J$9,'01_FASTPPH'!$8:$8,0))</f>
        <v>#N/A</v>
      </c>
      <c r="K145" s="23" t="e">
        <f>INDEX('01_FASTPPH'!$9:$1048576,MATCH($A145,'01_FASTPPH'!$A$9:$A$1048576,0),MATCH(K$9,'01_FASTPPH'!$8:$8,0))</f>
        <v>#N/A</v>
      </c>
      <c r="L145" s="20" t="e">
        <f>INDEX('01_FASTPPH'!$9:$1048576,MATCH($A145,'01_FASTPPH'!$A$9:$A$1048576,0),MATCH(L$9,'01_FASTPPH'!$8:$8,0))</f>
        <v>#N/A</v>
      </c>
      <c r="M145" s="20" t="e">
        <f>INDEX('01_FASTPPH'!$9:$1048576,MATCH($A145,'01_FASTPPH'!$A$9:$A$1048576,0),MATCH(M$9,'01_FASTPPH'!$8:$8,0))</f>
        <v>#N/A</v>
      </c>
      <c r="N145" s="24" t="e">
        <f>INDEX('01_FASTPPH'!$9:$1048576,MATCH($A145,'01_FASTPPH'!$A$9:$A$1048576,0),MATCH(N$9,'01_FASTPPH'!$8:$8,0))</f>
        <v>#N/A</v>
      </c>
      <c r="O145" s="23" t="e">
        <f>INDEX('01_FASTPPH'!$9:$1048576,MATCH($A145,'01_FASTPPH'!$A$9:$A$1048576,0),MATCH(O$9,'01_FASTPPH'!$8:$8,0))</f>
        <v>#N/A</v>
      </c>
      <c r="P145" s="20" t="e">
        <f>INDEX('01_FASTPPH'!$9:$1048576,MATCH($A145,'01_FASTPPH'!$A$9:$A$1048576,0),MATCH(P$9,'01_FASTPPH'!$8:$8,0))</f>
        <v>#N/A</v>
      </c>
      <c r="Q145" s="20" t="e">
        <f>INDEX('01_FASTPPH'!$9:$1048576,MATCH($A145,'01_FASTPPH'!$A$9:$A$1048576,0),MATCH(Q$9,'01_FASTPPH'!$8:$8,0))</f>
        <v>#N/A</v>
      </c>
      <c r="R145" s="20" t="e">
        <f>INDEX('01_FASTPPH'!$9:$1048576,MATCH($A145,'01_FASTPPH'!$A$9:$A$1048576,0),MATCH(R$9,'01_FASTPPH'!$8:$8,0))</f>
        <v>#N/A</v>
      </c>
      <c r="S145" s="20" t="e">
        <f>INDEX('01_FASTPPH'!$9:$1048576,MATCH($A145,'01_FASTPPH'!$A$9:$A$1048576,0),MATCH(S$9,'01_FASTPPH'!$8:$8,0))</f>
        <v>#N/A</v>
      </c>
      <c r="T145" s="24" t="e">
        <f>INDEX('01_FASTPPH'!$9:$1048576,MATCH($A145,'01_FASTPPH'!$A$9:$A$1048576,0),MATCH(T$9,'01_FASTPPH'!$8:$8,0))</f>
        <v>#N/A</v>
      </c>
      <c r="U145" s="23" t="e">
        <f>INDEX('01_FASTPPH'!$9:$1048576,MATCH($A145,'01_FASTPPH'!$A$9:$A$1048576,0),MATCH(U$9,'01_FASTPPH'!$8:$8,0))</f>
        <v>#N/A</v>
      </c>
      <c r="V145" s="20" t="e">
        <f>INDEX('01_FASTPPH'!$9:$1048576,MATCH($A145,'01_FASTPPH'!$A$9:$A$1048576,0),MATCH(V$9,'01_FASTPPH'!$8:$8,0))</f>
        <v>#N/A</v>
      </c>
      <c r="W145" s="24" t="e">
        <f>INDEX('01_FASTPPH'!$9:$1048576,MATCH($A145,'01_FASTPPH'!$A$9:$A$1048576,0),MATCH(W$9,'01_FASTPPH'!$8:$8,0))</f>
        <v>#N/A</v>
      </c>
      <c r="X145" s="20" t="e">
        <f>INDEX('01_FASTPPH'!$9:$1048576,MATCH($A145,'01_FASTPPH'!$A$9:$A$1048576,0),MATCH(X$9,'01_FASTPPH'!$8:$8,0))</f>
        <v>#N/A</v>
      </c>
      <c r="Y145" s="20" t="e">
        <f>INDEX('01_FASTPPH'!$9:$1048576,MATCH($A145,'01_FASTPPH'!$A$9:$A$1048576,0),MATCH(Y$9,'01_FASTPPH'!$8:$8,0))</f>
        <v>#N/A</v>
      </c>
      <c r="AA145" s="32" t="e">
        <f>INDEX('02_PROPERTIES'!$C$10:$I$1048576,MATCH('03_CALCULATIONS'!$D145,'02_PROPERTIES'!$C$10:$C$1048576,0),MATCH('03_CALCULATIONS'!AA$9,'02_PROPERTIES'!$C$10:$I$10,0))</f>
        <v>#N/A</v>
      </c>
      <c r="AB145" s="20" t="e">
        <f>INDEX('02_PROPERTIES'!$C$10:$I$1048576,MATCH('03_CALCULATIONS'!$D145,'02_PROPERTIES'!$C$10:$C$1048576,0),MATCH('03_CALCULATIONS'!AB$9,'02_PROPERTIES'!$C$10:$I$10,0))</f>
        <v>#N/A</v>
      </c>
      <c r="AC145" s="20" t="e">
        <f>INDEX('02_PROPERTIES'!$C$10:$I$1048576,MATCH('03_CALCULATIONS'!$D145,'02_PROPERTIES'!$C$10:$C$1048576,0),MATCH('03_CALCULATIONS'!AC$9,'02_PROPERTIES'!$C$10:$I$10,0))</f>
        <v>#N/A</v>
      </c>
      <c r="AD145" s="20" t="e">
        <f>INDEX('02_PROPERTIES'!$C$10:$I$1048576,MATCH('03_CALCULATIONS'!$D145,'02_PROPERTIES'!$C$10:$C$1048576,0),MATCH('03_CALCULATIONS'!AD$9,'02_PROPERTIES'!$C$10:$I$10,0))</f>
        <v>#N/A</v>
      </c>
      <c r="AE145" s="32" t="e">
        <f>INDEX('02_PROPERTIES'!$C$10:$I$1048576,MATCH('03_CALCULATIONS'!$D145,'02_PROPERTIES'!$C$10:$C$1048576,0),MATCH('03_CALCULATIONS'!AE$9,'02_PROPERTIES'!$C$10:$I$10,0))</f>
        <v>#N/A</v>
      </c>
      <c r="AF145" s="32" t="e">
        <f>INDEX('02_PROPERTIES'!$C$10:$I$1048576,MATCH('03_CALCULATIONS'!$D145,'02_PROPERTIES'!$C$10:$C$1048576,0),MATCH('03_CALCULATIONS'!AF$9,'02_PROPERTIES'!$C$10:$I$10,0))</f>
        <v>#N/A</v>
      </c>
      <c r="AH145" s="20" t="e">
        <f t="shared" si="22"/>
        <v>#N/A</v>
      </c>
      <c r="AI145" s="20" t="e">
        <f t="shared" si="23"/>
        <v>#N/A</v>
      </c>
      <c r="AJ145" s="20" t="e">
        <f t="shared" si="24"/>
        <v>#N/A</v>
      </c>
      <c r="AL145" s="20" t="e">
        <f t="shared" si="25"/>
        <v>#N/A</v>
      </c>
      <c r="AM145" s="20" t="e">
        <f t="shared" si="26"/>
        <v>#N/A</v>
      </c>
      <c r="AN145" s="20" t="e">
        <f t="shared" si="27"/>
        <v>#N/A</v>
      </c>
      <c r="AO145" s="20" t="e">
        <f t="shared" si="28"/>
        <v>#N/A</v>
      </c>
      <c r="AP145" s="20" t="e">
        <f t="shared" si="29"/>
        <v>#N/A</v>
      </c>
      <c r="AR145" s="20" t="e">
        <f t="shared" si="30"/>
        <v>#N/A</v>
      </c>
      <c r="AS145" s="20" t="e">
        <f t="shared" si="31"/>
        <v>#N/A</v>
      </c>
      <c r="AT145" s="20" t="e">
        <f t="shared" si="32"/>
        <v>#N/A</v>
      </c>
    </row>
    <row r="146" spans="1:46" x14ac:dyDescent="0.3">
      <c r="A146" s="18"/>
      <c r="B146" s="20" t="e">
        <f>INDEX('01_FASTPPH'!$9:$1048576,MATCH($A146,'01_FASTPPH'!$A$9:$A$1048576,0),MATCH(B$9,'01_FASTPPH'!$8:$8,0))</f>
        <v>#N/A</v>
      </c>
      <c r="C146" s="20" t="e">
        <f>INDEX('01_FASTPPH'!$9:$1048576,MATCH($A146,'01_FASTPPH'!$A$9:$A$1048576,0),MATCH(C$9,'01_FASTPPH'!$8:$8,0))</f>
        <v>#N/A</v>
      </c>
      <c r="D146" s="20" t="e">
        <f>INDEX('01_FASTPPH'!$9:$1048576,MATCH($A146,'01_FASTPPH'!$A$9:$A$1048576,0),MATCH(D$9,'01_FASTPPH'!$8:$8,0))</f>
        <v>#N/A</v>
      </c>
      <c r="E146" s="20" t="e">
        <f>INDEX('01_FASTPPH'!$9:$1048576,MATCH($A146,'01_FASTPPH'!$A$9:$A$1048576,0),MATCH(E$9,'01_FASTPPH'!$8:$8,0))</f>
        <v>#N/A</v>
      </c>
      <c r="F146" s="20" t="e">
        <f>INDEX('01_FASTPPH'!$9:$1048576,MATCH($A146,'01_FASTPPH'!$A$9:$A$1048576,0),MATCH(F$9,'01_FASTPPH'!$8:$8,0))</f>
        <v>#N/A</v>
      </c>
      <c r="G146" s="20" t="e">
        <f>INDEX('01_FASTPPH'!$9:$1048576,MATCH($A146,'01_FASTPPH'!$A$9:$A$1048576,0),MATCH(G$9,'01_FASTPPH'!$8:$8,0))</f>
        <v>#N/A</v>
      </c>
      <c r="H146" s="20" t="e">
        <f>INDEX('01_FASTPPH'!$9:$1048576,MATCH($A146,'01_FASTPPH'!$A$9:$A$1048576,0),MATCH(H$9,'01_FASTPPH'!$8:$8,0))</f>
        <v>#N/A</v>
      </c>
      <c r="I146" s="20" t="e">
        <f>INDEX('01_FASTPPH'!$9:$1048576,MATCH($A146,'01_FASTPPH'!$A$9:$A$1048576,0),MATCH(I$9,'01_FASTPPH'!$8:$8,0))</f>
        <v>#N/A</v>
      </c>
      <c r="J146" s="20" t="e">
        <f>INDEX('01_FASTPPH'!$9:$1048576,MATCH($A146,'01_FASTPPH'!$A$9:$A$1048576,0),MATCH(J$9,'01_FASTPPH'!$8:$8,0))</f>
        <v>#N/A</v>
      </c>
      <c r="K146" s="23" t="e">
        <f>INDEX('01_FASTPPH'!$9:$1048576,MATCH($A146,'01_FASTPPH'!$A$9:$A$1048576,0),MATCH(K$9,'01_FASTPPH'!$8:$8,0))</f>
        <v>#N/A</v>
      </c>
      <c r="L146" s="20" t="e">
        <f>INDEX('01_FASTPPH'!$9:$1048576,MATCH($A146,'01_FASTPPH'!$A$9:$A$1048576,0),MATCH(L$9,'01_FASTPPH'!$8:$8,0))</f>
        <v>#N/A</v>
      </c>
      <c r="M146" s="20" t="e">
        <f>INDEX('01_FASTPPH'!$9:$1048576,MATCH($A146,'01_FASTPPH'!$A$9:$A$1048576,0),MATCH(M$9,'01_FASTPPH'!$8:$8,0))</f>
        <v>#N/A</v>
      </c>
      <c r="N146" s="24" t="e">
        <f>INDEX('01_FASTPPH'!$9:$1048576,MATCH($A146,'01_FASTPPH'!$A$9:$A$1048576,0),MATCH(N$9,'01_FASTPPH'!$8:$8,0))</f>
        <v>#N/A</v>
      </c>
      <c r="O146" s="23" t="e">
        <f>INDEX('01_FASTPPH'!$9:$1048576,MATCH($A146,'01_FASTPPH'!$A$9:$A$1048576,0),MATCH(O$9,'01_FASTPPH'!$8:$8,0))</f>
        <v>#N/A</v>
      </c>
      <c r="P146" s="20" t="e">
        <f>INDEX('01_FASTPPH'!$9:$1048576,MATCH($A146,'01_FASTPPH'!$A$9:$A$1048576,0),MATCH(P$9,'01_FASTPPH'!$8:$8,0))</f>
        <v>#N/A</v>
      </c>
      <c r="Q146" s="20" t="e">
        <f>INDEX('01_FASTPPH'!$9:$1048576,MATCH($A146,'01_FASTPPH'!$A$9:$A$1048576,0),MATCH(Q$9,'01_FASTPPH'!$8:$8,0))</f>
        <v>#N/A</v>
      </c>
      <c r="R146" s="20" t="e">
        <f>INDEX('01_FASTPPH'!$9:$1048576,MATCH($A146,'01_FASTPPH'!$A$9:$A$1048576,0),MATCH(R$9,'01_FASTPPH'!$8:$8,0))</f>
        <v>#N/A</v>
      </c>
      <c r="S146" s="20" t="e">
        <f>INDEX('01_FASTPPH'!$9:$1048576,MATCH($A146,'01_FASTPPH'!$A$9:$A$1048576,0),MATCH(S$9,'01_FASTPPH'!$8:$8,0))</f>
        <v>#N/A</v>
      </c>
      <c r="T146" s="24" t="e">
        <f>INDEX('01_FASTPPH'!$9:$1048576,MATCH($A146,'01_FASTPPH'!$A$9:$A$1048576,0),MATCH(T$9,'01_FASTPPH'!$8:$8,0))</f>
        <v>#N/A</v>
      </c>
      <c r="U146" s="23" t="e">
        <f>INDEX('01_FASTPPH'!$9:$1048576,MATCH($A146,'01_FASTPPH'!$A$9:$A$1048576,0),MATCH(U$9,'01_FASTPPH'!$8:$8,0))</f>
        <v>#N/A</v>
      </c>
      <c r="V146" s="20" t="e">
        <f>INDEX('01_FASTPPH'!$9:$1048576,MATCH($A146,'01_FASTPPH'!$A$9:$A$1048576,0),MATCH(V$9,'01_FASTPPH'!$8:$8,0))</f>
        <v>#N/A</v>
      </c>
      <c r="W146" s="24" t="e">
        <f>INDEX('01_FASTPPH'!$9:$1048576,MATCH($A146,'01_FASTPPH'!$A$9:$A$1048576,0),MATCH(W$9,'01_FASTPPH'!$8:$8,0))</f>
        <v>#N/A</v>
      </c>
      <c r="X146" s="20" t="e">
        <f>INDEX('01_FASTPPH'!$9:$1048576,MATCH($A146,'01_FASTPPH'!$A$9:$A$1048576,0),MATCH(X$9,'01_FASTPPH'!$8:$8,0))</f>
        <v>#N/A</v>
      </c>
      <c r="Y146" s="20" t="e">
        <f>INDEX('01_FASTPPH'!$9:$1048576,MATCH($A146,'01_FASTPPH'!$A$9:$A$1048576,0),MATCH(Y$9,'01_FASTPPH'!$8:$8,0))</f>
        <v>#N/A</v>
      </c>
      <c r="AA146" s="32" t="e">
        <f>INDEX('02_PROPERTIES'!$C$10:$I$1048576,MATCH('03_CALCULATIONS'!$D146,'02_PROPERTIES'!$C$10:$C$1048576,0),MATCH('03_CALCULATIONS'!AA$9,'02_PROPERTIES'!$C$10:$I$10,0))</f>
        <v>#N/A</v>
      </c>
      <c r="AB146" s="20" t="e">
        <f>INDEX('02_PROPERTIES'!$C$10:$I$1048576,MATCH('03_CALCULATIONS'!$D146,'02_PROPERTIES'!$C$10:$C$1048576,0),MATCH('03_CALCULATIONS'!AB$9,'02_PROPERTIES'!$C$10:$I$10,0))</f>
        <v>#N/A</v>
      </c>
      <c r="AC146" s="20" t="e">
        <f>INDEX('02_PROPERTIES'!$C$10:$I$1048576,MATCH('03_CALCULATIONS'!$D146,'02_PROPERTIES'!$C$10:$C$1048576,0),MATCH('03_CALCULATIONS'!AC$9,'02_PROPERTIES'!$C$10:$I$10,0))</f>
        <v>#N/A</v>
      </c>
      <c r="AD146" s="20" t="e">
        <f>INDEX('02_PROPERTIES'!$C$10:$I$1048576,MATCH('03_CALCULATIONS'!$D146,'02_PROPERTIES'!$C$10:$C$1048576,0),MATCH('03_CALCULATIONS'!AD$9,'02_PROPERTIES'!$C$10:$I$10,0))</f>
        <v>#N/A</v>
      </c>
      <c r="AE146" s="32" t="e">
        <f>INDEX('02_PROPERTIES'!$C$10:$I$1048576,MATCH('03_CALCULATIONS'!$D146,'02_PROPERTIES'!$C$10:$C$1048576,0),MATCH('03_CALCULATIONS'!AE$9,'02_PROPERTIES'!$C$10:$I$10,0))</f>
        <v>#N/A</v>
      </c>
      <c r="AF146" s="32" t="e">
        <f>INDEX('02_PROPERTIES'!$C$10:$I$1048576,MATCH('03_CALCULATIONS'!$D146,'02_PROPERTIES'!$C$10:$C$1048576,0),MATCH('03_CALCULATIONS'!AF$9,'02_PROPERTIES'!$C$10:$I$10,0))</f>
        <v>#N/A</v>
      </c>
      <c r="AH146" s="20" t="e">
        <f t="shared" si="22"/>
        <v>#N/A</v>
      </c>
      <c r="AI146" s="20" t="e">
        <f t="shared" si="23"/>
        <v>#N/A</v>
      </c>
      <c r="AJ146" s="20" t="e">
        <f t="shared" si="24"/>
        <v>#N/A</v>
      </c>
      <c r="AL146" s="20" t="e">
        <f t="shared" si="25"/>
        <v>#N/A</v>
      </c>
      <c r="AM146" s="20" t="e">
        <f t="shared" si="26"/>
        <v>#N/A</v>
      </c>
      <c r="AN146" s="20" t="e">
        <f t="shared" si="27"/>
        <v>#N/A</v>
      </c>
      <c r="AO146" s="20" t="e">
        <f t="shared" si="28"/>
        <v>#N/A</v>
      </c>
      <c r="AP146" s="20" t="e">
        <f t="shared" si="29"/>
        <v>#N/A</v>
      </c>
      <c r="AR146" s="20" t="e">
        <f t="shared" si="30"/>
        <v>#N/A</v>
      </c>
      <c r="AS146" s="20" t="e">
        <f t="shared" si="31"/>
        <v>#N/A</v>
      </c>
      <c r="AT146" s="20" t="e">
        <f t="shared" si="32"/>
        <v>#N/A</v>
      </c>
    </row>
    <row r="147" spans="1:46" x14ac:dyDescent="0.3">
      <c r="A147" s="18"/>
      <c r="B147" s="20" t="e">
        <f>INDEX('01_FASTPPH'!$9:$1048576,MATCH($A147,'01_FASTPPH'!$A$9:$A$1048576,0),MATCH(B$9,'01_FASTPPH'!$8:$8,0))</f>
        <v>#N/A</v>
      </c>
      <c r="C147" s="20" t="e">
        <f>INDEX('01_FASTPPH'!$9:$1048576,MATCH($A147,'01_FASTPPH'!$A$9:$A$1048576,0),MATCH(C$9,'01_FASTPPH'!$8:$8,0))</f>
        <v>#N/A</v>
      </c>
      <c r="D147" s="20" t="e">
        <f>INDEX('01_FASTPPH'!$9:$1048576,MATCH($A147,'01_FASTPPH'!$A$9:$A$1048576,0),MATCH(D$9,'01_FASTPPH'!$8:$8,0))</f>
        <v>#N/A</v>
      </c>
      <c r="E147" s="20" t="e">
        <f>INDEX('01_FASTPPH'!$9:$1048576,MATCH($A147,'01_FASTPPH'!$A$9:$A$1048576,0),MATCH(E$9,'01_FASTPPH'!$8:$8,0))</f>
        <v>#N/A</v>
      </c>
      <c r="F147" s="20" t="e">
        <f>INDEX('01_FASTPPH'!$9:$1048576,MATCH($A147,'01_FASTPPH'!$A$9:$A$1048576,0),MATCH(F$9,'01_FASTPPH'!$8:$8,0))</f>
        <v>#N/A</v>
      </c>
      <c r="G147" s="20" t="e">
        <f>INDEX('01_FASTPPH'!$9:$1048576,MATCH($A147,'01_FASTPPH'!$A$9:$A$1048576,0),MATCH(G$9,'01_FASTPPH'!$8:$8,0))</f>
        <v>#N/A</v>
      </c>
      <c r="H147" s="20" t="e">
        <f>INDEX('01_FASTPPH'!$9:$1048576,MATCH($A147,'01_FASTPPH'!$A$9:$A$1048576,0),MATCH(H$9,'01_FASTPPH'!$8:$8,0))</f>
        <v>#N/A</v>
      </c>
      <c r="I147" s="20" t="e">
        <f>INDEX('01_FASTPPH'!$9:$1048576,MATCH($A147,'01_FASTPPH'!$A$9:$A$1048576,0),MATCH(I$9,'01_FASTPPH'!$8:$8,0))</f>
        <v>#N/A</v>
      </c>
      <c r="J147" s="20" t="e">
        <f>INDEX('01_FASTPPH'!$9:$1048576,MATCH($A147,'01_FASTPPH'!$A$9:$A$1048576,0),MATCH(J$9,'01_FASTPPH'!$8:$8,0))</f>
        <v>#N/A</v>
      </c>
      <c r="K147" s="23" t="e">
        <f>INDEX('01_FASTPPH'!$9:$1048576,MATCH($A147,'01_FASTPPH'!$A$9:$A$1048576,0),MATCH(K$9,'01_FASTPPH'!$8:$8,0))</f>
        <v>#N/A</v>
      </c>
      <c r="L147" s="20" t="e">
        <f>INDEX('01_FASTPPH'!$9:$1048576,MATCH($A147,'01_FASTPPH'!$A$9:$A$1048576,0),MATCH(L$9,'01_FASTPPH'!$8:$8,0))</f>
        <v>#N/A</v>
      </c>
      <c r="M147" s="20" t="e">
        <f>INDEX('01_FASTPPH'!$9:$1048576,MATCH($A147,'01_FASTPPH'!$A$9:$A$1048576,0),MATCH(M$9,'01_FASTPPH'!$8:$8,0))</f>
        <v>#N/A</v>
      </c>
      <c r="N147" s="24" t="e">
        <f>INDEX('01_FASTPPH'!$9:$1048576,MATCH($A147,'01_FASTPPH'!$A$9:$A$1048576,0),MATCH(N$9,'01_FASTPPH'!$8:$8,0))</f>
        <v>#N/A</v>
      </c>
      <c r="O147" s="23" t="e">
        <f>INDEX('01_FASTPPH'!$9:$1048576,MATCH($A147,'01_FASTPPH'!$A$9:$A$1048576,0),MATCH(O$9,'01_FASTPPH'!$8:$8,0))</f>
        <v>#N/A</v>
      </c>
      <c r="P147" s="20" t="e">
        <f>INDEX('01_FASTPPH'!$9:$1048576,MATCH($A147,'01_FASTPPH'!$A$9:$A$1048576,0),MATCH(P$9,'01_FASTPPH'!$8:$8,0))</f>
        <v>#N/A</v>
      </c>
      <c r="Q147" s="20" t="e">
        <f>INDEX('01_FASTPPH'!$9:$1048576,MATCH($A147,'01_FASTPPH'!$A$9:$A$1048576,0),MATCH(Q$9,'01_FASTPPH'!$8:$8,0))</f>
        <v>#N/A</v>
      </c>
      <c r="R147" s="20" t="e">
        <f>INDEX('01_FASTPPH'!$9:$1048576,MATCH($A147,'01_FASTPPH'!$A$9:$A$1048576,0),MATCH(R$9,'01_FASTPPH'!$8:$8,0))</f>
        <v>#N/A</v>
      </c>
      <c r="S147" s="20" t="e">
        <f>INDEX('01_FASTPPH'!$9:$1048576,MATCH($A147,'01_FASTPPH'!$A$9:$A$1048576,0),MATCH(S$9,'01_FASTPPH'!$8:$8,0))</f>
        <v>#N/A</v>
      </c>
      <c r="T147" s="24" t="e">
        <f>INDEX('01_FASTPPH'!$9:$1048576,MATCH($A147,'01_FASTPPH'!$A$9:$A$1048576,0),MATCH(T$9,'01_FASTPPH'!$8:$8,0))</f>
        <v>#N/A</v>
      </c>
      <c r="U147" s="23" t="e">
        <f>INDEX('01_FASTPPH'!$9:$1048576,MATCH($A147,'01_FASTPPH'!$A$9:$A$1048576,0),MATCH(U$9,'01_FASTPPH'!$8:$8,0))</f>
        <v>#N/A</v>
      </c>
      <c r="V147" s="20" t="e">
        <f>INDEX('01_FASTPPH'!$9:$1048576,MATCH($A147,'01_FASTPPH'!$A$9:$A$1048576,0),MATCH(V$9,'01_FASTPPH'!$8:$8,0))</f>
        <v>#N/A</v>
      </c>
      <c r="W147" s="24" t="e">
        <f>INDEX('01_FASTPPH'!$9:$1048576,MATCH($A147,'01_FASTPPH'!$A$9:$A$1048576,0),MATCH(W$9,'01_FASTPPH'!$8:$8,0))</f>
        <v>#N/A</v>
      </c>
      <c r="X147" s="20" t="e">
        <f>INDEX('01_FASTPPH'!$9:$1048576,MATCH($A147,'01_FASTPPH'!$A$9:$A$1048576,0),MATCH(X$9,'01_FASTPPH'!$8:$8,0))</f>
        <v>#N/A</v>
      </c>
      <c r="Y147" s="20" t="e">
        <f>INDEX('01_FASTPPH'!$9:$1048576,MATCH($A147,'01_FASTPPH'!$A$9:$A$1048576,0),MATCH(Y$9,'01_FASTPPH'!$8:$8,0))</f>
        <v>#N/A</v>
      </c>
      <c r="AA147" s="32" t="e">
        <f>INDEX('02_PROPERTIES'!$C$10:$I$1048576,MATCH('03_CALCULATIONS'!$D147,'02_PROPERTIES'!$C$10:$C$1048576,0),MATCH('03_CALCULATIONS'!AA$9,'02_PROPERTIES'!$C$10:$I$10,0))</f>
        <v>#N/A</v>
      </c>
      <c r="AB147" s="20" t="e">
        <f>INDEX('02_PROPERTIES'!$C$10:$I$1048576,MATCH('03_CALCULATIONS'!$D147,'02_PROPERTIES'!$C$10:$C$1048576,0),MATCH('03_CALCULATIONS'!AB$9,'02_PROPERTIES'!$C$10:$I$10,0))</f>
        <v>#N/A</v>
      </c>
      <c r="AC147" s="20" t="e">
        <f>INDEX('02_PROPERTIES'!$C$10:$I$1048576,MATCH('03_CALCULATIONS'!$D147,'02_PROPERTIES'!$C$10:$C$1048576,0),MATCH('03_CALCULATIONS'!AC$9,'02_PROPERTIES'!$C$10:$I$10,0))</f>
        <v>#N/A</v>
      </c>
      <c r="AD147" s="20" t="e">
        <f>INDEX('02_PROPERTIES'!$C$10:$I$1048576,MATCH('03_CALCULATIONS'!$D147,'02_PROPERTIES'!$C$10:$C$1048576,0),MATCH('03_CALCULATIONS'!AD$9,'02_PROPERTIES'!$C$10:$I$10,0))</f>
        <v>#N/A</v>
      </c>
      <c r="AE147" s="32" t="e">
        <f>INDEX('02_PROPERTIES'!$C$10:$I$1048576,MATCH('03_CALCULATIONS'!$D147,'02_PROPERTIES'!$C$10:$C$1048576,0),MATCH('03_CALCULATIONS'!AE$9,'02_PROPERTIES'!$C$10:$I$10,0))</f>
        <v>#N/A</v>
      </c>
      <c r="AF147" s="32" t="e">
        <f>INDEX('02_PROPERTIES'!$C$10:$I$1048576,MATCH('03_CALCULATIONS'!$D147,'02_PROPERTIES'!$C$10:$C$1048576,0),MATCH('03_CALCULATIONS'!AF$9,'02_PROPERTIES'!$C$10:$I$10,0))</f>
        <v>#N/A</v>
      </c>
      <c r="AH147" s="20" t="e">
        <f t="shared" si="22"/>
        <v>#N/A</v>
      </c>
      <c r="AI147" s="20" t="e">
        <f t="shared" si="23"/>
        <v>#N/A</v>
      </c>
      <c r="AJ147" s="20" t="e">
        <f t="shared" si="24"/>
        <v>#N/A</v>
      </c>
      <c r="AL147" s="20" t="e">
        <f t="shared" si="25"/>
        <v>#N/A</v>
      </c>
      <c r="AM147" s="20" t="e">
        <f t="shared" si="26"/>
        <v>#N/A</v>
      </c>
      <c r="AN147" s="20" t="e">
        <f t="shared" si="27"/>
        <v>#N/A</v>
      </c>
      <c r="AO147" s="20" t="e">
        <f t="shared" si="28"/>
        <v>#N/A</v>
      </c>
      <c r="AP147" s="20" t="e">
        <f t="shared" si="29"/>
        <v>#N/A</v>
      </c>
      <c r="AR147" s="20" t="e">
        <f t="shared" si="30"/>
        <v>#N/A</v>
      </c>
      <c r="AS147" s="20" t="e">
        <f t="shared" si="31"/>
        <v>#N/A</v>
      </c>
      <c r="AT147" s="20" t="e">
        <f t="shared" si="32"/>
        <v>#N/A</v>
      </c>
    </row>
    <row r="148" spans="1:46" x14ac:dyDescent="0.3">
      <c r="A148" s="18"/>
      <c r="B148" s="20" t="e">
        <f>INDEX('01_FASTPPH'!$9:$1048576,MATCH($A148,'01_FASTPPH'!$A$9:$A$1048576,0),MATCH(B$9,'01_FASTPPH'!$8:$8,0))</f>
        <v>#N/A</v>
      </c>
      <c r="C148" s="20" t="e">
        <f>INDEX('01_FASTPPH'!$9:$1048576,MATCH($A148,'01_FASTPPH'!$A$9:$A$1048576,0),MATCH(C$9,'01_FASTPPH'!$8:$8,0))</f>
        <v>#N/A</v>
      </c>
      <c r="D148" s="20" t="e">
        <f>INDEX('01_FASTPPH'!$9:$1048576,MATCH($A148,'01_FASTPPH'!$A$9:$A$1048576,0),MATCH(D$9,'01_FASTPPH'!$8:$8,0))</f>
        <v>#N/A</v>
      </c>
      <c r="E148" s="20" t="e">
        <f>INDEX('01_FASTPPH'!$9:$1048576,MATCH($A148,'01_FASTPPH'!$A$9:$A$1048576,0),MATCH(E$9,'01_FASTPPH'!$8:$8,0))</f>
        <v>#N/A</v>
      </c>
      <c r="F148" s="20" t="e">
        <f>INDEX('01_FASTPPH'!$9:$1048576,MATCH($A148,'01_FASTPPH'!$A$9:$A$1048576,0),MATCH(F$9,'01_FASTPPH'!$8:$8,0))</f>
        <v>#N/A</v>
      </c>
      <c r="G148" s="20" t="e">
        <f>INDEX('01_FASTPPH'!$9:$1048576,MATCH($A148,'01_FASTPPH'!$A$9:$A$1048576,0),MATCH(G$9,'01_FASTPPH'!$8:$8,0))</f>
        <v>#N/A</v>
      </c>
      <c r="H148" s="20" t="e">
        <f>INDEX('01_FASTPPH'!$9:$1048576,MATCH($A148,'01_FASTPPH'!$A$9:$A$1048576,0),MATCH(H$9,'01_FASTPPH'!$8:$8,0))</f>
        <v>#N/A</v>
      </c>
      <c r="I148" s="20" t="e">
        <f>INDEX('01_FASTPPH'!$9:$1048576,MATCH($A148,'01_FASTPPH'!$A$9:$A$1048576,0),MATCH(I$9,'01_FASTPPH'!$8:$8,0))</f>
        <v>#N/A</v>
      </c>
      <c r="J148" s="20" t="e">
        <f>INDEX('01_FASTPPH'!$9:$1048576,MATCH($A148,'01_FASTPPH'!$A$9:$A$1048576,0),MATCH(J$9,'01_FASTPPH'!$8:$8,0))</f>
        <v>#N/A</v>
      </c>
      <c r="K148" s="23" t="e">
        <f>INDEX('01_FASTPPH'!$9:$1048576,MATCH($A148,'01_FASTPPH'!$A$9:$A$1048576,0),MATCH(K$9,'01_FASTPPH'!$8:$8,0))</f>
        <v>#N/A</v>
      </c>
      <c r="L148" s="20" t="e">
        <f>INDEX('01_FASTPPH'!$9:$1048576,MATCH($A148,'01_FASTPPH'!$A$9:$A$1048576,0),MATCH(L$9,'01_FASTPPH'!$8:$8,0))</f>
        <v>#N/A</v>
      </c>
      <c r="M148" s="20" t="e">
        <f>INDEX('01_FASTPPH'!$9:$1048576,MATCH($A148,'01_FASTPPH'!$A$9:$A$1048576,0),MATCH(M$9,'01_FASTPPH'!$8:$8,0))</f>
        <v>#N/A</v>
      </c>
      <c r="N148" s="24" t="e">
        <f>INDEX('01_FASTPPH'!$9:$1048576,MATCH($A148,'01_FASTPPH'!$A$9:$A$1048576,0),MATCH(N$9,'01_FASTPPH'!$8:$8,0))</f>
        <v>#N/A</v>
      </c>
      <c r="O148" s="23" t="e">
        <f>INDEX('01_FASTPPH'!$9:$1048576,MATCH($A148,'01_FASTPPH'!$A$9:$A$1048576,0),MATCH(O$9,'01_FASTPPH'!$8:$8,0))</f>
        <v>#N/A</v>
      </c>
      <c r="P148" s="20" t="e">
        <f>INDEX('01_FASTPPH'!$9:$1048576,MATCH($A148,'01_FASTPPH'!$A$9:$A$1048576,0),MATCH(P$9,'01_FASTPPH'!$8:$8,0))</f>
        <v>#N/A</v>
      </c>
      <c r="Q148" s="20" t="e">
        <f>INDEX('01_FASTPPH'!$9:$1048576,MATCH($A148,'01_FASTPPH'!$A$9:$A$1048576,0),MATCH(Q$9,'01_FASTPPH'!$8:$8,0))</f>
        <v>#N/A</v>
      </c>
      <c r="R148" s="20" t="e">
        <f>INDEX('01_FASTPPH'!$9:$1048576,MATCH($A148,'01_FASTPPH'!$A$9:$A$1048576,0),MATCH(R$9,'01_FASTPPH'!$8:$8,0))</f>
        <v>#N/A</v>
      </c>
      <c r="S148" s="20" t="e">
        <f>INDEX('01_FASTPPH'!$9:$1048576,MATCH($A148,'01_FASTPPH'!$A$9:$A$1048576,0),MATCH(S$9,'01_FASTPPH'!$8:$8,0))</f>
        <v>#N/A</v>
      </c>
      <c r="T148" s="24" t="e">
        <f>INDEX('01_FASTPPH'!$9:$1048576,MATCH($A148,'01_FASTPPH'!$A$9:$A$1048576,0),MATCH(T$9,'01_FASTPPH'!$8:$8,0))</f>
        <v>#N/A</v>
      </c>
      <c r="U148" s="23" t="e">
        <f>INDEX('01_FASTPPH'!$9:$1048576,MATCH($A148,'01_FASTPPH'!$A$9:$A$1048576,0),MATCH(U$9,'01_FASTPPH'!$8:$8,0))</f>
        <v>#N/A</v>
      </c>
      <c r="V148" s="20" t="e">
        <f>INDEX('01_FASTPPH'!$9:$1048576,MATCH($A148,'01_FASTPPH'!$A$9:$A$1048576,0),MATCH(V$9,'01_FASTPPH'!$8:$8,0))</f>
        <v>#N/A</v>
      </c>
      <c r="W148" s="24" t="e">
        <f>INDEX('01_FASTPPH'!$9:$1048576,MATCH($A148,'01_FASTPPH'!$A$9:$A$1048576,0),MATCH(W$9,'01_FASTPPH'!$8:$8,0))</f>
        <v>#N/A</v>
      </c>
      <c r="X148" s="20" t="e">
        <f>INDEX('01_FASTPPH'!$9:$1048576,MATCH($A148,'01_FASTPPH'!$A$9:$A$1048576,0),MATCH(X$9,'01_FASTPPH'!$8:$8,0))</f>
        <v>#N/A</v>
      </c>
      <c r="Y148" s="20" t="e">
        <f>INDEX('01_FASTPPH'!$9:$1048576,MATCH($A148,'01_FASTPPH'!$A$9:$A$1048576,0),MATCH(Y$9,'01_FASTPPH'!$8:$8,0))</f>
        <v>#N/A</v>
      </c>
      <c r="AA148" s="32" t="e">
        <f>INDEX('02_PROPERTIES'!$C$10:$I$1048576,MATCH('03_CALCULATIONS'!$D148,'02_PROPERTIES'!$C$10:$C$1048576,0),MATCH('03_CALCULATIONS'!AA$9,'02_PROPERTIES'!$C$10:$I$10,0))</f>
        <v>#N/A</v>
      </c>
      <c r="AB148" s="20" t="e">
        <f>INDEX('02_PROPERTIES'!$C$10:$I$1048576,MATCH('03_CALCULATIONS'!$D148,'02_PROPERTIES'!$C$10:$C$1048576,0),MATCH('03_CALCULATIONS'!AB$9,'02_PROPERTIES'!$C$10:$I$10,0))</f>
        <v>#N/A</v>
      </c>
      <c r="AC148" s="20" t="e">
        <f>INDEX('02_PROPERTIES'!$C$10:$I$1048576,MATCH('03_CALCULATIONS'!$D148,'02_PROPERTIES'!$C$10:$C$1048576,0),MATCH('03_CALCULATIONS'!AC$9,'02_PROPERTIES'!$C$10:$I$10,0))</f>
        <v>#N/A</v>
      </c>
      <c r="AD148" s="20" t="e">
        <f>INDEX('02_PROPERTIES'!$C$10:$I$1048576,MATCH('03_CALCULATIONS'!$D148,'02_PROPERTIES'!$C$10:$C$1048576,0),MATCH('03_CALCULATIONS'!AD$9,'02_PROPERTIES'!$C$10:$I$10,0))</f>
        <v>#N/A</v>
      </c>
      <c r="AE148" s="32" t="e">
        <f>INDEX('02_PROPERTIES'!$C$10:$I$1048576,MATCH('03_CALCULATIONS'!$D148,'02_PROPERTIES'!$C$10:$C$1048576,0),MATCH('03_CALCULATIONS'!AE$9,'02_PROPERTIES'!$C$10:$I$10,0))</f>
        <v>#N/A</v>
      </c>
      <c r="AF148" s="32" t="e">
        <f>INDEX('02_PROPERTIES'!$C$10:$I$1048576,MATCH('03_CALCULATIONS'!$D148,'02_PROPERTIES'!$C$10:$C$1048576,0),MATCH('03_CALCULATIONS'!AF$9,'02_PROPERTIES'!$C$10:$I$10,0))</f>
        <v>#N/A</v>
      </c>
      <c r="AH148" s="20" t="e">
        <f t="shared" si="22"/>
        <v>#N/A</v>
      </c>
      <c r="AI148" s="20" t="e">
        <f t="shared" si="23"/>
        <v>#N/A</v>
      </c>
      <c r="AJ148" s="20" t="e">
        <f t="shared" si="24"/>
        <v>#N/A</v>
      </c>
      <c r="AL148" s="20" t="e">
        <f t="shared" si="25"/>
        <v>#N/A</v>
      </c>
      <c r="AM148" s="20" t="e">
        <f t="shared" si="26"/>
        <v>#N/A</v>
      </c>
      <c r="AN148" s="20" t="e">
        <f t="shared" si="27"/>
        <v>#N/A</v>
      </c>
      <c r="AO148" s="20" t="e">
        <f t="shared" si="28"/>
        <v>#N/A</v>
      </c>
      <c r="AP148" s="20" t="e">
        <f t="shared" si="29"/>
        <v>#N/A</v>
      </c>
      <c r="AR148" s="20" t="e">
        <f t="shared" si="30"/>
        <v>#N/A</v>
      </c>
      <c r="AS148" s="20" t="e">
        <f t="shared" si="31"/>
        <v>#N/A</v>
      </c>
      <c r="AT148" s="20" t="e">
        <f t="shared" si="32"/>
        <v>#N/A</v>
      </c>
    </row>
    <row r="149" spans="1:46" x14ac:dyDescent="0.3">
      <c r="A149" s="18"/>
      <c r="B149" s="20" t="e">
        <f>INDEX('01_FASTPPH'!$9:$1048576,MATCH($A149,'01_FASTPPH'!$A$9:$A$1048576,0),MATCH(B$9,'01_FASTPPH'!$8:$8,0))</f>
        <v>#N/A</v>
      </c>
      <c r="C149" s="20" t="e">
        <f>INDEX('01_FASTPPH'!$9:$1048576,MATCH($A149,'01_FASTPPH'!$A$9:$A$1048576,0),MATCH(C$9,'01_FASTPPH'!$8:$8,0))</f>
        <v>#N/A</v>
      </c>
      <c r="D149" s="20" t="e">
        <f>INDEX('01_FASTPPH'!$9:$1048576,MATCH($A149,'01_FASTPPH'!$A$9:$A$1048576,0),MATCH(D$9,'01_FASTPPH'!$8:$8,0))</f>
        <v>#N/A</v>
      </c>
      <c r="E149" s="20" t="e">
        <f>INDEX('01_FASTPPH'!$9:$1048576,MATCH($A149,'01_FASTPPH'!$A$9:$A$1048576,0),MATCH(E$9,'01_FASTPPH'!$8:$8,0))</f>
        <v>#N/A</v>
      </c>
      <c r="F149" s="20" t="e">
        <f>INDEX('01_FASTPPH'!$9:$1048576,MATCH($A149,'01_FASTPPH'!$A$9:$A$1048576,0),MATCH(F$9,'01_FASTPPH'!$8:$8,0))</f>
        <v>#N/A</v>
      </c>
      <c r="G149" s="20" t="e">
        <f>INDEX('01_FASTPPH'!$9:$1048576,MATCH($A149,'01_FASTPPH'!$A$9:$A$1048576,0),MATCH(G$9,'01_FASTPPH'!$8:$8,0))</f>
        <v>#N/A</v>
      </c>
      <c r="H149" s="20" t="e">
        <f>INDEX('01_FASTPPH'!$9:$1048576,MATCH($A149,'01_FASTPPH'!$A$9:$A$1048576,0),MATCH(H$9,'01_FASTPPH'!$8:$8,0))</f>
        <v>#N/A</v>
      </c>
      <c r="I149" s="20" t="e">
        <f>INDEX('01_FASTPPH'!$9:$1048576,MATCH($A149,'01_FASTPPH'!$A$9:$A$1048576,0),MATCH(I$9,'01_FASTPPH'!$8:$8,0))</f>
        <v>#N/A</v>
      </c>
      <c r="J149" s="20" t="e">
        <f>INDEX('01_FASTPPH'!$9:$1048576,MATCH($A149,'01_FASTPPH'!$A$9:$A$1048576,0),MATCH(J$9,'01_FASTPPH'!$8:$8,0))</f>
        <v>#N/A</v>
      </c>
      <c r="K149" s="23" t="e">
        <f>INDEX('01_FASTPPH'!$9:$1048576,MATCH($A149,'01_FASTPPH'!$A$9:$A$1048576,0),MATCH(K$9,'01_FASTPPH'!$8:$8,0))</f>
        <v>#N/A</v>
      </c>
      <c r="L149" s="20" t="e">
        <f>INDEX('01_FASTPPH'!$9:$1048576,MATCH($A149,'01_FASTPPH'!$A$9:$A$1048576,0),MATCH(L$9,'01_FASTPPH'!$8:$8,0))</f>
        <v>#N/A</v>
      </c>
      <c r="M149" s="20" t="e">
        <f>INDEX('01_FASTPPH'!$9:$1048576,MATCH($A149,'01_FASTPPH'!$A$9:$A$1048576,0),MATCH(M$9,'01_FASTPPH'!$8:$8,0))</f>
        <v>#N/A</v>
      </c>
      <c r="N149" s="24" t="e">
        <f>INDEX('01_FASTPPH'!$9:$1048576,MATCH($A149,'01_FASTPPH'!$A$9:$A$1048576,0),MATCH(N$9,'01_FASTPPH'!$8:$8,0))</f>
        <v>#N/A</v>
      </c>
      <c r="O149" s="23" t="e">
        <f>INDEX('01_FASTPPH'!$9:$1048576,MATCH($A149,'01_FASTPPH'!$A$9:$A$1048576,0),MATCH(O$9,'01_FASTPPH'!$8:$8,0))</f>
        <v>#N/A</v>
      </c>
      <c r="P149" s="20" t="e">
        <f>INDEX('01_FASTPPH'!$9:$1048576,MATCH($A149,'01_FASTPPH'!$A$9:$A$1048576,0),MATCH(P$9,'01_FASTPPH'!$8:$8,0))</f>
        <v>#N/A</v>
      </c>
      <c r="Q149" s="20" t="e">
        <f>INDEX('01_FASTPPH'!$9:$1048576,MATCH($A149,'01_FASTPPH'!$A$9:$A$1048576,0),MATCH(Q$9,'01_FASTPPH'!$8:$8,0))</f>
        <v>#N/A</v>
      </c>
      <c r="R149" s="20" t="e">
        <f>INDEX('01_FASTPPH'!$9:$1048576,MATCH($A149,'01_FASTPPH'!$A$9:$A$1048576,0),MATCH(R$9,'01_FASTPPH'!$8:$8,0))</f>
        <v>#N/A</v>
      </c>
      <c r="S149" s="20" t="e">
        <f>INDEX('01_FASTPPH'!$9:$1048576,MATCH($A149,'01_FASTPPH'!$A$9:$A$1048576,0),MATCH(S$9,'01_FASTPPH'!$8:$8,0))</f>
        <v>#N/A</v>
      </c>
      <c r="T149" s="24" t="e">
        <f>INDEX('01_FASTPPH'!$9:$1048576,MATCH($A149,'01_FASTPPH'!$A$9:$A$1048576,0),MATCH(T$9,'01_FASTPPH'!$8:$8,0))</f>
        <v>#N/A</v>
      </c>
      <c r="U149" s="23" t="e">
        <f>INDEX('01_FASTPPH'!$9:$1048576,MATCH($A149,'01_FASTPPH'!$A$9:$A$1048576,0),MATCH(U$9,'01_FASTPPH'!$8:$8,0))</f>
        <v>#N/A</v>
      </c>
      <c r="V149" s="20" t="e">
        <f>INDEX('01_FASTPPH'!$9:$1048576,MATCH($A149,'01_FASTPPH'!$A$9:$A$1048576,0),MATCH(V$9,'01_FASTPPH'!$8:$8,0))</f>
        <v>#N/A</v>
      </c>
      <c r="W149" s="24" t="e">
        <f>INDEX('01_FASTPPH'!$9:$1048576,MATCH($A149,'01_FASTPPH'!$A$9:$A$1048576,0),MATCH(W$9,'01_FASTPPH'!$8:$8,0))</f>
        <v>#N/A</v>
      </c>
      <c r="X149" s="20" t="e">
        <f>INDEX('01_FASTPPH'!$9:$1048576,MATCH($A149,'01_FASTPPH'!$A$9:$A$1048576,0),MATCH(X$9,'01_FASTPPH'!$8:$8,0))</f>
        <v>#N/A</v>
      </c>
      <c r="Y149" s="20" t="e">
        <f>INDEX('01_FASTPPH'!$9:$1048576,MATCH($A149,'01_FASTPPH'!$A$9:$A$1048576,0),MATCH(Y$9,'01_FASTPPH'!$8:$8,0))</f>
        <v>#N/A</v>
      </c>
      <c r="AA149" s="32" t="e">
        <f>INDEX('02_PROPERTIES'!$C$10:$I$1048576,MATCH('03_CALCULATIONS'!$D149,'02_PROPERTIES'!$C$10:$C$1048576,0),MATCH('03_CALCULATIONS'!AA$9,'02_PROPERTIES'!$C$10:$I$10,0))</f>
        <v>#N/A</v>
      </c>
      <c r="AB149" s="20" t="e">
        <f>INDEX('02_PROPERTIES'!$C$10:$I$1048576,MATCH('03_CALCULATIONS'!$D149,'02_PROPERTIES'!$C$10:$C$1048576,0),MATCH('03_CALCULATIONS'!AB$9,'02_PROPERTIES'!$C$10:$I$10,0))</f>
        <v>#N/A</v>
      </c>
      <c r="AC149" s="20" t="e">
        <f>INDEX('02_PROPERTIES'!$C$10:$I$1048576,MATCH('03_CALCULATIONS'!$D149,'02_PROPERTIES'!$C$10:$C$1048576,0),MATCH('03_CALCULATIONS'!AC$9,'02_PROPERTIES'!$C$10:$I$10,0))</f>
        <v>#N/A</v>
      </c>
      <c r="AD149" s="20" t="e">
        <f>INDEX('02_PROPERTIES'!$C$10:$I$1048576,MATCH('03_CALCULATIONS'!$D149,'02_PROPERTIES'!$C$10:$C$1048576,0),MATCH('03_CALCULATIONS'!AD$9,'02_PROPERTIES'!$C$10:$I$10,0))</f>
        <v>#N/A</v>
      </c>
      <c r="AE149" s="32" t="e">
        <f>INDEX('02_PROPERTIES'!$C$10:$I$1048576,MATCH('03_CALCULATIONS'!$D149,'02_PROPERTIES'!$C$10:$C$1048576,0),MATCH('03_CALCULATIONS'!AE$9,'02_PROPERTIES'!$C$10:$I$10,0))</f>
        <v>#N/A</v>
      </c>
      <c r="AF149" s="32" t="e">
        <f>INDEX('02_PROPERTIES'!$C$10:$I$1048576,MATCH('03_CALCULATIONS'!$D149,'02_PROPERTIES'!$C$10:$C$1048576,0),MATCH('03_CALCULATIONS'!AF$9,'02_PROPERTIES'!$C$10:$I$10,0))</f>
        <v>#N/A</v>
      </c>
      <c r="AH149" s="20" t="e">
        <f t="shared" si="22"/>
        <v>#N/A</v>
      </c>
      <c r="AI149" s="20" t="e">
        <f t="shared" si="23"/>
        <v>#N/A</v>
      </c>
      <c r="AJ149" s="20" t="e">
        <f t="shared" si="24"/>
        <v>#N/A</v>
      </c>
      <c r="AL149" s="20" t="e">
        <f t="shared" si="25"/>
        <v>#N/A</v>
      </c>
      <c r="AM149" s="20" t="e">
        <f t="shared" si="26"/>
        <v>#N/A</v>
      </c>
      <c r="AN149" s="20" t="e">
        <f t="shared" si="27"/>
        <v>#N/A</v>
      </c>
      <c r="AO149" s="20" t="e">
        <f t="shared" si="28"/>
        <v>#N/A</v>
      </c>
      <c r="AP149" s="20" t="e">
        <f t="shared" si="29"/>
        <v>#N/A</v>
      </c>
      <c r="AR149" s="20" t="e">
        <f t="shared" si="30"/>
        <v>#N/A</v>
      </c>
      <c r="AS149" s="20" t="e">
        <f t="shared" si="31"/>
        <v>#N/A</v>
      </c>
      <c r="AT149" s="20" t="e">
        <f t="shared" si="32"/>
        <v>#N/A</v>
      </c>
    </row>
    <row r="150" spans="1:46" x14ac:dyDescent="0.3">
      <c r="A150" s="18"/>
      <c r="B150" s="20" t="e">
        <f>INDEX('01_FASTPPH'!$9:$1048576,MATCH($A150,'01_FASTPPH'!$A$9:$A$1048576,0),MATCH(B$9,'01_FASTPPH'!$8:$8,0))</f>
        <v>#N/A</v>
      </c>
      <c r="C150" s="20" t="e">
        <f>INDEX('01_FASTPPH'!$9:$1048576,MATCH($A150,'01_FASTPPH'!$A$9:$A$1048576,0),MATCH(C$9,'01_FASTPPH'!$8:$8,0))</f>
        <v>#N/A</v>
      </c>
      <c r="D150" s="20" t="e">
        <f>INDEX('01_FASTPPH'!$9:$1048576,MATCH($A150,'01_FASTPPH'!$A$9:$A$1048576,0),MATCH(D$9,'01_FASTPPH'!$8:$8,0))</f>
        <v>#N/A</v>
      </c>
      <c r="E150" s="20" t="e">
        <f>INDEX('01_FASTPPH'!$9:$1048576,MATCH($A150,'01_FASTPPH'!$A$9:$A$1048576,0),MATCH(E$9,'01_FASTPPH'!$8:$8,0))</f>
        <v>#N/A</v>
      </c>
      <c r="F150" s="20" t="e">
        <f>INDEX('01_FASTPPH'!$9:$1048576,MATCH($A150,'01_FASTPPH'!$A$9:$A$1048576,0),MATCH(F$9,'01_FASTPPH'!$8:$8,0))</f>
        <v>#N/A</v>
      </c>
      <c r="G150" s="20" t="e">
        <f>INDEX('01_FASTPPH'!$9:$1048576,MATCH($A150,'01_FASTPPH'!$A$9:$A$1048576,0),MATCH(G$9,'01_FASTPPH'!$8:$8,0))</f>
        <v>#N/A</v>
      </c>
      <c r="H150" s="20" t="e">
        <f>INDEX('01_FASTPPH'!$9:$1048576,MATCH($A150,'01_FASTPPH'!$A$9:$A$1048576,0),MATCH(H$9,'01_FASTPPH'!$8:$8,0))</f>
        <v>#N/A</v>
      </c>
      <c r="I150" s="20" t="e">
        <f>INDEX('01_FASTPPH'!$9:$1048576,MATCH($A150,'01_FASTPPH'!$A$9:$A$1048576,0),MATCH(I$9,'01_FASTPPH'!$8:$8,0))</f>
        <v>#N/A</v>
      </c>
      <c r="J150" s="20" t="e">
        <f>INDEX('01_FASTPPH'!$9:$1048576,MATCH($A150,'01_FASTPPH'!$A$9:$A$1048576,0),MATCH(J$9,'01_FASTPPH'!$8:$8,0))</f>
        <v>#N/A</v>
      </c>
      <c r="K150" s="23" t="e">
        <f>INDEX('01_FASTPPH'!$9:$1048576,MATCH($A150,'01_FASTPPH'!$A$9:$A$1048576,0),MATCH(K$9,'01_FASTPPH'!$8:$8,0))</f>
        <v>#N/A</v>
      </c>
      <c r="L150" s="20" t="e">
        <f>INDEX('01_FASTPPH'!$9:$1048576,MATCH($A150,'01_FASTPPH'!$A$9:$A$1048576,0),MATCH(L$9,'01_FASTPPH'!$8:$8,0))</f>
        <v>#N/A</v>
      </c>
      <c r="M150" s="20" t="e">
        <f>INDEX('01_FASTPPH'!$9:$1048576,MATCH($A150,'01_FASTPPH'!$A$9:$A$1048576,0),MATCH(M$9,'01_FASTPPH'!$8:$8,0))</f>
        <v>#N/A</v>
      </c>
      <c r="N150" s="24" t="e">
        <f>INDEX('01_FASTPPH'!$9:$1048576,MATCH($A150,'01_FASTPPH'!$A$9:$A$1048576,0),MATCH(N$9,'01_FASTPPH'!$8:$8,0))</f>
        <v>#N/A</v>
      </c>
      <c r="O150" s="23" t="e">
        <f>INDEX('01_FASTPPH'!$9:$1048576,MATCH($A150,'01_FASTPPH'!$A$9:$A$1048576,0),MATCH(O$9,'01_FASTPPH'!$8:$8,0))</f>
        <v>#N/A</v>
      </c>
      <c r="P150" s="20" t="e">
        <f>INDEX('01_FASTPPH'!$9:$1048576,MATCH($A150,'01_FASTPPH'!$A$9:$A$1048576,0),MATCH(P$9,'01_FASTPPH'!$8:$8,0))</f>
        <v>#N/A</v>
      </c>
      <c r="Q150" s="20" t="e">
        <f>INDEX('01_FASTPPH'!$9:$1048576,MATCH($A150,'01_FASTPPH'!$A$9:$A$1048576,0),MATCH(Q$9,'01_FASTPPH'!$8:$8,0))</f>
        <v>#N/A</v>
      </c>
      <c r="R150" s="20" t="e">
        <f>INDEX('01_FASTPPH'!$9:$1048576,MATCH($A150,'01_FASTPPH'!$A$9:$A$1048576,0),MATCH(R$9,'01_FASTPPH'!$8:$8,0))</f>
        <v>#N/A</v>
      </c>
      <c r="S150" s="20" t="e">
        <f>INDEX('01_FASTPPH'!$9:$1048576,MATCH($A150,'01_FASTPPH'!$A$9:$A$1048576,0),MATCH(S$9,'01_FASTPPH'!$8:$8,0))</f>
        <v>#N/A</v>
      </c>
      <c r="T150" s="24" t="e">
        <f>INDEX('01_FASTPPH'!$9:$1048576,MATCH($A150,'01_FASTPPH'!$A$9:$A$1048576,0),MATCH(T$9,'01_FASTPPH'!$8:$8,0))</f>
        <v>#N/A</v>
      </c>
      <c r="U150" s="23" t="e">
        <f>INDEX('01_FASTPPH'!$9:$1048576,MATCH($A150,'01_FASTPPH'!$A$9:$A$1048576,0),MATCH(U$9,'01_FASTPPH'!$8:$8,0))</f>
        <v>#N/A</v>
      </c>
      <c r="V150" s="20" t="e">
        <f>INDEX('01_FASTPPH'!$9:$1048576,MATCH($A150,'01_FASTPPH'!$A$9:$A$1048576,0),MATCH(V$9,'01_FASTPPH'!$8:$8,0))</f>
        <v>#N/A</v>
      </c>
      <c r="W150" s="24" t="e">
        <f>INDEX('01_FASTPPH'!$9:$1048576,MATCH($A150,'01_FASTPPH'!$A$9:$A$1048576,0),MATCH(W$9,'01_FASTPPH'!$8:$8,0))</f>
        <v>#N/A</v>
      </c>
      <c r="X150" s="20" t="e">
        <f>INDEX('01_FASTPPH'!$9:$1048576,MATCH($A150,'01_FASTPPH'!$A$9:$A$1048576,0),MATCH(X$9,'01_FASTPPH'!$8:$8,0))</f>
        <v>#N/A</v>
      </c>
      <c r="Y150" s="20" t="e">
        <f>INDEX('01_FASTPPH'!$9:$1048576,MATCH($A150,'01_FASTPPH'!$A$9:$A$1048576,0),MATCH(Y$9,'01_FASTPPH'!$8:$8,0))</f>
        <v>#N/A</v>
      </c>
      <c r="AA150" s="32" t="e">
        <f>INDEX('02_PROPERTIES'!$C$10:$I$1048576,MATCH('03_CALCULATIONS'!$D150,'02_PROPERTIES'!$C$10:$C$1048576,0),MATCH('03_CALCULATIONS'!AA$9,'02_PROPERTIES'!$C$10:$I$10,0))</f>
        <v>#N/A</v>
      </c>
      <c r="AB150" s="20" t="e">
        <f>INDEX('02_PROPERTIES'!$C$10:$I$1048576,MATCH('03_CALCULATIONS'!$D150,'02_PROPERTIES'!$C$10:$C$1048576,0),MATCH('03_CALCULATIONS'!AB$9,'02_PROPERTIES'!$C$10:$I$10,0))</f>
        <v>#N/A</v>
      </c>
      <c r="AC150" s="20" t="e">
        <f>INDEX('02_PROPERTIES'!$C$10:$I$1048576,MATCH('03_CALCULATIONS'!$D150,'02_PROPERTIES'!$C$10:$C$1048576,0),MATCH('03_CALCULATIONS'!AC$9,'02_PROPERTIES'!$C$10:$I$10,0))</f>
        <v>#N/A</v>
      </c>
      <c r="AD150" s="20" t="e">
        <f>INDEX('02_PROPERTIES'!$C$10:$I$1048576,MATCH('03_CALCULATIONS'!$D150,'02_PROPERTIES'!$C$10:$C$1048576,0),MATCH('03_CALCULATIONS'!AD$9,'02_PROPERTIES'!$C$10:$I$10,0))</f>
        <v>#N/A</v>
      </c>
      <c r="AE150" s="32" t="e">
        <f>INDEX('02_PROPERTIES'!$C$10:$I$1048576,MATCH('03_CALCULATIONS'!$D150,'02_PROPERTIES'!$C$10:$C$1048576,0),MATCH('03_CALCULATIONS'!AE$9,'02_PROPERTIES'!$C$10:$I$10,0))</f>
        <v>#N/A</v>
      </c>
      <c r="AF150" s="32" t="e">
        <f>INDEX('02_PROPERTIES'!$C$10:$I$1048576,MATCH('03_CALCULATIONS'!$D150,'02_PROPERTIES'!$C$10:$C$1048576,0),MATCH('03_CALCULATIONS'!AF$9,'02_PROPERTIES'!$C$10:$I$10,0))</f>
        <v>#N/A</v>
      </c>
      <c r="AH150" s="20" t="e">
        <f t="shared" si="22"/>
        <v>#N/A</v>
      </c>
      <c r="AI150" s="20" t="e">
        <f t="shared" si="23"/>
        <v>#N/A</v>
      </c>
      <c r="AJ150" s="20" t="e">
        <f t="shared" si="24"/>
        <v>#N/A</v>
      </c>
      <c r="AL150" s="20" t="e">
        <f t="shared" si="25"/>
        <v>#N/A</v>
      </c>
      <c r="AM150" s="20" t="e">
        <f t="shared" si="26"/>
        <v>#N/A</v>
      </c>
      <c r="AN150" s="20" t="e">
        <f t="shared" si="27"/>
        <v>#N/A</v>
      </c>
      <c r="AO150" s="20" t="e">
        <f t="shared" si="28"/>
        <v>#N/A</v>
      </c>
      <c r="AP150" s="20" t="e">
        <f t="shared" si="29"/>
        <v>#N/A</v>
      </c>
      <c r="AR150" s="20" t="e">
        <f t="shared" si="30"/>
        <v>#N/A</v>
      </c>
      <c r="AS150" s="20" t="e">
        <f t="shared" si="31"/>
        <v>#N/A</v>
      </c>
      <c r="AT150" s="20" t="e">
        <f t="shared" si="32"/>
        <v>#N/A</v>
      </c>
    </row>
    <row r="151" spans="1:46" x14ac:dyDescent="0.3">
      <c r="A151" s="18"/>
      <c r="B151" s="20" t="e">
        <f>INDEX('01_FASTPPH'!$9:$1048576,MATCH($A151,'01_FASTPPH'!$A$9:$A$1048576,0),MATCH(B$9,'01_FASTPPH'!$8:$8,0))</f>
        <v>#N/A</v>
      </c>
      <c r="C151" s="20" t="e">
        <f>INDEX('01_FASTPPH'!$9:$1048576,MATCH($A151,'01_FASTPPH'!$A$9:$A$1048576,0),MATCH(C$9,'01_FASTPPH'!$8:$8,0))</f>
        <v>#N/A</v>
      </c>
      <c r="D151" s="20" t="e">
        <f>INDEX('01_FASTPPH'!$9:$1048576,MATCH($A151,'01_FASTPPH'!$A$9:$A$1048576,0),MATCH(D$9,'01_FASTPPH'!$8:$8,0))</f>
        <v>#N/A</v>
      </c>
      <c r="E151" s="20" t="e">
        <f>INDEX('01_FASTPPH'!$9:$1048576,MATCH($A151,'01_FASTPPH'!$A$9:$A$1048576,0),MATCH(E$9,'01_FASTPPH'!$8:$8,0))</f>
        <v>#N/A</v>
      </c>
      <c r="F151" s="20" t="e">
        <f>INDEX('01_FASTPPH'!$9:$1048576,MATCH($A151,'01_FASTPPH'!$A$9:$A$1048576,0),MATCH(F$9,'01_FASTPPH'!$8:$8,0))</f>
        <v>#N/A</v>
      </c>
      <c r="G151" s="20" t="e">
        <f>INDEX('01_FASTPPH'!$9:$1048576,MATCH($A151,'01_FASTPPH'!$A$9:$A$1048576,0),MATCH(G$9,'01_FASTPPH'!$8:$8,0))</f>
        <v>#N/A</v>
      </c>
      <c r="H151" s="20" t="e">
        <f>INDEX('01_FASTPPH'!$9:$1048576,MATCH($A151,'01_FASTPPH'!$A$9:$A$1048576,0),MATCH(H$9,'01_FASTPPH'!$8:$8,0))</f>
        <v>#N/A</v>
      </c>
      <c r="I151" s="20" t="e">
        <f>INDEX('01_FASTPPH'!$9:$1048576,MATCH($A151,'01_FASTPPH'!$A$9:$A$1048576,0),MATCH(I$9,'01_FASTPPH'!$8:$8,0))</f>
        <v>#N/A</v>
      </c>
      <c r="J151" s="20" t="e">
        <f>INDEX('01_FASTPPH'!$9:$1048576,MATCH($A151,'01_FASTPPH'!$A$9:$A$1048576,0),MATCH(J$9,'01_FASTPPH'!$8:$8,0))</f>
        <v>#N/A</v>
      </c>
      <c r="K151" s="23" t="e">
        <f>INDEX('01_FASTPPH'!$9:$1048576,MATCH($A151,'01_FASTPPH'!$A$9:$A$1048576,0),MATCH(K$9,'01_FASTPPH'!$8:$8,0))</f>
        <v>#N/A</v>
      </c>
      <c r="L151" s="20" t="e">
        <f>INDEX('01_FASTPPH'!$9:$1048576,MATCH($A151,'01_FASTPPH'!$A$9:$A$1048576,0),MATCH(L$9,'01_FASTPPH'!$8:$8,0))</f>
        <v>#N/A</v>
      </c>
      <c r="M151" s="20" t="e">
        <f>INDEX('01_FASTPPH'!$9:$1048576,MATCH($A151,'01_FASTPPH'!$A$9:$A$1048576,0),MATCH(M$9,'01_FASTPPH'!$8:$8,0))</f>
        <v>#N/A</v>
      </c>
      <c r="N151" s="24" t="e">
        <f>INDEX('01_FASTPPH'!$9:$1048576,MATCH($A151,'01_FASTPPH'!$A$9:$A$1048576,0),MATCH(N$9,'01_FASTPPH'!$8:$8,0))</f>
        <v>#N/A</v>
      </c>
      <c r="O151" s="23" t="e">
        <f>INDEX('01_FASTPPH'!$9:$1048576,MATCH($A151,'01_FASTPPH'!$A$9:$A$1048576,0),MATCH(O$9,'01_FASTPPH'!$8:$8,0))</f>
        <v>#N/A</v>
      </c>
      <c r="P151" s="20" t="e">
        <f>INDEX('01_FASTPPH'!$9:$1048576,MATCH($A151,'01_FASTPPH'!$A$9:$A$1048576,0),MATCH(P$9,'01_FASTPPH'!$8:$8,0))</f>
        <v>#N/A</v>
      </c>
      <c r="Q151" s="20" t="e">
        <f>INDEX('01_FASTPPH'!$9:$1048576,MATCH($A151,'01_FASTPPH'!$A$9:$A$1048576,0),MATCH(Q$9,'01_FASTPPH'!$8:$8,0))</f>
        <v>#N/A</v>
      </c>
      <c r="R151" s="20" t="e">
        <f>INDEX('01_FASTPPH'!$9:$1048576,MATCH($A151,'01_FASTPPH'!$A$9:$A$1048576,0),MATCH(R$9,'01_FASTPPH'!$8:$8,0))</f>
        <v>#N/A</v>
      </c>
      <c r="S151" s="20" t="e">
        <f>INDEX('01_FASTPPH'!$9:$1048576,MATCH($A151,'01_FASTPPH'!$A$9:$A$1048576,0),MATCH(S$9,'01_FASTPPH'!$8:$8,0))</f>
        <v>#N/A</v>
      </c>
      <c r="T151" s="24" t="e">
        <f>INDEX('01_FASTPPH'!$9:$1048576,MATCH($A151,'01_FASTPPH'!$A$9:$A$1048576,0),MATCH(T$9,'01_FASTPPH'!$8:$8,0))</f>
        <v>#N/A</v>
      </c>
      <c r="U151" s="23" t="e">
        <f>INDEX('01_FASTPPH'!$9:$1048576,MATCH($A151,'01_FASTPPH'!$A$9:$A$1048576,0),MATCH(U$9,'01_FASTPPH'!$8:$8,0))</f>
        <v>#N/A</v>
      </c>
      <c r="V151" s="20" t="e">
        <f>INDEX('01_FASTPPH'!$9:$1048576,MATCH($A151,'01_FASTPPH'!$A$9:$A$1048576,0),MATCH(V$9,'01_FASTPPH'!$8:$8,0))</f>
        <v>#N/A</v>
      </c>
      <c r="W151" s="24" t="e">
        <f>INDEX('01_FASTPPH'!$9:$1048576,MATCH($A151,'01_FASTPPH'!$A$9:$A$1048576,0),MATCH(W$9,'01_FASTPPH'!$8:$8,0))</f>
        <v>#N/A</v>
      </c>
      <c r="X151" s="20" t="e">
        <f>INDEX('01_FASTPPH'!$9:$1048576,MATCH($A151,'01_FASTPPH'!$A$9:$A$1048576,0),MATCH(X$9,'01_FASTPPH'!$8:$8,0))</f>
        <v>#N/A</v>
      </c>
      <c r="Y151" s="20" t="e">
        <f>INDEX('01_FASTPPH'!$9:$1048576,MATCH($A151,'01_FASTPPH'!$A$9:$A$1048576,0),MATCH(Y$9,'01_FASTPPH'!$8:$8,0))</f>
        <v>#N/A</v>
      </c>
      <c r="AA151" s="32" t="e">
        <f>INDEX('02_PROPERTIES'!$C$10:$I$1048576,MATCH('03_CALCULATIONS'!$D151,'02_PROPERTIES'!$C$10:$C$1048576,0),MATCH('03_CALCULATIONS'!AA$9,'02_PROPERTIES'!$C$10:$I$10,0))</f>
        <v>#N/A</v>
      </c>
      <c r="AB151" s="20" t="e">
        <f>INDEX('02_PROPERTIES'!$C$10:$I$1048576,MATCH('03_CALCULATIONS'!$D151,'02_PROPERTIES'!$C$10:$C$1048576,0),MATCH('03_CALCULATIONS'!AB$9,'02_PROPERTIES'!$C$10:$I$10,0))</f>
        <v>#N/A</v>
      </c>
      <c r="AC151" s="20" t="e">
        <f>INDEX('02_PROPERTIES'!$C$10:$I$1048576,MATCH('03_CALCULATIONS'!$D151,'02_PROPERTIES'!$C$10:$C$1048576,0),MATCH('03_CALCULATIONS'!AC$9,'02_PROPERTIES'!$C$10:$I$10,0))</f>
        <v>#N/A</v>
      </c>
      <c r="AD151" s="20" t="e">
        <f>INDEX('02_PROPERTIES'!$C$10:$I$1048576,MATCH('03_CALCULATIONS'!$D151,'02_PROPERTIES'!$C$10:$C$1048576,0),MATCH('03_CALCULATIONS'!AD$9,'02_PROPERTIES'!$C$10:$I$10,0))</f>
        <v>#N/A</v>
      </c>
      <c r="AE151" s="32" t="e">
        <f>INDEX('02_PROPERTIES'!$C$10:$I$1048576,MATCH('03_CALCULATIONS'!$D151,'02_PROPERTIES'!$C$10:$C$1048576,0),MATCH('03_CALCULATIONS'!AE$9,'02_PROPERTIES'!$C$10:$I$10,0))</f>
        <v>#N/A</v>
      </c>
      <c r="AF151" s="32" t="e">
        <f>INDEX('02_PROPERTIES'!$C$10:$I$1048576,MATCH('03_CALCULATIONS'!$D151,'02_PROPERTIES'!$C$10:$C$1048576,0),MATCH('03_CALCULATIONS'!AF$9,'02_PROPERTIES'!$C$10:$I$10,0))</f>
        <v>#N/A</v>
      </c>
      <c r="AH151" s="20" t="e">
        <f t="shared" si="22"/>
        <v>#N/A</v>
      </c>
      <c r="AI151" s="20" t="e">
        <f t="shared" si="23"/>
        <v>#N/A</v>
      </c>
      <c r="AJ151" s="20" t="e">
        <f t="shared" si="24"/>
        <v>#N/A</v>
      </c>
      <c r="AL151" s="20" t="e">
        <f t="shared" si="25"/>
        <v>#N/A</v>
      </c>
      <c r="AM151" s="20" t="e">
        <f t="shared" si="26"/>
        <v>#N/A</v>
      </c>
      <c r="AN151" s="20" t="e">
        <f t="shared" si="27"/>
        <v>#N/A</v>
      </c>
      <c r="AO151" s="20" t="e">
        <f t="shared" si="28"/>
        <v>#N/A</v>
      </c>
      <c r="AP151" s="20" t="e">
        <f t="shared" si="29"/>
        <v>#N/A</v>
      </c>
      <c r="AR151" s="20" t="e">
        <f t="shared" si="30"/>
        <v>#N/A</v>
      </c>
      <c r="AS151" s="20" t="e">
        <f t="shared" si="31"/>
        <v>#N/A</v>
      </c>
      <c r="AT151" s="20" t="e">
        <f t="shared" si="32"/>
        <v>#N/A</v>
      </c>
    </row>
    <row r="152" spans="1:46" x14ac:dyDescent="0.3">
      <c r="A152" s="18"/>
      <c r="B152" s="20" t="e">
        <f>INDEX('01_FASTPPH'!$9:$1048576,MATCH($A152,'01_FASTPPH'!$A$9:$A$1048576,0),MATCH(B$9,'01_FASTPPH'!$8:$8,0))</f>
        <v>#N/A</v>
      </c>
      <c r="C152" s="20" t="e">
        <f>INDEX('01_FASTPPH'!$9:$1048576,MATCH($A152,'01_FASTPPH'!$A$9:$A$1048576,0),MATCH(C$9,'01_FASTPPH'!$8:$8,0))</f>
        <v>#N/A</v>
      </c>
      <c r="D152" s="20" t="e">
        <f>INDEX('01_FASTPPH'!$9:$1048576,MATCH($A152,'01_FASTPPH'!$A$9:$A$1048576,0),MATCH(D$9,'01_FASTPPH'!$8:$8,0))</f>
        <v>#N/A</v>
      </c>
      <c r="E152" s="20" t="e">
        <f>INDEX('01_FASTPPH'!$9:$1048576,MATCH($A152,'01_FASTPPH'!$A$9:$A$1048576,0),MATCH(E$9,'01_FASTPPH'!$8:$8,0))</f>
        <v>#N/A</v>
      </c>
      <c r="F152" s="20" t="e">
        <f>INDEX('01_FASTPPH'!$9:$1048576,MATCH($A152,'01_FASTPPH'!$A$9:$A$1048576,0),MATCH(F$9,'01_FASTPPH'!$8:$8,0))</f>
        <v>#N/A</v>
      </c>
      <c r="G152" s="20" t="e">
        <f>INDEX('01_FASTPPH'!$9:$1048576,MATCH($A152,'01_FASTPPH'!$A$9:$A$1048576,0),MATCH(G$9,'01_FASTPPH'!$8:$8,0))</f>
        <v>#N/A</v>
      </c>
      <c r="H152" s="20" t="e">
        <f>INDEX('01_FASTPPH'!$9:$1048576,MATCH($A152,'01_FASTPPH'!$A$9:$A$1048576,0),MATCH(H$9,'01_FASTPPH'!$8:$8,0))</f>
        <v>#N/A</v>
      </c>
      <c r="I152" s="20" t="e">
        <f>INDEX('01_FASTPPH'!$9:$1048576,MATCH($A152,'01_FASTPPH'!$A$9:$A$1048576,0),MATCH(I$9,'01_FASTPPH'!$8:$8,0))</f>
        <v>#N/A</v>
      </c>
      <c r="J152" s="20" t="e">
        <f>INDEX('01_FASTPPH'!$9:$1048576,MATCH($A152,'01_FASTPPH'!$A$9:$A$1048576,0),MATCH(J$9,'01_FASTPPH'!$8:$8,0))</f>
        <v>#N/A</v>
      </c>
      <c r="K152" s="23" t="e">
        <f>INDEX('01_FASTPPH'!$9:$1048576,MATCH($A152,'01_FASTPPH'!$A$9:$A$1048576,0),MATCH(K$9,'01_FASTPPH'!$8:$8,0))</f>
        <v>#N/A</v>
      </c>
      <c r="L152" s="20" t="e">
        <f>INDEX('01_FASTPPH'!$9:$1048576,MATCH($A152,'01_FASTPPH'!$A$9:$A$1048576,0),MATCH(L$9,'01_FASTPPH'!$8:$8,0))</f>
        <v>#N/A</v>
      </c>
      <c r="M152" s="20" t="e">
        <f>INDEX('01_FASTPPH'!$9:$1048576,MATCH($A152,'01_FASTPPH'!$A$9:$A$1048576,0),MATCH(M$9,'01_FASTPPH'!$8:$8,0))</f>
        <v>#N/A</v>
      </c>
      <c r="N152" s="24" t="e">
        <f>INDEX('01_FASTPPH'!$9:$1048576,MATCH($A152,'01_FASTPPH'!$A$9:$A$1048576,0),MATCH(N$9,'01_FASTPPH'!$8:$8,0))</f>
        <v>#N/A</v>
      </c>
      <c r="O152" s="23" t="e">
        <f>INDEX('01_FASTPPH'!$9:$1048576,MATCH($A152,'01_FASTPPH'!$A$9:$A$1048576,0),MATCH(O$9,'01_FASTPPH'!$8:$8,0))</f>
        <v>#N/A</v>
      </c>
      <c r="P152" s="20" t="e">
        <f>INDEX('01_FASTPPH'!$9:$1048576,MATCH($A152,'01_FASTPPH'!$A$9:$A$1048576,0),MATCH(P$9,'01_FASTPPH'!$8:$8,0))</f>
        <v>#N/A</v>
      </c>
      <c r="Q152" s="20" t="e">
        <f>INDEX('01_FASTPPH'!$9:$1048576,MATCH($A152,'01_FASTPPH'!$A$9:$A$1048576,0),MATCH(Q$9,'01_FASTPPH'!$8:$8,0))</f>
        <v>#N/A</v>
      </c>
      <c r="R152" s="20" t="e">
        <f>INDEX('01_FASTPPH'!$9:$1048576,MATCH($A152,'01_FASTPPH'!$A$9:$A$1048576,0),MATCH(R$9,'01_FASTPPH'!$8:$8,0))</f>
        <v>#N/A</v>
      </c>
      <c r="S152" s="20" t="e">
        <f>INDEX('01_FASTPPH'!$9:$1048576,MATCH($A152,'01_FASTPPH'!$A$9:$A$1048576,0),MATCH(S$9,'01_FASTPPH'!$8:$8,0))</f>
        <v>#N/A</v>
      </c>
      <c r="T152" s="24" t="e">
        <f>INDEX('01_FASTPPH'!$9:$1048576,MATCH($A152,'01_FASTPPH'!$A$9:$A$1048576,0),MATCH(T$9,'01_FASTPPH'!$8:$8,0))</f>
        <v>#N/A</v>
      </c>
      <c r="U152" s="23" t="e">
        <f>INDEX('01_FASTPPH'!$9:$1048576,MATCH($A152,'01_FASTPPH'!$A$9:$A$1048576,0),MATCH(U$9,'01_FASTPPH'!$8:$8,0))</f>
        <v>#N/A</v>
      </c>
      <c r="V152" s="20" t="e">
        <f>INDEX('01_FASTPPH'!$9:$1048576,MATCH($A152,'01_FASTPPH'!$A$9:$A$1048576,0),MATCH(V$9,'01_FASTPPH'!$8:$8,0))</f>
        <v>#N/A</v>
      </c>
      <c r="W152" s="24" t="e">
        <f>INDEX('01_FASTPPH'!$9:$1048576,MATCH($A152,'01_FASTPPH'!$A$9:$A$1048576,0),MATCH(W$9,'01_FASTPPH'!$8:$8,0))</f>
        <v>#N/A</v>
      </c>
      <c r="X152" s="20" t="e">
        <f>INDEX('01_FASTPPH'!$9:$1048576,MATCH($A152,'01_FASTPPH'!$A$9:$A$1048576,0),MATCH(X$9,'01_FASTPPH'!$8:$8,0))</f>
        <v>#N/A</v>
      </c>
      <c r="Y152" s="20" t="e">
        <f>INDEX('01_FASTPPH'!$9:$1048576,MATCH($A152,'01_FASTPPH'!$A$9:$A$1048576,0),MATCH(Y$9,'01_FASTPPH'!$8:$8,0))</f>
        <v>#N/A</v>
      </c>
      <c r="AA152" s="32" t="e">
        <f>INDEX('02_PROPERTIES'!$C$10:$I$1048576,MATCH('03_CALCULATIONS'!$D152,'02_PROPERTIES'!$C$10:$C$1048576,0),MATCH('03_CALCULATIONS'!AA$9,'02_PROPERTIES'!$C$10:$I$10,0))</f>
        <v>#N/A</v>
      </c>
      <c r="AB152" s="20" t="e">
        <f>INDEX('02_PROPERTIES'!$C$10:$I$1048576,MATCH('03_CALCULATIONS'!$D152,'02_PROPERTIES'!$C$10:$C$1048576,0),MATCH('03_CALCULATIONS'!AB$9,'02_PROPERTIES'!$C$10:$I$10,0))</f>
        <v>#N/A</v>
      </c>
      <c r="AC152" s="20" t="e">
        <f>INDEX('02_PROPERTIES'!$C$10:$I$1048576,MATCH('03_CALCULATIONS'!$D152,'02_PROPERTIES'!$C$10:$C$1048576,0),MATCH('03_CALCULATIONS'!AC$9,'02_PROPERTIES'!$C$10:$I$10,0))</f>
        <v>#N/A</v>
      </c>
      <c r="AD152" s="20" t="e">
        <f>INDEX('02_PROPERTIES'!$C$10:$I$1048576,MATCH('03_CALCULATIONS'!$D152,'02_PROPERTIES'!$C$10:$C$1048576,0),MATCH('03_CALCULATIONS'!AD$9,'02_PROPERTIES'!$C$10:$I$10,0))</f>
        <v>#N/A</v>
      </c>
      <c r="AE152" s="32" t="e">
        <f>INDEX('02_PROPERTIES'!$C$10:$I$1048576,MATCH('03_CALCULATIONS'!$D152,'02_PROPERTIES'!$C$10:$C$1048576,0),MATCH('03_CALCULATIONS'!AE$9,'02_PROPERTIES'!$C$10:$I$10,0))</f>
        <v>#N/A</v>
      </c>
      <c r="AF152" s="32" t="e">
        <f>INDEX('02_PROPERTIES'!$C$10:$I$1048576,MATCH('03_CALCULATIONS'!$D152,'02_PROPERTIES'!$C$10:$C$1048576,0),MATCH('03_CALCULATIONS'!AF$9,'02_PROPERTIES'!$C$10:$I$10,0))</f>
        <v>#N/A</v>
      </c>
      <c r="AH152" s="20" t="e">
        <f t="shared" si="22"/>
        <v>#N/A</v>
      </c>
      <c r="AI152" s="20" t="e">
        <f t="shared" si="23"/>
        <v>#N/A</v>
      </c>
      <c r="AJ152" s="20" t="e">
        <f t="shared" si="24"/>
        <v>#N/A</v>
      </c>
      <c r="AL152" s="20" t="e">
        <f t="shared" si="25"/>
        <v>#N/A</v>
      </c>
      <c r="AM152" s="20" t="e">
        <f t="shared" si="26"/>
        <v>#N/A</v>
      </c>
      <c r="AN152" s="20" t="e">
        <f t="shared" si="27"/>
        <v>#N/A</v>
      </c>
      <c r="AO152" s="20" t="e">
        <f t="shared" si="28"/>
        <v>#N/A</v>
      </c>
      <c r="AP152" s="20" t="e">
        <f t="shared" si="29"/>
        <v>#N/A</v>
      </c>
      <c r="AR152" s="20" t="e">
        <f t="shared" si="30"/>
        <v>#N/A</v>
      </c>
      <c r="AS152" s="20" t="e">
        <f t="shared" si="31"/>
        <v>#N/A</v>
      </c>
      <c r="AT152" s="20" t="e">
        <f t="shared" si="32"/>
        <v>#N/A</v>
      </c>
    </row>
    <row r="153" spans="1:46" x14ac:dyDescent="0.3">
      <c r="A153" s="18"/>
      <c r="B153" s="20" t="e">
        <f>INDEX('01_FASTPPH'!$9:$1048576,MATCH($A153,'01_FASTPPH'!$A$9:$A$1048576,0),MATCH(B$9,'01_FASTPPH'!$8:$8,0))</f>
        <v>#N/A</v>
      </c>
      <c r="C153" s="20" t="e">
        <f>INDEX('01_FASTPPH'!$9:$1048576,MATCH($A153,'01_FASTPPH'!$A$9:$A$1048576,0),MATCH(C$9,'01_FASTPPH'!$8:$8,0))</f>
        <v>#N/A</v>
      </c>
      <c r="D153" s="20" t="e">
        <f>INDEX('01_FASTPPH'!$9:$1048576,MATCH($A153,'01_FASTPPH'!$A$9:$A$1048576,0),MATCH(D$9,'01_FASTPPH'!$8:$8,0))</f>
        <v>#N/A</v>
      </c>
      <c r="E153" s="20" t="e">
        <f>INDEX('01_FASTPPH'!$9:$1048576,MATCH($A153,'01_FASTPPH'!$A$9:$A$1048576,0),MATCH(E$9,'01_FASTPPH'!$8:$8,0))</f>
        <v>#N/A</v>
      </c>
      <c r="F153" s="20" t="e">
        <f>INDEX('01_FASTPPH'!$9:$1048576,MATCH($A153,'01_FASTPPH'!$A$9:$A$1048576,0),MATCH(F$9,'01_FASTPPH'!$8:$8,0))</f>
        <v>#N/A</v>
      </c>
      <c r="G153" s="20" t="e">
        <f>INDEX('01_FASTPPH'!$9:$1048576,MATCH($A153,'01_FASTPPH'!$A$9:$A$1048576,0),MATCH(G$9,'01_FASTPPH'!$8:$8,0))</f>
        <v>#N/A</v>
      </c>
      <c r="H153" s="20" t="e">
        <f>INDEX('01_FASTPPH'!$9:$1048576,MATCH($A153,'01_FASTPPH'!$A$9:$A$1048576,0),MATCH(H$9,'01_FASTPPH'!$8:$8,0))</f>
        <v>#N/A</v>
      </c>
      <c r="I153" s="20" t="e">
        <f>INDEX('01_FASTPPH'!$9:$1048576,MATCH($A153,'01_FASTPPH'!$A$9:$A$1048576,0),MATCH(I$9,'01_FASTPPH'!$8:$8,0))</f>
        <v>#N/A</v>
      </c>
      <c r="J153" s="20" t="e">
        <f>INDEX('01_FASTPPH'!$9:$1048576,MATCH($A153,'01_FASTPPH'!$A$9:$A$1048576,0),MATCH(J$9,'01_FASTPPH'!$8:$8,0))</f>
        <v>#N/A</v>
      </c>
      <c r="K153" s="23" t="e">
        <f>INDEX('01_FASTPPH'!$9:$1048576,MATCH($A153,'01_FASTPPH'!$A$9:$A$1048576,0),MATCH(K$9,'01_FASTPPH'!$8:$8,0))</f>
        <v>#N/A</v>
      </c>
      <c r="L153" s="20" t="e">
        <f>INDEX('01_FASTPPH'!$9:$1048576,MATCH($A153,'01_FASTPPH'!$A$9:$A$1048576,0),MATCH(L$9,'01_FASTPPH'!$8:$8,0))</f>
        <v>#N/A</v>
      </c>
      <c r="M153" s="20" t="e">
        <f>INDEX('01_FASTPPH'!$9:$1048576,MATCH($A153,'01_FASTPPH'!$A$9:$A$1048576,0),MATCH(M$9,'01_FASTPPH'!$8:$8,0))</f>
        <v>#N/A</v>
      </c>
      <c r="N153" s="24" t="e">
        <f>INDEX('01_FASTPPH'!$9:$1048576,MATCH($A153,'01_FASTPPH'!$A$9:$A$1048576,0),MATCH(N$9,'01_FASTPPH'!$8:$8,0))</f>
        <v>#N/A</v>
      </c>
      <c r="O153" s="23" t="e">
        <f>INDEX('01_FASTPPH'!$9:$1048576,MATCH($A153,'01_FASTPPH'!$A$9:$A$1048576,0),MATCH(O$9,'01_FASTPPH'!$8:$8,0))</f>
        <v>#N/A</v>
      </c>
      <c r="P153" s="20" t="e">
        <f>INDEX('01_FASTPPH'!$9:$1048576,MATCH($A153,'01_FASTPPH'!$A$9:$A$1048576,0),MATCH(P$9,'01_FASTPPH'!$8:$8,0))</f>
        <v>#N/A</v>
      </c>
      <c r="Q153" s="20" t="e">
        <f>INDEX('01_FASTPPH'!$9:$1048576,MATCH($A153,'01_FASTPPH'!$A$9:$A$1048576,0),MATCH(Q$9,'01_FASTPPH'!$8:$8,0))</f>
        <v>#N/A</v>
      </c>
      <c r="R153" s="20" t="e">
        <f>INDEX('01_FASTPPH'!$9:$1048576,MATCH($A153,'01_FASTPPH'!$A$9:$A$1048576,0),MATCH(R$9,'01_FASTPPH'!$8:$8,0))</f>
        <v>#N/A</v>
      </c>
      <c r="S153" s="20" t="e">
        <f>INDEX('01_FASTPPH'!$9:$1048576,MATCH($A153,'01_FASTPPH'!$A$9:$A$1048576,0),MATCH(S$9,'01_FASTPPH'!$8:$8,0))</f>
        <v>#N/A</v>
      </c>
      <c r="T153" s="24" t="e">
        <f>INDEX('01_FASTPPH'!$9:$1048576,MATCH($A153,'01_FASTPPH'!$A$9:$A$1048576,0),MATCH(T$9,'01_FASTPPH'!$8:$8,0))</f>
        <v>#N/A</v>
      </c>
      <c r="U153" s="23" t="e">
        <f>INDEX('01_FASTPPH'!$9:$1048576,MATCH($A153,'01_FASTPPH'!$A$9:$A$1048576,0),MATCH(U$9,'01_FASTPPH'!$8:$8,0))</f>
        <v>#N/A</v>
      </c>
      <c r="V153" s="20" t="e">
        <f>INDEX('01_FASTPPH'!$9:$1048576,MATCH($A153,'01_FASTPPH'!$A$9:$A$1048576,0),MATCH(V$9,'01_FASTPPH'!$8:$8,0))</f>
        <v>#N/A</v>
      </c>
      <c r="W153" s="24" t="e">
        <f>INDEX('01_FASTPPH'!$9:$1048576,MATCH($A153,'01_FASTPPH'!$A$9:$A$1048576,0),MATCH(W$9,'01_FASTPPH'!$8:$8,0))</f>
        <v>#N/A</v>
      </c>
      <c r="X153" s="20" t="e">
        <f>INDEX('01_FASTPPH'!$9:$1048576,MATCH($A153,'01_FASTPPH'!$A$9:$A$1048576,0),MATCH(X$9,'01_FASTPPH'!$8:$8,0))</f>
        <v>#N/A</v>
      </c>
      <c r="Y153" s="20" t="e">
        <f>INDEX('01_FASTPPH'!$9:$1048576,MATCH($A153,'01_FASTPPH'!$A$9:$A$1048576,0),MATCH(Y$9,'01_FASTPPH'!$8:$8,0))</f>
        <v>#N/A</v>
      </c>
      <c r="AA153" s="32" t="e">
        <f>INDEX('02_PROPERTIES'!$C$10:$I$1048576,MATCH('03_CALCULATIONS'!$D153,'02_PROPERTIES'!$C$10:$C$1048576,0),MATCH('03_CALCULATIONS'!AA$9,'02_PROPERTIES'!$C$10:$I$10,0))</f>
        <v>#N/A</v>
      </c>
      <c r="AB153" s="20" t="e">
        <f>INDEX('02_PROPERTIES'!$C$10:$I$1048576,MATCH('03_CALCULATIONS'!$D153,'02_PROPERTIES'!$C$10:$C$1048576,0),MATCH('03_CALCULATIONS'!AB$9,'02_PROPERTIES'!$C$10:$I$10,0))</f>
        <v>#N/A</v>
      </c>
      <c r="AC153" s="20" t="e">
        <f>INDEX('02_PROPERTIES'!$C$10:$I$1048576,MATCH('03_CALCULATIONS'!$D153,'02_PROPERTIES'!$C$10:$C$1048576,0),MATCH('03_CALCULATIONS'!AC$9,'02_PROPERTIES'!$C$10:$I$10,0))</f>
        <v>#N/A</v>
      </c>
      <c r="AD153" s="20" t="e">
        <f>INDEX('02_PROPERTIES'!$C$10:$I$1048576,MATCH('03_CALCULATIONS'!$D153,'02_PROPERTIES'!$C$10:$C$1048576,0),MATCH('03_CALCULATIONS'!AD$9,'02_PROPERTIES'!$C$10:$I$10,0))</f>
        <v>#N/A</v>
      </c>
      <c r="AE153" s="32" t="e">
        <f>INDEX('02_PROPERTIES'!$C$10:$I$1048576,MATCH('03_CALCULATIONS'!$D153,'02_PROPERTIES'!$C$10:$C$1048576,0),MATCH('03_CALCULATIONS'!AE$9,'02_PROPERTIES'!$C$10:$I$10,0))</f>
        <v>#N/A</v>
      </c>
      <c r="AF153" s="32" t="e">
        <f>INDEX('02_PROPERTIES'!$C$10:$I$1048576,MATCH('03_CALCULATIONS'!$D153,'02_PROPERTIES'!$C$10:$C$1048576,0),MATCH('03_CALCULATIONS'!AF$9,'02_PROPERTIES'!$C$10:$I$10,0))</f>
        <v>#N/A</v>
      </c>
      <c r="AH153" s="20" t="e">
        <f t="shared" si="22"/>
        <v>#N/A</v>
      </c>
      <c r="AI153" s="20" t="e">
        <f t="shared" si="23"/>
        <v>#N/A</v>
      </c>
      <c r="AJ153" s="20" t="e">
        <f t="shared" si="24"/>
        <v>#N/A</v>
      </c>
      <c r="AL153" s="20" t="e">
        <f t="shared" si="25"/>
        <v>#N/A</v>
      </c>
      <c r="AM153" s="20" t="e">
        <f t="shared" si="26"/>
        <v>#N/A</v>
      </c>
      <c r="AN153" s="20" t="e">
        <f t="shared" si="27"/>
        <v>#N/A</v>
      </c>
      <c r="AO153" s="20" t="e">
        <f t="shared" si="28"/>
        <v>#N/A</v>
      </c>
      <c r="AP153" s="20" t="e">
        <f t="shared" si="29"/>
        <v>#N/A</v>
      </c>
      <c r="AR153" s="20" t="e">
        <f t="shared" si="30"/>
        <v>#N/A</v>
      </c>
      <c r="AS153" s="20" t="e">
        <f t="shared" si="31"/>
        <v>#N/A</v>
      </c>
      <c r="AT153" s="20" t="e">
        <f t="shared" si="32"/>
        <v>#N/A</v>
      </c>
    </row>
    <row r="154" spans="1:46" x14ac:dyDescent="0.3">
      <c r="A154" s="18"/>
      <c r="B154" s="20" t="e">
        <f>INDEX('01_FASTPPH'!$9:$1048576,MATCH($A154,'01_FASTPPH'!$A$9:$A$1048576,0),MATCH(B$9,'01_FASTPPH'!$8:$8,0))</f>
        <v>#N/A</v>
      </c>
      <c r="C154" s="20" t="e">
        <f>INDEX('01_FASTPPH'!$9:$1048576,MATCH($A154,'01_FASTPPH'!$A$9:$A$1048576,0),MATCH(C$9,'01_FASTPPH'!$8:$8,0))</f>
        <v>#N/A</v>
      </c>
      <c r="D154" s="20" t="e">
        <f>INDEX('01_FASTPPH'!$9:$1048576,MATCH($A154,'01_FASTPPH'!$A$9:$A$1048576,0),MATCH(D$9,'01_FASTPPH'!$8:$8,0))</f>
        <v>#N/A</v>
      </c>
      <c r="E154" s="20" t="e">
        <f>INDEX('01_FASTPPH'!$9:$1048576,MATCH($A154,'01_FASTPPH'!$A$9:$A$1048576,0),MATCH(E$9,'01_FASTPPH'!$8:$8,0))</f>
        <v>#N/A</v>
      </c>
      <c r="F154" s="20" t="e">
        <f>INDEX('01_FASTPPH'!$9:$1048576,MATCH($A154,'01_FASTPPH'!$A$9:$A$1048576,0),MATCH(F$9,'01_FASTPPH'!$8:$8,0))</f>
        <v>#N/A</v>
      </c>
      <c r="G154" s="20" t="e">
        <f>INDEX('01_FASTPPH'!$9:$1048576,MATCH($A154,'01_FASTPPH'!$A$9:$A$1048576,0),MATCH(G$9,'01_FASTPPH'!$8:$8,0))</f>
        <v>#N/A</v>
      </c>
      <c r="H154" s="20" t="e">
        <f>INDEX('01_FASTPPH'!$9:$1048576,MATCH($A154,'01_FASTPPH'!$A$9:$A$1048576,0),MATCH(H$9,'01_FASTPPH'!$8:$8,0))</f>
        <v>#N/A</v>
      </c>
      <c r="I154" s="20" t="e">
        <f>INDEX('01_FASTPPH'!$9:$1048576,MATCH($A154,'01_FASTPPH'!$A$9:$A$1048576,0),MATCH(I$9,'01_FASTPPH'!$8:$8,0))</f>
        <v>#N/A</v>
      </c>
      <c r="J154" s="20" t="e">
        <f>INDEX('01_FASTPPH'!$9:$1048576,MATCH($A154,'01_FASTPPH'!$A$9:$A$1048576,0),MATCH(J$9,'01_FASTPPH'!$8:$8,0))</f>
        <v>#N/A</v>
      </c>
      <c r="K154" s="23" t="e">
        <f>INDEX('01_FASTPPH'!$9:$1048576,MATCH($A154,'01_FASTPPH'!$A$9:$A$1048576,0),MATCH(K$9,'01_FASTPPH'!$8:$8,0))</f>
        <v>#N/A</v>
      </c>
      <c r="L154" s="20" t="e">
        <f>INDEX('01_FASTPPH'!$9:$1048576,MATCH($A154,'01_FASTPPH'!$A$9:$A$1048576,0),MATCH(L$9,'01_FASTPPH'!$8:$8,0))</f>
        <v>#N/A</v>
      </c>
      <c r="M154" s="20" t="e">
        <f>INDEX('01_FASTPPH'!$9:$1048576,MATCH($A154,'01_FASTPPH'!$A$9:$A$1048576,0),MATCH(M$9,'01_FASTPPH'!$8:$8,0))</f>
        <v>#N/A</v>
      </c>
      <c r="N154" s="24" t="e">
        <f>INDEX('01_FASTPPH'!$9:$1048576,MATCH($A154,'01_FASTPPH'!$A$9:$A$1048576,0),MATCH(N$9,'01_FASTPPH'!$8:$8,0))</f>
        <v>#N/A</v>
      </c>
      <c r="O154" s="23" t="e">
        <f>INDEX('01_FASTPPH'!$9:$1048576,MATCH($A154,'01_FASTPPH'!$A$9:$A$1048576,0),MATCH(O$9,'01_FASTPPH'!$8:$8,0))</f>
        <v>#N/A</v>
      </c>
      <c r="P154" s="20" t="e">
        <f>INDEX('01_FASTPPH'!$9:$1048576,MATCH($A154,'01_FASTPPH'!$A$9:$A$1048576,0),MATCH(P$9,'01_FASTPPH'!$8:$8,0))</f>
        <v>#N/A</v>
      </c>
      <c r="Q154" s="20" t="e">
        <f>INDEX('01_FASTPPH'!$9:$1048576,MATCH($A154,'01_FASTPPH'!$A$9:$A$1048576,0),MATCH(Q$9,'01_FASTPPH'!$8:$8,0))</f>
        <v>#N/A</v>
      </c>
      <c r="R154" s="20" t="e">
        <f>INDEX('01_FASTPPH'!$9:$1048576,MATCH($A154,'01_FASTPPH'!$A$9:$A$1048576,0),MATCH(R$9,'01_FASTPPH'!$8:$8,0))</f>
        <v>#N/A</v>
      </c>
      <c r="S154" s="20" t="e">
        <f>INDEX('01_FASTPPH'!$9:$1048576,MATCH($A154,'01_FASTPPH'!$A$9:$A$1048576,0),MATCH(S$9,'01_FASTPPH'!$8:$8,0))</f>
        <v>#N/A</v>
      </c>
      <c r="T154" s="24" t="e">
        <f>INDEX('01_FASTPPH'!$9:$1048576,MATCH($A154,'01_FASTPPH'!$A$9:$A$1048576,0),MATCH(T$9,'01_FASTPPH'!$8:$8,0))</f>
        <v>#N/A</v>
      </c>
      <c r="U154" s="23" t="e">
        <f>INDEX('01_FASTPPH'!$9:$1048576,MATCH($A154,'01_FASTPPH'!$A$9:$A$1048576,0),MATCH(U$9,'01_FASTPPH'!$8:$8,0))</f>
        <v>#N/A</v>
      </c>
      <c r="V154" s="20" t="e">
        <f>INDEX('01_FASTPPH'!$9:$1048576,MATCH($A154,'01_FASTPPH'!$A$9:$A$1048576,0),MATCH(V$9,'01_FASTPPH'!$8:$8,0))</f>
        <v>#N/A</v>
      </c>
      <c r="W154" s="24" t="e">
        <f>INDEX('01_FASTPPH'!$9:$1048576,MATCH($A154,'01_FASTPPH'!$A$9:$A$1048576,0),MATCH(W$9,'01_FASTPPH'!$8:$8,0))</f>
        <v>#N/A</v>
      </c>
      <c r="X154" s="20" t="e">
        <f>INDEX('01_FASTPPH'!$9:$1048576,MATCH($A154,'01_FASTPPH'!$A$9:$A$1048576,0),MATCH(X$9,'01_FASTPPH'!$8:$8,0))</f>
        <v>#N/A</v>
      </c>
      <c r="Y154" s="20" t="e">
        <f>INDEX('01_FASTPPH'!$9:$1048576,MATCH($A154,'01_FASTPPH'!$A$9:$A$1048576,0),MATCH(Y$9,'01_FASTPPH'!$8:$8,0))</f>
        <v>#N/A</v>
      </c>
      <c r="AA154" s="32" t="e">
        <f>INDEX('02_PROPERTIES'!$C$10:$I$1048576,MATCH('03_CALCULATIONS'!$D154,'02_PROPERTIES'!$C$10:$C$1048576,0),MATCH('03_CALCULATIONS'!AA$9,'02_PROPERTIES'!$C$10:$I$10,0))</f>
        <v>#N/A</v>
      </c>
      <c r="AB154" s="20" t="e">
        <f>INDEX('02_PROPERTIES'!$C$10:$I$1048576,MATCH('03_CALCULATIONS'!$D154,'02_PROPERTIES'!$C$10:$C$1048576,0),MATCH('03_CALCULATIONS'!AB$9,'02_PROPERTIES'!$C$10:$I$10,0))</f>
        <v>#N/A</v>
      </c>
      <c r="AC154" s="20" t="e">
        <f>INDEX('02_PROPERTIES'!$C$10:$I$1048576,MATCH('03_CALCULATIONS'!$D154,'02_PROPERTIES'!$C$10:$C$1048576,0),MATCH('03_CALCULATIONS'!AC$9,'02_PROPERTIES'!$C$10:$I$10,0))</f>
        <v>#N/A</v>
      </c>
      <c r="AD154" s="20" t="e">
        <f>INDEX('02_PROPERTIES'!$C$10:$I$1048576,MATCH('03_CALCULATIONS'!$D154,'02_PROPERTIES'!$C$10:$C$1048576,0),MATCH('03_CALCULATIONS'!AD$9,'02_PROPERTIES'!$C$10:$I$10,0))</f>
        <v>#N/A</v>
      </c>
      <c r="AE154" s="32" t="e">
        <f>INDEX('02_PROPERTIES'!$C$10:$I$1048576,MATCH('03_CALCULATIONS'!$D154,'02_PROPERTIES'!$C$10:$C$1048576,0),MATCH('03_CALCULATIONS'!AE$9,'02_PROPERTIES'!$C$10:$I$10,0))</f>
        <v>#N/A</v>
      </c>
      <c r="AF154" s="32" t="e">
        <f>INDEX('02_PROPERTIES'!$C$10:$I$1048576,MATCH('03_CALCULATIONS'!$D154,'02_PROPERTIES'!$C$10:$C$1048576,0),MATCH('03_CALCULATIONS'!AF$9,'02_PROPERTIES'!$C$10:$I$10,0))</f>
        <v>#N/A</v>
      </c>
      <c r="AH154" s="20" t="e">
        <f t="shared" si="22"/>
        <v>#N/A</v>
      </c>
      <c r="AI154" s="20" t="e">
        <f t="shared" si="23"/>
        <v>#N/A</v>
      </c>
      <c r="AJ154" s="20" t="e">
        <f t="shared" si="24"/>
        <v>#N/A</v>
      </c>
      <c r="AL154" s="20" t="e">
        <f t="shared" si="25"/>
        <v>#N/A</v>
      </c>
      <c r="AM154" s="20" t="e">
        <f t="shared" si="26"/>
        <v>#N/A</v>
      </c>
      <c r="AN154" s="20" t="e">
        <f t="shared" si="27"/>
        <v>#N/A</v>
      </c>
      <c r="AO154" s="20" t="e">
        <f t="shared" si="28"/>
        <v>#N/A</v>
      </c>
      <c r="AP154" s="20" t="e">
        <f t="shared" si="29"/>
        <v>#N/A</v>
      </c>
      <c r="AR154" s="20" t="e">
        <f t="shared" si="30"/>
        <v>#N/A</v>
      </c>
      <c r="AS154" s="20" t="e">
        <f t="shared" si="31"/>
        <v>#N/A</v>
      </c>
      <c r="AT154" s="20" t="e">
        <f t="shared" si="32"/>
        <v>#N/A</v>
      </c>
    </row>
    <row r="155" spans="1:46" x14ac:dyDescent="0.3">
      <c r="A155" s="18"/>
      <c r="B155" s="20" t="e">
        <f>INDEX('01_FASTPPH'!$9:$1048576,MATCH($A155,'01_FASTPPH'!$A$9:$A$1048576,0),MATCH(B$9,'01_FASTPPH'!$8:$8,0))</f>
        <v>#N/A</v>
      </c>
      <c r="C155" s="20" t="e">
        <f>INDEX('01_FASTPPH'!$9:$1048576,MATCH($A155,'01_FASTPPH'!$A$9:$A$1048576,0),MATCH(C$9,'01_FASTPPH'!$8:$8,0))</f>
        <v>#N/A</v>
      </c>
      <c r="D155" s="20" t="e">
        <f>INDEX('01_FASTPPH'!$9:$1048576,MATCH($A155,'01_FASTPPH'!$A$9:$A$1048576,0),MATCH(D$9,'01_FASTPPH'!$8:$8,0))</f>
        <v>#N/A</v>
      </c>
      <c r="E155" s="20" t="e">
        <f>INDEX('01_FASTPPH'!$9:$1048576,MATCH($A155,'01_FASTPPH'!$A$9:$A$1048576,0),MATCH(E$9,'01_FASTPPH'!$8:$8,0))</f>
        <v>#N/A</v>
      </c>
      <c r="F155" s="20" t="e">
        <f>INDEX('01_FASTPPH'!$9:$1048576,MATCH($A155,'01_FASTPPH'!$A$9:$A$1048576,0),MATCH(F$9,'01_FASTPPH'!$8:$8,0))</f>
        <v>#N/A</v>
      </c>
      <c r="G155" s="20" t="e">
        <f>INDEX('01_FASTPPH'!$9:$1048576,MATCH($A155,'01_FASTPPH'!$A$9:$A$1048576,0),MATCH(G$9,'01_FASTPPH'!$8:$8,0))</f>
        <v>#N/A</v>
      </c>
      <c r="H155" s="20" t="e">
        <f>INDEX('01_FASTPPH'!$9:$1048576,MATCH($A155,'01_FASTPPH'!$A$9:$A$1048576,0),MATCH(H$9,'01_FASTPPH'!$8:$8,0))</f>
        <v>#N/A</v>
      </c>
      <c r="I155" s="20" t="e">
        <f>INDEX('01_FASTPPH'!$9:$1048576,MATCH($A155,'01_FASTPPH'!$A$9:$A$1048576,0),MATCH(I$9,'01_FASTPPH'!$8:$8,0))</f>
        <v>#N/A</v>
      </c>
      <c r="J155" s="20" t="e">
        <f>INDEX('01_FASTPPH'!$9:$1048576,MATCH($A155,'01_FASTPPH'!$A$9:$A$1048576,0),MATCH(J$9,'01_FASTPPH'!$8:$8,0))</f>
        <v>#N/A</v>
      </c>
      <c r="K155" s="23" t="e">
        <f>INDEX('01_FASTPPH'!$9:$1048576,MATCH($A155,'01_FASTPPH'!$A$9:$A$1048576,0),MATCH(K$9,'01_FASTPPH'!$8:$8,0))</f>
        <v>#N/A</v>
      </c>
      <c r="L155" s="20" t="e">
        <f>INDEX('01_FASTPPH'!$9:$1048576,MATCH($A155,'01_FASTPPH'!$A$9:$A$1048576,0),MATCH(L$9,'01_FASTPPH'!$8:$8,0))</f>
        <v>#N/A</v>
      </c>
      <c r="M155" s="20" t="e">
        <f>INDEX('01_FASTPPH'!$9:$1048576,MATCH($A155,'01_FASTPPH'!$A$9:$A$1048576,0),MATCH(M$9,'01_FASTPPH'!$8:$8,0))</f>
        <v>#N/A</v>
      </c>
      <c r="N155" s="24" t="e">
        <f>INDEX('01_FASTPPH'!$9:$1048576,MATCH($A155,'01_FASTPPH'!$A$9:$A$1048576,0),MATCH(N$9,'01_FASTPPH'!$8:$8,0))</f>
        <v>#N/A</v>
      </c>
      <c r="O155" s="23" t="e">
        <f>INDEX('01_FASTPPH'!$9:$1048576,MATCH($A155,'01_FASTPPH'!$A$9:$A$1048576,0),MATCH(O$9,'01_FASTPPH'!$8:$8,0))</f>
        <v>#N/A</v>
      </c>
      <c r="P155" s="20" t="e">
        <f>INDEX('01_FASTPPH'!$9:$1048576,MATCH($A155,'01_FASTPPH'!$A$9:$A$1048576,0),MATCH(P$9,'01_FASTPPH'!$8:$8,0))</f>
        <v>#N/A</v>
      </c>
      <c r="Q155" s="20" t="e">
        <f>INDEX('01_FASTPPH'!$9:$1048576,MATCH($A155,'01_FASTPPH'!$A$9:$A$1048576,0),MATCH(Q$9,'01_FASTPPH'!$8:$8,0))</f>
        <v>#N/A</v>
      </c>
      <c r="R155" s="20" t="e">
        <f>INDEX('01_FASTPPH'!$9:$1048576,MATCH($A155,'01_FASTPPH'!$A$9:$A$1048576,0),MATCH(R$9,'01_FASTPPH'!$8:$8,0))</f>
        <v>#N/A</v>
      </c>
      <c r="S155" s="20" t="e">
        <f>INDEX('01_FASTPPH'!$9:$1048576,MATCH($A155,'01_FASTPPH'!$A$9:$A$1048576,0),MATCH(S$9,'01_FASTPPH'!$8:$8,0))</f>
        <v>#N/A</v>
      </c>
      <c r="T155" s="24" t="e">
        <f>INDEX('01_FASTPPH'!$9:$1048576,MATCH($A155,'01_FASTPPH'!$A$9:$A$1048576,0),MATCH(T$9,'01_FASTPPH'!$8:$8,0))</f>
        <v>#N/A</v>
      </c>
      <c r="U155" s="23" t="e">
        <f>INDEX('01_FASTPPH'!$9:$1048576,MATCH($A155,'01_FASTPPH'!$A$9:$A$1048576,0),MATCH(U$9,'01_FASTPPH'!$8:$8,0))</f>
        <v>#N/A</v>
      </c>
      <c r="V155" s="20" t="e">
        <f>INDEX('01_FASTPPH'!$9:$1048576,MATCH($A155,'01_FASTPPH'!$A$9:$A$1048576,0),MATCH(V$9,'01_FASTPPH'!$8:$8,0))</f>
        <v>#N/A</v>
      </c>
      <c r="W155" s="24" t="e">
        <f>INDEX('01_FASTPPH'!$9:$1048576,MATCH($A155,'01_FASTPPH'!$A$9:$A$1048576,0),MATCH(W$9,'01_FASTPPH'!$8:$8,0))</f>
        <v>#N/A</v>
      </c>
      <c r="X155" s="20" t="e">
        <f>INDEX('01_FASTPPH'!$9:$1048576,MATCH($A155,'01_FASTPPH'!$A$9:$A$1048576,0),MATCH(X$9,'01_FASTPPH'!$8:$8,0))</f>
        <v>#N/A</v>
      </c>
      <c r="Y155" s="20" t="e">
        <f>INDEX('01_FASTPPH'!$9:$1048576,MATCH($A155,'01_FASTPPH'!$A$9:$A$1048576,0),MATCH(Y$9,'01_FASTPPH'!$8:$8,0))</f>
        <v>#N/A</v>
      </c>
      <c r="AA155" s="32" t="e">
        <f>INDEX('02_PROPERTIES'!$C$10:$I$1048576,MATCH('03_CALCULATIONS'!$D155,'02_PROPERTIES'!$C$10:$C$1048576,0),MATCH('03_CALCULATIONS'!AA$9,'02_PROPERTIES'!$C$10:$I$10,0))</f>
        <v>#N/A</v>
      </c>
      <c r="AB155" s="20" t="e">
        <f>INDEX('02_PROPERTIES'!$C$10:$I$1048576,MATCH('03_CALCULATIONS'!$D155,'02_PROPERTIES'!$C$10:$C$1048576,0),MATCH('03_CALCULATIONS'!AB$9,'02_PROPERTIES'!$C$10:$I$10,0))</f>
        <v>#N/A</v>
      </c>
      <c r="AC155" s="20" t="e">
        <f>INDEX('02_PROPERTIES'!$C$10:$I$1048576,MATCH('03_CALCULATIONS'!$D155,'02_PROPERTIES'!$C$10:$C$1048576,0),MATCH('03_CALCULATIONS'!AC$9,'02_PROPERTIES'!$C$10:$I$10,0))</f>
        <v>#N/A</v>
      </c>
      <c r="AD155" s="20" t="e">
        <f>INDEX('02_PROPERTIES'!$C$10:$I$1048576,MATCH('03_CALCULATIONS'!$D155,'02_PROPERTIES'!$C$10:$C$1048576,0),MATCH('03_CALCULATIONS'!AD$9,'02_PROPERTIES'!$C$10:$I$10,0))</f>
        <v>#N/A</v>
      </c>
      <c r="AE155" s="32" t="e">
        <f>INDEX('02_PROPERTIES'!$C$10:$I$1048576,MATCH('03_CALCULATIONS'!$D155,'02_PROPERTIES'!$C$10:$C$1048576,0),MATCH('03_CALCULATIONS'!AE$9,'02_PROPERTIES'!$C$10:$I$10,0))</f>
        <v>#N/A</v>
      </c>
      <c r="AF155" s="32" t="e">
        <f>INDEX('02_PROPERTIES'!$C$10:$I$1048576,MATCH('03_CALCULATIONS'!$D155,'02_PROPERTIES'!$C$10:$C$1048576,0),MATCH('03_CALCULATIONS'!AF$9,'02_PROPERTIES'!$C$10:$I$10,0))</f>
        <v>#N/A</v>
      </c>
      <c r="AH155" s="20" t="e">
        <f t="shared" si="22"/>
        <v>#N/A</v>
      </c>
      <c r="AI155" s="20" t="e">
        <f t="shared" si="23"/>
        <v>#N/A</v>
      </c>
      <c r="AJ155" s="20" t="e">
        <f t="shared" si="24"/>
        <v>#N/A</v>
      </c>
      <c r="AL155" s="20" t="e">
        <f t="shared" si="25"/>
        <v>#N/A</v>
      </c>
      <c r="AM155" s="20" t="e">
        <f t="shared" si="26"/>
        <v>#N/A</v>
      </c>
      <c r="AN155" s="20" t="e">
        <f t="shared" si="27"/>
        <v>#N/A</v>
      </c>
      <c r="AO155" s="20" t="e">
        <f t="shared" si="28"/>
        <v>#N/A</v>
      </c>
      <c r="AP155" s="20" t="e">
        <f t="shared" si="29"/>
        <v>#N/A</v>
      </c>
      <c r="AR155" s="20" t="e">
        <f t="shared" si="30"/>
        <v>#N/A</v>
      </c>
      <c r="AS155" s="20" t="e">
        <f t="shared" si="31"/>
        <v>#N/A</v>
      </c>
      <c r="AT155" s="20" t="e">
        <f t="shared" si="32"/>
        <v>#N/A</v>
      </c>
    </row>
    <row r="156" spans="1:46" x14ac:dyDescent="0.3">
      <c r="A156" s="18"/>
      <c r="B156" s="20" t="e">
        <f>INDEX('01_FASTPPH'!$9:$1048576,MATCH($A156,'01_FASTPPH'!$A$9:$A$1048576,0),MATCH(B$9,'01_FASTPPH'!$8:$8,0))</f>
        <v>#N/A</v>
      </c>
      <c r="C156" s="20" t="e">
        <f>INDEX('01_FASTPPH'!$9:$1048576,MATCH($A156,'01_FASTPPH'!$A$9:$A$1048576,0),MATCH(C$9,'01_FASTPPH'!$8:$8,0))</f>
        <v>#N/A</v>
      </c>
      <c r="D156" s="20" t="e">
        <f>INDEX('01_FASTPPH'!$9:$1048576,MATCH($A156,'01_FASTPPH'!$A$9:$A$1048576,0),MATCH(D$9,'01_FASTPPH'!$8:$8,0))</f>
        <v>#N/A</v>
      </c>
      <c r="E156" s="20" t="e">
        <f>INDEX('01_FASTPPH'!$9:$1048576,MATCH($A156,'01_FASTPPH'!$A$9:$A$1048576,0),MATCH(E$9,'01_FASTPPH'!$8:$8,0))</f>
        <v>#N/A</v>
      </c>
      <c r="F156" s="20" t="e">
        <f>INDEX('01_FASTPPH'!$9:$1048576,MATCH($A156,'01_FASTPPH'!$A$9:$A$1048576,0),MATCH(F$9,'01_FASTPPH'!$8:$8,0))</f>
        <v>#N/A</v>
      </c>
      <c r="G156" s="20" t="e">
        <f>INDEX('01_FASTPPH'!$9:$1048576,MATCH($A156,'01_FASTPPH'!$A$9:$A$1048576,0),MATCH(G$9,'01_FASTPPH'!$8:$8,0))</f>
        <v>#N/A</v>
      </c>
      <c r="H156" s="20" t="e">
        <f>INDEX('01_FASTPPH'!$9:$1048576,MATCH($A156,'01_FASTPPH'!$A$9:$A$1048576,0),MATCH(H$9,'01_FASTPPH'!$8:$8,0))</f>
        <v>#N/A</v>
      </c>
      <c r="I156" s="20" t="e">
        <f>INDEX('01_FASTPPH'!$9:$1048576,MATCH($A156,'01_FASTPPH'!$A$9:$A$1048576,0),MATCH(I$9,'01_FASTPPH'!$8:$8,0))</f>
        <v>#N/A</v>
      </c>
      <c r="J156" s="20" t="e">
        <f>INDEX('01_FASTPPH'!$9:$1048576,MATCH($A156,'01_FASTPPH'!$A$9:$A$1048576,0),MATCH(J$9,'01_FASTPPH'!$8:$8,0))</f>
        <v>#N/A</v>
      </c>
      <c r="K156" s="23" t="e">
        <f>INDEX('01_FASTPPH'!$9:$1048576,MATCH($A156,'01_FASTPPH'!$A$9:$A$1048576,0),MATCH(K$9,'01_FASTPPH'!$8:$8,0))</f>
        <v>#N/A</v>
      </c>
      <c r="L156" s="20" t="e">
        <f>INDEX('01_FASTPPH'!$9:$1048576,MATCH($A156,'01_FASTPPH'!$A$9:$A$1048576,0),MATCH(L$9,'01_FASTPPH'!$8:$8,0))</f>
        <v>#N/A</v>
      </c>
      <c r="M156" s="20" t="e">
        <f>INDEX('01_FASTPPH'!$9:$1048576,MATCH($A156,'01_FASTPPH'!$A$9:$A$1048576,0),MATCH(M$9,'01_FASTPPH'!$8:$8,0))</f>
        <v>#N/A</v>
      </c>
      <c r="N156" s="24" t="e">
        <f>INDEX('01_FASTPPH'!$9:$1048576,MATCH($A156,'01_FASTPPH'!$A$9:$A$1048576,0),MATCH(N$9,'01_FASTPPH'!$8:$8,0))</f>
        <v>#N/A</v>
      </c>
      <c r="O156" s="23" t="e">
        <f>INDEX('01_FASTPPH'!$9:$1048576,MATCH($A156,'01_FASTPPH'!$A$9:$A$1048576,0),MATCH(O$9,'01_FASTPPH'!$8:$8,0))</f>
        <v>#N/A</v>
      </c>
      <c r="P156" s="20" t="e">
        <f>INDEX('01_FASTPPH'!$9:$1048576,MATCH($A156,'01_FASTPPH'!$A$9:$A$1048576,0),MATCH(P$9,'01_FASTPPH'!$8:$8,0))</f>
        <v>#N/A</v>
      </c>
      <c r="Q156" s="20" t="e">
        <f>INDEX('01_FASTPPH'!$9:$1048576,MATCH($A156,'01_FASTPPH'!$A$9:$A$1048576,0),MATCH(Q$9,'01_FASTPPH'!$8:$8,0))</f>
        <v>#N/A</v>
      </c>
      <c r="R156" s="20" t="e">
        <f>INDEX('01_FASTPPH'!$9:$1048576,MATCH($A156,'01_FASTPPH'!$A$9:$A$1048576,0),MATCH(R$9,'01_FASTPPH'!$8:$8,0))</f>
        <v>#N/A</v>
      </c>
      <c r="S156" s="20" t="e">
        <f>INDEX('01_FASTPPH'!$9:$1048576,MATCH($A156,'01_FASTPPH'!$A$9:$A$1048576,0),MATCH(S$9,'01_FASTPPH'!$8:$8,0))</f>
        <v>#N/A</v>
      </c>
      <c r="T156" s="24" t="e">
        <f>INDEX('01_FASTPPH'!$9:$1048576,MATCH($A156,'01_FASTPPH'!$A$9:$A$1048576,0),MATCH(T$9,'01_FASTPPH'!$8:$8,0))</f>
        <v>#N/A</v>
      </c>
      <c r="U156" s="23" t="e">
        <f>INDEX('01_FASTPPH'!$9:$1048576,MATCH($A156,'01_FASTPPH'!$A$9:$A$1048576,0),MATCH(U$9,'01_FASTPPH'!$8:$8,0))</f>
        <v>#N/A</v>
      </c>
      <c r="V156" s="20" t="e">
        <f>INDEX('01_FASTPPH'!$9:$1048576,MATCH($A156,'01_FASTPPH'!$A$9:$A$1048576,0),MATCH(V$9,'01_FASTPPH'!$8:$8,0))</f>
        <v>#N/A</v>
      </c>
      <c r="W156" s="24" t="e">
        <f>INDEX('01_FASTPPH'!$9:$1048576,MATCH($A156,'01_FASTPPH'!$A$9:$A$1048576,0),MATCH(W$9,'01_FASTPPH'!$8:$8,0))</f>
        <v>#N/A</v>
      </c>
      <c r="X156" s="20" t="e">
        <f>INDEX('01_FASTPPH'!$9:$1048576,MATCH($A156,'01_FASTPPH'!$A$9:$A$1048576,0),MATCH(X$9,'01_FASTPPH'!$8:$8,0))</f>
        <v>#N/A</v>
      </c>
      <c r="Y156" s="20" t="e">
        <f>INDEX('01_FASTPPH'!$9:$1048576,MATCH($A156,'01_FASTPPH'!$A$9:$A$1048576,0),MATCH(Y$9,'01_FASTPPH'!$8:$8,0))</f>
        <v>#N/A</v>
      </c>
      <c r="AA156" s="32" t="e">
        <f>INDEX('02_PROPERTIES'!$C$10:$I$1048576,MATCH('03_CALCULATIONS'!$D156,'02_PROPERTIES'!$C$10:$C$1048576,0),MATCH('03_CALCULATIONS'!AA$9,'02_PROPERTIES'!$C$10:$I$10,0))</f>
        <v>#N/A</v>
      </c>
      <c r="AB156" s="20" t="e">
        <f>INDEX('02_PROPERTIES'!$C$10:$I$1048576,MATCH('03_CALCULATIONS'!$D156,'02_PROPERTIES'!$C$10:$C$1048576,0),MATCH('03_CALCULATIONS'!AB$9,'02_PROPERTIES'!$C$10:$I$10,0))</f>
        <v>#N/A</v>
      </c>
      <c r="AC156" s="20" t="e">
        <f>INDEX('02_PROPERTIES'!$C$10:$I$1048576,MATCH('03_CALCULATIONS'!$D156,'02_PROPERTIES'!$C$10:$C$1048576,0),MATCH('03_CALCULATIONS'!AC$9,'02_PROPERTIES'!$C$10:$I$10,0))</f>
        <v>#N/A</v>
      </c>
      <c r="AD156" s="20" t="e">
        <f>INDEX('02_PROPERTIES'!$C$10:$I$1048576,MATCH('03_CALCULATIONS'!$D156,'02_PROPERTIES'!$C$10:$C$1048576,0),MATCH('03_CALCULATIONS'!AD$9,'02_PROPERTIES'!$C$10:$I$10,0))</f>
        <v>#N/A</v>
      </c>
      <c r="AE156" s="32" t="e">
        <f>INDEX('02_PROPERTIES'!$C$10:$I$1048576,MATCH('03_CALCULATIONS'!$D156,'02_PROPERTIES'!$C$10:$C$1048576,0),MATCH('03_CALCULATIONS'!AE$9,'02_PROPERTIES'!$C$10:$I$10,0))</f>
        <v>#N/A</v>
      </c>
      <c r="AF156" s="32" t="e">
        <f>INDEX('02_PROPERTIES'!$C$10:$I$1048576,MATCH('03_CALCULATIONS'!$D156,'02_PROPERTIES'!$C$10:$C$1048576,0),MATCH('03_CALCULATIONS'!AF$9,'02_PROPERTIES'!$C$10:$I$10,0))</f>
        <v>#N/A</v>
      </c>
      <c r="AH156" s="20" t="e">
        <f t="shared" si="22"/>
        <v>#N/A</v>
      </c>
      <c r="AI156" s="20" t="e">
        <f t="shared" si="23"/>
        <v>#N/A</v>
      </c>
      <c r="AJ156" s="20" t="e">
        <f t="shared" si="24"/>
        <v>#N/A</v>
      </c>
      <c r="AL156" s="20" t="e">
        <f t="shared" si="25"/>
        <v>#N/A</v>
      </c>
      <c r="AM156" s="20" t="e">
        <f t="shared" si="26"/>
        <v>#N/A</v>
      </c>
      <c r="AN156" s="20" t="e">
        <f t="shared" si="27"/>
        <v>#N/A</v>
      </c>
      <c r="AO156" s="20" t="e">
        <f t="shared" si="28"/>
        <v>#N/A</v>
      </c>
      <c r="AP156" s="20" t="e">
        <f t="shared" si="29"/>
        <v>#N/A</v>
      </c>
      <c r="AR156" s="20" t="e">
        <f t="shared" si="30"/>
        <v>#N/A</v>
      </c>
      <c r="AS156" s="20" t="e">
        <f t="shared" si="31"/>
        <v>#N/A</v>
      </c>
      <c r="AT156" s="20" t="e">
        <f t="shared" si="32"/>
        <v>#N/A</v>
      </c>
    </row>
    <row r="157" spans="1:46" x14ac:dyDescent="0.3">
      <c r="A157" s="18"/>
      <c r="B157" s="20" t="e">
        <f>INDEX('01_FASTPPH'!$9:$1048576,MATCH($A157,'01_FASTPPH'!$A$9:$A$1048576,0),MATCH(B$9,'01_FASTPPH'!$8:$8,0))</f>
        <v>#N/A</v>
      </c>
      <c r="C157" s="20" t="e">
        <f>INDEX('01_FASTPPH'!$9:$1048576,MATCH($A157,'01_FASTPPH'!$A$9:$A$1048576,0),MATCH(C$9,'01_FASTPPH'!$8:$8,0))</f>
        <v>#N/A</v>
      </c>
      <c r="D157" s="20" t="e">
        <f>INDEX('01_FASTPPH'!$9:$1048576,MATCH($A157,'01_FASTPPH'!$A$9:$A$1048576,0),MATCH(D$9,'01_FASTPPH'!$8:$8,0))</f>
        <v>#N/A</v>
      </c>
      <c r="E157" s="20" t="e">
        <f>INDEX('01_FASTPPH'!$9:$1048576,MATCH($A157,'01_FASTPPH'!$A$9:$A$1048576,0),MATCH(E$9,'01_FASTPPH'!$8:$8,0))</f>
        <v>#N/A</v>
      </c>
      <c r="F157" s="20" t="e">
        <f>INDEX('01_FASTPPH'!$9:$1048576,MATCH($A157,'01_FASTPPH'!$A$9:$A$1048576,0),MATCH(F$9,'01_FASTPPH'!$8:$8,0))</f>
        <v>#N/A</v>
      </c>
      <c r="G157" s="20" t="e">
        <f>INDEX('01_FASTPPH'!$9:$1048576,MATCH($A157,'01_FASTPPH'!$A$9:$A$1048576,0),MATCH(G$9,'01_FASTPPH'!$8:$8,0))</f>
        <v>#N/A</v>
      </c>
      <c r="H157" s="20" t="e">
        <f>INDEX('01_FASTPPH'!$9:$1048576,MATCH($A157,'01_FASTPPH'!$A$9:$A$1048576,0),MATCH(H$9,'01_FASTPPH'!$8:$8,0))</f>
        <v>#N/A</v>
      </c>
      <c r="I157" s="20" t="e">
        <f>INDEX('01_FASTPPH'!$9:$1048576,MATCH($A157,'01_FASTPPH'!$A$9:$A$1048576,0),MATCH(I$9,'01_FASTPPH'!$8:$8,0))</f>
        <v>#N/A</v>
      </c>
      <c r="J157" s="20" t="e">
        <f>INDEX('01_FASTPPH'!$9:$1048576,MATCH($A157,'01_FASTPPH'!$A$9:$A$1048576,0),MATCH(J$9,'01_FASTPPH'!$8:$8,0))</f>
        <v>#N/A</v>
      </c>
      <c r="K157" s="23" t="e">
        <f>INDEX('01_FASTPPH'!$9:$1048576,MATCH($A157,'01_FASTPPH'!$A$9:$A$1048576,0),MATCH(K$9,'01_FASTPPH'!$8:$8,0))</f>
        <v>#N/A</v>
      </c>
      <c r="L157" s="20" t="e">
        <f>INDEX('01_FASTPPH'!$9:$1048576,MATCH($A157,'01_FASTPPH'!$A$9:$A$1048576,0),MATCH(L$9,'01_FASTPPH'!$8:$8,0))</f>
        <v>#N/A</v>
      </c>
      <c r="M157" s="20" t="e">
        <f>INDEX('01_FASTPPH'!$9:$1048576,MATCH($A157,'01_FASTPPH'!$A$9:$A$1048576,0),MATCH(M$9,'01_FASTPPH'!$8:$8,0))</f>
        <v>#N/A</v>
      </c>
      <c r="N157" s="24" t="e">
        <f>INDEX('01_FASTPPH'!$9:$1048576,MATCH($A157,'01_FASTPPH'!$A$9:$A$1048576,0),MATCH(N$9,'01_FASTPPH'!$8:$8,0))</f>
        <v>#N/A</v>
      </c>
      <c r="O157" s="23" t="e">
        <f>INDEX('01_FASTPPH'!$9:$1048576,MATCH($A157,'01_FASTPPH'!$A$9:$A$1048576,0),MATCH(O$9,'01_FASTPPH'!$8:$8,0))</f>
        <v>#N/A</v>
      </c>
      <c r="P157" s="20" t="e">
        <f>INDEX('01_FASTPPH'!$9:$1048576,MATCH($A157,'01_FASTPPH'!$A$9:$A$1048576,0),MATCH(P$9,'01_FASTPPH'!$8:$8,0))</f>
        <v>#N/A</v>
      </c>
      <c r="Q157" s="20" t="e">
        <f>INDEX('01_FASTPPH'!$9:$1048576,MATCH($A157,'01_FASTPPH'!$A$9:$A$1048576,0),MATCH(Q$9,'01_FASTPPH'!$8:$8,0))</f>
        <v>#N/A</v>
      </c>
      <c r="R157" s="20" t="e">
        <f>INDEX('01_FASTPPH'!$9:$1048576,MATCH($A157,'01_FASTPPH'!$A$9:$A$1048576,0),MATCH(R$9,'01_FASTPPH'!$8:$8,0))</f>
        <v>#N/A</v>
      </c>
      <c r="S157" s="20" t="e">
        <f>INDEX('01_FASTPPH'!$9:$1048576,MATCH($A157,'01_FASTPPH'!$A$9:$A$1048576,0),MATCH(S$9,'01_FASTPPH'!$8:$8,0))</f>
        <v>#N/A</v>
      </c>
      <c r="T157" s="24" t="e">
        <f>INDEX('01_FASTPPH'!$9:$1048576,MATCH($A157,'01_FASTPPH'!$A$9:$A$1048576,0),MATCH(T$9,'01_FASTPPH'!$8:$8,0))</f>
        <v>#N/A</v>
      </c>
      <c r="U157" s="23" t="e">
        <f>INDEX('01_FASTPPH'!$9:$1048576,MATCH($A157,'01_FASTPPH'!$A$9:$A$1048576,0),MATCH(U$9,'01_FASTPPH'!$8:$8,0))</f>
        <v>#N/A</v>
      </c>
      <c r="V157" s="20" t="e">
        <f>INDEX('01_FASTPPH'!$9:$1048576,MATCH($A157,'01_FASTPPH'!$A$9:$A$1048576,0),MATCH(V$9,'01_FASTPPH'!$8:$8,0))</f>
        <v>#N/A</v>
      </c>
      <c r="W157" s="24" t="e">
        <f>INDEX('01_FASTPPH'!$9:$1048576,MATCH($A157,'01_FASTPPH'!$A$9:$A$1048576,0),MATCH(W$9,'01_FASTPPH'!$8:$8,0))</f>
        <v>#N/A</v>
      </c>
      <c r="X157" s="20" t="e">
        <f>INDEX('01_FASTPPH'!$9:$1048576,MATCH($A157,'01_FASTPPH'!$A$9:$A$1048576,0),MATCH(X$9,'01_FASTPPH'!$8:$8,0))</f>
        <v>#N/A</v>
      </c>
      <c r="Y157" s="20" t="e">
        <f>INDEX('01_FASTPPH'!$9:$1048576,MATCH($A157,'01_FASTPPH'!$A$9:$A$1048576,0),MATCH(Y$9,'01_FASTPPH'!$8:$8,0))</f>
        <v>#N/A</v>
      </c>
      <c r="AA157" s="32" t="e">
        <f>INDEX('02_PROPERTIES'!$C$10:$I$1048576,MATCH('03_CALCULATIONS'!$D157,'02_PROPERTIES'!$C$10:$C$1048576,0),MATCH('03_CALCULATIONS'!AA$9,'02_PROPERTIES'!$C$10:$I$10,0))</f>
        <v>#N/A</v>
      </c>
      <c r="AB157" s="20" t="e">
        <f>INDEX('02_PROPERTIES'!$C$10:$I$1048576,MATCH('03_CALCULATIONS'!$D157,'02_PROPERTIES'!$C$10:$C$1048576,0),MATCH('03_CALCULATIONS'!AB$9,'02_PROPERTIES'!$C$10:$I$10,0))</f>
        <v>#N/A</v>
      </c>
      <c r="AC157" s="20" t="e">
        <f>INDEX('02_PROPERTIES'!$C$10:$I$1048576,MATCH('03_CALCULATIONS'!$D157,'02_PROPERTIES'!$C$10:$C$1048576,0),MATCH('03_CALCULATIONS'!AC$9,'02_PROPERTIES'!$C$10:$I$10,0))</f>
        <v>#N/A</v>
      </c>
      <c r="AD157" s="20" t="e">
        <f>INDEX('02_PROPERTIES'!$C$10:$I$1048576,MATCH('03_CALCULATIONS'!$D157,'02_PROPERTIES'!$C$10:$C$1048576,0),MATCH('03_CALCULATIONS'!AD$9,'02_PROPERTIES'!$C$10:$I$10,0))</f>
        <v>#N/A</v>
      </c>
      <c r="AE157" s="32" t="e">
        <f>INDEX('02_PROPERTIES'!$C$10:$I$1048576,MATCH('03_CALCULATIONS'!$D157,'02_PROPERTIES'!$C$10:$C$1048576,0),MATCH('03_CALCULATIONS'!AE$9,'02_PROPERTIES'!$C$10:$I$10,0))</f>
        <v>#N/A</v>
      </c>
      <c r="AF157" s="32" t="e">
        <f>INDEX('02_PROPERTIES'!$C$10:$I$1048576,MATCH('03_CALCULATIONS'!$D157,'02_PROPERTIES'!$C$10:$C$1048576,0),MATCH('03_CALCULATIONS'!AF$9,'02_PROPERTIES'!$C$10:$I$10,0))</f>
        <v>#N/A</v>
      </c>
      <c r="AH157" s="20" t="e">
        <f t="shared" si="22"/>
        <v>#N/A</v>
      </c>
      <c r="AI157" s="20" t="e">
        <f t="shared" si="23"/>
        <v>#N/A</v>
      </c>
      <c r="AJ157" s="20" t="e">
        <f t="shared" si="24"/>
        <v>#N/A</v>
      </c>
      <c r="AL157" s="20" t="e">
        <f t="shared" si="25"/>
        <v>#N/A</v>
      </c>
      <c r="AM157" s="20" t="e">
        <f t="shared" si="26"/>
        <v>#N/A</v>
      </c>
      <c r="AN157" s="20" t="e">
        <f t="shared" si="27"/>
        <v>#N/A</v>
      </c>
      <c r="AO157" s="20" t="e">
        <f t="shared" si="28"/>
        <v>#N/A</v>
      </c>
      <c r="AP157" s="20" t="e">
        <f t="shared" si="29"/>
        <v>#N/A</v>
      </c>
      <c r="AR157" s="20" t="e">
        <f t="shared" si="30"/>
        <v>#N/A</v>
      </c>
      <c r="AS157" s="20" t="e">
        <f t="shared" si="31"/>
        <v>#N/A</v>
      </c>
      <c r="AT157" s="20" t="e">
        <f t="shared" si="32"/>
        <v>#N/A</v>
      </c>
    </row>
    <row r="158" spans="1:46" x14ac:dyDescent="0.3">
      <c r="A158" s="18"/>
      <c r="B158" s="20" t="e">
        <f>INDEX('01_FASTPPH'!$9:$1048576,MATCH($A158,'01_FASTPPH'!$A$9:$A$1048576,0),MATCH(B$9,'01_FASTPPH'!$8:$8,0))</f>
        <v>#N/A</v>
      </c>
      <c r="C158" s="20" t="e">
        <f>INDEX('01_FASTPPH'!$9:$1048576,MATCH($A158,'01_FASTPPH'!$A$9:$A$1048576,0),MATCH(C$9,'01_FASTPPH'!$8:$8,0))</f>
        <v>#N/A</v>
      </c>
      <c r="D158" s="20" t="e">
        <f>INDEX('01_FASTPPH'!$9:$1048576,MATCH($A158,'01_FASTPPH'!$A$9:$A$1048576,0),MATCH(D$9,'01_FASTPPH'!$8:$8,0))</f>
        <v>#N/A</v>
      </c>
      <c r="E158" s="20" t="e">
        <f>INDEX('01_FASTPPH'!$9:$1048576,MATCH($A158,'01_FASTPPH'!$A$9:$A$1048576,0),MATCH(E$9,'01_FASTPPH'!$8:$8,0))</f>
        <v>#N/A</v>
      </c>
      <c r="F158" s="20" t="e">
        <f>INDEX('01_FASTPPH'!$9:$1048576,MATCH($A158,'01_FASTPPH'!$A$9:$A$1048576,0),MATCH(F$9,'01_FASTPPH'!$8:$8,0))</f>
        <v>#N/A</v>
      </c>
      <c r="G158" s="20" t="e">
        <f>INDEX('01_FASTPPH'!$9:$1048576,MATCH($A158,'01_FASTPPH'!$A$9:$A$1048576,0),MATCH(G$9,'01_FASTPPH'!$8:$8,0))</f>
        <v>#N/A</v>
      </c>
      <c r="H158" s="20" t="e">
        <f>INDEX('01_FASTPPH'!$9:$1048576,MATCH($A158,'01_FASTPPH'!$A$9:$A$1048576,0),MATCH(H$9,'01_FASTPPH'!$8:$8,0))</f>
        <v>#N/A</v>
      </c>
      <c r="I158" s="20" t="e">
        <f>INDEX('01_FASTPPH'!$9:$1048576,MATCH($A158,'01_FASTPPH'!$A$9:$A$1048576,0),MATCH(I$9,'01_FASTPPH'!$8:$8,0))</f>
        <v>#N/A</v>
      </c>
      <c r="J158" s="20" t="e">
        <f>INDEX('01_FASTPPH'!$9:$1048576,MATCH($A158,'01_FASTPPH'!$A$9:$A$1048576,0),MATCH(J$9,'01_FASTPPH'!$8:$8,0))</f>
        <v>#N/A</v>
      </c>
      <c r="K158" s="23" t="e">
        <f>INDEX('01_FASTPPH'!$9:$1048576,MATCH($A158,'01_FASTPPH'!$A$9:$A$1048576,0),MATCH(K$9,'01_FASTPPH'!$8:$8,0))</f>
        <v>#N/A</v>
      </c>
      <c r="L158" s="20" t="e">
        <f>INDEX('01_FASTPPH'!$9:$1048576,MATCH($A158,'01_FASTPPH'!$A$9:$A$1048576,0),MATCH(L$9,'01_FASTPPH'!$8:$8,0))</f>
        <v>#N/A</v>
      </c>
      <c r="M158" s="20" t="e">
        <f>INDEX('01_FASTPPH'!$9:$1048576,MATCH($A158,'01_FASTPPH'!$A$9:$A$1048576,0),MATCH(M$9,'01_FASTPPH'!$8:$8,0))</f>
        <v>#N/A</v>
      </c>
      <c r="N158" s="24" t="e">
        <f>INDEX('01_FASTPPH'!$9:$1048576,MATCH($A158,'01_FASTPPH'!$A$9:$A$1048576,0),MATCH(N$9,'01_FASTPPH'!$8:$8,0))</f>
        <v>#N/A</v>
      </c>
      <c r="O158" s="23" t="e">
        <f>INDEX('01_FASTPPH'!$9:$1048576,MATCH($A158,'01_FASTPPH'!$A$9:$A$1048576,0),MATCH(O$9,'01_FASTPPH'!$8:$8,0))</f>
        <v>#N/A</v>
      </c>
      <c r="P158" s="20" t="e">
        <f>INDEX('01_FASTPPH'!$9:$1048576,MATCH($A158,'01_FASTPPH'!$A$9:$A$1048576,0),MATCH(P$9,'01_FASTPPH'!$8:$8,0))</f>
        <v>#N/A</v>
      </c>
      <c r="Q158" s="20" t="e">
        <f>INDEX('01_FASTPPH'!$9:$1048576,MATCH($A158,'01_FASTPPH'!$A$9:$A$1048576,0),MATCH(Q$9,'01_FASTPPH'!$8:$8,0))</f>
        <v>#N/A</v>
      </c>
      <c r="R158" s="20" t="e">
        <f>INDEX('01_FASTPPH'!$9:$1048576,MATCH($A158,'01_FASTPPH'!$A$9:$A$1048576,0),MATCH(R$9,'01_FASTPPH'!$8:$8,0))</f>
        <v>#N/A</v>
      </c>
      <c r="S158" s="20" t="e">
        <f>INDEX('01_FASTPPH'!$9:$1048576,MATCH($A158,'01_FASTPPH'!$A$9:$A$1048576,0),MATCH(S$9,'01_FASTPPH'!$8:$8,0))</f>
        <v>#N/A</v>
      </c>
      <c r="T158" s="24" t="e">
        <f>INDEX('01_FASTPPH'!$9:$1048576,MATCH($A158,'01_FASTPPH'!$A$9:$A$1048576,0),MATCH(T$9,'01_FASTPPH'!$8:$8,0))</f>
        <v>#N/A</v>
      </c>
      <c r="U158" s="23" t="e">
        <f>INDEX('01_FASTPPH'!$9:$1048576,MATCH($A158,'01_FASTPPH'!$A$9:$A$1048576,0),MATCH(U$9,'01_FASTPPH'!$8:$8,0))</f>
        <v>#N/A</v>
      </c>
      <c r="V158" s="20" t="e">
        <f>INDEX('01_FASTPPH'!$9:$1048576,MATCH($A158,'01_FASTPPH'!$A$9:$A$1048576,0),MATCH(V$9,'01_FASTPPH'!$8:$8,0))</f>
        <v>#N/A</v>
      </c>
      <c r="W158" s="24" t="e">
        <f>INDEX('01_FASTPPH'!$9:$1048576,MATCH($A158,'01_FASTPPH'!$A$9:$A$1048576,0),MATCH(W$9,'01_FASTPPH'!$8:$8,0))</f>
        <v>#N/A</v>
      </c>
      <c r="X158" s="20" t="e">
        <f>INDEX('01_FASTPPH'!$9:$1048576,MATCH($A158,'01_FASTPPH'!$A$9:$A$1048576,0),MATCH(X$9,'01_FASTPPH'!$8:$8,0))</f>
        <v>#N/A</v>
      </c>
      <c r="Y158" s="20" t="e">
        <f>INDEX('01_FASTPPH'!$9:$1048576,MATCH($A158,'01_FASTPPH'!$A$9:$A$1048576,0),MATCH(Y$9,'01_FASTPPH'!$8:$8,0))</f>
        <v>#N/A</v>
      </c>
      <c r="AA158" s="32" t="e">
        <f>INDEX('02_PROPERTIES'!$C$10:$I$1048576,MATCH('03_CALCULATIONS'!$D158,'02_PROPERTIES'!$C$10:$C$1048576,0),MATCH('03_CALCULATIONS'!AA$9,'02_PROPERTIES'!$C$10:$I$10,0))</f>
        <v>#N/A</v>
      </c>
      <c r="AB158" s="20" t="e">
        <f>INDEX('02_PROPERTIES'!$C$10:$I$1048576,MATCH('03_CALCULATIONS'!$D158,'02_PROPERTIES'!$C$10:$C$1048576,0),MATCH('03_CALCULATIONS'!AB$9,'02_PROPERTIES'!$C$10:$I$10,0))</f>
        <v>#N/A</v>
      </c>
      <c r="AC158" s="20" t="e">
        <f>INDEX('02_PROPERTIES'!$C$10:$I$1048576,MATCH('03_CALCULATIONS'!$D158,'02_PROPERTIES'!$C$10:$C$1048576,0),MATCH('03_CALCULATIONS'!AC$9,'02_PROPERTIES'!$C$10:$I$10,0))</f>
        <v>#N/A</v>
      </c>
      <c r="AD158" s="20" t="e">
        <f>INDEX('02_PROPERTIES'!$C$10:$I$1048576,MATCH('03_CALCULATIONS'!$D158,'02_PROPERTIES'!$C$10:$C$1048576,0),MATCH('03_CALCULATIONS'!AD$9,'02_PROPERTIES'!$C$10:$I$10,0))</f>
        <v>#N/A</v>
      </c>
      <c r="AE158" s="32" t="e">
        <f>INDEX('02_PROPERTIES'!$C$10:$I$1048576,MATCH('03_CALCULATIONS'!$D158,'02_PROPERTIES'!$C$10:$C$1048576,0),MATCH('03_CALCULATIONS'!AE$9,'02_PROPERTIES'!$C$10:$I$10,0))</f>
        <v>#N/A</v>
      </c>
      <c r="AF158" s="32" t="e">
        <f>INDEX('02_PROPERTIES'!$C$10:$I$1048576,MATCH('03_CALCULATIONS'!$D158,'02_PROPERTIES'!$C$10:$C$1048576,0),MATCH('03_CALCULATIONS'!AF$9,'02_PROPERTIES'!$C$10:$I$10,0))</f>
        <v>#N/A</v>
      </c>
      <c r="AH158" s="20" t="e">
        <f t="shared" si="22"/>
        <v>#N/A</v>
      </c>
      <c r="AI158" s="20" t="e">
        <f t="shared" si="23"/>
        <v>#N/A</v>
      </c>
      <c r="AJ158" s="20" t="e">
        <f t="shared" si="24"/>
        <v>#N/A</v>
      </c>
      <c r="AL158" s="20" t="e">
        <f t="shared" si="25"/>
        <v>#N/A</v>
      </c>
      <c r="AM158" s="20" t="e">
        <f t="shared" si="26"/>
        <v>#N/A</v>
      </c>
      <c r="AN158" s="20" t="e">
        <f t="shared" si="27"/>
        <v>#N/A</v>
      </c>
      <c r="AO158" s="20" t="e">
        <f t="shared" si="28"/>
        <v>#N/A</v>
      </c>
      <c r="AP158" s="20" t="e">
        <f t="shared" si="29"/>
        <v>#N/A</v>
      </c>
      <c r="AR158" s="20" t="e">
        <f t="shared" si="30"/>
        <v>#N/A</v>
      </c>
      <c r="AS158" s="20" t="e">
        <f t="shared" si="31"/>
        <v>#N/A</v>
      </c>
      <c r="AT158" s="20" t="e">
        <f t="shared" si="32"/>
        <v>#N/A</v>
      </c>
    </row>
    <row r="159" spans="1:46" x14ac:dyDescent="0.3">
      <c r="A159" s="18"/>
      <c r="B159" s="20" t="e">
        <f>INDEX('01_FASTPPH'!$9:$1048576,MATCH($A159,'01_FASTPPH'!$A$9:$A$1048576,0),MATCH(B$9,'01_FASTPPH'!$8:$8,0))</f>
        <v>#N/A</v>
      </c>
      <c r="C159" s="20" t="e">
        <f>INDEX('01_FASTPPH'!$9:$1048576,MATCH($A159,'01_FASTPPH'!$A$9:$A$1048576,0),MATCH(C$9,'01_FASTPPH'!$8:$8,0))</f>
        <v>#N/A</v>
      </c>
      <c r="D159" s="20" t="e">
        <f>INDEX('01_FASTPPH'!$9:$1048576,MATCH($A159,'01_FASTPPH'!$A$9:$A$1048576,0),MATCH(D$9,'01_FASTPPH'!$8:$8,0))</f>
        <v>#N/A</v>
      </c>
      <c r="E159" s="20" t="e">
        <f>INDEX('01_FASTPPH'!$9:$1048576,MATCH($A159,'01_FASTPPH'!$A$9:$A$1048576,0),MATCH(E$9,'01_FASTPPH'!$8:$8,0))</f>
        <v>#N/A</v>
      </c>
      <c r="F159" s="20" t="e">
        <f>INDEX('01_FASTPPH'!$9:$1048576,MATCH($A159,'01_FASTPPH'!$A$9:$A$1048576,0),MATCH(F$9,'01_FASTPPH'!$8:$8,0))</f>
        <v>#N/A</v>
      </c>
      <c r="G159" s="20" t="e">
        <f>INDEX('01_FASTPPH'!$9:$1048576,MATCH($A159,'01_FASTPPH'!$A$9:$A$1048576,0),MATCH(G$9,'01_FASTPPH'!$8:$8,0))</f>
        <v>#N/A</v>
      </c>
      <c r="H159" s="20" t="e">
        <f>INDEX('01_FASTPPH'!$9:$1048576,MATCH($A159,'01_FASTPPH'!$A$9:$A$1048576,0),MATCH(H$9,'01_FASTPPH'!$8:$8,0))</f>
        <v>#N/A</v>
      </c>
      <c r="I159" s="20" t="e">
        <f>INDEX('01_FASTPPH'!$9:$1048576,MATCH($A159,'01_FASTPPH'!$A$9:$A$1048576,0),MATCH(I$9,'01_FASTPPH'!$8:$8,0))</f>
        <v>#N/A</v>
      </c>
      <c r="J159" s="20" t="e">
        <f>INDEX('01_FASTPPH'!$9:$1048576,MATCH($A159,'01_FASTPPH'!$A$9:$A$1048576,0),MATCH(J$9,'01_FASTPPH'!$8:$8,0))</f>
        <v>#N/A</v>
      </c>
      <c r="K159" s="23" t="e">
        <f>INDEX('01_FASTPPH'!$9:$1048576,MATCH($A159,'01_FASTPPH'!$A$9:$A$1048576,0),MATCH(K$9,'01_FASTPPH'!$8:$8,0))</f>
        <v>#N/A</v>
      </c>
      <c r="L159" s="20" t="e">
        <f>INDEX('01_FASTPPH'!$9:$1048576,MATCH($A159,'01_FASTPPH'!$A$9:$A$1048576,0),MATCH(L$9,'01_FASTPPH'!$8:$8,0))</f>
        <v>#N/A</v>
      </c>
      <c r="M159" s="20" t="e">
        <f>INDEX('01_FASTPPH'!$9:$1048576,MATCH($A159,'01_FASTPPH'!$A$9:$A$1048576,0),MATCH(M$9,'01_FASTPPH'!$8:$8,0))</f>
        <v>#N/A</v>
      </c>
      <c r="N159" s="24" t="e">
        <f>INDEX('01_FASTPPH'!$9:$1048576,MATCH($A159,'01_FASTPPH'!$A$9:$A$1048576,0),MATCH(N$9,'01_FASTPPH'!$8:$8,0))</f>
        <v>#N/A</v>
      </c>
      <c r="O159" s="23" t="e">
        <f>INDEX('01_FASTPPH'!$9:$1048576,MATCH($A159,'01_FASTPPH'!$A$9:$A$1048576,0),MATCH(O$9,'01_FASTPPH'!$8:$8,0))</f>
        <v>#N/A</v>
      </c>
      <c r="P159" s="20" t="e">
        <f>INDEX('01_FASTPPH'!$9:$1048576,MATCH($A159,'01_FASTPPH'!$A$9:$A$1048576,0),MATCH(P$9,'01_FASTPPH'!$8:$8,0))</f>
        <v>#N/A</v>
      </c>
      <c r="Q159" s="20" t="e">
        <f>INDEX('01_FASTPPH'!$9:$1048576,MATCH($A159,'01_FASTPPH'!$A$9:$A$1048576,0),MATCH(Q$9,'01_FASTPPH'!$8:$8,0))</f>
        <v>#N/A</v>
      </c>
      <c r="R159" s="20" t="e">
        <f>INDEX('01_FASTPPH'!$9:$1048576,MATCH($A159,'01_FASTPPH'!$A$9:$A$1048576,0),MATCH(R$9,'01_FASTPPH'!$8:$8,0))</f>
        <v>#N/A</v>
      </c>
      <c r="S159" s="20" t="e">
        <f>INDEX('01_FASTPPH'!$9:$1048576,MATCH($A159,'01_FASTPPH'!$A$9:$A$1048576,0),MATCH(S$9,'01_FASTPPH'!$8:$8,0))</f>
        <v>#N/A</v>
      </c>
      <c r="T159" s="24" t="e">
        <f>INDEX('01_FASTPPH'!$9:$1048576,MATCH($A159,'01_FASTPPH'!$A$9:$A$1048576,0),MATCH(T$9,'01_FASTPPH'!$8:$8,0))</f>
        <v>#N/A</v>
      </c>
      <c r="U159" s="23" t="e">
        <f>INDEX('01_FASTPPH'!$9:$1048576,MATCH($A159,'01_FASTPPH'!$A$9:$A$1048576,0),MATCH(U$9,'01_FASTPPH'!$8:$8,0))</f>
        <v>#N/A</v>
      </c>
      <c r="V159" s="20" t="e">
        <f>INDEX('01_FASTPPH'!$9:$1048576,MATCH($A159,'01_FASTPPH'!$A$9:$A$1048576,0),MATCH(V$9,'01_FASTPPH'!$8:$8,0))</f>
        <v>#N/A</v>
      </c>
      <c r="W159" s="24" t="e">
        <f>INDEX('01_FASTPPH'!$9:$1048576,MATCH($A159,'01_FASTPPH'!$A$9:$A$1048576,0),MATCH(W$9,'01_FASTPPH'!$8:$8,0))</f>
        <v>#N/A</v>
      </c>
      <c r="X159" s="20" t="e">
        <f>INDEX('01_FASTPPH'!$9:$1048576,MATCH($A159,'01_FASTPPH'!$A$9:$A$1048576,0),MATCH(X$9,'01_FASTPPH'!$8:$8,0))</f>
        <v>#N/A</v>
      </c>
      <c r="Y159" s="20" t="e">
        <f>INDEX('01_FASTPPH'!$9:$1048576,MATCH($A159,'01_FASTPPH'!$A$9:$A$1048576,0),MATCH(Y$9,'01_FASTPPH'!$8:$8,0))</f>
        <v>#N/A</v>
      </c>
      <c r="AA159" s="32" t="e">
        <f>INDEX('02_PROPERTIES'!$C$10:$I$1048576,MATCH('03_CALCULATIONS'!$D159,'02_PROPERTIES'!$C$10:$C$1048576,0),MATCH('03_CALCULATIONS'!AA$9,'02_PROPERTIES'!$C$10:$I$10,0))</f>
        <v>#N/A</v>
      </c>
      <c r="AB159" s="20" t="e">
        <f>INDEX('02_PROPERTIES'!$C$10:$I$1048576,MATCH('03_CALCULATIONS'!$D159,'02_PROPERTIES'!$C$10:$C$1048576,0),MATCH('03_CALCULATIONS'!AB$9,'02_PROPERTIES'!$C$10:$I$10,0))</f>
        <v>#N/A</v>
      </c>
      <c r="AC159" s="20" t="e">
        <f>INDEX('02_PROPERTIES'!$C$10:$I$1048576,MATCH('03_CALCULATIONS'!$D159,'02_PROPERTIES'!$C$10:$C$1048576,0),MATCH('03_CALCULATIONS'!AC$9,'02_PROPERTIES'!$C$10:$I$10,0))</f>
        <v>#N/A</v>
      </c>
      <c r="AD159" s="20" t="e">
        <f>INDEX('02_PROPERTIES'!$C$10:$I$1048576,MATCH('03_CALCULATIONS'!$D159,'02_PROPERTIES'!$C$10:$C$1048576,0),MATCH('03_CALCULATIONS'!AD$9,'02_PROPERTIES'!$C$10:$I$10,0))</f>
        <v>#N/A</v>
      </c>
      <c r="AE159" s="32" t="e">
        <f>INDEX('02_PROPERTIES'!$C$10:$I$1048576,MATCH('03_CALCULATIONS'!$D159,'02_PROPERTIES'!$C$10:$C$1048576,0),MATCH('03_CALCULATIONS'!AE$9,'02_PROPERTIES'!$C$10:$I$10,0))</f>
        <v>#N/A</v>
      </c>
      <c r="AF159" s="32" t="e">
        <f>INDEX('02_PROPERTIES'!$C$10:$I$1048576,MATCH('03_CALCULATIONS'!$D159,'02_PROPERTIES'!$C$10:$C$1048576,0),MATCH('03_CALCULATIONS'!AF$9,'02_PROPERTIES'!$C$10:$I$10,0))</f>
        <v>#N/A</v>
      </c>
      <c r="AH159" s="20" t="e">
        <f t="shared" si="22"/>
        <v>#N/A</v>
      </c>
      <c r="AI159" s="20" t="e">
        <f t="shared" si="23"/>
        <v>#N/A</v>
      </c>
      <c r="AJ159" s="20" t="e">
        <f t="shared" si="24"/>
        <v>#N/A</v>
      </c>
      <c r="AL159" s="20" t="e">
        <f t="shared" si="25"/>
        <v>#N/A</v>
      </c>
      <c r="AM159" s="20" t="e">
        <f t="shared" si="26"/>
        <v>#N/A</v>
      </c>
      <c r="AN159" s="20" t="e">
        <f t="shared" si="27"/>
        <v>#N/A</v>
      </c>
      <c r="AO159" s="20" t="e">
        <f t="shared" si="28"/>
        <v>#N/A</v>
      </c>
      <c r="AP159" s="20" t="e">
        <f t="shared" si="29"/>
        <v>#N/A</v>
      </c>
      <c r="AR159" s="20" t="e">
        <f t="shared" si="30"/>
        <v>#N/A</v>
      </c>
      <c r="AS159" s="20" t="e">
        <f t="shared" si="31"/>
        <v>#N/A</v>
      </c>
      <c r="AT159" s="20" t="e">
        <f t="shared" si="32"/>
        <v>#N/A</v>
      </c>
    </row>
    <row r="160" spans="1:46" x14ac:dyDescent="0.3">
      <c r="A160" s="18"/>
      <c r="B160" s="20" t="e">
        <f>INDEX('01_FASTPPH'!$9:$1048576,MATCH($A160,'01_FASTPPH'!$A$9:$A$1048576,0),MATCH(B$9,'01_FASTPPH'!$8:$8,0))</f>
        <v>#N/A</v>
      </c>
      <c r="C160" s="20" t="e">
        <f>INDEX('01_FASTPPH'!$9:$1048576,MATCH($A160,'01_FASTPPH'!$A$9:$A$1048576,0),MATCH(C$9,'01_FASTPPH'!$8:$8,0))</f>
        <v>#N/A</v>
      </c>
      <c r="D160" s="20" t="e">
        <f>INDEX('01_FASTPPH'!$9:$1048576,MATCH($A160,'01_FASTPPH'!$A$9:$A$1048576,0),MATCH(D$9,'01_FASTPPH'!$8:$8,0))</f>
        <v>#N/A</v>
      </c>
      <c r="E160" s="20" t="e">
        <f>INDEX('01_FASTPPH'!$9:$1048576,MATCH($A160,'01_FASTPPH'!$A$9:$A$1048576,0),MATCH(E$9,'01_FASTPPH'!$8:$8,0))</f>
        <v>#N/A</v>
      </c>
      <c r="F160" s="20" t="e">
        <f>INDEX('01_FASTPPH'!$9:$1048576,MATCH($A160,'01_FASTPPH'!$A$9:$A$1048576,0),MATCH(F$9,'01_FASTPPH'!$8:$8,0))</f>
        <v>#N/A</v>
      </c>
      <c r="G160" s="20" t="e">
        <f>INDEX('01_FASTPPH'!$9:$1048576,MATCH($A160,'01_FASTPPH'!$A$9:$A$1048576,0),MATCH(G$9,'01_FASTPPH'!$8:$8,0))</f>
        <v>#N/A</v>
      </c>
      <c r="H160" s="20" t="e">
        <f>INDEX('01_FASTPPH'!$9:$1048576,MATCH($A160,'01_FASTPPH'!$A$9:$A$1048576,0),MATCH(H$9,'01_FASTPPH'!$8:$8,0))</f>
        <v>#N/A</v>
      </c>
      <c r="I160" s="20" t="e">
        <f>INDEX('01_FASTPPH'!$9:$1048576,MATCH($A160,'01_FASTPPH'!$A$9:$A$1048576,0),MATCH(I$9,'01_FASTPPH'!$8:$8,0))</f>
        <v>#N/A</v>
      </c>
      <c r="J160" s="20" t="e">
        <f>INDEX('01_FASTPPH'!$9:$1048576,MATCH($A160,'01_FASTPPH'!$A$9:$A$1048576,0),MATCH(J$9,'01_FASTPPH'!$8:$8,0))</f>
        <v>#N/A</v>
      </c>
      <c r="K160" s="23" t="e">
        <f>INDEX('01_FASTPPH'!$9:$1048576,MATCH($A160,'01_FASTPPH'!$A$9:$A$1048576,0),MATCH(K$9,'01_FASTPPH'!$8:$8,0))</f>
        <v>#N/A</v>
      </c>
      <c r="L160" s="20" t="e">
        <f>INDEX('01_FASTPPH'!$9:$1048576,MATCH($A160,'01_FASTPPH'!$A$9:$A$1048576,0),MATCH(L$9,'01_FASTPPH'!$8:$8,0))</f>
        <v>#N/A</v>
      </c>
      <c r="M160" s="20" t="e">
        <f>INDEX('01_FASTPPH'!$9:$1048576,MATCH($A160,'01_FASTPPH'!$A$9:$A$1048576,0),MATCH(M$9,'01_FASTPPH'!$8:$8,0))</f>
        <v>#N/A</v>
      </c>
      <c r="N160" s="24" t="e">
        <f>INDEX('01_FASTPPH'!$9:$1048576,MATCH($A160,'01_FASTPPH'!$A$9:$A$1048576,0),MATCH(N$9,'01_FASTPPH'!$8:$8,0))</f>
        <v>#N/A</v>
      </c>
      <c r="O160" s="23" t="e">
        <f>INDEX('01_FASTPPH'!$9:$1048576,MATCH($A160,'01_FASTPPH'!$A$9:$A$1048576,0),MATCH(O$9,'01_FASTPPH'!$8:$8,0))</f>
        <v>#N/A</v>
      </c>
      <c r="P160" s="20" t="e">
        <f>INDEX('01_FASTPPH'!$9:$1048576,MATCH($A160,'01_FASTPPH'!$A$9:$A$1048576,0),MATCH(P$9,'01_FASTPPH'!$8:$8,0))</f>
        <v>#N/A</v>
      </c>
      <c r="Q160" s="20" t="e">
        <f>INDEX('01_FASTPPH'!$9:$1048576,MATCH($A160,'01_FASTPPH'!$A$9:$A$1048576,0),MATCH(Q$9,'01_FASTPPH'!$8:$8,0))</f>
        <v>#N/A</v>
      </c>
      <c r="R160" s="20" t="e">
        <f>INDEX('01_FASTPPH'!$9:$1048576,MATCH($A160,'01_FASTPPH'!$A$9:$A$1048576,0),MATCH(R$9,'01_FASTPPH'!$8:$8,0))</f>
        <v>#N/A</v>
      </c>
      <c r="S160" s="20" t="e">
        <f>INDEX('01_FASTPPH'!$9:$1048576,MATCH($A160,'01_FASTPPH'!$A$9:$A$1048576,0),MATCH(S$9,'01_FASTPPH'!$8:$8,0))</f>
        <v>#N/A</v>
      </c>
      <c r="T160" s="24" t="e">
        <f>INDEX('01_FASTPPH'!$9:$1048576,MATCH($A160,'01_FASTPPH'!$A$9:$A$1048576,0),MATCH(T$9,'01_FASTPPH'!$8:$8,0))</f>
        <v>#N/A</v>
      </c>
      <c r="U160" s="23" t="e">
        <f>INDEX('01_FASTPPH'!$9:$1048576,MATCH($A160,'01_FASTPPH'!$A$9:$A$1048576,0),MATCH(U$9,'01_FASTPPH'!$8:$8,0))</f>
        <v>#N/A</v>
      </c>
      <c r="V160" s="20" t="e">
        <f>INDEX('01_FASTPPH'!$9:$1048576,MATCH($A160,'01_FASTPPH'!$A$9:$A$1048576,0),MATCH(V$9,'01_FASTPPH'!$8:$8,0))</f>
        <v>#N/A</v>
      </c>
      <c r="W160" s="24" t="e">
        <f>INDEX('01_FASTPPH'!$9:$1048576,MATCH($A160,'01_FASTPPH'!$A$9:$A$1048576,0),MATCH(W$9,'01_FASTPPH'!$8:$8,0))</f>
        <v>#N/A</v>
      </c>
      <c r="X160" s="20" t="e">
        <f>INDEX('01_FASTPPH'!$9:$1048576,MATCH($A160,'01_FASTPPH'!$A$9:$A$1048576,0),MATCH(X$9,'01_FASTPPH'!$8:$8,0))</f>
        <v>#N/A</v>
      </c>
      <c r="Y160" s="20" t="e">
        <f>INDEX('01_FASTPPH'!$9:$1048576,MATCH($A160,'01_FASTPPH'!$A$9:$A$1048576,0),MATCH(Y$9,'01_FASTPPH'!$8:$8,0))</f>
        <v>#N/A</v>
      </c>
      <c r="AA160" s="32" t="e">
        <f>INDEX('02_PROPERTIES'!$C$10:$I$1048576,MATCH('03_CALCULATIONS'!$D160,'02_PROPERTIES'!$C$10:$C$1048576,0),MATCH('03_CALCULATIONS'!AA$9,'02_PROPERTIES'!$C$10:$I$10,0))</f>
        <v>#N/A</v>
      </c>
      <c r="AB160" s="20" t="e">
        <f>INDEX('02_PROPERTIES'!$C$10:$I$1048576,MATCH('03_CALCULATIONS'!$D160,'02_PROPERTIES'!$C$10:$C$1048576,0),MATCH('03_CALCULATIONS'!AB$9,'02_PROPERTIES'!$C$10:$I$10,0))</f>
        <v>#N/A</v>
      </c>
      <c r="AC160" s="20" t="e">
        <f>INDEX('02_PROPERTIES'!$C$10:$I$1048576,MATCH('03_CALCULATIONS'!$D160,'02_PROPERTIES'!$C$10:$C$1048576,0),MATCH('03_CALCULATIONS'!AC$9,'02_PROPERTIES'!$C$10:$I$10,0))</f>
        <v>#N/A</v>
      </c>
      <c r="AD160" s="20" t="e">
        <f>INDEX('02_PROPERTIES'!$C$10:$I$1048576,MATCH('03_CALCULATIONS'!$D160,'02_PROPERTIES'!$C$10:$C$1048576,0),MATCH('03_CALCULATIONS'!AD$9,'02_PROPERTIES'!$C$10:$I$10,0))</f>
        <v>#N/A</v>
      </c>
      <c r="AE160" s="32" t="e">
        <f>INDEX('02_PROPERTIES'!$C$10:$I$1048576,MATCH('03_CALCULATIONS'!$D160,'02_PROPERTIES'!$C$10:$C$1048576,0),MATCH('03_CALCULATIONS'!AE$9,'02_PROPERTIES'!$C$10:$I$10,0))</f>
        <v>#N/A</v>
      </c>
      <c r="AF160" s="32" t="e">
        <f>INDEX('02_PROPERTIES'!$C$10:$I$1048576,MATCH('03_CALCULATIONS'!$D160,'02_PROPERTIES'!$C$10:$C$1048576,0),MATCH('03_CALCULATIONS'!AF$9,'02_PROPERTIES'!$C$10:$I$10,0))</f>
        <v>#N/A</v>
      </c>
      <c r="AH160" s="20" t="e">
        <f t="shared" si="22"/>
        <v>#N/A</v>
      </c>
      <c r="AI160" s="20" t="e">
        <f t="shared" si="23"/>
        <v>#N/A</v>
      </c>
      <c r="AJ160" s="20" t="e">
        <f t="shared" si="24"/>
        <v>#N/A</v>
      </c>
      <c r="AL160" s="20" t="e">
        <f t="shared" si="25"/>
        <v>#N/A</v>
      </c>
      <c r="AM160" s="20" t="e">
        <f t="shared" si="26"/>
        <v>#N/A</v>
      </c>
      <c r="AN160" s="20" t="e">
        <f t="shared" si="27"/>
        <v>#N/A</v>
      </c>
      <c r="AO160" s="20" t="e">
        <f t="shared" si="28"/>
        <v>#N/A</v>
      </c>
      <c r="AP160" s="20" t="e">
        <f t="shared" si="29"/>
        <v>#N/A</v>
      </c>
      <c r="AR160" s="20" t="e">
        <f t="shared" si="30"/>
        <v>#N/A</v>
      </c>
      <c r="AS160" s="20" t="e">
        <f t="shared" si="31"/>
        <v>#N/A</v>
      </c>
      <c r="AT160" s="20" t="e">
        <f t="shared" si="32"/>
        <v>#N/A</v>
      </c>
    </row>
    <row r="161" spans="1:46" x14ac:dyDescent="0.3">
      <c r="A161" s="18"/>
      <c r="B161" s="20" t="e">
        <f>INDEX('01_FASTPPH'!$9:$1048576,MATCH($A161,'01_FASTPPH'!$A$9:$A$1048576,0),MATCH(B$9,'01_FASTPPH'!$8:$8,0))</f>
        <v>#N/A</v>
      </c>
      <c r="C161" s="20" t="e">
        <f>INDEX('01_FASTPPH'!$9:$1048576,MATCH($A161,'01_FASTPPH'!$A$9:$A$1048576,0),MATCH(C$9,'01_FASTPPH'!$8:$8,0))</f>
        <v>#N/A</v>
      </c>
      <c r="D161" s="20" t="e">
        <f>INDEX('01_FASTPPH'!$9:$1048576,MATCH($A161,'01_FASTPPH'!$A$9:$A$1048576,0),MATCH(D$9,'01_FASTPPH'!$8:$8,0))</f>
        <v>#N/A</v>
      </c>
      <c r="E161" s="20" t="e">
        <f>INDEX('01_FASTPPH'!$9:$1048576,MATCH($A161,'01_FASTPPH'!$A$9:$A$1048576,0),MATCH(E$9,'01_FASTPPH'!$8:$8,0))</f>
        <v>#N/A</v>
      </c>
      <c r="F161" s="20" t="e">
        <f>INDEX('01_FASTPPH'!$9:$1048576,MATCH($A161,'01_FASTPPH'!$A$9:$A$1048576,0),MATCH(F$9,'01_FASTPPH'!$8:$8,0))</f>
        <v>#N/A</v>
      </c>
      <c r="G161" s="20" t="e">
        <f>INDEX('01_FASTPPH'!$9:$1048576,MATCH($A161,'01_FASTPPH'!$A$9:$A$1048576,0),MATCH(G$9,'01_FASTPPH'!$8:$8,0))</f>
        <v>#N/A</v>
      </c>
      <c r="H161" s="20" t="e">
        <f>INDEX('01_FASTPPH'!$9:$1048576,MATCH($A161,'01_FASTPPH'!$A$9:$A$1048576,0),MATCH(H$9,'01_FASTPPH'!$8:$8,0))</f>
        <v>#N/A</v>
      </c>
      <c r="I161" s="20" t="e">
        <f>INDEX('01_FASTPPH'!$9:$1048576,MATCH($A161,'01_FASTPPH'!$A$9:$A$1048576,0),MATCH(I$9,'01_FASTPPH'!$8:$8,0))</f>
        <v>#N/A</v>
      </c>
      <c r="J161" s="20" t="e">
        <f>INDEX('01_FASTPPH'!$9:$1048576,MATCH($A161,'01_FASTPPH'!$A$9:$A$1048576,0),MATCH(J$9,'01_FASTPPH'!$8:$8,0))</f>
        <v>#N/A</v>
      </c>
      <c r="K161" s="23" t="e">
        <f>INDEX('01_FASTPPH'!$9:$1048576,MATCH($A161,'01_FASTPPH'!$A$9:$A$1048576,0),MATCH(K$9,'01_FASTPPH'!$8:$8,0))</f>
        <v>#N/A</v>
      </c>
      <c r="L161" s="20" t="e">
        <f>INDEX('01_FASTPPH'!$9:$1048576,MATCH($A161,'01_FASTPPH'!$A$9:$A$1048576,0),MATCH(L$9,'01_FASTPPH'!$8:$8,0))</f>
        <v>#N/A</v>
      </c>
      <c r="M161" s="20" t="e">
        <f>INDEX('01_FASTPPH'!$9:$1048576,MATCH($A161,'01_FASTPPH'!$A$9:$A$1048576,0),MATCH(M$9,'01_FASTPPH'!$8:$8,0))</f>
        <v>#N/A</v>
      </c>
      <c r="N161" s="24" t="e">
        <f>INDEX('01_FASTPPH'!$9:$1048576,MATCH($A161,'01_FASTPPH'!$A$9:$A$1048576,0),MATCH(N$9,'01_FASTPPH'!$8:$8,0))</f>
        <v>#N/A</v>
      </c>
      <c r="O161" s="23" t="e">
        <f>INDEX('01_FASTPPH'!$9:$1048576,MATCH($A161,'01_FASTPPH'!$A$9:$A$1048576,0),MATCH(O$9,'01_FASTPPH'!$8:$8,0))</f>
        <v>#N/A</v>
      </c>
      <c r="P161" s="20" t="e">
        <f>INDEX('01_FASTPPH'!$9:$1048576,MATCH($A161,'01_FASTPPH'!$A$9:$A$1048576,0),MATCH(P$9,'01_FASTPPH'!$8:$8,0))</f>
        <v>#N/A</v>
      </c>
      <c r="Q161" s="20" t="e">
        <f>INDEX('01_FASTPPH'!$9:$1048576,MATCH($A161,'01_FASTPPH'!$A$9:$A$1048576,0),MATCH(Q$9,'01_FASTPPH'!$8:$8,0))</f>
        <v>#N/A</v>
      </c>
      <c r="R161" s="20" t="e">
        <f>INDEX('01_FASTPPH'!$9:$1048576,MATCH($A161,'01_FASTPPH'!$A$9:$A$1048576,0),MATCH(R$9,'01_FASTPPH'!$8:$8,0))</f>
        <v>#N/A</v>
      </c>
      <c r="S161" s="20" t="e">
        <f>INDEX('01_FASTPPH'!$9:$1048576,MATCH($A161,'01_FASTPPH'!$A$9:$A$1048576,0),MATCH(S$9,'01_FASTPPH'!$8:$8,0))</f>
        <v>#N/A</v>
      </c>
      <c r="T161" s="24" t="e">
        <f>INDEX('01_FASTPPH'!$9:$1048576,MATCH($A161,'01_FASTPPH'!$A$9:$A$1048576,0),MATCH(T$9,'01_FASTPPH'!$8:$8,0))</f>
        <v>#N/A</v>
      </c>
      <c r="U161" s="23" t="e">
        <f>INDEX('01_FASTPPH'!$9:$1048576,MATCH($A161,'01_FASTPPH'!$A$9:$A$1048576,0),MATCH(U$9,'01_FASTPPH'!$8:$8,0))</f>
        <v>#N/A</v>
      </c>
      <c r="V161" s="20" t="e">
        <f>INDEX('01_FASTPPH'!$9:$1048576,MATCH($A161,'01_FASTPPH'!$A$9:$A$1048576,0),MATCH(V$9,'01_FASTPPH'!$8:$8,0))</f>
        <v>#N/A</v>
      </c>
      <c r="W161" s="24" t="e">
        <f>INDEX('01_FASTPPH'!$9:$1048576,MATCH($A161,'01_FASTPPH'!$A$9:$A$1048576,0),MATCH(W$9,'01_FASTPPH'!$8:$8,0))</f>
        <v>#N/A</v>
      </c>
      <c r="X161" s="20" t="e">
        <f>INDEX('01_FASTPPH'!$9:$1048576,MATCH($A161,'01_FASTPPH'!$A$9:$A$1048576,0),MATCH(X$9,'01_FASTPPH'!$8:$8,0))</f>
        <v>#N/A</v>
      </c>
      <c r="Y161" s="20" t="e">
        <f>INDEX('01_FASTPPH'!$9:$1048576,MATCH($A161,'01_FASTPPH'!$A$9:$A$1048576,0),MATCH(Y$9,'01_FASTPPH'!$8:$8,0))</f>
        <v>#N/A</v>
      </c>
      <c r="AA161" s="32" t="e">
        <f>INDEX('02_PROPERTIES'!$C$10:$I$1048576,MATCH('03_CALCULATIONS'!$D161,'02_PROPERTIES'!$C$10:$C$1048576,0),MATCH('03_CALCULATIONS'!AA$9,'02_PROPERTIES'!$C$10:$I$10,0))</f>
        <v>#N/A</v>
      </c>
      <c r="AB161" s="20" t="e">
        <f>INDEX('02_PROPERTIES'!$C$10:$I$1048576,MATCH('03_CALCULATIONS'!$D161,'02_PROPERTIES'!$C$10:$C$1048576,0),MATCH('03_CALCULATIONS'!AB$9,'02_PROPERTIES'!$C$10:$I$10,0))</f>
        <v>#N/A</v>
      </c>
      <c r="AC161" s="20" t="e">
        <f>INDEX('02_PROPERTIES'!$C$10:$I$1048576,MATCH('03_CALCULATIONS'!$D161,'02_PROPERTIES'!$C$10:$C$1048576,0),MATCH('03_CALCULATIONS'!AC$9,'02_PROPERTIES'!$C$10:$I$10,0))</f>
        <v>#N/A</v>
      </c>
      <c r="AD161" s="20" t="e">
        <f>INDEX('02_PROPERTIES'!$C$10:$I$1048576,MATCH('03_CALCULATIONS'!$D161,'02_PROPERTIES'!$C$10:$C$1048576,0),MATCH('03_CALCULATIONS'!AD$9,'02_PROPERTIES'!$C$10:$I$10,0))</f>
        <v>#N/A</v>
      </c>
      <c r="AE161" s="32" t="e">
        <f>INDEX('02_PROPERTIES'!$C$10:$I$1048576,MATCH('03_CALCULATIONS'!$D161,'02_PROPERTIES'!$C$10:$C$1048576,0),MATCH('03_CALCULATIONS'!AE$9,'02_PROPERTIES'!$C$10:$I$10,0))</f>
        <v>#N/A</v>
      </c>
      <c r="AF161" s="32" t="e">
        <f>INDEX('02_PROPERTIES'!$C$10:$I$1048576,MATCH('03_CALCULATIONS'!$D161,'02_PROPERTIES'!$C$10:$C$1048576,0),MATCH('03_CALCULATIONS'!AF$9,'02_PROPERTIES'!$C$10:$I$10,0))</f>
        <v>#N/A</v>
      </c>
      <c r="AH161" s="20" t="e">
        <f t="shared" si="22"/>
        <v>#N/A</v>
      </c>
      <c r="AI161" s="20" t="e">
        <f t="shared" si="23"/>
        <v>#N/A</v>
      </c>
      <c r="AJ161" s="20" t="e">
        <f t="shared" si="24"/>
        <v>#N/A</v>
      </c>
      <c r="AL161" s="20" t="e">
        <f t="shared" si="25"/>
        <v>#N/A</v>
      </c>
      <c r="AM161" s="20" t="e">
        <f t="shared" si="26"/>
        <v>#N/A</v>
      </c>
      <c r="AN161" s="20" t="e">
        <f t="shared" si="27"/>
        <v>#N/A</v>
      </c>
      <c r="AO161" s="20" t="e">
        <f t="shared" si="28"/>
        <v>#N/A</v>
      </c>
      <c r="AP161" s="20" t="e">
        <f t="shared" si="29"/>
        <v>#N/A</v>
      </c>
      <c r="AR161" s="20" t="e">
        <f t="shared" si="30"/>
        <v>#N/A</v>
      </c>
      <c r="AS161" s="20" t="e">
        <f t="shared" si="31"/>
        <v>#N/A</v>
      </c>
      <c r="AT161" s="20" t="e">
        <f t="shared" si="32"/>
        <v>#N/A</v>
      </c>
    </row>
    <row r="162" spans="1:46" x14ac:dyDescent="0.3">
      <c r="A162" s="18"/>
      <c r="B162" s="20" t="e">
        <f>INDEX('01_FASTPPH'!$9:$1048576,MATCH($A162,'01_FASTPPH'!$A$9:$A$1048576,0),MATCH(B$9,'01_FASTPPH'!$8:$8,0))</f>
        <v>#N/A</v>
      </c>
      <c r="C162" s="20" t="e">
        <f>INDEX('01_FASTPPH'!$9:$1048576,MATCH($A162,'01_FASTPPH'!$A$9:$A$1048576,0),MATCH(C$9,'01_FASTPPH'!$8:$8,0))</f>
        <v>#N/A</v>
      </c>
      <c r="D162" s="20" t="e">
        <f>INDEX('01_FASTPPH'!$9:$1048576,MATCH($A162,'01_FASTPPH'!$A$9:$A$1048576,0),MATCH(D$9,'01_FASTPPH'!$8:$8,0))</f>
        <v>#N/A</v>
      </c>
      <c r="E162" s="20" t="e">
        <f>INDEX('01_FASTPPH'!$9:$1048576,MATCH($A162,'01_FASTPPH'!$A$9:$A$1048576,0),MATCH(E$9,'01_FASTPPH'!$8:$8,0))</f>
        <v>#N/A</v>
      </c>
      <c r="F162" s="20" t="e">
        <f>INDEX('01_FASTPPH'!$9:$1048576,MATCH($A162,'01_FASTPPH'!$A$9:$A$1048576,0),MATCH(F$9,'01_FASTPPH'!$8:$8,0))</f>
        <v>#N/A</v>
      </c>
      <c r="G162" s="20" t="e">
        <f>INDEX('01_FASTPPH'!$9:$1048576,MATCH($A162,'01_FASTPPH'!$A$9:$A$1048576,0),MATCH(G$9,'01_FASTPPH'!$8:$8,0))</f>
        <v>#N/A</v>
      </c>
      <c r="H162" s="20" t="e">
        <f>INDEX('01_FASTPPH'!$9:$1048576,MATCH($A162,'01_FASTPPH'!$A$9:$A$1048576,0),MATCH(H$9,'01_FASTPPH'!$8:$8,0))</f>
        <v>#N/A</v>
      </c>
      <c r="I162" s="20" t="e">
        <f>INDEX('01_FASTPPH'!$9:$1048576,MATCH($A162,'01_FASTPPH'!$A$9:$A$1048576,0),MATCH(I$9,'01_FASTPPH'!$8:$8,0))</f>
        <v>#N/A</v>
      </c>
      <c r="J162" s="20" t="e">
        <f>INDEX('01_FASTPPH'!$9:$1048576,MATCH($A162,'01_FASTPPH'!$A$9:$A$1048576,0),MATCH(J$9,'01_FASTPPH'!$8:$8,0))</f>
        <v>#N/A</v>
      </c>
      <c r="K162" s="23" t="e">
        <f>INDEX('01_FASTPPH'!$9:$1048576,MATCH($A162,'01_FASTPPH'!$A$9:$A$1048576,0),MATCH(K$9,'01_FASTPPH'!$8:$8,0))</f>
        <v>#N/A</v>
      </c>
      <c r="L162" s="20" t="e">
        <f>INDEX('01_FASTPPH'!$9:$1048576,MATCH($A162,'01_FASTPPH'!$A$9:$A$1048576,0),MATCH(L$9,'01_FASTPPH'!$8:$8,0))</f>
        <v>#N/A</v>
      </c>
      <c r="M162" s="20" t="e">
        <f>INDEX('01_FASTPPH'!$9:$1048576,MATCH($A162,'01_FASTPPH'!$A$9:$A$1048576,0),MATCH(M$9,'01_FASTPPH'!$8:$8,0))</f>
        <v>#N/A</v>
      </c>
      <c r="N162" s="24" t="e">
        <f>INDEX('01_FASTPPH'!$9:$1048576,MATCH($A162,'01_FASTPPH'!$A$9:$A$1048576,0),MATCH(N$9,'01_FASTPPH'!$8:$8,0))</f>
        <v>#N/A</v>
      </c>
      <c r="O162" s="23" t="e">
        <f>INDEX('01_FASTPPH'!$9:$1048576,MATCH($A162,'01_FASTPPH'!$A$9:$A$1048576,0),MATCH(O$9,'01_FASTPPH'!$8:$8,0))</f>
        <v>#N/A</v>
      </c>
      <c r="P162" s="20" t="e">
        <f>INDEX('01_FASTPPH'!$9:$1048576,MATCH($A162,'01_FASTPPH'!$A$9:$A$1048576,0),MATCH(P$9,'01_FASTPPH'!$8:$8,0))</f>
        <v>#N/A</v>
      </c>
      <c r="Q162" s="20" t="e">
        <f>INDEX('01_FASTPPH'!$9:$1048576,MATCH($A162,'01_FASTPPH'!$A$9:$A$1048576,0),MATCH(Q$9,'01_FASTPPH'!$8:$8,0))</f>
        <v>#N/A</v>
      </c>
      <c r="R162" s="20" t="e">
        <f>INDEX('01_FASTPPH'!$9:$1048576,MATCH($A162,'01_FASTPPH'!$A$9:$A$1048576,0),MATCH(R$9,'01_FASTPPH'!$8:$8,0))</f>
        <v>#N/A</v>
      </c>
      <c r="S162" s="20" t="e">
        <f>INDEX('01_FASTPPH'!$9:$1048576,MATCH($A162,'01_FASTPPH'!$A$9:$A$1048576,0),MATCH(S$9,'01_FASTPPH'!$8:$8,0))</f>
        <v>#N/A</v>
      </c>
      <c r="T162" s="24" t="e">
        <f>INDEX('01_FASTPPH'!$9:$1048576,MATCH($A162,'01_FASTPPH'!$A$9:$A$1048576,0),MATCH(T$9,'01_FASTPPH'!$8:$8,0))</f>
        <v>#N/A</v>
      </c>
      <c r="U162" s="23" t="e">
        <f>INDEX('01_FASTPPH'!$9:$1048576,MATCH($A162,'01_FASTPPH'!$A$9:$A$1048576,0),MATCH(U$9,'01_FASTPPH'!$8:$8,0))</f>
        <v>#N/A</v>
      </c>
      <c r="V162" s="20" t="e">
        <f>INDEX('01_FASTPPH'!$9:$1048576,MATCH($A162,'01_FASTPPH'!$A$9:$A$1048576,0),MATCH(V$9,'01_FASTPPH'!$8:$8,0))</f>
        <v>#N/A</v>
      </c>
      <c r="W162" s="24" t="e">
        <f>INDEX('01_FASTPPH'!$9:$1048576,MATCH($A162,'01_FASTPPH'!$A$9:$A$1048576,0),MATCH(W$9,'01_FASTPPH'!$8:$8,0))</f>
        <v>#N/A</v>
      </c>
      <c r="X162" s="20" t="e">
        <f>INDEX('01_FASTPPH'!$9:$1048576,MATCH($A162,'01_FASTPPH'!$A$9:$A$1048576,0),MATCH(X$9,'01_FASTPPH'!$8:$8,0))</f>
        <v>#N/A</v>
      </c>
      <c r="Y162" s="20" t="e">
        <f>INDEX('01_FASTPPH'!$9:$1048576,MATCH($A162,'01_FASTPPH'!$A$9:$A$1048576,0),MATCH(Y$9,'01_FASTPPH'!$8:$8,0))</f>
        <v>#N/A</v>
      </c>
      <c r="AA162" s="32" t="e">
        <f>INDEX('02_PROPERTIES'!$C$10:$I$1048576,MATCH('03_CALCULATIONS'!$D162,'02_PROPERTIES'!$C$10:$C$1048576,0),MATCH('03_CALCULATIONS'!AA$9,'02_PROPERTIES'!$C$10:$I$10,0))</f>
        <v>#N/A</v>
      </c>
      <c r="AB162" s="20" t="e">
        <f>INDEX('02_PROPERTIES'!$C$10:$I$1048576,MATCH('03_CALCULATIONS'!$D162,'02_PROPERTIES'!$C$10:$C$1048576,0),MATCH('03_CALCULATIONS'!AB$9,'02_PROPERTIES'!$C$10:$I$10,0))</f>
        <v>#N/A</v>
      </c>
      <c r="AC162" s="20" t="e">
        <f>INDEX('02_PROPERTIES'!$C$10:$I$1048576,MATCH('03_CALCULATIONS'!$D162,'02_PROPERTIES'!$C$10:$C$1048576,0),MATCH('03_CALCULATIONS'!AC$9,'02_PROPERTIES'!$C$10:$I$10,0))</f>
        <v>#N/A</v>
      </c>
      <c r="AD162" s="20" t="e">
        <f>INDEX('02_PROPERTIES'!$C$10:$I$1048576,MATCH('03_CALCULATIONS'!$D162,'02_PROPERTIES'!$C$10:$C$1048576,0),MATCH('03_CALCULATIONS'!AD$9,'02_PROPERTIES'!$C$10:$I$10,0))</f>
        <v>#N/A</v>
      </c>
      <c r="AE162" s="32" t="e">
        <f>INDEX('02_PROPERTIES'!$C$10:$I$1048576,MATCH('03_CALCULATIONS'!$D162,'02_PROPERTIES'!$C$10:$C$1048576,0),MATCH('03_CALCULATIONS'!AE$9,'02_PROPERTIES'!$C$10:$I$10,0))</f>
        <v>#N/A</v>
      </c>
      <c r="AF162" s="32" t="e">
        <f>INDEX('02_PROPERTIES'!$C$10:$I$1048576,MATCH('03_CALCULATIONS'!$D162,'02_PROPERTIES'!$C$10:$C$1048576,0),MATCH('03_CALCULATIONS'!AF$9,'02_PROPERTIES'!$C$10:$I$10,0))</f>
        <v>#N/A</v>
      </c>
      <c r="AH162" s="20" t="e">
        <f t="shared" si="22"/>
        <v>#N/A</v>
      </c>
      <c r="AI162" s="20" t="e">
        <f t="shared" si="23"/>
        <v>#N/A</v>
      </c>
      <c r="AJ162" s="20" t="e">
        <f t="shared" si="24"/>
        <v>#N/A</v>
      </c>
      <c r="AL162" s="20" t="e">
        <f t="shared" si="25"/>
        <v>#N/A</v>
      </c>
      <c r="AM162" s="20" t="e">
        <f t="shared" si="26"/>
        <v>#N/A</v>
      </c>
      <c r="AN162" s="20" t="e">
        <f t="shared" si="27"/>
        <v>#N/A</v>
      </c>
      <c r="AO162" s="20" t="e">
        <f t="shared" si="28"/>
        <v>#N/A</v>
      </c>
      <c r="AP162" s="20" t="e">
        <f t="shared" si="29"/>
        <v>#N/A</v>
      </c>
      <c r="AR162" s="20" t="e">
        <f t="shared" si="30"/>
        <v>#N/A</v>
      </c>
      <c r="AS162" s="20" t="e">
        <f t="shared" si="31"/>
        <v>#N/A</v>
      </c>
      <c r="AT162" s="20" t="e">
        <f t="shared" si="32"/>
        <v>#N/A</v>
      </c>
    </row>
    <row r="163" spans="1:46" x14ac:dyDescent="0.3">
      <c r="A163" s="18"/>
      <c r="B163" s="20" t="e">
        <f>INDEX('01_FASTPPH'!$9:$1048576,MATCH($A163,'01_FASTPPH'!$A$9:$A$1048576,0),MATCH(B$9,'01_FASTPPH'!$8:$8,0))</f>
        <v>#N/A</v>
      </c>
      <c r="C163" s="20" t="e">
        <f>INDEX('01_FASTPPH'!$9:$1048576,MATCH($A163,'01_FASTPPH'!$A$9:$A$1048576,0),MATCH(C$9,'01_FASTPPH'!$8:$8,0))</f>
        <v>#N/A</v>
      </c>
      <c r="D163" s="20" t="e">
        <f>INDEX('01_FASTPPH'!$9:$1048576,MATCH($A163,'01_FASTPPH'!$A$9:$A$1048576,0),MATCH(D$9,'01_FASTPPH'!$8:$8,0))</f>
        <v>#N/A</v>
      </c>
      <c r="E163" s="20" t="e">
        <f>INDEX('01_FASTPPH'!$9:$1048576,MATCH($A163,'01_FASTPPH'!$A$9:$A$1048576,0),MATCH(E$9,'01_FASTPPH'!$8:$8,0))</f>
        <v>#N/A</v>
      </c>
      <c r="F163" s="20" t="e">
        <f>INDEX('01_FASTPPH'!$9:$1048576,MATCH($A163,'01_FASTPPH'!$A$9:$A$1048576,0),MATCH(F$9,'01_FASTPPH'!$8:$8,0))</f>
        <v>#N/A</v>
      </c>
      <c r="G163" s="20" t="e">
        <f>INDEX('01_FASTPPH'!$9:$1048576,MATCH($A163,'01_FASTPPH'!$A$9:$A$1048576,0),MATCH(G$9,'01_FASTPPH'!$8:$8,0))</f>
        <v>#N/A</v>
      </c>
      <c r="H163" s="20" t="e">
        <f>INDEX('01_FASTPPH'!$9:$1048576,MATCH($A163,'01_FASTPPH'!$A$9:$A$1048576,0),MATCH(H$9,'01_FASTPPH'!$8:$8,0))</f>
        <v>#N/A</v>
      </c>
      <c r="I163" s="20" t="e">
        <f>INDEX('01_FASTPPH'!$9:$1048576,MATCH($A163,'01_FASTPPH'!$A$9:$A$1048576,0),MATCH(I$9,'01_FASTPPH'!$8:$8,0))</f>
        <v>#N/A</v>
      </c>
      <c r="J163" s="20" t="e">
        <f>INDEX('01_FASTPPH'!$9:$1048576,MATCH($A163,'01_FASTPPH'!$A$9:$A$1048576,0),MATCH(J$9,'01_FASTPPH'!$8:$8,0))</f>
        <v>#N/A</v>
      </c>
      <c r="K163" s="23" t="e">
        <f>INDEX('01_FASTPPH'!$9:$1048576,MATCH($A163,'01_FASTPPH'!$A$9:$A$1048576,0),MATCH(K$9,'01_FASTPPH'!$8:$8,0))</f>
        <v>#N/A</v>
      </c>
      <c r="L163" s="20" t="e">
        <f>INDEX('01_FASTPPH'!$9:$1048576,MATCH($A163,'01_FASTPPH'!$A$9:$A$1048576,0),MATCH(L$9,'01_FASTPPH'!$8:$8,0))</f>
        <v>#N/A</v>
      </c>
      <c r="M163" s="20" t="e">
        <f>INDEX('01_FASTPPH'!$9:$1048576,MATCH($A163,'01_FASTPPH'!$A$9:$A$1048576,0),MATCH(M$9,'01_FASTPPH'!$8:$8,0))</f>
        <v>#N/A</v>
      </c>
      <c r="N163" s="24" t="e">
        <f>INDEX('01_FASTPPH'!$9:$1048576,MATCH($A163,'01_FASTPPH'!$A$9:$A$1048576,0),MATCH(N$9,'01_FASTPPH'!$8:$8,0))</f>
        <v>#N/A</v>
      </c>
      <c r="O163" s="23" t="e">
        <f>INDEX('01_FASTPPH'!$9:$1048576,MATCH($A163,'01_FASTPPH'!$A$9:$A$1048576,0),MATCH(O$9,'01_FASTPPH'!$8:$8,0))</f>
        <v>#N/A</v>
      </c>
      <c r="P163" s="20" t="e">
        <f>INDEX('01_FASTPPH'!$9:$1048576,MATCH($A163,'01_FASTPPH'!$A$9:$A$1048576,0),MATCH(P$9,'01_FASTPPH'!$8:$8,0))</f>
        <v>#N/A</v>
      </c>
      <c r="Q163" s="20" t="e">
        <f>INDEX('01_FASTPPH'!$9:$1048576,MATCH($A163,'01_FASTPPH'!$A$9:$A$1048576,0),MATCH(Q$9,'01_FASTPPH'!$8:$8,0))</f>
        <v>#N/A</v>
      </c>
      <c r="R163" s="20" t="e">
        <f>INDEX('01_FASTPPH'!$9:$1048576,MATCH($A163,'01_FASTPPH'!$A$9:$A$1048576,0),MATCH(R$9,'01_FASTPPH'!$8:$8,0))</f>
        <v>#N/A</v>
      </c>
      <c r="S163" s="20" t="e">
        <f>INDEX('01_FASTPPH'!$9:$1048576,MATCH($A163,'01_FASTPPH'!$A$9:$A$1048576,0),MATCH(S$9,'01_FASTPPH'!$8:$8,0))</f>
        <v>#N/A</v>
      </c>
      <c r="T163" s="24" t="e">
        <f>INDEX('01_FASTPPH'!$9:$1048576,MATCH($A163,'01_FASTPPH'!$A$9:$A$1048576,0),MATCH(T$9,'01_FASTPPH'!$8:$8,0))</f>
        <v>#N/A</v>
      </c>
      <c r="U163" s="23" t="e">
        <f>INDEX('01_FASTPPH'!$9:$1048576,MATCH($A163,'01_FASTPPH'!$A$9:$A$1048576,0),MATCH(U$9,'01_FASTPPH'!$8:$8,0))</f>
        <v>#N/A</v>
      </c>
      <c r="V163" s="20" t="e">
        <f>INDEX('01_FASTPPH'!$9:$1048576,MATCH($A163,'01_FASTPPH'!$A$9:$A$1048576,0),MATCH(V$9,'01_FASTPPH'!$8:$8,0))</f>
        <v>#N/A</v>
      </c>
      <c r="W163" s="24" t="e">
        <f>INDEX('01_FASTPPH'!$9:$1048576,MATCH($A163,'01_FASTPPH'!$A$9:$A$1048576,0),MATCH(W$9,'01_FASTPPH'!$8:$8,0))</f>
        <v>#N/A</v>
      </c>
      <c r="X163" s="20" t="e">
        <f>INDEX('01_FASTPPH'!$9:$1048576,MATCH($A163,'01_FASTPPH'!$A$9:$A$1048576,0),MATCH(X$9,'01_FASTPPH'!$8:$8,0))</f>
        <v>#N/A</v>
      </c>
      <c r="Y163" s="20" t="e">
        <f>INDEX('01_FASTPPH'!$9:$1048576,MATCH($A163,'01_FASTPPH'!$A$9:$A$1048576,0),MATCH(Y$9,'01_FASTPPH'!$8:$8,0))</f>
        <v>#N/A</v>
      </c>
      <c r="AA163" s="32" t="e">
        <f>INDEX('02_PROPERTIES'!$C$10:$I$1048576,MATCH('03_CALCULATIONS'!$D163,'02_PROPERTIES'!$C$10:$C$1048576,0),MATCH('03_CALCULATIONS'!AA$9,'02_PROPERTIES'!$C$10:$I$10,0))</f>
        <v>#N/A</v>
      </c>
      <c r="AB163" s="20" t="e">
        <f>INDEX('02_PROPERTIES'!$C$10:$I$1048576,MATCH('03_CALCULATIONS'!$D163,'02_PROPERTIES'!$C$10:$C$1048576,0),MATCH('03_CALCULATIONS'!AB$9,'02_PROPERTIES'!$C$10:$I$10,0))</f>
        <v>#N/A</v>
      </c>
      <c r="AC163" s="20" t="e">
        <f>INDEX('02_PROPERTIES'!$C$10:$I$1048576,MATCH('03_CALCULATIONS'!$D163,'02_PROPERTIES'!$C$10:$C$1048576,0),MATCH('03_CALCULATIONS'!AC$9,'02_PROPERTIES'!$C$10:$I$10,0))</f>
        <v>#N/A</v>
      </c>
      <c r="AD163" s="20" t="e">
        <f>INDEX('02_PROPERTIES'!$C$10:$I$1048576,MATCH('03_CALCULATIONS'!$D163,'02_PROPERTIES'!$C$10:$C$1048576,0),MATCH('03_CALCULATIONS'!AD$9,'02_PROPERTIES'!$C$10:$I$10,0))</f>
        <v>#N/A</v>
      </c>
      <c r="AE163" s="32" t="e">
        <f>INDEX('02_PROPERTIES'!$C$10:$I$1048576,MATCH('03_CALCULATIONS'!$D163,'02_PROPERTIES'!$C$10:$C$1048576,0),MATCH('03_CALCULATIONS'!AE$9,'02_PROPERTIES'!$C$10:$I$10,0))</f>
        <v>#N/A</v>
      </c>
      <c r="AF163" s="32" t="e">
        <f>INDEX('02_PROPERTIES'!$C$10:$I$1048576,MATCH('03_CALCULATIONS'!$D163,'02_PROPERTIES'!$C$10:$C$1048576,0),MATCH('03_CALCULATIONS'!AF$9,'02_PROPERTIES'!$C$10:$I$10,0))</f>
        <v>#N/A</v>
      </c>
      <c r="AH163" s="20" t="e">
        <f t="shared" si="22"/>
        <v>#N/A</v>
      </c>
      <c r="AI163" s="20" t="e">
        <f t="shared" si="23"/>
        <v>#N/A</v>
      </c>
      <c r="AJ163" s="20" t="e">
        <f t="shared" si="24"/>
        <v>#N/A</v>
      </c>
      <c r="AL163" s="20" t="e">
        <f t="shared" si="25"/>
        <v>#N/A</v>
      </c>
      <c r="AM163" s="20" t="e">
        <f t="shared" si="26"/>
        <v>#N/A</v>
      </c>
      <c r="AN163" s="20" t="e">
        <f t="shared" si="27"/>
        <v>#N/A</v>
      </c>
      <c r="AO163" s="20" t="e">
        <f t="shared" si="28"/>
        <v>#N/A</v>
      </c>
      <c r="AP163" s="20" t="e">
        <f t="shared" si="29"/>
        <v>#N/A</v>
      </c>
      <c r="AR163" s="20" t="e">
        <f t="shared" si="30"/>
        <v>#N/A</v>
      </c>
      <c r="AS163" s="20" t="e">
        <f t="shared" si="31"/>
        <v>#N/A</v>
      </c>
      <c r="AT163" s="20" t="e">
        <f t="shared" si="32"/>
        <v>#N/A</v>
      </c>
    </row>
    <row r="164" spans="1:46" x14ac:dyDescent="0.3">
      <c r="A164" s="18"/>
      <c r="B164" s="20" t="e">
        <f>INDEX('01_FASTPPH'!$9:$1048576,MATCH($A164,'01_FASTPPH'!$A$9:$A$1048576,0),MATCH(B$9,'01_FASTPPH'!$8:$8,0))</f>
        <v>#N/A</v>
      </c>
      <c r="C164" s="20" t="e">
        <f>INDEX('01_FASTPPH'!$9:$1048576,MATCH($A164,'01_FASTPPH'!$A$9:$A$1048576,0),MATCH(C$9,'01_FASTPPH'!$8:$8,0))</f>
        <v>#N/A</v>
      </c>
      <c r="D164" s="20" t="e">
        <f>INDEX('01_FASTPPH'!$9:$1048576,MATCH($A164,'01_FASTPPH'!$A$9:$A$1048576,0),MATCH(D$9,'01_FASTPPH'!$8:$8,0))</f>
        <v>#N/A</v>
      </c>
      <c r="E164" s="20" t="e">
        <f>INDEX('01_FASTPPH'!$9:$1048576,MATCH($A164,'01_FASTPPH'!$A$9:$A$1048576,0),MATCH(E$9,'01_FASTPPH'!$8:$8,0))</f>
        <v>#N/A</v>
      </c>
      <c r="F164" s="20" t="e">
        <f>INDEX('01_FASTPPH'!$9:$1048576,MATCH($A164,'01_FASTPPH'!$A$9:$A$1048576,0),MATCH(F$9,'01_FASTPPH'!$8:$8,0))</f>
        <v>#N/A</v>
      </c>
      <c r="G164" s="20" t="e">
        <f>INDEX('01_FASTPPH'!$9:$1048576,MATCH($A164,'01_FASTPPH'!$A$9:$A$1048576,0),MATCH(G$9,'01_FASTPPH'!$8:$8,0))</f>
        <v>#N/A</v>
      </c>
      <c r="H164" s="20" t="e">
        <f>INDEX('01_FASTPPH'!$9:$1048576,MATCH($A164,'01_FASTPPH'!$A$9:$A$1048576,0),MATCH(H$9,'01_FASTPPH'!$8:$8,0))</f>
        <v>#N/A</v>
      </c>
      <c r="I164" s="20" t="e">
        <f>INDEX('01_FASTPPH'!$9:$1048576,MATCH($A164,'01_FASTPPH'!$A$9:$A$1048576,0),MATCH(I$9,'01_FASTPPH'!$8:$8,0))</f>
        <v>#N/A</v>
      </c>
      <c r="J164" s="20" t="e">
        <f>INDEX('01_FASTPPH'!$9:$1048576,MATCH($A164,'01_FASTPPH'!$A$9:$A$1048576,0),MATCH(J$9,'01_FASTPPH'!$8:$8,0))</f>
        <v>#N/A</v>
      </c>
      <c r="K164" s="23" t="e">
        <f>INDEX('01_FASTPPH'!$9:$1048576,MATCH($A164,'01_FASTPPH'!$A$9:$A$1048576,0),MATCH(K$9,'01_FASTPPH'!$8:$8,0))</f>
        <v>#N/A</v>
      </c>
      <c r="L164" s="20" t="e">
        <f>INDEX('01_FASTPPH'!$9:$1048576,MATCH($A164,'01_FASTPPH'!$A$9:$A$1048576,0),MATCH(L$9,'01_FASTPPH'!$8:$8,0))</f>
        <v>#N/A</v>
      </c>
      <c r="M164" s="20" t="e">
        <f>INDEX('01_FASTPPH'!$9:$1048576,MATCH($A164,'01_FASTPPH'!$A$9:$A$1048576,0),MATCH(M$9,'01_FASTPPH'!$8:$8,0))</f>
        <v>#N/A</v>
      </c>
      <c r="N164" s="24" t="e">
        <f>INDEX('01_FASTPPH'!$9:$1048576,MATCH($A164,'01_FASTPPH'!$A$9:$A$1048576,0),MATCH(N$9,'01_FASTPPH'!$8:$8,0))</f>
        <v>#N/A</v>
      </c>
      <c r="O164" s="23" t="e">
        <f>INDEX('01_FASTPPH'!$9:$1048576,MATCH($A164,'01_FASTPPH'!$A$9:$A$1048576,0),MATCH(O$9,'01_FASTPPH'!$8:$8,0))</f>
        <v>#N/A</v>
      </c>
      <c r="P164" s="20" t="e">
        <f>INDEX('01_FASTPPH'!$9:$1048576,MATCH($A164,'01_FASTPPH'!$A$9:$A$1048576,0),MATCH(P$9,'01_FASTPPH'!$8:$8,0))</f>
        <v>#N/A</v>
      </c>
      <c r="Q164" s="20" t="e">
        <f>INDEX('01_FASTPPH'!$9:$1048576,MATCH($A164,'01_FASTPPH'!$A$9:$A$1048576,0),MATCH(Q$9,'01_FASTPPH'!$8:$8,0))</f>
        <v>#N/A</v>
      </c>
      <c r="R164" s="20" t="e">
        <f>INDEX('01_FASTPPH'!$9:$1048576,MATCH($A164,'01_FASTPPH'!$A$9:$A$1048576,0),MATCH(R$9,'01_FASTPPH'!$8:$8,0))</f>
        <v>#N/A</v>
      </c>
      <c r="S164" s="20" t="e">
        <f>INDEX('01_FASTPPH'!$9:$1048576,MATCH($A164,'01_FASTPPH'!$A$9:$A$1048576,0),MATCH(S$9,'01_FASTPPH'!$8:$8,0))</f>
        <v>#N/A</v>
      </c>
      <c r="T164" s="24" t="e">
        <f>INDEX('01_FASTPPH'!$9:$1048576,MATCH($A164,'01_FASTPPH'!$A$9:$A$1048576,0),MATCH(T$9,'01_FASTPPH'!$8:$8,0))</f>
        <v>#N/A</v>
      </c>
      <c r="U164" s="23" t="e">
        <f>INDEX('01_FASTPPH'!$9:$1048576,MATCH($A164,'01_FASTPPH'!$A$9:$A$1048576,0),MATCH(U$9,'01_FASTPPH'!$8:$8,0))</f>
        <v>#N/A</v>
      </c>
      <c r="V164" s="20" t="e">
        <f>INDEX('01_FASTPPH'!$9:$1048576,MATCH($A164,'01_FASTPPH'!$A$9:$A$1048576,0),MATCH(V$9,'01_FASTPPH'!$8:$8,0))</f>
        <v>#N/A</v>
      </c>
      <c r="W164" s="24" t="e">
        <f>INDEX('01_FASTPPH'!$9:$1048576,MATCH($A164,'01_FASTPPH'!$A$9:$A$1048576,0),MATCH(W$9,'01_FASTPPH'!$8:$8,0))</f>
        <v>#N/A</v>
      </c>
      <c r="X164" s="20" t="e">
        <f>INDEX('01_FASTPPH'!$9:$1048576,MATCH($A164,'01_FASTPPH'!$A$9:$A$1048576,0),MATCH(X$9,'01_FASTPPH'!$8:$8,0))</f>
        <v>#N/A</v>
      </c>
      <c r="Y164" s="20" t="e">
        <f>INDEX('01_FASTPPH'!$9:$1048576,MATCH($A164,'01_FASTPPH'!$A$9:$A$1048576,0),MATCH(Y$9,'01_FASTPPH'!$8:$8,0))</f>
        <v>#N/A</v>
      </c>
      <c r="AA164" s="32" t="e">
        <f>INDEX('02_PROPERTIES'!$C$10:$I$1048576,MATCH('03_CALCULATIONS'!$D164,'02_PROPERTIES'!$C$10:$C$1048576,0),MATCH('03_CALCULATIONS'!AA$9,'02_PROPERTIES'!$C$10:$I$10,0))</f>
        <v>#N/A</v>
      </c>
      <c r="AB164" s="20" t="e">
        <f>INDEX('02_PROPERTIES'!$C$10:$I$1048576,MATCH('03_CALCULATIONS'!$D164,'02_PROPERTIES'!$C$10:$C$1048576,0),MATCH('03_CALCULATIONS'!AB$9,'02_PROPERTIES'!$C$10:$I$10,0))</f>
        <v>#N/A</v>
      </c>
      <c r="AC164" s="20" t="e">
        <f>INDEX('02_PROPERTIES'!$C$10:$I$1048576,MATCH('03_CALCULATIONS'!$D164,'02_PROPERTIES'!$C$10:$C$1048576,0),MATCH('03_CALCULATIONS'!AC$9,'02_PROPERTIES'!$C$10:$I$10,0))</f>
        <v>#N/A</v>
      </c>
      <c r="AD164" s="20" t="e">
        <f>INDEX('02_PROPERTIES'!$C$10:$I$1048576,MATCH('03_CALCULATIONS'!$D164,'02_PROPERTIES'!$C$10:$C$1048576,0),MATCH('03_CALCULATIONS'!AD$9,'02_PROPERTIES'!$C$10:$I$10,0))</f>
        <v>#N/A</v>
      </c>
      <c r="AE164" s="32" t="e">
        <f>INDEX('02_PROPERTIES'!$C$10:$I$1048576,MATCH('03_CALCULATIONS'!$D164,'02_PROPERTIES'!$C$10:$C$1048576,0),MATCH('03_CALCULATIONS'!AE$9,'02_PROPERTIES'!$C$10:$I$10,0))</f>
        <v>#N/A</v>
      </c>
      <c r="AF164" s="32" t="e">
        <f>INDEX('02_PROPERTIES'!$C$10:$I$1048576,MATCH('03_CALCULATIONS'!$D164,'02_PROPERTIES'!$C$10:$C$1048576,0),MATCH('03_CALCULATIONS'!AF$9,'02_PROPERTIES'!$C$10:$I$10,0))</f>
        <v>#N/A</v>
      </c>
      <c r="AH164" s="20" t="e">
        <f t="shared" si="22"/>
        <v>#N/A</v>
      </c>
      <c r="AI164" s="20" t="e">
        <f t="shared" si="23"/>
        <v>#N/A</v>
      </c>
      <c r="AJ164" s="20" t="e">
        <f t="shared" si="24"/>
        <v>#N/A</v>
      </c>
      <c r="AL164" s="20" t="e">
        <f t="shared" si="25"/>
        <v>#N/A</v>
      </c>
      <c r="AM164" s="20" t="e">
        <f t="shared" si="26"/>
        <v>#N/A</v>
      </c>
      <c r="AN164" s="20" t="e">
        <f t="shared" si="27"/>
        <v>#N/A</v>
      </c>
      <c r="AO164" s="20" t="e">
        <f t="shared" si="28"/>
        <v>#N/A</v>
      </c>
      <c r="AP164" s="20" t="e">
        <f t="shared" si="29"/>
        <v>#N/A</v>
      </c>
      <c r="AR164" s="20" t="e">
        <f t="shared" si="30"/>
        <v>#N/A</v>
      </c>
      <c r="AS164" s="20" t="e">
        <f t="shared" si="31"/>
        <v>#N/A</v>
      </c>
      <c r="AT164" s="20" t="e">
        <f t="shared" si="32"/>
        <v>#N/A</v>
      </c>
    </row>
    <row r="165" spans="1:46" x14ac:dyDescent="0.3">
      <c r="A165" s="18"/>
      <c r="B165" s="20" t="e">
        <f>INDEX('01_FASTPPH'!$9:$1048576,MATCH($A165,'01_FASTPPH'!$A$9:$A$1048576,0),MATCH(B$9,'01_FASTPPH'!$8:$8,0))</f>
        <v>#N/A</v>
      </c>
      <c r="C165" s="20" t="e">
        <f>INDEX('01_FASTPPH'!$9:$1048576,MATCH($A165,'01_FASTPPH'!$A$9:$A$1048576,0),MATCH(C$9,'01_FASTPPH'!$8:$8,0))</f>
        <v>#N/A</v>
      </c>
      <c r="D165" s="20" t="e">
        <f>INDEX('01_FASTPPH'!$9:$1048576,MATCH($A165,'01_FASTPPH'!$A$9:$A$1048576,0),MATCH(D$9,'01_FASTPPH'!$8:$8,0))</f>
        <v>#N/A</v>
      </c>
      <c r="E165" s="20" t="e">
        <f>INDEX('01_FASTPPH'!$9:$1048576,MATCH($A165,'01_FASTPPH'!$A$9:$A$1048576,0),MATCH(E$9,'01_FASTPPH'!$8:$8,0))</f>
        <v>#N/A</v>
      </c>
      <c r="F165" s="20" t="e">
        <f>INDEX('01_FASTPPH'!$9:$1048576,MATCH($A165,'01_FASTPPH'!$A$9:$A$1048576,0),MATCH(F$9,'01_FASTPPH'!$8:$8,0))</f>
        <v>#N/A</v>
      </c>
      <c r="G165" s="20" t="e">
        <f>INDEX('01_FASTPPH'!$9:$1048576,MATCH($A165,'01_FASTPPH'!$A$9:$A$1048576,0),MATCH(G$9,'01_FASTPPH'!$8:$8,0))</f>
        <v>#N/A</v>
      </c>
      <c r="H165" s="20" t="e">
        <f>INDEX('01_FASTPPH'!$9:$1048576,MATCH($A165,'01_FASTPPH'!$A$9:$A$1048576,0),MATCH(H$9,'01_FASTPPH'!$8:$8,0))</f>
        <v>#N/A</v>
      </c>
      <c r="I165" s="20" t="e">
        <f>INDEX('01_FASTPPH'!$9:$1048576,MATCH($A165,'01_FASTPPH'!$A$9:$A$1048576,0),MATCH(I$9,'01_FASTPPH'!$8:$8,0))</f>
        <v>#N/A</v>
      </c>
      <c r="J165" s="20" t="e">
        <f>INDEX('01_FASTPPH'!$9:$1048576,MATCH($A165,'01_FASTPPH'!$A$9:$A$1048576,0),MATCH(J$9,'01_FASTPPH'!$8:$8,0))</f>
        <v>#N/A</v>
      </c>
      <c r="K165" s="23" t="e">
        <f>INDEX('01_FASTPPH'!$9:$1048576,MATCH($A165,'01_FASTPPH'!$A$9:$A$1048576,0),MATCH(K$9,'01_FASTPPH'!$8:$8,0))</f>
        <v>#N/A</v>
      </c>
      <c r="L165" s="20" t="e">
        <f>INDEX('01_FASTPPH'!$9:$1048576,MATCH($A165,'01_FASTPPH'!$A$9:$A$1048576,0),MATCH(L$9,'01_FASTPPH'!$8:$8,0))</f>
        <v>#N/A</v>
      </c>
      <c r="M165" s="20" t="e">
        <f>INDEX('01_FASTPPH'!$9:$1048576,MATCH($A165,'01_FASTPPH'!$A$9:$A$1048576,0),MATCH(M$9,'01_FASTPPH'!$8:$8,0))</f>
        <v>#N/A</v>
      </c>
      <c r="N165" s="24" t="e">
        <f>INDEX('01_FASTPPH'!$9:$1048576,MATCH($A165,'01_FASTPPH'!$A$9:$A$1048576,0),MATCH(N$9,'01_FASTPPH'!$8:$8,0))</f>
        <v>#N/A</v>
      </c>
      <c r="O165" s="23" t="e">
        <f>INDEX('01_FASTPPH'!$9:$1048576,MATCH($A165,'01_FASTPPH'!$A$9:$A$1048576,0),MATCH(O$9,'01_FASTPPH'!$8:$8,0))</f>
        <v>#N/A</v>
      </c>
      <c r="P165" s="20" t="e">
        <f>INDEX('01_FASTPPH'!$9:$1048576,MATCH($A165,'01_FASTPPH'!$A$9:$A$1048576,0),MATCH(P$9,'01_FASTPPH'!$8:$8,0))</f>
        <v>#N/A</v>
      </c>
      <c r="Q165" s="20" t="e">
        <f>INDEX('01_FASTPPH'!$9:$1048576,MATCH($A165,'01_FASTPPH'!$A$9:$A$1048576,0),MATCH(Q$9,'01_FASTPPH'!$8:$8,0))</f>
        <v>#N/A</v>
      </c>
      <c r="R165" s="20" t="e">
        <f>INDEX('01_FASTPPH'!$9:$1048576,MATCH($A165,'01_FASTPPH'!$A$9:$A$1048576,0),MATCH(R$9,'01_FASTPPH'!$8:$8,0))</f>
        <v>#N/A</v>
      </c>
      <c r="S165" s="20" t="e">
        <f>INDEX('01_FASTPPH'!$9:$1048576,MATCH($A165,'01_FASTPPH'!$A$9:$A$1048576,0),MATCH(S$9,'01_FASTPPH'!$8:$8,0))</f>
        <v>#N/A</v>
      </c>
      <c r="T165" s="24" t="e">
        <f>INDEX('01_FASTPPH'!$9:$1048576,MATCH($A165,'01_FASTPPH'!$A$9:$A$1048576,0),MATCH(T$9,'01_FASTPPH'!$8:$8,0))</f>
        <v>#N/A</v>
      </c>
      <c r="U165" s="23" t="e">
        <f>INDEX('01_FASTPPH'!$9:$1048576,MATCH($A165,'01_FASTPPH'!$A$9:$A$1048576,0),MATCH(U$9,'01_FASTPPH'!$8:$8,0))</f>
        <v>#N/A</v>
      </c>
      <c r="V165" s="20" t="e">
        <f>INDEX('01_FASTPPH'!$9:$1048576,MATCH($A165,'01_FASTPPH'!$A$9:$A$1048576,0),MATCH(V$9,'01_FASTPPH'!$8:$8,0))</f>
        <v>#N/A</v>
      </c>
      <c r="W165" s="24" t="e">
        <f>INDEX('01_FASTPPH'!$9:$1048576,MATCH($A165,'01_FASTPPH'!$A$9:$A$1048576,0),MATCH(W$9,'01_FASTPPH'!$8:$8,0))</f>
        <v>#N/A</v>
      </c>
      <c r="X165" s="20" t="e">
        <f>INDEX('01_FASTPPH'!$9:$1048576,MATCH($A165,'01_FASTPPH'!$A$9:$A$1048576,0),MATCH(X$9,'01_FASTPPH'!$8:$8,0))</f>
        <v>#N/A</v>
      </c>
      <c r="Y165" s="20" t="e">
        <f>INDEX('01_FASTPPH'!$9:$1048576,MATCH($A165,'01_FASTPPH'!$A$9:$A$1048576,0),MATCH(Y$9,'01_FASTPPH'!$8:$8,0))</f>
        <v>#N/A</v>
      </c>
      <c r="AA165" s="32" t="e">
        <f>INDEX('02_PROPERTIES'!$C$10:$I$1048576,MATCH('03_CALCULATIONS'!$D165,'02_PROPERTIES'!$C$10:$C$1048576,0),MATCH('03_CALCULATIONS'!AA$9,'02_PROPERTIES'!$C$10:$I$10,0))</f>
        <v>#N/A</v>
      </c>
      <c r="AB165" s="20" t="e">
        <f>INDEX('02_PROPERTIES'!$C$10:$I$1048576,MATCH('03_CALCULATIONS'!$D165,'02_PROPERTIES'!$C$10:$C$1048576,0),MATCH('03_CALCULATIONS'!AB$9,'02_PROPERTIES'!$C$10:$I$10,0))</f>
        <v>#N/A</v>
      </c>
      <c r="AC165" s="20" t="e">
        <f>INDEX('02_PROPERTIES'!$C$10:$I$1048576,MATCH('03_CALCULATIONS'!$D165,'02_PROPERTIES'!$C$10:$C$1048576,0),MATCH('03_CALCULATIONS'!AC$9,'02_PROPERTIES'!$C$10:$I$10,0))</f>
        <v>#N/A</v>
      </c>
      <c r="AD165" s="20" t="e">
        <f>INDEX('02_PROPERTIES'!$C$10:$I$1048576,MATCH('03_CALCULATIONS'!$D165,'02_PROPERTIES'!$C$10:$C$1048576,0),MATCH('03_CALCULATIONS'!AD$9,'02_PROPERTIES'!$C$10:$I$10,0))</f>
        <v>#N/A</v>
      </c>
      <c r="AE165" s="32" t="e">
        <f>INDEX('02_PROPERTIES'!$C$10:$I$1048576,MATCH('03_CALCULATIONS'!$D165,'02_PROPERTIES'!$C$10:$C$1048576,0),MATCH('03_CALCULATIONS'!AE$9,'02_PROPERTIES'!$C$10:$I$10,0))</f>
        <v>#N/A</v>
      </c>
      <c r="AF165" s="32" t="e">
        <f>INDEX('02_PROPERTIES'!$C$10:$I$1048576,MATCH('03_CALCULATIONS'!$D165,'02_PROPERTIES'!$C$10:$C$1048576,0),MATCH('03_CALCULATIONS'!AF$9,'02_PROPERTIES'!$C$10:$I$10,0))</f>
        <v>#N/A</v>
      </c>
      <c r="AH165" s="20" t="e">
        <f t="shared" si="22"/>
        <v>#N/A</v>
      </c>
      <c r="AI165" s="20" t="e">
        <f t="shared" si="23"/>
        <v>#N/A</v>
      </c>
      <c r="AJ165" s="20" t="e">
        <f t="shared" si="24"/>
        <v>#N/A</v>
      </c>
      <c r="AL165" s="20" t="e">
        <f t="shared" si="25"/>
        <v>#N/A</v>
      </c>
      <c r="AM165" s="20" t="e">
        <f t="shared" si="26"/>
        <v>#N/A</v>
      </c>
      <c r="AN165" s="20" t="e">
        <f t="shared" si="27"/>
        <v>#N/A</v>
      </c>
      <c r="AO165" s="20" t="e">
        <f t="shared" si="28"/>
        <v>#N/A</v>
      </c>
      <c r="AP165" s="20" t="e">
        <f t="shared" si="29"/>
        <v>#N/A</v>
      </c>
      <c r="AR165" s="20" t="e">
        <f t="shared" si="30"/>
        <v>#N/A</v>
      </c>
      <c r="AS165" s="20" t="e">
        <f t="shared" si="31"/>
        <v>#N/A</v>
      </c>
      <c r="AT165" s="20" t="e">
        <f t="shared" si="32"/>
        <v>#N/A</v>
      </c>
    </row>
    <row r="166" spans="1:46" x14ac:dyDescent="0.3">
      <c r="A166" s="18"/>
      <c r="B166" s="20" t="e">
        <f>INDEX('01_FASTPPH'!$9:$1048576,MATCH($A166,'01_FASTPPH'!$A$9:$A$1048576,0),MATCH(B$9,'01_FASTPPH'!$8:$8,0))</f>
        <v>#N/A</v>
      </c>
      <c r="C166" s="20" t="e">
        <f>INDEX('01_FASTPPH'!$9:$1048576,MATCH($A166,'01_FASTPPH'!$A$9:$A$1048576,0),MATCH(C$9,'01_FASTPPH'!$8:$8,0))</f>
        <v>#N/A</v>
      </c>
      <c r="D166" s="20" t="e">
        <f>INDEX('01_FASTPPH'!$9:$1048576,MATCH($A166,'01_FASTPPH'!$A$9:$A$1048576,0),MATCH(D$9,'01_FASTPPH'!$8:$8,0))</f>
        <v>#N/A</v>
      </c>
      <c r="E166" s="20" t="e">
        <f>INDEX('01_FASTPPH'!$9:$1048576,MATCH($A166,'01_FASTPPH'!$A$9:$A$1048576,0),MATCH(E$9,'01_FASTPPH'!$8:$8,0))</f>
        <v>#N/A</v>
      </c>
      <c r="F166" s="20" t="e">
        <f>INDEX('01_FASTPPH'!$9:$1048576,MATCH($A166,'01_FASTPPH'!$A$9:$A$1048576,0),MATCH(F$9,'01_FASTPPH'!$8:$8,0))</f>
        <v>#N/A</v>
      </c>
      <c r="G166" s="20" t="e">
        <f>INDEX('01_FASTPPH'!$9:$1048576,MATCH($A166,'01_FASTPPH'!$A$9:$A$1048576,0),MATCH(G$9,'01_FASTPPH'!$8:$8,0))</f>
        <v>#N/A</v>
      </c>
      <c r="H166" s="20" t="e">
        <f>INDEX('01_FASTPPH'!$9:$1048576,MATCH($A166,'01_FASTPPH'!$A$9:$A$1048576,0),MATCH(H$9,'01_FASTPPH'!$8:$8,0))</f>
        <v>#N/A</v>
      </c>
      <c r="I166" s="20" t="e">
        <f>INDEX('01_FASTPPH'!$9:$1048576,MATCH($A166,'01_FASTPPH'!$A$9:$A$1048576,0),MATCH(I$9,'01_FASTPPH'!$8:$8,0))</f>
        <v>#N/A</v>
      </c>
      <c r="J166" s="20" t="e">
        <f>INDEX('01_FASTPPH'!$9:$1048576,MATCH($A166,'01_FASTPPH'!$A$9:$A$1048576,0),MATCH(J$9,'01_FASTPPH'!$8:$8,0))</f>
        <v>#N/A</v>
      </c>
      <c r="K166" s="23" t="e">
        <f>INDEX('01_FASTPPH'!$9:$1048576,MATCH($A166,'01_FASTPPH'!$A$9:$A$1048576,0),MATCH(K$9,'01_FASTPPH'!$8:$8,0))</f>
        <v>#N/A</v>
      </c>
      <c r="L166" s="20" t="e">
        <f>INDEX('01_FASTPPH'!$9:$1048576,MATCH($A166,'01_FASTPPH'!$A$9:$A$1048576,0),MATCH(L$9,'01_FASTPPH'!$8:$8,0))</f>
        <v>#N/A</v>
      </c>
      <c r="M166" s="20" t="e">
        <f>INDEX('01_FASTPPH'!$9:$1048576,MATCH($A166,'01_FASTPPH'!$A$9:$A$1048576,0),MATCH(M$9,'01_FASTPPH'!$8:$8,0))</f>
        <v>#N/A</v>
      </c>
      <c r="N166" s="24" t="e">
        <f>INDEX('01_FASTPPH'!$9:$1048576,MATCH($A166,'01_FASTPPH'!$A$9:$A$1048576,0),MATCH(N$9,'01_FASTPPH'!$8:$8,0))</f>
        <v>#N/A</v>
      </c>
      <c r="O166" s="23" t="e">
        <f>INDEX('01_FASTPPH'!$9:$1048576,MATCH($A166,'01_FASTPPH'!$A$9:$A$1048576,0),MATCH(O$9,'01_FASTPPH'!$8:$8,0))</f>
        <v>#N/A</v>
      </c>
      <c r="P166" s="20" t="e">
        <f>INDEX('01_FASTPPH'!$9:$1048576,MATCH($A166,'01_FASTPPH'!$A$9:$A$1048576,0),MATCH(P$9,'01_FASTPPH'!$8:$8,0))</f>
        <v>#N/A</v>
      </c>
      <c r="Q166" s="20" t="e">
        <f>INDEX('01_FASTPPH'!$9:$1048576,MATCH($A166,'01_FASTPPH'!$A$9:$A$1048576,0),MATCH(Q$9,'01_FASTPPH'!$8:$8,0))</f>
        <v>#N/A</v>
      </c>
      <c r="R166" s="20" t="e">
        <f>INDEX('01_FASTPPH'!$9:$1048576,MATCH($A166,'01_FASTPPH'!$A$9:$A$1048576,0),MATCH(R$9,'01_FASTPPH'!$8:$8,0))</f>
        <v>#N/A</v>
      </c>
      <c r="S166" s="20" t="e">
        <f>INDEX('01_FASTPPH'!$9:$1048576,MATCH($A166,'01_FASTPPH'!$A$9:$A$1048576,0),MATCH(S$9,'01_FASTPPH'!$8:$8,0))</f>
        <v>#N/A</v>
      </c>
      <c r="T166" s="24" t="e">
        <f>INDEX('01_FASTPPH'!$9:$1048576,MATCH($A166,'01_FASTPPH'!$A$9:$A$1048576,0),MATCH(T$9,'01_FASTPPH'!$8:$8,0))</f>
        <v>#N/A</v>
      </c>
      <c r="U166" s="23" t="e">
        <f>INDEX('01_FASTPPH'!$9:$1048576,MATCH($A166,'01_FASTPPH'!$A$9:$A$1048576,0),MATCH(U$9,'01_FASTPPH'!$8:$8,0))</f>
        <v>#N/A</v>
      </c>
      <c r="V166" s="20" t="e">
        <f>INDEX('01_FASTPPH'!$9:$1048576,MATCH($A166,'01_FASTPPH'!$A$9:$A$1048576,0),MATCH(V$9,'01_FASTPPH'!$8:$8,0))</f>
        <v>#N/A</v>
      </c>
      <c r="W166" s="24" t="e">
        <f>INDEX('01_FASTPPH'!$9:$1048576,MATCH($A166,'01_FASTPPH'!$A$9:$A$1048576,0),MATCH(W$9,'01_FASTPPH'!$8:$8,0))</f>
        <v>#N/A</v>
      </c>
      <c r="X166" s="20" t="e">
        <f>INDEX('01_FASTPPH'!$9:$1048576,MATCH($A166,'01_FASTPPH'!$A$9:$A$1048576,0),MATCH(X$9,'01_FASTPPH'!$8:$8,0))</f>
        <v>#N/A</v>
      </c>
      <c r="Y166" s="20" t="e">
        <f>INDEX('01_FASTPPH'!$9:$1048576,MATCH($A166,'01_FASTPPH'!$A$9:$A$1048576,0),MATCH(Y$9,'01_FASTPPH'!$8:$8,0))</f>
        <v>#N/A</v>
      </c>
      <c r="AA166" s="32" t="e">
        <f>INDEX('02_PROPERTIES'!$C$10:$I$1048576,MATCH('03_CALCULATIONS'!$D166,'02_PROPERTIES'!$C$10:$C$1048576,0),MATCH('03_CALCULATIONS'!AA$9,'02_PROPERTIES'!$C$10:$I$10,0))</f>
        <v>#N/A</v>
      </c>
      <c r="AB166" s="20" t="e">
        <f>INDEX('02_PROPERTIES'!$C$10:$I$1048576,MATCH('03_CALCULATIONS'!$D166,'02_PROPERTIES'!$C$10:$C$1048576,0),MATCH('03_CALCULATIONS'!AB$9,'02_PROPERTIES'!$C$10:$I$10,0))</f>
        <v>#N/A</v>
      </c>
      <c r="AC166" s="20" t="e">
        <f>INDEX('02_PROPERTIES'!$C$10:$I$1048576,MATCH('03_CALCULATIONS'!$D166,'02_PROPERTIES'!$C$10:$C$1048576,0),MATCH('03_CALCULATIONS'!AC$9,'02_PROPERTIES'!$C$10:$I$10,0))</f>
        <v>#N/A</v>
      </c>
      <c r="AD166" s="20" t="e">
        <f>INDEX('02_PROPERTIES'!$C$10:$I$1048576,MATCH('03_CALCULATIONS'!$D166,'02_PROPERTIES'!$C$10:$C$1048576,0),MATCH('03_CALCULATIONS'!AD$9,'02_PROPERTIES'!$C$10:$I$10,0))</f>
        <v>#N/A</v>
      </c>
      <c r="AE166" s="32" t="e">
        <f>INDEX('02_PROPERTIES'!$C$10:$I$1048576,MATCH('03_CALCULATIONS'!$D166,'02_PROPERTIES'!$C$10:$C$1048576,0),MATCH('03_CALCULATIONS'!AE$9,'02_PROPERTIES'!$C$10:$I$10,0))</f>
        <v>#N/A</v>
      </c>
      <c r="AF166" s="32" t="e">
        <f>INDEX('02_PROPERTIES'!$C$10:$I$1048576,MATCH('03_CALCULATIONS'!$D166,'02_PROPERTIES'!$C$10:$C$1048576,0),MATCH('03_CALCULATIONS'!AF$9,'02_PROPERTIES'!$C$10:$I$10,0))</f>
        <v>#N/A</v>
      </c>
      <c r="AH166" s="20" t="e">
        <f t="shared" si="22"/>
        <v>#N/A</v>
      </c>
      <c r="AI166" s="20" t="e">
        <f t="shared" si="23"/>
        <v>#N/A</v>
      </c>
      <c r="AJ166" s="20" t="e">
        <f t="shared" si="24"/>
        <v>#N/A</v>
      </c>
      <c r="AL166" s="20" t="e">
        <f t="shared" si="25"/>
        <v>#N/A</v>
      </c>
      <c r="AM166" s="20" t="e">
        <f t="shared" si="26"/>
        <v>#N/A</v>
      </c>
      <c r="AN166" s="20" t="e">
        <f t="shared" si="27"/>
        <v>#N/A</v>
      </c>
      <c r="AO166" s="20" t="e">
        <f t="shared" si="28"/>
        <v>#N/A</v>
      </c>
      <c r="AP166" s="20" t="e">
        <f t="shared" si="29"/>
        <v>#N/A</v>
      </c>
      <c r="AR166" s="20" t="e">
        <f t="shared" si="30"/>
        <v>#N/A</v>
      </c>
      <c r="AS166" s="20" t="e">
        <f t="shared" si="31"/>
        <v>#N/A</v>
      </c>
      <c r="AT166" s="20" t="e">
        <f t="shared" si="32"/>
        <v>#N/A</v>
      </c>
    </row>
    <row r="167" spans="1:46" x14ac:dyDescent="0.3">
      <c r="A167" s="18"/>
      <c r="B167" s="20" t="e">
        <f>INDEX('01_FASTPPH'!$9:$1048576,MATCH($A167,'01_FASTPPH'!$A$9:$A$1048576,0),MATCH(B$9,'01_FASTPPH'!$8:$8,0))</f>
        <v>#N/A</v>
      </c>
      <c r="C167" s="20" t="e">
        <f>INDEX('01_FASTPPH'!$9:$1048576,MATCH($A167,'01_FASTPPH'!$A$9:$A$1048576,0),MATCH(C$9,'01_FASTPPH'!$8:$8,0))</f>
        <v>#N/A</v>
      </c>
      <c r="D167" s="20" t="e">
        <f>INDEX('01_FASTPPH'!$9:$1048576,MATCH($A167,'01_FASTPPH'!$A$9:$A$1048576,0),MATCH(D$9,'01_FASTPPH'!$8:$8,0))</f>
        <v>#N/A</v>
      </c>
      <c r="E167" s="20" t="e">
        <f>INDEX('01_FASTPPH'!$9:$1048576,MATCH($A167,'01_FASTPPH'!$A$9:$A$1048576,0),MATCH(E$9,'01_FASTPPH'!$8:$8,0))</f>
        <v>#N/A</v>
      </c>
      <c r="F167" s="20" t="e">
        <f>INDEX('01_FASTPPH'!$9:$1048576,MATCH($A167,'01_FASTPPH'!$A$9:$A$1048576,0),MATCH(F$9,'01_FASTPPH'!$8:$8,0))</f>
        <v>#N/A</v>
      </c>
      <c r="G167" s="20" t="e">
        <f>INDEX('01_FASTPPH'!$9:$1048576,MATCH($A167,'01_FASTPPH'!$A$9:$A$1048576,0),MATCH(G$9,'01_FASTPPH'!$8:$8,0))</f>
        <v>#N/A</v>
      </c>
      <c r="H167" s="20" t="e">
        <f>INDEX('01_FASTPPH'!$9:$1048576,MATCH($A167,'01_FASTPPH'!$A$9:$A$1048576,0),MATCH(H$9,'01_FASTPPH'!$8:$8,0))</f>
        <v>#N/A</v>
      </c>
      <c r="I167" s="20" t="e">
        <f>INDEX('01_FASTPPH'!$9:$1048576,MATCH($A167,'01_FASTPPH'!$A$9:$A$1048576,0),MATCH(I$9,'01_FASTPPH'!$8:$8,0))</f>
        <v>#N/A</v>
      </c>
      <c r="J167" s="20" t="e">
        <f>INDEX('01_FASTPPH'!$9:$1048576,MATCH($A167,'01_FASTPPH'!$A$9:$A$1048576,0),MATCH(J$9,'01_FASTPPH'!$8:$8,0))</f>
        <v>#N/A</v>
      </c>
      <c r="K167" s="23" t="e">
        <f>INDEX('01_FASTPPH'!$9:$1048576,MATCH($A167,'01_FASTPPH'!$A$9:$A$1048576,0),MATCH(K$9,'01_FASTPPH'!$8:$8,0))</f>
        <v>#N/A</v>
      </c>
      <c r="L167" s="20" t="e">
        <f>INDEX('01_FASTPPH'!$9:$1048576,MATCH($A167,'01_FASTPPH'!$A$9:$A$1048576,0),MATCH(L$9,'01_FASTPPH'!$8:$8,0))</f>
        <v>#N/A</v>
      </c>
      <c r="M167" s="20" t="e">
        <f>INDEX('01_FASTPPH'!$9:$1048576,MATCH($A167,'01_FASTPPH'!$A$9:$A$1048576,0),MATCH(M$9,'01_FASTPPH'!$8:$8,0))</f>
        <v>#N/A</v>
      </c>
      <c r="N167" s="24" t="e">
        <f>INDEX('01_FASTPPH'!$9:$1048576,MATCH($A167,'01_FASTPPH'!$A$9:$A$1048576,0),MATCH(N$9,'01_FASTPPH'!$8:$8,0))</f>
        <v>#N/A</v>
      </c>
      <c r="O167" s="23" t="e">
        <f>INDEX('01_FASTPPH'!$9:$1048576,MATCH($A167,'01_FASTPPH'!$A$9:$A$1048576,0),MATCH(O$9,'01_FASTPPH'!$8:$8,0))</f>
        <v>#N/A</v>
      </c>
      <c r="P167" s="20" t="e">
        <f>INDEX('01_FASTPPH'!$9:$1048576,MATCH($A167,'01_FASTPPH'!$A$9:$A$1048576,0),MATCH(P$9,'01_FASTPPH'!$8:$8,0))</f>
        <v>#N/A</v>
      </c>
      <c r="Q167" s="20" t="e">
        <f>INDEX('01_FASTPPH'!$9:$1048576,MATCH($A167,'01_FASTPPH'!$A$9:$A$1048576,0),MATCH(Q$9,'01_FASTPPH'!$8:$8,0))</f>
        <v>#N/A</v>
      </c>
      <c r="R167" s="20" t="e">
        <f>INDEX('01_FASTPPH'!$9:$1048576,MATCH($A167,'01_FASTPPH'!$A$9:$A$1048576,0),MATCH(R$9,'01_FASTPPH'!$8:$8,0))</f>
        <v>#N/A</v>
      </c>
      <c r="S167" s="20" t="e">
        <f>INDEX('01_FASTPPH'!$9:$1048576,MATCH($A167,'01_FASTPPH'!$A$9:$A$1048576,0),MATCH(S$9,'01_FASTPPH'!$8:$8,0))</f>
        <v>#N/A</v>
      </c>
      <c r="T167" s="24" t="e">
        <f>INDEX('01_FASTPPH'!$9:$1048576,MATCH($A167,'01_FASTPPH'!$A$9:$A$1048576,0),MATCH(T$9,'01_FASTPPH'!$8:$8,0))</f>
        <v>#N/A</v>
      </c>
      <c r="U167" s="23" t="e">
        <f>INDEX('01_FASTPPH'!$9:$1048576,MATCH($A167,'01_FASTPPH'!$A$9:$A$1048576,0),MATCH(U$9,'01_FASTPPH'!$8:$8,0))</f>
        <v>#N/A</v>
      </c>
      <c r="V167" s="20" t="e">
        <f>INDEX('01_FASTPPH'!$9:$1048576,MATCH($A167,'01_FASTPPH'!$A$9:$A$1048576,0),MATCH(V$9,'01_FASTPPH'!$8:$8,0))</f>
        <v>#N/A</v>
      </c>
      <c r="W167" s="24" t="e">
        <f>INDEX('01_FASTPPH'!$9:$1048576,MATCH($A167,'01_FASTPPH'!$A$9:$A$1048576,0),MATCH(W$9,'01_FASTPPH'!$8:$8,0))</f>
        <v>#N/A</v>
      </c>
      <c r="X167" s="20" t="e">
        <f>INDEX('01_FASTPPH'!$9:$1048576,MATCH($A167,'01_FASTPPH'!$A$9:$A$1048576,0),MATCH(X$9,'01_FASTPPH'!$8:$8,0))</f>
        <v>#N/A</v>
      </c>
      <c r="Y167" s="20" t="e">
        <f>INDEX('01_FASTPPH'!$9:$1048576,MATCH($A167,'01_FASTPPH'!$A$9:$A$1048576,0),MATCH(Y$9,'01_FASTPPH'!$8:$8,0))</f>
        <v>#N/A</v>
      </c>
      <c r="AA167" s="32" t="e">
        <f>INDEX('02_PROPERTIES'!$C$10:$I$1048576,MATCH('03_CALCULATIONS'!$D167,'02_PROPERTIES'!$C$10:$C$1048576,0),MATCH('03_CALCULATIONS'!AA$9,'02_PROPERTIES'!$C$10:$I$10,0))</f>
        <v>#N/A</v>
      </c>
      <c r="AB167" s="20" t="e">
        <f>INDEX('02_PROPERTIES'!$C$10:$I$1048576,MATCH('03_CALCULATIONS'!$D167,'02_PROPERTIES'!$C$10:$C$1048576,0),MATCH('03_CALCULATIONS'!AB$9,'02_PROPERTIES'!$C$10:$I$10,0))</f>
        <v>#N/A</v>
      </c>
      <c r="AC167" s="20" t="e">
        <f>INDEX('02_PROPERTIES'!$C$10:$I$1048576,MATCH('03_CALCULATIONS'!$D167,'02_PROPERTIES'!$C$10:$C$1048576,0),MATCH('03_CALCULATIONS'!AC$9,'02_PROPERTIES'!$C$10:$I$10,0))</f>
        <v>#N/A</v>
      </c>
      <c r="AD167" s="20" t="e">
        <f>INDEX('02_PROPERTIES'!$C$10:$I$1048576,MATCH('03_CALCULATIONS'!$D167,'02_PROPERTIES'!$C$10:$C$1048576,0),MATCH('03_CALCULATIONS'!AD$9,'02_PROPERTIES'!$C$10:$I$10,0))</f>
        <v>#N/A</v>
      </c>
      <c r="AE167" s="32" t="e">
        <f>INDEX('02_PROPERTIES'!$C$10:$I$1048576,MATCH('03_CALCULATIONS'!$D167,'02_PROPERTIES'!$C$10:$C$1048576,0),MATCH('03_CALCULATIONS'!AE$9,'02_PROPERTIES'!$C$10:$I$10,0))</f>
        <v>#N/A</v>
      </c>
      <c r="AF167" s="32" t="e">
        <f>INDEX('02_PROPERTIES'!$C$10:$I$1048576,MATCH('03_CALCULATIONS'!$D167,'02_PROPERTIES'!$C$10:$C$1048576,0),MATCH('03_CALCULATIONS'!AF$9,'02_PROPERTIES'!$C$10:$I$10,0))</f>
        <v>#N/A</v>
      </c>
      <c r="AH167" s="20" t="e">
        <f t="shared" si="22"/>
        <v>#N/A</v>
      </c>
      <c r="AI167" s="20" t="e">
        <f t="shared" si="23"/>
        <v>#N/A</v>
      </c>
      <c r="AJ167" s="20" t="e">
        <f t="shared" si="24"/>
        <v>#N/A</v>
      </c>
      <c r="AL167" s="20" t="e">
        <f t="shared" si="25"/>
        <v>#N/A</v>
      </c>
      <c r="AM167" s="20" t="e">
        <f t="shared" si="26"/>
        <v>#N/A</v>
      </c>
      <c r="AN167" s="20" t="e">
        <f t="shared" si="27"/>
        <v>#N/A</v>
      </c>
      <c r="AO167" s="20" t="e">
        <f t="shared" si="28"/>
        <v>#N/A</v>
      </c>
      <c r="AP167" s="20" t="e">
        <f t="shared" si="29"/>
        <v>#N/A</v>
      </c>
      <c r="AR167" s="20" t="e">
        <f t="shared" si="30"/>
        <v>#N/A</v>
      </c>
      <c r="AS167" s="20" t="e">
        <f t="shared" si="31"/>
        <v>#N/A</v>
      </c>
      <c r="AT167" s="20" t="e">
        <f t="shared" si="32"/>
        <v>#N/A</v>
      </c>
    </row>
    <row r="168" spans="1:46" x14ac:dyDescent="0.3">
      <c r="A168" s="18"/>
      <c r="B168" s="20" t="e">
        <f>INDEX('01_FASTPPH'!$9:$1048576,MATCH($A168,'01_FASTPPH'!$A$9:$A$1048576,0),MATCH(B$9,'01_FASTPPH'!$8:$8,0))</f>
        <v>#N/A</v>
      </c>
      <c r="C168" s="20" t="e">
        <f>INDEX('01_FASTPPH'!$9:$1048576,MATCH($A168,'01_FASTPPH'!$A$9:$A$1048576,0),MATCH(C$9,'01_FASTPPH'!$8:$8,0))</f>
        <v>#N/A</v>
      </c>
      <c r="D168" s="20" t="e">
        <f>INDEX('01_FASTPPH'!$9:$1048576,MATCH($A168,'01_FASTPPH'!$A$9:$A$1048576,0),MATCH(D$9,'01_FASTPPH'!$8:$8,0))</f>
        <v>#N/A</v>
      </c>
      <c r="E168" s="20" t="e">
        <f>INDEX('01_FASTPPH'!$9:$1048576,MATCH($A168,'01_FASTPPH'!$A$9:$A$1048576,0),MATCH(E$9,'01_FASTPPH'!$8:$8,0))</f>
        <v>#N/A</v>
      </c>
      <c r="F168" s="20" t="e">
        <f>INDEX('01_FASTPPH'!$9:$1048576,MATCH($A168,'01_FASTPPH'!$A$9:$A$1048576,0),MATCH(F$9,'01_FASTPPH'!$8:$8,0))</f>
        <v>#N/A</v>
      </c>
      <c r="G168" s="20" t="e">
        <f>INDEX('01_FASTPPH'!$9:$1048576,MATCH($A168,'01_FASTPPH'!$A$9:$A$1048576,0),MATCH(G$9,'01_FASTPPH'!$8:$8,0))</f>
        <v>#N/A</v>
      </c>
      <c r="H168" s="20" t="e">
        <f>INDEX('01_FASTPPH'!$9:$1048576,MATCH($A168,'01_FASTPPH'!$A$9:$A$1048576,0),MATCH(H$9,'01_FASTPPH'!$8:$8,0))</f>
        <v>#N/A</v>
      </c>
      <c r="I168" s="20" t="e">
        <f>INDEX('01_FASTPPH'!$9:$1048576,MATCH($A168,'01_FASTPPH'!$A$9:$A$1048576,0),MATCH(I$9,'01_FASTPPH'!$8:$8,0))</f>
        <v>#N/A</v>
      </c>
      <c r="J168" s="20" t="e">
        <f>INDEX('01_FASTPPH'!$9:$1048576,MATCH($A168,'01_FASTPPH'!$A$9:$A$1048576,0),MATCH(J$9,'01_FASTPPH'!$8:$8,0))</f>
        <v>#N/A</v>
      </c>
      <c r="K168" s="23" t="e">
        <f>INDEX('01_FASTPPH'!$9:$1048576,MATCH($A168,'01_FASTPPH'!$A$9:$A$1048576,0),MATCH(K$9,'01_FASTPPH'!$8:$8,0))</f>
        <v>#N/A</v>
      </c>
      <c r="L168" s="20" t="e">
        <f>INDEX('01_FASTPPH'!$9:$1048576,MATCH($A168,'01_FASTPPH'!$A$9:$A$1048576,0),MATCH(L$9,'01_FASTPPH'!$8:$8,0))</f>
        <v>#N/A</v>
      </c>
      <c r="M168" s="20" t="e">
        <f>INDEX('01_FASTPPH'!$9:$1048576,MATCH($A168,'01_FASTPPH'!$A$9:$A$1048576,0),MATCH(M$9,'01_FASTPPH'!$8:$8,0))</f>
        <v>#N/A</v>
      </c>
      <c r="N168" s="24" t="e">
        <f>INDEX('01_FASTPPH'!$9:$1048576,MATCH($A168,'01_FASTPPH'!$A$9:$A$1048576,0),MATCH(N$9,'01_FASTPPH'!$8:$8,0))</f>
        <v>#N/A</v>
      </c>
      <c r="O168" s="23" t="e">
        <f>INDEX('01_FASTPPH'!$9:$1048576,MATCH($A168,'01_FASTPPH'!$A$9:$A$1048576,0),MATCH(O$9,'01_FASTPPH'!$8:$8,0))</f>
        <v>#N/A</v>
      </c>
      <c r="P168" s="20" t="e">
        <f>INDEX('01_FASTPPH'!$9:$1048576,MATCH($A168,'01_FASTPPH'!$A$9:$A$1048576,0),MATCH(P$9,'01_FASTPPH'!$8:$8,0))</f>
        <v>#N/A</v>
      </c>
      <c r="Q168" s="20" t="e">
        <f>INDEX('01_FASTPPH'!$9:$1048576,MATCH($A168,'01_FASTPPH'!$A$9:$A$1048576,0),MATCH(Q$9,'01_FASTPPH'!$8:$8,0))</f>
        <v>#N/A</v>
      </c>
      <c r="R168" s="20" t="e">
        <f>INDEX('01_FASTPPH'!$9:$1048576,MATCH($A168,'01_FASTPPH'!$A$9:$A$1048576,0),MATCH(R$9,'01_FASTPPH'!$8:$8,0))</f>
        <v>#N/A</v>
      </c>
      <c r="S168" s="20" t="e">
        <f>INDEX('01_FASTPPH'!$9:$1048576,MATCH($A168,'01_FASTPPH'!$A$9:$A$1048576,0),MATCH(S$9,'01_FASTPPH'!$8:$8,0))</f>
        <v>#N/A</v>
      </c>
      <c r="T168" s="24" t="e">
        <f>INDEX('01_FASTPPH'!$9:$1048576,MATCH($A168,'01_FASTPPH'!$A$9:$A$1048576,0),MATCH(T$9,'01_FASTPPH'!$8:$8,0))</f>
        <v>#N/A</v>
      </c>
      <c r="U168" s="23" t="e">
        <f>INDEX('01_FASTPPH'!$9:$1048576,MATCH($A168,'01_FASTPPH'!$A$9:$A$1048576,0),MATCH(U$9,'01_FASTPPH'!$8:$8,0))</f>
        <v>#N/A</v>
      </c>
      <c r="V168" s="20" t="e">
        <f>INDEX('01_FASTPPH'!$9:$1048576,MATCH($A168,'01_FASTPPH'!$A$9:$A$1048576,0),MATCH(V$9,'01_FASTPPH'!$8:$8,0))</f>
        <v>#N/A</v>
      </c>
      <c r="W168" s="24" t="e">
        <f>INDEX('01_FASTPPH'!$9:$1048576,MATCH($A168,'01_FASTPPH'!$A$9:$A$1048576,0),MATCH(W$9,'01_FASTPPH'!$8:$8,0))</f>
        <v>#N/A</v>
      </c>
      <c r="X168" s="20" t="e">
        <f>INDEX('01_FASTPPH'!$9:$1048576,MATCH($A168,'01_FASTPPH'!$A$9:$A$1048576,0),MATCH(X$9,'01_FASTPPH'!$8:$8,0))</f>
        <v>#N/A</v>
      </c>
      <c r="Y168" s="20" t="e">
        <f>INDEX('01_FASTPPH'!$9:$1048576,MATCH($A168,'01_FASTPPH'!$A$9:$A$1048576,0),MATCH(Y$9,'01_FASTPPH'!$8:$8,0))</f>
        <v>#N/A</v>
      </c>
      <c r="AA168" s="32" t="e">
        <f>INDEX('02_PROPERTIES'!$C$10:$I$1048576,MATCH('03_CALCULATIONS'!$D168,'02_PROPERTIES'!$C$10:$C$1048576,0),MATCH('03_CALCULATIONS'!AA$9,'02_PROPERTIES'!$C$10:$I$10,0))</f>
        <v>#N/A</v>
      </c>
      <c r="AB168" s="20" t="e">
        <f>INDEX('02_PROPERTIES'!$C$10:$I$1048576,MATCH('03_CALCULATIONS'!$D168,'02_PROPERTIES'!$C$10:$C$1048576,0),MATCH('03_CALCULATIONS'!AB$9,'02_PROPERTIES'!$C$10:$I$10,0))</f>
        <v>#N/A</v>
      </c>
      <c r="AC168" s="20" t="e">
        <f>INDEX('02_PROPERTIES'!$C$10:$I$1048576,MATCH('03_CALCULATIONS'!$D168,'02_PROPERTIES'!$C$10:$C$1048576,0),MATCH('03_CALCULATIONS'!AC$9,'02_PROPERTIES'!$C$10:$I$10,0))</f>
        <v>#N/A</v>
      </c>
      <c r="AD168" s="20" t="e">
        <f>INDEX('02_PROPERTIES'!$C$10:$I$1048576,MATCH('03_CALCULATIONS'!$D168,'02_PROPERTIES'!$C$10:$C$1048576,0),MATCH('03_CALCULATIONS'!AD$9,'02_PROPERTIES'!$C$10:$I$10,0))</f>
        <v>#N/A</v>
      </c>
      <c r="AE168" s="32" t="e">
        <f>INDEX('02_PROPERTIES'!$C$10:$I$1048576,MATCH('03_CALCULATIONS'!$D168,'02_PROPERTIES'!$C$10:$C$1048576,0),MATCH('03_CALCULATIONS'!AE$9,'02_PROPERTIES'!$C$10:$I$10,0))</f>
        <v>#N/A</v>
      </c>
      <c r="AF168" s="32" t="e">
        <f>INDEX('02_PROPERTIES'!$C$10:$I$1048576,MATCH('03_CALCULATIONS'!$D168,'02_PROPERTIES'!$C$10:$C$1048576,0),MATCH('03_CALCULATIONS'!AF$9,'02_PROPERTIES'!$C$10:$I$10,0))</f>
        <v>#N/A</v>
      </c>
      <c r="AH168" s="20" t="e">
        <f t="shared" si="22"/>
        <v>#N/A</v>
      </c>
      <c r="AI168" s="20" t="e">
        <f t="shared" si="23"/>
        <v>#N/A</v>
      </c>
      <c r="AJ168" s="20" t="e">
        <f t="shared" si="24"/>
        <v>#N/A</v>
      </c>
      <c r="AL168" s="20" t="e">
        <f t="shared" si="25"/>
        <v>#N/A</v>
      </c>
      <c r="AM168" s="20" t="e">
        <f t="shared" si="26"/>
        <v>#N/A</v>
      </c>
      <c r="AN168" s="20" t="e">
        <f t="shared" si="27"/>
        <v>#N/A</v>
      </c>
      <c r="AO168" s="20" t="e">
        <f t="shared" si="28"/>
        <v>#N/A</v>
      </c>
      <c r="AP168" s="20" t="e">
        <f t="shared" si="29"/>
        <v>#N/A</v>
      </c>
      <c r="AR168" s="20" t="e">
        <f t="shared" si="30"/>
        <v>#N/A</v>
      </c>
      <c r="AS168" s="20" t="e">
        <f t="shared" si="31"/>
        <v>#N/A</v>
      </c>
      <c r="AT168" s="20" t="e">
        <f t="shared" si="32"/>
        <v>#N/A</v>
      </c>
    </row>
    <row r="169" spans="1:46" x14ac:dyDescent="0.3">
      <c r="A169" s="18"/>
      <c r="B169" s="20" t="e">
        <f>INDEX('01_FASTPPH'!$9:$1048576,MATCH($A169,'01_FASTPPH'!$A$9:$A$1048576,0),MATCH(B$9,'01_FASTPPH'!$8:$8,0))</f>
        <v>#N/A</v>
      </c>
      <c r="C169" s="20" t="e">
        <f>INDEX('01_FASTPPH'!$9:$1048576,MATCH($A169,'01_FASTPPH'!$A$9:$A$1048576,0),MATCH(C$9,'01_FASTPPH'!$8:$8,0))</f>
        <v>#N/A</v>
      </c>
      <c r="D169" s="20" t="e">
        <f>INDEX('01_FASTPPH'!$9:$1048576,MATCH($A169,'01_FASTPPH'!$A$9:$A$1048576,0),MATCH(D$9,'01_FASTPPH'!$8:$8,0))</f>
        <v>#N/A</v>
      </c>
      <c r="E169" s="20" t="e">
        <f>INDEX('01_FASTPPH'!$9:$1048576,MATCH($A169,'01_FASTPPH'!$A$9:$A$1048576,0),MATCH(E$9,'01_FASTPPH'!$8:$8,0))</f>
        <v>#N/A</v>
      </c>
      <c r="F169" s="20" t="e">
        <f>INDEX('01_FASTPPH'!$9:$1048576,MATCH($A169,'01_FASTPPH'!$A$9:$A$1048576,0),MATCH(F$9,'01_FASTPPH'!$8:$8,0))</f>
        <v>#N/A</v>
      </c>
      <c r="G169" s="20" t="e">
        <f>INDEX('01_FASTPPH'!$9:$1048576,MATCH($A169,'01_FASTPPH'!$A$9:$A$1048576,0),MATCH(G$9,'01_FASTPPH'!$8:$8,0))</f>
        <v>#N/A</v>
      </c>
      <c r="H169" s="20" t="e">
        <f>INDEX('01_FASTPPH'!$9:$1048576,MATCH($A169,'01_FASTPPH'!$A$9:$A$1048576,0),MATCH(H$9,'01_FASTPPH'!$8:$8,0))</f>
        <v>#N/A</v>
      </c>
      <c r="I169" s="20" t="e">
        <f>INDEX('01_FASTPPH'!$9:$1048576,MATCH($A169,'01_FASTPPH'!$A$9:$A$1048576,0),MATCH(I$9,'01_FASTPPH'!$8:$8,0))</f>
        <v>#N/A</v>
      </c>
      <c r="J169" s="20" t="e">
        <f>INDEX('01_FASTPPH'!$9:$1048576,MATCH($A169,'01_FASTPPH'!$A$9:$A$1048576,0),MATCH(J$9,'01_FASTPPH'!$8:$8,0))</f>
        <v>#N/A</v>
      </c>
      <c r="K169" s="23" t="e">
        <f>INDEX('01_FASTPPH'!$9:$1048576,MATCH($A169,'01_FASTPPH'!$A$9:$A$1048576,0),MATCH(K$9,'01_FASTPPH'!$8:$8,0))</f>
        <v>#N/A</v>
      </c>
      <c r="L169" s="20" t="e">
        <f>INDEX('01_FASTPPH'!$9:$1048576,MATCH($A169,'01_FASTPPH'!$A$9:$A$1048576,0),MATCH(L$9,'01_FASTPPH'!$8:$8,0))</f>
        <v>#N/A</v>
      </c>
      <c r="M169" s="20" t="e">
        <f>INDEX('01_FASTPPH'!$9:$1048576,MATCH($A169,'01_FASTPPH'!$A$9:$A$1048576,0),MATCH(M$9,'01_FASTPPH'!$8:$8,0))</f>
        <v>#N/A</v>
      </c>
      <c r="N169" s="24" t="e">
        <f>INDEX('01_FASTPPH'!$9:$1048576,MATCH($A169,'01_FASTPPH'!$A$9:$A$1048576,0),MATCH(N$9,'01_FASTPPH'!$8:$8,0))</f>
        <v>#N/A</v>
      </c>
      <c r="O169" s="23" t="e">
        <f>INDEX('01_FASTPPH'!$9:$1048576,MATCH($A169,'01_FASTPPH'!$A$9:$A$1048576,0),MATCH(O$9,'01_FASTPPH'!$8:$8,0))</f>
        <v>#N/A</v>
      </c>
      <c r="P169" s="20" t="e">
        <f>INDEX('01_FASTPPH'!$9:$1048576,MATCH($A169,'01_FASTPPH'!$A$9:$A$1048576,0),MATCH(P$9,'01_FASTPPH'!$8:$8,0))</f>
        <v>#N/A</v>
      </c>
      <c r="Q169" s="20" t="e">
        <f>INDEX('01_FASTPPH'!$9:$1048576,MATCH($A169,'01_FASTPPH'!$A$9:$A$1048576,0),MATCH(Q$9,'01_FASTPPH'!$8:$8,0))</f>
        <v>#N/A</v>
      </c>
      <c r="R169" s="20" t="e">
        <f>INDEX('01_FASTPPH'!$9:$1048576,MATCH($A169,'01_FASTPPH'!$A$9:$A$1048576,0),MATCH(R$9,'01_FASTPPH'!$8:$8,0))</f>
        <v>#N/A</v>
      </c>
      <c r="S169" s="20" t="e">
        <f>INDEX('01_FASTPPH'!$9:$1048576,MATCH($A169,'01_FASTPPH'!$A$9:$A$1048576,0),MATCH(S$9,'01_FASTPPH'!$8:$8,0))</f>
        <v>#N/A</v>
      </c>
      <c r="T169" s="24" t="e">
        <f>INDEX('01_FASTPPH'!$9:$1048576,MATCH($A169,'01_FASTPPH'!$A$9:$A$1048576,0),MATCH(T$9,'01_FASTPPH'!$8:$8,0))</f>
        <v>#N/A</v>
      </c>
      <c r="U169" s="23" t="e">
        <f>INDEX('01_FASTPPH'!$9:$1048576,MATCH($A169,'01_FASTPPH'!$A$9:$A$1048576,0),MATCH(U$9,'01_FASTPPH'!$8:$8,0))</f>
        <v>#N/A</v>
      </c>
      <c r="V169" s="20" t="e">
        <f>INDEX('01_FASTPPH'!$9:$1048576,MATCH($A169,'01_FASTPPH'!$A$9:$A$1048576,0),MATCH(V$9,'01_FASTPPH'!$8:$8,0))</f>
        <v>#N/A</v>
      </c>
      <c r="W169" s="24" t="e">
        <f>INDEX('01_FASTPPH'!$9:$1048576,MATCH($A169,'01_FASTPPH'!$A$9:$A$1048576,0),MATCH(W$9,'01_FASTPPH'!$8:$8,0))</f>
        <v>#N/A</v>
      </c>
      <c r="X169" s="20" t="e">
        <f>INDEX('01_FASTPPH'!$9:$1048576,MATCH($A169,'01_FASTPPH'!$A$9:$A$1048576,0),MATCH(X$9,'01_FASTPPH'!$8:$8,0))</f>
        <v>#N/A</v>
      </c>
      <c r="Y169" s="20" t="e">
        <f>INDEX('01_FASTPPH'!$9:$1048576,MATCH($A169,'01_FASTPPH'!$A$9:$A$1048576,0),MATCH(Y$9,'01_FASTPPH'!$8:$8,0))</f>
        <v>#N/A</v>
      </c>
      <c r="AA169" s="32" t="e">
        <f>INDEX('02_PROPERTIES'!$C$10:$I$1048576,MATCH('03_CALCULATIONS'!$D169,'02_PROPERTIES'!$C$10:$C$1048576,0),MATCH('03_CALCULATIONS'!AA$9,'02_PROPERTIES'!$C$10:$I$10,0))</f>
        <v>#N/A</v>
      </c>
      <c r="AB169" s="20" t="e">
        <f>INDEX('02_PROPERTIES'!$C$10:$I$1048576,MATCH('03_CALCULATIONS'!$D169,'02_PROPERTIES'!$C$10:$C$1048576,0),MATCH('03_CALCULATIONS'!AB$9,'02_PROPERTIES'!$C$10:$I$10,0))</f>
        <v>#N/A</v>
      </c>
      <c r="AC169" s="20" t="e">
        <f>INDEX('02_PROPERTIES'!$C$10:$I$1048576,MATCH('03_CALCULATIONS'!$D169,'02_PROPERTIES'!$C$10:$C$1048576,0),MATCH('03_CALCULATIONS'!AC$9,'02_PROPERTIES'!$C$10:$I$10,0))</f>
        <v>#N/A</v>
      </c>
      <c r="AD169" s="20" t="e">
        <f>INDEX('02_PROPERTIES'!$C$10:$I$1048576,MATCH('03_CALCULATIONS'!$D169,'02_PROPERTIES'!$C$10:$C$1048576,0),MATCH('03_CALCULATIONS'!AD$9,'02_PROPERTIES'!$C$10:$I$10,0))</f>
        <v>#N/A</v>
      </c>
      <c r="AE169" s="32" t="e">
        <f>INDEX('02_PROPERTIES'!$C$10:$I$1048576,MATCH('03_CALCULATIONS'!$D169,'02_PROPERTIES'!$C$10:$C$1048576,0),MATCH('03_CALCULATIONS'!AE$9,'02_PROPERTIES'!$C$10:$I$10,0))</f>
        <v>#N/A</v>
      </c>
      <c r="AF169" s="32" t="e">
        <f>INDEX('02_PROPERTIES'!$C$10:$I$1048576,MATCH('03_CALCULATIONS'!$D169,'02_PROPERTIES'!$C$10:$C$1048576,0),MATCH('03_CALCULATIONS'!AF$9,'02_PROPERTIES'!$C$10:$I$10,0))</f>
        <v>#N/A</v>
      </c>
      <c r="AH169" s="20" t="e">
        <f t="shared" si="22"/>
        <v>#N/A</v>
      </c>
      <c r="AI169" s="20" t="e">
        <f t="shared" si="23"/>
        <v>#N/A</v>
      </c>
      <c r="AJ169" s="20" t="e">
        <f t="shared" si="24"/>
        <v>#N/A</v>
      </c>
      <c r="AL169" s="20" t="e">
        <f t="shared" si="25"/>
        <v>#N/A</v>
      </c>
      <c r="AM169" s="20" t="e">
        <f t="shared" si="26"/>
        <v>#N/A</v>
      </c>
      <c r="AN169" s="20" t="e">
        <f t="shared" si="27"/>
        <v>#N/A</v>
      </c>
      <c r="AO169" s="20" t="e">
        <f t="shared" si="28"/>
        <v>#N/A</v>
      </c>
      <c r="AP169" s="20" t="e">
        <f t="shared" si="29"/>
        <v>#N/A</v>
      </c>
      <c r="AR169" s="20" t="e">
        <f t="shared" si="30"/>
        <v>#N/A</v>
      </c>
      <c r="AS169" s="20" t="e">
        <f t="shared" si="31"/>
        <v>#N/A</v>
      </c>
      <c r="AT169" s="20" t="e">
        <f t="shared" si="32"/>
        <v>#N/A</v>
      </c>
    </row>
    <row r="170" spans="1:46" x14ac:dyDescent="0.3">
      <c r="A170" s="18"/>
      <c r="B170" s="20" t="e">
        <f>INDEX('01_FASTPPH'!$9:$1048576,MATCH($A170,'01_FASTPPH'!$A$9:$A$1048576,0),MATCH(B$9,'01_FASTPPH'!$8:$8,0))</f>
        <v>#N/A</v>
      </c>
      <c r="C170" s="20" t="e">
        <f>INDEX('01_FASTPPH'!$9:$1048576,MATCH($A170,'01_FASTPPH'!$A$9:$A$1048576,0),MATCH(C$9,'01_FASTPPH'!$8:$8,0))</f>
        <v>#N/A</v>
      </c>
      <c r="D170" s="20" t="e">
        <f>INDEX('01_FASTPPH'!$9:$1048576,MATCH($A170,'01_FASTPPH'!$A$9:$A$1048576,0),MATCH(D$9,'01_FASTPPH'!$8:$8,0))</f>
        <v>#N/A</v>
      </c>
      <c r="E170" s="20" t="e">
        <f>INDEX('01_FASTPPH'!$9:$1048576,MATCH($A170,'01_FASTPPH'!$A$9:$A$1048576,0),MATCH(E$9,'01_FASTPPH'!$8:$8,0))</f>
        <v>#N/A</v>
      </c>
      <c r="F170" s="20" t="e">
        <f>INDEX('01_FASTPPH'!$9:$1048576,MATCH($A170,'01_FASTPPH'!$A$9:$A$1048576,0),MATCH(F$9,'01_FASTPPH'!$8:$8,0))</f>
        <v>#N/A</v>
      </c>
      <c r="G170" s="20" t="e">
        <f>INDEX('01_FASTPPH'!$9:$1048576,MATCH($A170,'01_FASTPPH'!$A$9:$A$1048576,0),MATCH(G$9,'01_FASTPPH'!$8:$8,0))</f>
        <v>#N/A</v>
      </c>
      <c r="H170" s="20" t="e">
        <f>INDEX('01_FASTPPH'!$9:$1048576,MATCH($A170,'01_FASTPPH'!$A$9:$A$1048576,0),MATCH(H$9,'01_FASTPPH'!$8:$8,0))</f>
        <v>#N/A</v>
      </c>
      <c r="I170" s="20" t="e">
        <f>INDEX('01_FASTPPH'!$9:$1048576,MATCH($A170,'01_FASTPPH'!$A$9:$A$1048576,0),MATCH(I$9,'01_FASTPPH'!$8:$8,0))</f>
        <v>#N/A</v>
      </c>
      <c r="J170" s="20" t="e">
        <f>INDEX('01_FASTPPH'!$9:$1048576,MATCH($A170,'01_FASTPPH'!$A$9:$A$1048576,0),MATCH(J$9,'01_FASTPPH'!$8:$8,0))</f>
        <v>#N/A</v>
      </c>
      <c r="K170" s="23" t="e">
        <f>INDEX('01_FASTPPH'!$9:$1048576,MATCH($A170,'01_FASTPPH'!$A$9:$A$1048576,0),MATCH(K$9,'01_FASTPPH'!$8:$8,0))</f>
        <v>#N/A</v>
      </c>
      <c r="L170" s="20" t="e">
        <f>INDEX('01_FASTPPH'!$9:$1048576,MATCH($A170,'01_FASTPPH'!$A$9:$A$1048576,0),MATCH(L$9,'01_FASTPPH'!$8:$8,0))</f>
        <v>#N/A</v>
      </c>
      <c r="M170" s="20" t="e">
        <f>INDEX('01_FASTPPH'!$9:$1048576,MATCH($A170,'01_FASTPPH'!$A$9:$A$1048576,0),MATCH(M$9,'01_FASTPPH'!$8:$8,0))</f>
        <v>#N/A</v>
      </c>
      <c r="N170" s="24" t="e">
        <f>INDEX('01_FASTPPH'!$9:$1048576,MATCH($A170,'01_FASTPPH'!$A$9:$A$1048576,0),MATCH(N$9,'01_FASTPPH'!$8:$8,0))</f>
        <v>#N/A</v>
      </c>
      <c r="O170" s="23" t="e">
        <f>INDEX('01_FASTPPH'!$9:$1048576,MATCH($A170,'01_FASTPPH'!$A$9:$A$1048576,0),MATCH(O$9,'01_FASTPPH'!$8:$8,0))</f>
        <v>#N/A</v>
      </c>
      <c r="P170" s="20" t="e">
        <f>INDEX('01_FASTPPH'!$9:$1048576,MATCH($A170,'01_FASTPPH'!$A$9:$A$1048576,0),MATCH(P$9,'01_FASTPPH'!$8:$8,0))</f>
        <v>#N/A</v>
      </c>
      <c r="Q170" s="20" t="e">
        <f>INDEX('01_FASTPPH'!$9:$1048576,MATCH($A170,'01_FASTPPH'!$A$9:$A$1048576,0),MATCH(Q$9,'01_FASTPPH'!$8:$8,0))</f>
        <v>#N/A</v>
      </c>
      <c r="R170" s="20" t="e">
        <f>INDEX('01_FASTPPH'!$9:$1048576,MATCH($A170,'01_FASTPPH'!$A$9:$A$1048576,0),MATCH(R$9,'01_FASTPPH'!$8:$8,0))</f>
        <v>#N/A</v>
      </c>
      <c r="S170" s="20" t="e">
        <f>INDEX('01_FASTPPH'!$9:$1048576,MATCH($A170,'01_FASTPPH'!$A$9:$A$1048576,0),MATCH(S$9,'01_FASTPPH'!$8:$8,0))</f>
        <v>#N/A</v>
      </c>
      <c r="T170" s="24" t="e">
        <f>INDEX('01_FASTPPH'!$9:$1048576,MATCH($A170,'01_FASTPPH'!$A$9:$A$1048576,0),MATCH(T$9,'01_FASTPPH'!$8:$8,0))</f>
        <v>#N/A</v>
      </c>
      <c r="U170" s="23" t="e">
        <f>INDEX('01_FASTPPH'!$9:$1048576,MATCH($A170,'01_FASTPPH'!$A$9:$A$1048576,0),MATCH(U$9,'01_FASTPPH'!$8:$8,0))</f>
        <v>#N/A</v>
      </c>
      <c r="V170" s="20" t="e">
        <f>INDEX('01_FASTPPH'!$9:$1048576,MATCH($A170,'01_FASTPPH'!$A$9:$A$1048576,0),MATCH(V$9,'01_FASTPPH'!$8:$8,0))</f>
        <v>#N/A</v>
      </c>
      <c r="W170" s="24" t="e">
        <f>INDEX('01_FASTPPH'!$9:$1048576,MATCH($A170,'01_FASTPPH'!$A$9:$A$1048576,0),MATCH(W$9,'01_FASTPPH'!$8:$8,0))</f>
        <v>#N/A</v>
      </c>
      <c r="X170" s="20" t="e">
        <f>INDEX('01_FASTPPH'!$9:$1048576,MATCH($A170,'01_FASTPPH'!$A$9:$A$1048576,0),MATCH(X$9,'01_FASTPPH'!$8:$8,0))</f>
        <v>#N/A</v>
      </c>
      <c r="Y170" s="20" t="e">
        <f>INDEX('01_FASTPPH'!$9:$1048576,MATCH($A170,'01_FASTPPH'!$A$9:$A$1048576,0),MATCH(Y$9,'01_FASTPPH'!$8:$8,0))</f>
        <v>#N/A</v>
      </c>
      <c r="AA170" s="32" t="e">
        <f>INDEX('02_PROPERTIES'!$C$10:$I$1048576,MATCH('03_CALCULATIONS'!$D170,'02_PROPERTIES'!$C$10:$C$1048576,0),MATCH('03_CALCULATIONS'!AA$9,'02_PROPERTIES'!$C$10:$I$10,0))</f>
        <v>#N/A</v>
      </c>
      <c r="AB170" s="20" t="e">
        <f>INDEX('02_PROPERTIES'!$C$10:$I$1048576,MATCH('03_CALCULATIONS'!$D170,'02_PROPERTIES'!$C$10:$C$1048576,0),MATCH('03_CALCULATIONS'!AB$9,'02_PROPERTIES'!$C$10:$I$10,0))</f>
        <v>#N/A</v>
      </c>
      <c r="AC170" s="20" t="e">
        <f>INDEX('02_PROPERTIES'!$C$10:$I$1048576,MATCH('03_CALCULATIONS'!$D170,'02_PROPERTIES'!$C$10:$C$1048576,0),MATCH('03_CALCULATIONS'!AC$9,'02_PROPERTIES'!$C$10:$I$10,0))</f>
        <v>#N/A</v>
      </c>
      <c r="AD170" s="20" t="e">
        <f>INDEX('02_PROPERTIES'!$C$10:$I$1048576,MATCH('03_CALCULATIONS'!$D170,'02_PROPERTIES'!$C$10:$C$1048576,0),MATCH('03_CALCULATIONS'!AD$9,'02_PROPERTIES'!$C$10:$I$10,0))</f>
        <v>#N/A</v>
      </c>
      <c r="AE170" s="32" t="e">
        <f>INDEX('02_PROPERTIES'!$C$10:$I$1048576,MATCH('03_CALCULATIONS'!$D170,'02_PROPERTIES'!$C$10:$C$1048576,0),MATCH('03_CALCULATIONS'!AE$9,'02_PROPERTIES'!$C$10:$I$10,0))</f>
        <v>#N/A</v>
      </c>
      <c r="AF170" s="32" t="e">
        <f>INDEX('02_PROPERTIES'!$C$10:$I$1048576,MATCH('03_CALCULATIONS'!$D170,'02_PROPERTIES'!$C$10:$C$1048576,0),MATCH('03_CALCULATIONS'!AF$9,'02_PROPERTIES'!$C$10:$I$10,0))</f>
        <v>#N/A</v>
      </c>
      <c r="AH170" s="20" t="e">
        <f t="shared" si="22"/>
        <v>#N/A</v>
      </c>
      <c r="AI170" s="20" t="e">
        <f t="shared" si="23"/>
        <v>#N/A</v>
      </c>
      <c r="AJ170" s="20" t="e">
        <f t="shared" si="24"/>
        <v>#N/A</v>
      </c>
      <c r="AL170" s="20" t="e">
        <f t="shared" si="25"/>
        <v>#N/A</v>
      </c>
      <c r="AM170" s="20" t="e">
        <f t="shared" si="26"/>
        <v>#N/A</v>
      </c>
      <c r="AN170" s="20" t="e">
        <f t="shared" si="27"/>
        <v>#N/A</v>
      </c>
      <c r="AO170" s="20" t="e">
        <f t="shared" si="28"/>
        <v>#N/A</v>
      </c>
      <c r="AP170" s="20" t="e">
        <f t="shared" si="29"/>
        <v>#N/A</v>
      </c>
      <c r="AR170" s="20" t="e">
        <f t="shared" si="30"/>
        <v>#N/A</v>
      </c>
      <c r="AS170" s="20" t="e">
        <f t="shared" si="31"/>
        <v>#N/A</v>
      </c>
      <c r="AT170" s="20" t="e">
        <f t="shared" si="32"/>
        <v>#N/A</v>
      </c>
    </row>
    <row r="171" spans="1:46" x14ac:dyDescent="0.3">
      <c r="A171" s="18"/>
      <c r="B171" s="20" t="e">
        <f>INDEX('01_FASTPPH'!$9:$1048576,MATCH($A171,'01_FASTPPH'!$A$9:$A$1048576,0),MATCH(B$9,'01_FASTPPH'!$8:$8,0))</f>
        <v>#N/A</v>
      </c>
      <c r="C171" s="20" t="e">
        <f>INDEX('01_FASTPPH'!$9:$1048576,MATCH($A171,'01_FASTPPH'!$A$9:$A$1048576,0),MATCH(C$9,'01_FASTPPH'!$8:$8,0))</f>
        <v>#N/A</v>
      </c>
      <c r="D171" s="20" t="e">
        <f>INDEX('01_FASTPPH'!$9:$1048576,MATCH($A171,'01_FASTPPH'!$A$9:$A$1048576,0),MATCH(D$9,'01_FASTPPH'!$8:$8,0))</f>
        <v>#N/A</v>
      </c>
      <c r="E171" s="20" t="e">
        <f>INDEX('01_FASTPPH'!$9:$1048576,MATCH($A171,'01_FASTPPH'!$A$9:$A$1048576,0),MATCH(E$9,'01_FASTPPH'!$8:$8,0))</f>
        <v>#N/A</v>
      </c>
      <c r="F171" s="20" t="e">
        <f>INDEX('01_FASTPPH'!$9:$1048576,MATCH($A171,'01_FASTPPH'!$A$9:$A$1048576,0),MATCH(F$9,'01_FASTPPH'!$8:$8,0))</f>
        <v>#N/A</v>
      </c>
      <c r="G171" s="20" t="e">
        <f>INDEX('01_FASTPPH'!$9:$1048576,MATCH($A171,'01_FASTPPH'!$A$9:$A$1048576,0),MATCH(G$9,'01_FASTPPH'!$8:$8,0))</f>
        <v>#N/A</v>
      </c>
      <c r="H171" s="20" t="e">
        <f>INDEX('01_FASTPPH'!$9:$1048576,MATCH($A171,'01_FASTPPH'!$A$9:$A$1048576,0),MATCH(H$9,'01_FASTPPH'!$8:$8,0))</f>
        <v>#N/A</v>
      </c>
      <c r="I171" s="20" t="e">
        <f>INDEX('01_FASTPPH'!$9:$1048576,MATCH($A171,'01_FASTPPH'!$A$9:$A$1048576,0),MATCH(I$9,'01_FASTPPH'!$8:$8,0))</f>
        <v>#N/A</v>
      </c>
      <c r="J171" s="20" t="e">
        <f>INDEX('01_FASTPPH'!$9:$1048576,MATCH($A171,'01_FASTPPH'!$A$9:$A$1048576,0),MATCH(J$9,'01_FASTPPH'!$8:$8,0))</f>
        <v>#N/A</v>
      </c>
      <c r="K171" s="23" t="e">
        <f>INDEX('01_FASTPPH'!$9:$1048576,MATCH($A171,'01_FASTPPH'!$A$9:$A$1048576,0),MATCH(K$9,'01_FASTPPH'!$8:$8,0))</f>
        <v>#N/A</v>
      </c>
      <c r="L171" s="20" t="e">
        <f>INDEX('01_FASTPPH'!$9:$1048576,MATCH($A171,'01_FASTPPH'!$A$9:$A$1048576,0),MATCH(L$9,'01_FASTPPH'!$8:$8,0))</f>
        <v>#N/A</v>
      </c>
      <c r="M171" s="20" t="e">
        <f>INDEX('01_FASTPPH'!$9:$1048576,MATCH($A171,'01_FASTPPH'!$A$9:$A$1048576,0),MATCH(M$9,'01_FASTPPH'!$8:$8,0))</f>
        <v>#N/A</v>
      </c>
      <c r="N171" s="24" t="e">
        <f>INDEX('01_FASTPPH'!$9:$1048576,MATCH($A171,'01_FASTPPH'!$A$9:$A$1048576,0),MATCH(N$9,'01_FASTPPH'!$8:$8,0))</f>
        <v>#N/A</v>
      </c>
      <c r="O171" s="23" t="e">
        <f>INDEX('01_FASTPPH'!$9:$1048576,MATCH($A171,'01_FASTPPH'!$A$9:$A$1048576,0),MATCH(O$9,'01_FASTPPH'!$8:$8,0))</f>
        <v>#N/A</v>
      </c>
      <c r="P171" s="20" t="e">
        <f>INDEX('01_FASTPPH'!$9:$1048576,MATCH($A171,'01_FASTPPH'!$A$9:$A$1048576,0),MATCH(P$9,'01_FASTPPH'!$8:$8,0))</f>
        <v>#N/A</v>
      </c>
      <c r="Q171" s="20" t="e">
        <f>INDEX('01_FASTPPH'!$9:$1048576,MATCH($A171,'01_FASTPPH'!$A$9:$A$1048576,0),MATCH(Q$9,'01_FASTPPH'!$8:$8,0))</f>
        <v>#N/A</v>
      </c>
      <c r="R171" s="20" t="e">
        <f>INDEX('01_FASTPPH'!$9:$1048576,MATCH($A171,'01_FASTPPH'!$A$9:$A$1048576,0),MATCH(R$9,'01_FASTPPH'!$8:$8,0))</f>
        <v>#N/A</v>
      </c>
      <c r="S171" s="20" t="e">
        <f>INDEX('01_FASTPPH'!$9:$1048576,MATCH($A171,'01_FASTPPH'!$A$9:$A$1048576,0),MATCH(S$9,'01_FASTPPH'!$8:$8,0))</f>
        <v>#N/A</v>
      </c>
      <c r="T171" s="24" t="e">
        <f>INDEX('01_FASTPPH'!$9:$1048576,MATCH($A171,'01_FASTPPH'!$A$9:$A$1048576,0),MATCH(T$9,'01_FASTPPH'!$8:$8,0))</f>
        <v>#N/A</v>
      </c>
      <c r="U171" s="23" t="e">
        <f>INDEX('01_FASTPPH'!$9:$1048576,MATCH($A171,'01_FASTPPH'!$A$9:$A$1048576,0),MATCH(U$9,'01_FASTPPH'!$8:$8,0))</f>
        <v>#N/A</v>
      </c>
      <c r="V171" s="20" t="e">
        <f>INDEX('01_FASTPPH'!$9:$1048576,MATCH($A171,'01_FASTPPH'!$A$9:$A$1048576,0),MATCH(V$9,'01_FASTPPH'!$8:$8,0))</f>
        <v>#N/A</v>
      </c>
      <c r="W171" s="24" t="e">
        <f>INDEX('01_FASTPPH'!$9:$1048576,MATCH($A171,'01_FASTPPH'!$A$9:$A$1048576,0),MATCH(W$9,'01_FASTPPH'!$8:$8,0))</f>
        <v>#N/A</v>
      </c>
      <c r="X171" s="20" t="e">
        <f>INDEX('01_FASTPPH'!$9:$1048576,MATCH($A171,'01_FASTPPH'!$A$9:$A$1048576,0),MATCH(X$9,'01_FASTPPH'!$8:$8,0))</f>
        <v>#N/A</v>
      </c>
      <c r="Y171" s="20" t="e">
        <f>INDEX('01_FASTPPH'!$9:$1048576,MATCH($A171,'01_FASTPPH'!$A$9:$A$1048576,0),MATCH(Y$9,'01_FASTPPH'!$8:$8,0))</f>
        <v>#N/A</v>
      </c>
      <c r="AA171" s="32" t="e">
        <f>INDEX('02_PROPERTIES'!$C$10:$I$1048576,MATCH('03_CALCULATIONS'!$D171,'02_PROPERTIES'!$C$10:$C$1048576,0),MATCH('03_CALCULATIONS'!AA$9,'02_PROPERTIES'!$C$10:$I$10,0))</f>
        <v>#N/A</v>
      </c>
      <c r="AB171" s="20" t="e">
        <f>INDEX('02_PROPERTIES'!$C$10:$I$1048576,MATCH('03_CALCULATIONS'!$D171,'02_PROPERTIES'!$C$10:$C$1048576,0),MATCH('03_CALCULATIONS'!AB$9,'02_PROPERTIES'!$C$10:$I$10,0))</f>
        <v>#N/A</v>
      </c>
      <c r="AC171" s="20" t="e">
        <f>INDEX('02_PROPERTIES'!$C$10:$I$1048576,MATCH('03_CALCULATIONS'!$D171,'02_PROPERTIES'!$C$10:$C$1048576,0),MATCH('03_CALCULATIONS'!AC$9,'02_PROPERTIES'!$C$10:$I$10,0))</f>
        <v>#N/A</v>
      </c>
      <c r="AD171" s="20" t="e">
        <f>INDEX('02_PROPERTIES'!$C$10:$I$1048576,MATCH('03_CALCULATIONS'!$D171,'02_PROPERTIES'!$C$10:$C$1048576,0),MATCH('03_CALCULATIONS'!AD$9,'02_PROPERTIES'!$C$10:$I$10,0))</f>
        <v>#N/A</v>
      </c>
      <c r="AE171" s="32" t="e">
        <f>INDEX('02_PROPERTIES'!$C$10:$I$1048576,MATCH('03_CALCULATIONS'!$D171,'02_PROPERTIES'!$C$10:$C$1048576,0),MATCH('03_CALCULATIONS'!AE$9,'02_PROPERTIES'!$C$10:$I$10,0))</f>
        <v>#N/A</v>
      </c>
      <c r="AF171" s="32" t="e">
        <f>INDEX('02_PROPERTIES'!$C$10:$I$1048576,MATCH('03_CALCULATIONS'!$D171,'02_PROPERTIES'!$C$10:$C$1048576,0),MATCH('03_CALCULATIONS'!AF$9,'02_PROPERTIES'!$C$10:$I$10,0))</f>
        <v>#N/A</v>
      </c>
      <c r="AH171" s="20" t="e">
        <f t="shared" si="22"/>
        <v>#N/A</v>
      </c>
      <c r="AI171" s="20" t="e">
        <f t="shared" si="23"/>
        <v>#N/A</v>
      </c>
      <c r="AJ171" s="20" t="e">
        <f t="shared" si="24"/>
        <v>#N/A</v>
      </c>
      <c r="AL171" s="20" t="e">
        <f t="shared" si="25"/>
        <v>#N/A</v>
      </c>
      <c r="AM171" s="20" t="e">
        <f t="shared" si="26"/>
        <v>#N/A</v>
      </c>
      <c r="AN171" s="20" t="e">
        <f t="shared" si="27"/>
        <v>#N/A</v>
      </c>
      <c r="AO171" s="20" t="e">
        <f t="shared" si="28"/>
        <v>#N/A</v>
      </c>
      <c r="AP171" s="20" t="e">
        <f t="shared" si="29"/>
        <v>#N/A</v>
      </c>
      <c r="AR171" s="20" t="e">
        <f t="shared" si="30"/>
        <v>#N/A</v>
      </c>
      <c r="AS171" s="20" t="e">
        <f t="shared" si="31"/>
        <v>#N/A</v>
      </c>
      <c r="AT171" s="20" t="e">
        <f t="shared" si="32"/>
        <v>#N/A</v>
      </c>
    </row>
    <row r="172" spans="1:46" x14ac:dyDescent="0.3">
      <c r="A172" s="18"/>
      <c r="B172" s="20" t="e">
        <f>INDEX('01_FASTPPH'!$9:$1048576,MATCH($A172,'01_FASTPPH'!$A$9:$A$1048576,0),MATCH(B$9,'01_FASTPPH'!$8:$8,0))</f>
        <v>#N/A</v>
      </c>
      <c r="C172" s="20" t="e">
        <f>INDEX('01_FASTPPH'!$9:$1048576,MATCH($A172,'01_FASTPPH'!$A$9:$A$1048576,0),MATCH(C$9,'01_FASTPPH'!$8:$8,0))</f>
        <v>#N/A</v>
      </c>
      <c r="D172" s="20" t="e">
        <f>INDEX('01_FASTPPH'!$9:$1048576,MATCH($A172,'01_FASTPPH'!$A$9:$A$1048576,0),MATCH(D$9,'01_FASTPPH'!$8:$8,0))</f>
        <v>#N/A</v>
      </c>
      <c r="E172" s="20" t="e">
        <f>INDEX('01_FASTPPH'!$9:$1048576,MATCH($A172,'01_FASTPPH'!$A$9:$A$1048576,0),MATCH(E$9,'01_FASTPPH'!$8:$8,0))</f>
        <v>#N/A</v>
      </c>
      <c r="F172" s="20" t="e">
        <f>INDEX('01_FASTPPH'!$9:$1048576,MATCH($A172,'01_FASTPPH'!$A$9:$A$1048576,0),MATCH(F$9,'01_FASTPPH'!$8:$8,0))</f>
        <v>#N/A</v>
      </c>
      <c r="G172" s="20" t="e">
        <f>INDEX('01_FASTPPH'!$9:$1048576,MATCH($A172,'01_FASTPPH'!$A$9:$A$1048576,0),MATCH(G$9,'01_FASTPPH'!$8:$8,0))</f>
        <v>#N/A</v>
      </c>
      <c r="H172" s="20" t="e">
        <f>INDEX('01_FASTPPH'!$9:$1048576,MATCH($A172,'01_FASTPPH'!$A$9:$A$1048576,0),MATCH(H$9,'01_FASTPPH'!$8:$8,0))</f>
        <v>#N/A</v>
      </c>
      <c r="I172" s="20" t="e">
        <f>INDEX('01_FASTPPH'!$9:$1048576,MATCH($A172,'01_FASTPPH'!$A$9:$A$1048576,0),MATCH(I$9,'01_FASTPPH'!$8:$8,0))</f>
        <v>#N/A</v>
      </c>
      <c r="J172" s="20" t="e">
        <f>INDEX('01_FASTPPH'!$9:$1048576,MATCH($A172,'01_FASTPPH'!$A$9:$A$1048576,0),MATCH(J$9,'01_FASTPPH'!$8:$8,0))</f>
        <v>#N/A</v>
      </c>
      <c r="K172" s="23" t="e">
        <f>INDEX('01_FASTPPH'!$9:$1048576,MATCH($A172,'01_FASTPPH'!$A$9:$A$1048576,0),MATCH(K$9,'01_FASTPPH'!$8:$8,0))</f>
        <v>#N/A</v>
      </c>
      <c r="L172" s="20" t="e">
        <f>INDEX('01_FASTPPH'!$9:$1048576,MATCH($A172,'01_FASTPPH'!$A$9:$A$1048576,0),MATCH(L$9,'01_FASTPPH'!$8:$8,0))</f>
        <v>#N/A</v>
      </c>
      <c r="M172" s="20" t="e">
        <f>INDEX('01_FASTPPH'!$9:$1048576,MATCH($A172,'01_FASTPPH'!$A$9:$A$1048576,0),MATCH(M$9,'01_FASTPPH'!$8:$8,0))</f>
        <v>#N/A</v>
      </c>
      <c r="N172" s="24" t="e">
        <f>INDEX('01_FASTPPH'!$9:$1048576,MATCH($A172,'01_FASTPPH'!$A$9:$A$1048576,0),MATCH(N$9,'01_FASTPPH'!$8:$8,0))</f>
        <v>#N/A</v>
      </c>
      <c r="O172" s="23" t="e">
        <f>INDEX('01_FASTPPH'!$9:$1048576,MATCH($A172,'01_FASTPPH'!$A$9:$A$1048576,0),MATCH(O$9,'01_FASTPPH'!$8:$8,0))</f>
        <v>#N/A</v>
      </c>
      <c r="P172" s="20" t="e">
        <f>INDEX('01_FASTPPH'!$9:$1048576,MATCH($A172,'01_FASTPPH'!$A$9:$A$1048576,0),MATCH(P$9,'01_FASTPPH'!$8:$8,0))</f>
        <v>#N/A</v>
      </c>
      <c r="Q172" s="20" t="e">
        <f>INDEX('01_FASTPPH'!$9:$1048576,MATCH($A172,'01_FASTPPH'!$A$9:$A$1048576,0),MATCH(Q$9,'01_FASTPPH'!$8:$8,0))</f>
        <v>#N/A</v>
      </c>
      <c r="R172" s="20" t="e">
        <f>INDEX('01_FASTPPH'!$9:$1048576,MATCH($A172,'01_FASTPPH'!$A$9:$A$1048576,0),MATCH(R$9,'01_FASTPPH'!$8:$8,0))</f>
        <v>#N/A</v>
      </c>
      <c r="S172" s="20" t="e">
        <f>INDEX('01_FASTPPH'!$9:$1048576,MATCH($A172,'01_FASTPPH'!$A$9:$A$1048576,0),MATCH(S$9,'01_FASTPPH'!$8:$8,0))</f>
        <v>#N/A</v>
      </c>
      <c r="T172" s="24" t="e">
        <f>INDEX('01_FASTPPH'!$9:$1048576,MATCH($A172,'01_FASTPPH'!$A$9:$A$1048576,0),MATCH(T$9,'01_FASTPPH'!$8:$8,0))</f>
        <v>#N/A</v>
      </c>
      <c r="U172" s="23" t="e">
        <f>INDEX('01_FASTPPH'!$9:$1048576,MATCH($A172,'01_FASTPPH'!$A$9:$A$1048576,0),MATCH(U$9,'01_FASTPPH'!$8:$8,0))</f>
        <v>#N/A</v>
      </c>
      <c r="V172" s="20" t="e">
        <f>INDEX('01_FASTPPH'!$9:$1048576,MATCH($A172,'01_FASTPPH'!$A$9:$A$1048576,0),MATCH(V$9,'01_FASTPPH'!$8:$8,0))</f>
        <v>#N/A</v>
      </c>
      <c r="W172" s="24" t="e">
        <f>INDEX('01_FASTPPH'!$9:$1048576,MATCH($A172,'01_FASTPPH'!$A$9:$A$1048576,0),MATCH(W$9,'01_FASTPPH'!$8:$8,0))</f>
        <v>#N/A</v>
      </c>
      <c r="X172" s="20" t="e">
        <f>INDEX('01_FASTPPH'!$9:$1048576,MATCH($A172,'01_FASTPPH'!$A$9:$A$1048576,0),MATCH(X$9,'01_FASTPPH'!$8:$8,0))</f>
        <v>#N/A</v>
      </c>
      <c r="Y172" s="20" t="e">
        <f>INDEX('01_FASTPPH'!$9:$1048576,MATCH($A172,'01_FASTPPH'!$A$9:$A$1048576,0),MATCH(Y$9,'01_FASTPPH'!$8:$8,0))</f>
        <v>#N/A</v>
      </c>
      <c r="AA172" s="32" t="e">
        <f>INDEX('02_PROPERTIES'!$C$10:$I$1048576,MATCH('03_CALCULATIONS'!$D172,'02_PROPERTIES'!$C$10:$C$1048576,0),MATCH('03_CALCULATIONS'!AA$9,'02_PROPERTIES'!$C$10:$I$10,0))</f>
        <v>#N/A</v>
      </c>
      <c r="AB172" s="20" t="e">
        <f>INDEX('02_PROPERTIES'!$C$10:$I$1048576,MATCH('03_CALCULATIONS'!$D172,'02_PROPERTIES'!$C$10:$C$1048576,0),MATCH('03_CALCULATIONS'!AB$9,'02_PROPERTIES'!$C$10:$I$10,0))</f>
        <v>#N/A</v>
      </c>
      <c r="AC172" s="20" t="e">
        <f>INDEX('02_PROPERTIES'!$C$10:$I$1048576,MATCH('03_CALCULATIONS'!$D172,'02_PROPERTIES'!$C$10:$C$1048576,0),MATCH('03_CALCULATIONS'!AC$9,'02_PROPERTIES'!$C$10:$I$10,0))</f>
        <v>#N/A</v>
      </c>
      <c r="AD172" s="20" t="e">
        <f>INDEX('02_PROPERTIES'!$C$10:$I$1048576,MATCH('03_CALCULATIONS'!$D172,'02_PROPERTIES'!$C$10:$C$1048576,0),MATCH('03_CALCULATIONS'!AD$9,'02_PROPERTIES'!$C$10:$I$10,0))</f>
        <v>#N/A</v>
      </c>
      <c r="AE172" s="32" t="e">
        <f>INDEX('02_PROPERTIES'!$C$10:$I$1048576,MATCH('03_CALCULATIONS'!$D172,'02_PROPERTIES'!$C$10:$C$1048576,0),MATCH('03_CALCULATIONS'!AE$9,'02_PROPERTIES'!$C$10:$I$10,0))</f>
        <v>#N/A</v>
      </c>
      <c r="AF172" s="32" t="e">
        <f>INDEX('02_PROPERTIES'!$C$10:$I$1048576,MATCH('03_CALCULATIONS'!$D172,'02_PROPERTIES'!$C$10:$C$1048576,0),MATCH('03_CALCULATIONS'!AF$9,'02_PROPERTIES'!$C$10:$I$10,0))</f>
        <v>#N/A</v>
      </c>
      <c r="AH172" s="20" t="e">
        <f t="shared" si="22"/>
        <v>#N/A</v>
      </c>
      <c r="AI172" s="20" t="e">
        <f t="shared" si="23"/>
        <v>#N/A</v>
      </c>
      <c r="AJ172" s="20" t="e">
        <f t="shared" si="24"/>
        <v>#N/A</v>
      </c>
      <c r="AL172" s="20" t="e">
        <f t="shared" si="25"/>
        <v>#N/A</v>
      </c>
      <c r="AM172" s="20" t="e">
        <f t="shared" si="26"/>
        <v>#N/A</v>
      </c>
      <c r="AN172" s="20" t="e">
        <f t="shared" si="27"/>
        <v>#N/A</v>
      </c>
      <c r="AO172" s="20" t="e">
        <f t="shared" si="28"/>
        <v>#N/A</v>
      </c>
      <c r="AP172" s="20" t="e">
        <f t="shared" si="29"/>
        <v>#N/A</v>
      </c>
      <c r="AR172" s="20" t="e">
        <f t="shared" si="30"/>
        <v>#N/A</v>
      </c>
      <c r="AS172" s="20" t="e">
        <f t="shared" si="31"/>
        <v>#N/A</v>
      </c>
      <c r="AT172" s="20" t="e">
        <f t="shared" si="32"/>
        <v>#N/A</v>
      </c>
    </row>
    <row r="173" spans="1:46" x14ac:dyDescent="0.3">
      <c r="A173" s="18"/>
      <c r="B173" s="20" t="e">
        <f>INDEX('01_FASTPPH'!$9:$1048576,MATCH($A173,'01_FASTPPH'!$A$9:$A$1048576,0),MATCH(B$9,'01_FASTPPH'!$8:$8,0))</f>
        <v>#N/A</v>
      </c>
      <c r="C173" s="20" t="e">
        <f>INDEX('01_FASTPPH'!$9:$1048576,MATCH($A173,'01_FASTPPH'!$A$9:$A$1048576,0),MATCH(C$9,'01_FASTPPH'!$8:$8,0))</f>
        <v>#N/A</v>
      </c>
      <c r="D173" s="20" t="e">
        <f>INDEX('01_FASTPPH'!$9:$1048576,MATCH($A173,'01_FASTPPH'!$A$9:$A$1048576,0),MATCH(D$9,'01_FASTPPH'!$8:$8,0))</f>
        <v>#N/A</v>
      </c>
      <c r="E173" s="20" t="e">
        <f>INDEX('01_FASTPPH'!$9:$1048576,MATCH($A173,'01_FASTPPH'!$A$9:$A$1048576,0),MATCH(E$9,'01_FASTPPH'!$8:$8,0))</f>
        <v>#N/A</v>
      </c>
      <c r="F173" s="20" t="e">
        <f>INDEX('01_FASTPPH'!$9:$1048576,MATCH($A173,'01_FASTPPH'!$A$9:$A$1048576,0),MATCH(F$9,'01_FASTPPH'!$8:$8,0))</f>
        <v>#N/A</v>
      </c>
      <c r="G173" s="20" t="e">
        <f>INDEX('01_FASTPPH'!$9:$1048576,MATCH($A173,'01_FASTPPH'!$A$9:$A$1048576,0),MATCH(G$9,'01_FASTPPH'!$8:$8,0))</f>
        <v>#N/A</v>
      </c>
      <c r="H173" s="20" t="e">
        <f>INDEX('01_FASTPPH'!$9:$1048576,MATCH($A173,'01_FASTPPH'!$A$9:$A$1048576,0),MATCH(H$9,'01_FASTPPH'!$8:$8,0))</f>
        <v>#N/A</v>
      </c>
      <c r="I173" s="20" t="e">
        <f>INDEX('01_FASTPPH'!$9:$1048576,MATCH($A173,'01_FASTPPH'!$A$9:$A$1048576,0),MATCH(I$9,'01_FASTPPH'!$8:$8,0))</f>
        <v>#N/A</v>
      </c>
      <c r="J173" s="20" t="e">
        <f>INDEX('01_FASTPPH'!$9:$1048576,MATCH($A173,'01_FASTPPH'!$A$9:$A$1048576,0),MATCH(J$9,'01_FASTPPH'!$8:$8,0))</f>
        <v>#N/A</v>
      </c>
      <c r="K173" s="23" t="e">
        <f>INDEX('01_FASTPPH'!$9:$1048576,MATCH($A173,'01_FASTPPH'!$A$9:$A$1048576,0),MATCH(K$9,'01_FASTPPH'!$8:$8,0))</f>
        <v>#N/A</v>
      </c>
      <c r="L173" s="20" t="e">
        <f>INDEX('01_FASTPPH'!$9:$1048576,MATCH($A173,'01_FASTPPH'!$A$9:$A$1048576,0),MATCH(L$9,'01_FASTPPH'!$8:$8,0))</f>
        <v>#N/A</v>
      </c>
      <c r="M173" s="20" t="e">
        <f>INDEX('01_FASTPPH'!$9:$1048576,MATCH($A173,'01_FASTPPH'!$A$9:$A$1048576,0),MATCH(M$9,'01_FASTPPH'!$8:$8,0))</f>
        <v>#N/A</v>
      </c>
      <c r="N173" s="24" t="e">
        <f>INDEX('01_FASTPPH'!$9:$1048576,MATCH($A173,'01_FASTPPH'!$A$9:$A$1048576,0),MATCH(N$9,'01_FASTPPH'!$8:$8,0))</f>
        <v>#N/A</v>
      </c>
      <c r="O173" s="23" t="e">
        <f>INDEX('01_FASTPPH'!$9:$1048576,MATCH($A173,'01_FASTPPH'!$A$9:$A$1048576,0),MATCH(O$9,'01_FASTPPH'!$8:$8,0))</f>
        <v>#N/A</v>
      </c>
      <c r="P173" s="20" t="e">
        <f>INDEX('01_FASTPPH'!$9:$1048576,MATCH($A173,'01_FASTPPH'!$A$9:$A$1048576,0),MATCH(P$9,'01_FASTPPH'!$8:$8,0))</f>
        <v>#N/A</v>
      </c>
      <c r="Q173" s="20" t="e">
        <f>INDEX('01_FASTPPH'!$9:$1048576,MATCH($A173,'01_FASTPPH'!$A$9:$A$1048576,0),MATCH(Q$9,'01_FASTPPH'!$8:$8,0))</f>
        <v>#N/A</v>
      </c>
      <c r="R173" s="20" t="e">
        <f>INDEX('01_FASTPPH'!$9:$1048576,MATCH($A173,'01_FASTPPH'!$A$9:$A$1048576,0),MATCH(R$9,'01_FASTPPH'!$8:$8,0))</f>
        <v>#N/A</v>
      </c>
      <c r="S173" s="20" t="e">
        <f>INDEX('01_FASTPPH'!$9:$1048576,MATCH($A173,'01_FASTPPH'!$A$9:$A$1048576,0),MATCH(S$9,'01_FASTPPH'!$8:$8,0))</f>
        <v>#N/A</v>
      </c>
      <c r="T173" s="24" t="e">
        <f>INDEX('01_FASTPPH'!$9:$1048576,MATCH($A173,'01_FASTPPH'!$A$9:$A$1048576,0),MATCH(T$9,'01_FASTPPH'!$8:$8,0))</f>
        <v>#N/A</v>
      </c>
      <c r="U173" s="23" t="e">
        <f>INDEX('01_FASTPPH'!$9:$1048576,MATCH($A173,'01_FASTPPH'!$A$9:$A$1048576,0),MATCH(U$9,'01_FASTPPH'!$8:$8,0))</f>
        <v>#N/A</v>
      </c>
      <c r="V173" s="20" t="e">
        <f>INDEX('01_FASTPPH'!$9:$1048576,MATCH($A173,'01_FASTPPH'!$A$9:$A$1048576,0),MATCH(V$9,'01_FASTPPH'!$8:$8,0))</f>
        <v>#N/A</v>
      </c>
      <c r="W173" s="24" t="e">
        <f>INDEX('01_FASTPPH'!$9:$1048576,MATCH($A173,'01_FASTPPH'!$A$9:$A$1048576,0),MATCH(W$9,'01_FASTPPH'!$8:$8,0))</f>
        <v>#N/A</v>
      </c>
      <c r="X173" s="20" t="e">
        <f>INDEX('01_FASTPPH'!$9:$1048576,MATCH($A173,'01_FASTPPH'!$A$9:$A$1048576,0),MATCH(X$9,'01_FASTPPH'!$8:$8,0))</f>
        <v>#N/A</v>
      </c>
      <c r="Y173" s="20" t="e">
        <f>INDEX('01_FASTPPH'!$9:$1048576,MATCH($A173,'01_FASTPPH'!$A$9:$A$1048576,0),MATCH(Y$9,'01_FASTPPH'!$8:$8,0))</f>
        <v>#N/A</v>
      </c>
      <c r="AA173" s="32" t="e">
        <f>INDEX('02_PROPERTIES'!$C$10:$I$1048576,MATCH('03_CALCULATIONS'!$D173,'02_PROPERTIES'!$C$10:$C$1048576,0),MATCH('03_CALCULATIONS'!AA$9,'02_PROPERTIES'!$C$10:$I$10,0))</f>
        <v>#N/A</v>
      </c>
      <c r="AB173" s="20" t="e">
        <f>INDEX('02_PROPERTIES'!$C$10:$I$1048576,MATCH('03_CALCULATIONS'!$D173,'02_PROPERTIES'!$C$10:$C$1048576,0),MATCH('03_CALCULATIONS'!AB$9,'02_PROPERTIES'!$C$10:$I$10,0))</f>
        <v>#N/A</v>
      </c>
      <c r="AC173" s="20" t="e">
        <f>INDEX('02_PROPERTIES'!$C$10:$I$1048576,MATCH('03_CALCULATIONS'!$D173,'02_PROPERTIES'!$C$10:$C$1048576,0),MATCH('03_CALCULATIONS'!AC$9,'02_PROPERTIES'!$C$10:$I$10,0))</f>
        <v>#N/A</v>
      </c>
      <c r="AD173" s="20" t="e">
        <f>INDEX('02_PROPERTIES'!$C$10:$I$1048576,MATCH('03_CALCULATIONS'!$D173,'02_PROPERTIES'!$C$10:$C$1048576,0),MATCH('03_CALCULATIONS'!AD$9,'02_PROPERTIES'!$C$10:$I$10,0))</f>
        <v>#N/A</v>
      </c>
      <c r="AE173" s="32" t="e">
        <f>INDEX('02_PROPERTIES'!$C$10:$I$1048576,MATCH('03_CALCULATIONS'!$D173,'02_PROPERTIES'!$C$10:$C$1048576,0),MATCH('03_CALCULATIONS'!AE$9,'02_PROPERTIES'!$C$10:$I$10,0))</f>
        <v>#N/A</v>
      </c>
      <c r="AF173" s="32" t="e">
        <f>INDEX('02_PROPERTIES'!$C$10:$I$1048576,MATCH('03_CALCULATIONS'!$D173,'02_PROPERTIES'!$C$10:$C$1048576,0),MATCH('03_CALCULATIONS'!AF$9,'02_PROPERTIES'!$C$10:$I$10,0))</f>
        <v>#N/A</v>
      </c>
      <c r="AH173" s="20" t="e">
        <f t="shared" si="22"/>
        <v>#N/A</v>
      </c>
      <c r="AI173" s="20" t="e">
        <f t="shared" si="23"/>
        <v>#N/A</v>
      </c>
      <c r="AJ173" s="20" t="e">
        <f t="shared" si="24"/>
        <v>#N/A</v>
      </c>
      <c r="AL173" s="20" t="e">
        <f t="shared" si="25"/>
        <v>#N/A</v>
      </c>
      <c r="AM173" s="20" t="e">
        <f t="shared" si="26"/>
        <v>#N/A</v>
      </c>
      <c r="AN173" s="20" t="e">
        <f t="shared" si="27"/>
        <v>#N/A</v>
      </c>
      <c r="AO173" s="20" t="e">
        <f t="shared" si="28"/>
        <v>#N/A</v>
      </c>
      <c r="AP173" s="20" t="e">
        <f t="shared" si="29"/>
        <v>#N/A</v>
      </c>
      <c r="AR173" s="20" t="e">
        <f t="shared" si="30"/>
        <v>#N/A</v>
      </c>
      <c r="AS173" s="20" t="e">
        <f t="shared" si="31"/>
        <v>#N/A</v>
      </c>
      <c r="AT173" s="20" t="e">
        <f t="shared" si="32"/>
        <v>#N/A</v>
      </c>
    </row>
    <row r="174" spans="1:46" x14ac:dyDescent="0.3">
      <c r="A174" s="18"/>
      <c r="B174" s="20" t="e">
        <f>INDEX('01_FASTPPH'!$9:$1048576,MATCH($A174,'01_FASTPPH'!$A$9:$A$1048576,0),MATCH(B$9,'01_FASTPPH'!$8:$8,0))</f>
        <v>#N/A</v>
      </c>
      <c r="C174" s="20" t="e">
        <f>INDEX('01_FASTPPH'!$9:$1048576,MATCH($A174,'01_FASTPPH'!$A$9:$A$1048576,0),MATCH(C$9,'01_FASTPPH'!$8:$8,0))</f>
        <v>#N/A</v>
      </c>
      <c r="D174" s="20" t="e">
        <f>INDEX('01_FASTPPH'!$9:$1048576,MATCH($A174,'01_FASTPPH'!$A$9:$A$1048576,0),MATCH(D$9,'01_FASTPPH'!$8:$8,0))</f>
        <v>#N/A</v>
      </c>
      <c r="E174" s="20" t="e">
        <f>INDEX('01_FASTPPH'!$9:$1048576,MATCH($A174,'01_FASTPPH'!$A$9:$A$1048576,0),MATCH(E$9,'01_FASTPPH'!$8:$8,0))</f>
        <v>#N/A</v>
      </c>
      <c r="F174" s="20" t="e">
        <f>INDEX('01_FASTPPH'!$9:$1048576,MATCH($A174,'01_FASTPPH'!$A$9:$A$1048576,0),MATCH(F$9,'01_FASTPPH'!$8:$8,0))</f>
        <v>#N/A</v>
      </c>
      <c r="G174" s="20" t="e">
        <f>INDEX('01_FASTPPH'!$9:$1048576,MATCH($A174,'01_FASTPPH'!$A$9:$A$1048576,0),MATCH(G$9,'01_FASTPPH'!$8:$8,0))</f>
        <v>#N/A</v>
      </c>
      <c r="H174" s="20" t="e">
        <f>INDEX('01_FASTPPH'!$9:$1048576,MATCH($A174,'01_FASTPPH'!$A$9:$A$1048576,0),MATCH(H$9,'01_FASTPPH'!$8:$8,0))</f>
        <v>#N/A</v>
      </c>
      <c r="I174" s="20" t="e">
        <f>INDEX('01_FASTPPH'!$9:$1048576,MATCH($A174,'01_FASTPPH'!$A$9:$A$1048576,0),MATCH(I$9,'01_FASTPPH'!$8:$8,0))</f>
        <v>#N/A</v>
      </c>
      <c r="J174" s="20" t="e">
        <f>INDEX('01_FASTPPH'!$9:$1048576,MATCH($A174,'01_FASTPPH'!$A$9:$A$1048576,0),MATCH(J$9,'01_FASTPPH'!$8:$8,0))</f>
        <v>#N/A</v>
      </c>
      <c r="K174" s="23" t="e">
        <f>INDEX('01_FASTPPH'!$9:$1048576,MATCH($A174,'01_FASTPPH'!$A$9:$A$1048576,0),MATCH(K$9,'01_FASTPPH'!$8:$8,0))</f>
        <v>#N/A</v>
      </c>
      <c r="L174" s="20" t="e">
        <f>INDEX('01_FASTPPH'!$9:$1048576,MATCH($A174,'01_FASTPPH'!$A$9:$A$1048576,0),MATCH(L$9,'01_FASTPPH'!$8:$8,0))</f>
        <v>#N/A</v>
      </c>
      <c r="M174" s="20" t="e">
        <f>INDEX('01_FASTPPH'!$9:$1048576,MATCH($A174,'01_FASTPPH'!$A$9:$A$1048576,0),MATCH(M$9,'01_FASTPPH'!$8:$8,0))</f>
        <v>#N/A</v>
      </c>
      <c r="N174" s="24" t="e">
        <f>INDEX('01_FASTPPH'!$9:$1048576,MATCH($A174,'01_FASTPPH'!$A$9:$A$1048576,0),MATCH(N$9,'01_FASTPPH'!$8:$8,0))</f>
        <v>#N/A</v>
      </c>
      <c r="O174" s="23" t="e">
        <f>INDEX('01_FASTPPH'!$9:$1048576,MATCH($A174,'01_FASTPPH'!$A$9:$A$1048576,0),MATCH(O$9,'01_FASTPPH'!$8:$8,0))</f>
        <v>#N/A</v>
      </c>
      <c r="P174" s="20" t="e">
        <f>INDEX('01_FASTPPH'!$9:$1048576,MATCH($A174,'01_FASTPPH'!$A$9:$A$1048576,0),MATCH(P$9,'01_FASTPPH'!$8:$8,0))</f>
        <v>#N/A</v>
      </c>
      <c r="Q174" s="20" t="e">
        <f>INDEX('01_FASTPPH'!$9:$1048576,MATCH($A174,'01_FASTPPH'!$A$9:$A$1048576,0),MATCH(Q$9,'01_FASTPPH'!$8:$8,0))</f>
        <v>#N/A</v>
      </c>
      <c r="R174" s="20" t="e">
        <f>INDEX('01_FASTPPH'!$9:$1048576,MATCH($A174,'01_FASTPPH'!$A$9:$A$1048576,0),MATCH(R$9,'01_FASTPPH'!$8:$8,0))</f>
        <v>#N/A</v>
      </c>
      <c r="S174" s="20" t="e">
        <f>INDEX('01_FASTPPH'!$9:$1048576,MATCH($A174,'01_FASTPPH'!$A$9:$A$1048576,0),MATCH(S$9,'01_FASTPPH'!$8:$8,0))</f>
        <v>#N/A</v>
      </c>
      <c r="T174" s="24" t="e">
        <f>INDEX('01_FASTPPH'!$9:$1048576,MATCH($A174,'01_FASTPPH'!$A$9:$A$1048576,0),MATCH(T$9,'01_FASTPPH'!$8:$8,0))</f>
        <v>#N/A</v>
      </c>
      <c r="U174" s="23" t="e">
        <f>INDEX('01_FASTPPH'!$9:$1048576,MATCH($A174,'01_FASTPPH'!$A$9:$A$1048576,0),MATCH(U$9,'01_FASTPPH'!$8:$8,0))</f>
        <v>#N/A</v>
      </c>
      <c r="V174" s="20" t="e">
        <f>INDEX('01_FASTPPH'!$9:$1048576,MATCH($A174,'01_FASTPPH'!$A$9:$A$1048576,0),MATCH(V$9,'01_FASTPPH'!$8:$8,0))</f>
        <v>#N/A</v>
      </c>
      <c r="W174" s="24" t="e">
        <f>INDEX('01_FASTPPH'!$9:$1048576,MATCH($A174,'01_FASTPPH'!$A$9:$A$1048576,0),MATCH(W$9,'01_FASTPPH'!$8:$8,0))</f>
        <v>#N/A</v>
      </c>
      <c r="X174" s="20" t="e">
        <f>INDEX('01_FASTPPH'!$9:$1048576,MATCH($A174,'01_FASTPPH'!$A$9:$A$1048576,0),MATCH(X$9,'01_FASTPPH'!$8:$8,0))</f>
        <v>#N/A</v>
      </c>
      <c r="Y174" s="20" t="e">
        <f>INDEX('01_FASTPPH'!$9:$1048576,MATCH($A174,'01_FASTPPH'!$A$9:$A$1048576,0),MATCH(Y$9,'01_FASTPPH'!$8:$8,0))</f>
        <v>#N/A</v>
      </c>
      <c r="AA174" s="32" t="e">
        <f>INDEX('02_PROPERTIES'!$C$10:$I$1048576,MATCH('03_CALCULATIONS'!$D174,'02_PROPERTIES'!$C$10:$C$1048576,0),MATCH('03_CALCULATIONS'!AA$9,'02_PROPERTIES'!$C$10:$I$10,0))</f>
        <v>#N/A</v>
      </c>
      <c r="AB174" s="20" t="e">
        <f>INDEX('02_PROPERTIES'!$C$10:$I$1048576,MATCH('03_CALCULATIONS'!$D174,'02_PROPERTIES'!$C$10:$C$1048576,0),MATCH('03_CALCULATIONS'!AB$9,'02_PROPERTIES'!$C$10:$I$10,0))</f>
        <v>#N/A</v>
      </c>
      <c r="AC174" s="20" t="e">
        <f>INDEX('02_PROPERTIES'!$C$10:$I$1048576,MATCH('03_CALCULATIONS'!$D174,'02_PROPERTIES'!$C$10:$C$1048576,0),MATCH('03_CALCULATIONS'!AC$9,'02_PROPERTIES'!$C$10:$I$10,0))</f>
        <v>#N/A</v>
      </c>
      <c r="AD174" s="20" t="e">
        <f>INDEX('02_PROPERTIES'!$C$10:$I$1048576,MATCH('03_CALCULATIONS'!$D174,'02_PROPERTIES'!$C$10:$C$1048576,0),MATCH('03_CALCULATIONS'!AD$9,'02_PROPERTIES'!$C$10:$I$10,0))</f>
        <v>#N/A</v>
      </c>
      <c r="AE174" s="32" t="e">
        <f>INDEX('02_PROPERTIES'!$C$10:$I$1048576,MATCH('03_CALCULATIONS'!$D174,'02_PROPERTIES'!$C$10:$C$1048576,0),MATCH('03_CALCULATIONS'!AE$9,'02_PROPERTIES'!$C$10:$I$10,0))</f>
        <v>#N/A</v>
      </c>
      <c r="AF174" s="32" t="e">
        <f>INDEX('02_PROPERTIES'!$C$10:$I$1048576,MATCH('03_CALCULATIONS'!$D174,'02_PROPERTIES'!$C$10:$C$1048576,0),MATCH('03_CALCULATIONS'!AF$9,'02_PROPERTIES'!$C$10:$I$10,0))</f>
        <v>#N/A</v>
      </c>
      <c r="AH174" s="20" t="e">
        <f t="shared" si="22"/>
        <v>#N/A</v>
      </c>
      <c r="AI174" s="20" t="e">
        <f t="shared" si="23"/>
        <v>#N/A</v>
      </c>
      <c r="AJ174" s="20" t="e">
        <f t="shared" si="24"/>
        <v>#N/A</v>
      </c>
      <c r="AL174" s="20" t="e">
        <f t="shared" si="25"/>
        <v>#N/A</v>
      </c>
      <c r="AM174" s="20" t="e">
        <f t="shared" si="26"/>
        <v>#N/A</v>
      </c>
      <c r="AN174" s="20" t="e">
        <f t="shared" si="27"/>
        <v>#N/A</v>
      </c>
      <c r="AO174" s="20" t="e">
        <f t="shared" si="28"/>
        <v>#N/A</v>
      </c>
      <c r="AP174" s="20" t="e">
        <f t="shared" si="29"/>
        <v>#N/A</v>
      </c>
      <c r="AR174" s="20" t="e">
        <f t="shared" si="30"/>
        <v>#N/A</v>
      </c>
      <c r="AS174" s="20" t="e">
        <f t="shared" si="31"/>
        <v>#N/A</v>
      </c>
      <c r="AT174" s="20" t="e">
        <f t="shared" si="32"/>
        <v>#N/A</v>
      </c>
    </row>
    <row r="175" spans="1:46" x14ac:dyDescent="0.3">
      <c r="A175" s="18"/>
      <c r="B175" s="20" t="e">
        <f>INDEX('01_FASTPPH'!$9:$1048576,MATCH($A175,'01_FASTPPH'!$A$9:$A$1048576,0),MATCH(B$9,'01_FASTPPH'!$8:$8,0))</f>
        <v>#N/A</v>
      </c>
      <c r="C175" s="20" t="e">
        <f>INDEX('01_FASTPPH'!$9:$1048576,MATCH($A175,'01_FASTPPH'!$A$9:$A$1048576,0),MATCH(C$9,'01_FASTPPH'!$8:$8,0))</f>
        <v>#N/A</v>
      </c>
      <c r="D175" s="20" t="e">
        <f>INDEX('01_FASTPPH'!$9:$1048576,MATCH($A175,'01_FASTPPH'!$A$9:$A$1048576,0),MATCH(D$9,'01_FASTPPH'!$8:$8,0))</f>
        <v>#N/A</v>
      </c>
      <c r="E175" s="20" t="e">
        <f>INDEX('01_FASTPPH'!$9:$1048576,MATCH($A175,'01_FASTPPH'!$A$9:$A$1048576,0),MATCH(E$9,'01_FASTPPH'!$8:$8,0))</f>
        <v>#N/A</v>
      </c>
      <c r="F175" s="20" t="e">
        <f>INDEX('01_FASTPPH'!$9:$1048576,MATCH($A175,'01_FASTPPH'!$A$9:$A$1048576,0),MATCH(F$9,'01_FASTPPH'!$8:$8,0))</f>
        <v>#N/A</v>
      </c>
      <c r="G175" s="20" t="e">
        <f>INDEX('01_FASTPPH'!$9:$1048576,MATCH($A175,'01_FASTPPH'!$A$9:$A$1048576,0),MATCH(G$9,'01_FASTPPH'!$8:$8,0))</f>
        <v>#N/A</v>
      </c>
      <c r="H175" s="20" t="e">
        <f>INDEX('01_FASTPPH'!$9:$1048576,MATCH($A175,'01_FASTPPH'!$A$9:$A$1048576,0),MATCH(H$9,'01_FASTPPH'!$8:$8,0))</f>
        <v>#N/A</v>
      </c>
      <c r="I175" s="20" t="e">
        <f>INDEX('01_FASTPPH'!$9:$1048576,MATCH($A175,'01_FASTPPH'!$A$9:$A$1048576,0),MATCH(I$9,'01_FASTPPH'!$8:$8,0))</f>
        <v>#N/A</v>
      </c>
      <c r="J175" s="20" t="e">
        <f>INDEX('01_FASTPPH'!$9:$1048576,MATCH($A175,'01_FASTPPH'!$A$9:$A$1048576,0),MATCH(J$9,'01_FASTPPH'!$8:$8,0))</f>
        <v>#N/A</v>
      </c>
      <c r="K175" s="23" t="e">
        <f>INDEX('01_FASTPPH'!$9:$1048576,MATCH($A175,'01_FASTPPH'!$A$9:$A$1048576,0),MATCH(K$9,'01_FASTPPH'!$8:$8,0))</f>
        <v>#N/A</v>
      </c>
      <c r="L175" s="20" t="e">
        <f>INDEX('01_FASTPPH'!$9:$1048576,MATCH($A175,'01_FASTPPH'!$A$9:$A$1048576,0),MATCH(L$9,'01_FASTPPH'!$8:$8,0))</f>
        <v>#N/A</v>
      </c>
      <c r="M175" s="20" t="e">
        <f>INDEX('01_FASTPPH'!$9:$1048576,MATCH($A175,'01_FASTPPH'!$A$9:$A$1048576,0),MATCH(M$9,'01_FASTPPH'!$8:$8,0))</f>
        <v>#N/A</v>
      </c>
      <c r="N175" s="24" t="e">
        <f>INDEX('01_FASTPPH'!$9:$1048576,MATCH($A175,'01_FASTPPH'!$A$9:$A$1048576,0),MATCH(N$9,'01_FASTPPH'!$8:$8,0))</f>
        <v>#N/A</v>
      </c>
      <c r="O175" s="23" t="e">
        <f>INDEX('01_FASTPPH'!$9:$1048576,MATCH($A175,'01_FASTPPH'!$A$9:$A$1048576,0),MATCH(O$9,'01_FASTPPH'!$8:$8,0))</f>
        <v>#N/A</v>
      </c>
      <c r="P175" s="20" t="e">
        <f>INDEX('01_FASTPPH'!$9:$1048576,MATCH($A175,'01_FASTPPH'!$A$9:$A$1048576,0),MATCH(P$9,'01_FASTPPH'!$8:$8,0))</f>
        <v>#N/A</v>
      </c>
      <c r="Q175" s="20" t="e">
        <f>INDEX('01_FASTPPH'!$9:$1048576,MATCH($A175,'01_FASTPPH'!$A$9:$A$1048576,0),MATCH(Q$9,'01_FASTPPH'!$8:$8,0))</f>
        <v>#N/A</v>
      </c>
      <c r="R175" s="20" t="e">
        <f>INDEX('01_FASTPPH'!$9:$1048576,MATCH($A175,'01_FASTPPH'!$A$9:$A$1048576,0),MATCH(R$9,'01_FASTPPH'!$8:$8,0))</f>
        <v>#N/A</v>
      </c>
      <c r="S175" s="20" t="e">
        <f>INDEX('01_FASTPPH'!$9:$1048576,MATCH($A175,'01_FASTPPH'!$A$9:$A$1048576,0),MATCH(S$9,'01_FASTPPH'!$8:$8,0))</f>
        <v>#N/A</v>
      </c>
      <c r="T175" s="24" t="e">
        <f>INDEX('01_FASTPPH'!$9:$1048576,MATCH($A175,'01_FASTPPH'!$A$9:$A$1048576,0),MATCH(T$9,'01_FASTPPH'!$8:$8,0))</f>
        <v>#N/A</v>
      </c>
      <c r="U175" s="23" t="e">
        <f>INDEX('01_FASTPPH'!$9:$1048576,MATCH($A175,'01_FASTPPH'!$A$9:$A$1048576,0),MATCH(U$9,'01_FASTPPH'!$8:$8,0))</f>
        <v>#N/A</v>
      </c>
      <c r="V175" s="20" t="e">
        <f>INDEX('01_FASTPPH'!$9:$1048576,MATCH($A175,'01_FASTPPH'!$A$9:$A$1048576,0),MATCH(V$9,'01_FASTPPH'!$8:$8,0))</f>
        <v>#N/A</v>
      </c>
      <c r="W175" s="24" t="e">
        <f>INDEX('01_FASTPPH'!$9:$1048576,MATCH($A175,'01_FASTPPH'!$A$9:$A$1048576,0),MATCH(W$9,'01_FASTPPH'!$8:$8,0))</f>
        <v>#N/A</v>
      </c>
      <c r="X175" s="20" t="e">
        <f>INDEX('01_FASTPPH'!$9:$1048576,MATCH($A175,'01_FASTPPH'!$A$9:$A$1048576,0),MATCH(X$9,'01_FASTPPH'!$8:$8,0))</f>
        <v>#N/A</v>
      </c>
      <c r="Y175" s="20" t="e">
        <f>INDEX('01_FASTPPH'!$9:$1048576,MATCH($A175,'01_FASTPPH'!$A$9:$A$1048576,0),MATCH(Y$9,'01_FASTPPH'!$8:$8,0))</f>
        <v>#N/A</v>
      </c>
      <c r="AA175" s="32" t="e">
        <f>INDEX('02_PROPERTIES'!$C$10:$I$1048576,MATCH('03_CALCULATIONS'!$D175,'02_PROPERTIES'!$C$10:$C$1048576,0),MATCH('03_CALCULATIONS'!AA$9,'02_PROPERTIES'!$C$10:$I$10,0))</f>
        <v>#N/A</v>
      </c>
      <c r="AB175" s="20" t="e">
        <f>INDEX('02_PROPERTIES'!$C$10:$I$1048576,MATCH('03_CALCULATIONS'!$D175,'02_PROPERTIES'!$C$10:$C$1048576,0),MATCH('03_CALCULATIONS'!AB$9,'02_PROPERTIES'!$C$10:$I$10,0))</f>
        <v>#N/A</v>
      </c>
      <c r="AC175" s="20" t="e">
        <f>INDEX('02_PROPERTIES'!$C$10:$I$1048576,MATCH('03_CALCULATIONS'!$D175,'02_PROPERTIES'!$C$10:$C$1048576,0),MATCH('03_CALCULATIONS'!AC$9,'02_PROPERTIES'!$C$10:$I$10,0))</f>
        <v>#N/A</v>
      </c>
      <c r="AD175" s="20" t="e">
        <f>INDEX('02_PROPERTIES'!$C$10:$I$1048576,MATCH('03_CALCULATIONS'!$D175,'02_PROPERTIES'!$C$10:$C$1048576,0),MATCH('03_CALCULATIONS'!AD$9,'02_PROPERTIES'!$C$10:$I$10,0))</f>
        <v>#N/A</v>
      </c>
      <c r="AE175" s="32" t="e">
        <f>INDEX('02_PROPERTIES'!$C$10:$I$1048576,MATCH('03_CALCULATIONS'!$D175,'02_PROPERTIES'!$C$10:$C$1048576,0),MATCH('03_CALCULATIONS'!AE$9,'02_PROPERTIES'!$C$10:$I$10,0))</f>
        <v>#N/A</v>
      </c>
      <c r="AF175" s="32" t="e">
        <f>INDEX('02_PROPERTIES'!$C$10:$I$1048576,MATCH('03_CALCULATIONS'!$D175,'02_PROPERTIES'!$C$10:$C$1048576,0),MATCH('03_CALCULATIONS'!AF$9,'02_PROPERTIES'!$C$10:$I$10,0))</f>
        <v>#N/A</v>
      </c>
      <c r="AH175" s="20" t="e">
        <f t="shared" si="22"/>
        <v>#N/A</v>
      </c>
      <c r="AI175" s="20" t="e">
        <f t="shared" si="23"/>
        <v>#N/A</v>
      </c>
      <c r="AJ175" s="20" t="e">
        <f t="shared" si="24"/>
        <v>#N/A</v>
      </c>
      <c r="AL175" s="20" t="e">
        <f t="shared" si="25"/>
        <v>#N/A</v>
      </c>
      <c r="AM175" s="20" t="e">
        <f t="shared" si="26"/>
        <v>#N/A</v>
      </c>
      <c r="AN175" s="20" t="e">
        <f t="shared" si="27"/>
        <v>#N/A</v>
      </c>
      <c r="AO175" s="20" t="e">
        <f t="shared" si="28"/>
        <v>#N/A</v>
      </c>
      <c r="AP175" s="20" t="e">
        <f t="shared" si="29"/>
        <v>#N/A</v>
      </c>
      <c r="AR175" s="20" t="e">
        <f t="shared" si="30"/>
        <v>#N/A</v>
      </c>
      <c r="AS175" s="20" t="e">
        <f t="shared" si="31"/>
        <v>#N/A</v>
      </c>
      <c r="AT175" s="20" t="e">
        <f t="shared" si="32"/>
        <v>#N/A</v>
      </c>
    </row>
    <row r="176" spans="1:46" x14ac:dyDescent="0.3">
      <c r="A176" s="18"/>
      <c r="B176" s="20" t="e">
        <f>INDEX('01_FASTPPH'!$9:$1048576,MATCH($A176,'01_FASTPPH'!$A$9:$A$1048576,0),MATCH(B$9,'01_FASTPPH'!$8:$8,0))</f>
        <v>#N/A</v>
      </c>
      <c r="C176" s="20" t="e">
        <f>INDEX('01_FASTPPH'!$9:$1048576,MATCH($A176,'01_FASTPPH'!$A$9:$A$1048576,0),MATCH(C$9,'01_FASTPPH'!$8:$8,0))</f>
        <v>#N/A</v>
      </c>
      <c r="D176" s="20" t="e">
        <f>INDEX('01_FASTPPH'!$9:$1048576,MATCH($A176,'01_FASTPPH'!$A$9:$A$1048576,0),MATCH(D$9,'01_FASTPPH'!$8:$8,0))</f>
        <v>#N/A</v>
      </c>
      <c r="E176" s="20" t="e">
        <f>INDEX('01_FASTPPH'!$9:$1048576,MATCH($A176,'01_FASTPPH'!$A$9:$A$1048576,0),MATCH(E$9,'01_FASTPPH'!$8:$8,0))</f>
        <v>#N/A</v>
      </c>
      <c r="F176" s="20" t="e">
        <f>INDEX('01_FASTPPH'!$9:$1048576,MATCH($A176,'01_FASTPPH'!$A$9:$A$1048576,0),MATCH(F$9,'01_FASTPPH'!$8:$8,0))</f>
        <v>#N/A</v>
      </c>
      <c r="G176" s="20" t="e">
        <f>INDEX('01_FASTPPH'!$9:$1048576,MATCH($A176,'01_FASTPPH'!$A$9:$A$1048576,0),MATCH(G$9,'01_FASTPPH'!$8:$8,0))</f>
        <v>#N/A</v>
      </c>
      <c r="H176" s="20" t="e">
        <f>INDEX('01_FASTPPH'!$9:$1048576,MATCH($A176,'01_FASTPPH'!$A$9:$A$1048576,0),MATCH(H$9,'01_FASTPPH'!$8:$8,0))</f>
        <v>#N/A</v>
      </c>
      <c r="I176" s="20" t="e">
        <f>INDEX('01_FASTPPH'!$9:$1048576,MATCH($A176,'01_FASTPPH'!$A$9:$A$1048576,0),MATCH(I$9,'01_FASTPPH'!$8:$8,0))</f>
        <v>#N/A</v>
      </c>
      <c r="J176" s="20" t="e">
        <f>INDEX('01_FASTPPH'!$9:$1048576,MATCH($A176,'01_FASTPPH'!$A$9:$A$1048576,0),MATCH(J$9,'01_FASTPPH'!$8:$8,0))</f>
        <v>#N/A</v>
      </c>
      <c r="K176" s="23" t="e">
        <f>INDEX('01_FASTPPH'!$9:$1048576,MATCH($A176,'01_FASTPPH'!$A$9:$A$1048576,0),MATCH(K$9,'01_FASTPPH'!$8:$8,0))</f>
        <v>#N/A</v>
      </c>
      <c r="L176" s="20" t="e">
        <f>INDEX('01_FASTPPH'!$9:$1048576,MATCH($A176,'01_FASTPPH'!$A$9:$A$1048576,0),MATCH(L$9,'01_FASTPPH'!$8:$8,0))</f>
        <v>#N/A</v>
      </c>
      <c r="M176" s="20" t="e">
        <f>INDEX('01_FASTPPH'!$9:$1048576,MATCH($A176,'01_FASTPPH'!$A$9:$A$1048576,0),MATCH(M$9,'01_FASTPPH'!$8:$8,0))</f>
        <v>#N/A</v>
      </c>
      <c r="N176" s="24" t="e">
        <f>INDEX('01_FASTPPH'!$9:$1048576,MATCH($A176,'01_FASTPPH'!$A$9:$A$1048576,0),MATCH(N$9,'01_FASTPPH'!$8:$8,0))</f>
        <v>#N/A</v>
      </c>
      <c r="O176" s="23" t="e">
        <f>INDEX('01_FASTPPH'!$9:$1048576,MATCH($A176,'01_FASTPPH'!$A$9:$A$1048576,0),MATCH(O$9,'01_FASTPPH'!$8:$8,0))</f>
        <v>#N/A</v>
      </c>
      <c r="P176" s="20" t="e">
        <f>INDEX('01_FASTPPH'!$9:$1048576,MATCH($A176,'01_FASTPPH'!$A$9:$A$1048576,0),MATCH(P$9,'01_FASTPPH'!$8:$8,0))</f>
        <v>#N/A</v>
      </c>
      <c r="Q176" s="20" t="e">
        <f>INDEX('01_FASTPPH'!$9:$1048576,MATCH($A176,'01_FASTPPH'!$A$9:$A$1048576,0),MATCH(Q$9,'01_FASTPPH'!$8:$8,0))</f>
        <v>#N/A</v>
      </c>
      <c r="R176" s="20" t="e">
        <f>INDEX('01_FASTPPH'!$9:$1048576,MATCH($A176,'01_FASTPPH'!$A$9:$A$1048576,0),MATCH(R$9,'01_FASTPPH'!$8:$8,0))</f>
        <v>#N/A</v>
      </c>
      <c r="S176" s="20" t="e">
        <f>INDEX('01_FASTPPH'!$9:$1048576,MATCH($A176,'01_FASTPPH'!$A$9:$A$1048576,0),MATCH(S$9,'01_FASTPPH'!$8:$8,0))</f>
        <v>#N/A</v>
      </c>
      <c r="T176" s="24" t="e">
        <f>INDEX('01_FASTPPH'!$9:$1048576,MATCH($A176,'01_FASTPPH'!$A$9:$A$1048576,0),MATCH(T$9,'01_FASTPPH'!$8:$8,0))</f>
        <v>#N/A</v>
      </c>
      <c r="U176" s="23" t="e">
        <f>INDEX('01_FASTPPH'!$9:$1048576,MATCH($A176,'01_FASTPPH'!$A$9:$A$1048576,0),MATCH(U$9,'01_FASTPPH'!$8:$8,0))</f>
        <v>#N/A</v>
      </c>
      <c r="V176" s="20" t="e">
        <f>INDEX('01_FASTPPH'!$9:$1048576,MATCH($A176,'01_FASTPPH'!$A$9:$A$1048576,0),MATCH(V$9,'01_FASTPPH'!$8:$8,0))</f>
        <v>#N/A</v>
      </c>
      <c r="W176" s="24" t="e">
        <f>INDEX('01_FASTPPH'!$9:$1048576,MATCH($A176,'01_FASTPPH'!$A$9:$A$1048576,0),MATCH(W$9,'01_FASTPPH'!$8:$8,0))</f>
        <v>#N/A</v>
      </c>
      <c r="X176" s="20" t="e">
        <f>INDEX('01_FASTPPH'!$9:$1048576,MATCH($A176,'01_FASTPPH'!$A$9:$A$1048576,0),MATCH(X$9,'01_FASTPPH'!$8:$8,0))</f>
        <v>#N/A</v>
      </c>
      <c r="Y176" s="20" t="e">
        <f>INDEX('01_FASTPPH'!$9:$1048576,MATCH($A176,'01_FASTPPH'!$A$9:$A$1048576,0),MATCH(Y$9,'01_FASTPPH'!$8:$8,0))</f>
        <v>#N/A</v>
      </c>
      <c r="AA176" s="32" t="e">
        <f>INDEX('02_PROPERTIES'!$C$10:$I$1048576,MATCH('03_CALCULATIONS'!$D176,'02_PROPERTIES'!$C$10:$C$1048576,0),MATCH('03_CALCULATIONS'!AA$9,'02_PROPERTIES'!$C$10:$I$10,0))</f>
        <v>#N/A</v>
      </c>
      <c r="AB176" s="20" t="e">
        <f>INDEX('02_PROPERTIES'!$C$10:$I$1048576,MATCH('03_CALCULATIONS'!$D176,'02_PROPERTIES'!$C$10:$C$1048576,0),MATCH('03_CALCULATIONS'!AB$9,'02_PROPERTIES'!$C$10:$I$10,0))</f>
        <v>#N/A</v>
      </c>
      <c r="AC176" s="20" t="e">
        <f>INDEX('02_PROPERTIES'!$C$10:$I$1048576,MATCH('03_CALCULATIONS'!$D176,'02_PROPERTIES'!$C$10:$C$1048576,0),MATCH('03_CALCULATIONS'!AC$9,'02_PROPERTIES'!$C$10:$I$10,0))</f>
        <v>#N/A</v>
      </c>
      <c r="AD176" s="20" t="e">
        <f>INDEX('02_PROPERTIES'!$C$10:$I$1048576,MATCH('03_CALCULATIONS'!$D176,'02_PROPERTIES'!$C$10:$C$1048576,0),MATCH('03_CALCULATIONS'!AD$9,'02_PROPERTIES'!$C$10:$I$10,0))</f>
        <v>#N/A</v>
      </c>
      <c r="AE176" s="32" t="e">
        <f>INDEX('02_PROPERTIES'!$C$10:$I$1048576,MATCH('03_CALCULATIONS'!$D176,'02_PROPERTIES'!$C$10:$C$1048576,0),MATCH('03_CALCULATIONS'!AE$9,'02_PROPERTIES'!$C$10:$I$10,0))</f>
        <v>#N/A</v>
      </c>
      <c r="AF176" s="32" t="e">
        <f>INDEX('02_PROPERTIES'!$C$10:$I$1048576,MATCH('03_CALCULATIONS'!$D176,'02_PROPERTIES'!$C$10:$C$1048576,0),MATCH('03_CALCULATIONS'!AF$9,'02_PROPERTIES'!$C$10:$I$10,0))</f>
        <v>#N/A</v>
      </c>
      <c r="AH176" s="20" t="e">
        <f t="shared" si="22"/>
        <v>#N/A</v>
      </c>
      <c r="AI176" s="20" t="e">
        <f t="shared" si="23"/>
        <v>#N/A</v>
      </c>
      <c r="AJ176" s="20" t="e">
        <f t="shared" si="24"/>
        <v>#N/A</v>
      </c>
      <c r="AL176" s="20" t="e">
        <f t="shared" si="25"/>
        <v>#N/A</v>
      </c>
      <c r="AM176" s="20" t="e">
        <f t="shared" si="26"/>
        <v>#N/A</v>
      </c>
      <c r="AN176" s="20" t="e">
        <f t="shared" si="27"/>
        <v>#N/A</v>
      </c>
      <c r="AO176" s="20" t="e">
        <f t="shared" si="28"/>
        <v>#N/A</v>
      </c>
      <c r="AP176" s="20" t="e">
        <f t="shared" si="29"/>
        <v>#N/A</v>
      </c>
      <c r="AR176" s="20" t="e">
        <f t="shared" si="30"/>
        <v>#N/A</v>
      </c>
      <c r="AS176" s="20" t="e">
        <f t="shared" si="31"/>
        <v>#N/A</v>
      </c>
      <c r="AT176" s="20" t="e">
        <f t="shared" si="32"/>
        <v>#N/A</v>
      </c>
    </row>
    <row r="177" spans="1:46" x14ac:dyDescent="0.3">
      <c r="A177" s="18"/>
      <c r="B177" s="20" t="e">
        <f>INDEX('01_FASTPPH'!$9:$1048576,MATCH($A177,'01_FASTPPH'!$A$9:$A$1048576,0),MATCH(B$9,'01_FASTPPH'!$8:$8,0))</f>
        <v>#N/A</v>
      </c>
      <c r="C177" s="20" t="e">
        <f>INDEX('01_FASTPPH'!$9:$1048576,MATCH($A177,'01_FASTPPH'!$A$9:$A$1048576,0),MATCH(C$9,'01_FASTPPH'!$8:$8,0))</f>
        <v>#N/A</v>
      </c>
      <c r="D177" s="20" t="e">
        <f>INDEX('01_FASTPPH'!$9:$1048576,MATCH($A177,'01_FASTPPH'!$A$9:$A$1048576,0),MATCH(D$9,'01_FASTPPH'!$8:$8,0))</f>
        <v>#N/A</v>
      </c>
      <c r="E177" s="20" t="e">
        <f>INDEX('01_FASTPPH'!$9:$1048576,MATCH($A177,'01_FASTPPH'!$A$9:$A$1048576,0),MATCH(E$9,'01_FASTPPH'!$8:$8,0))</f>
        <v>#N/A</v>
      </c>
      <c r="F177" s="20" t="e">
        <f>INDEX('01_FASTPPH'!$9:$1048576,MATCH($A177,'01_FASTPPH'!$A$9:$A$1048576,0),MATCH(F$9,'01_FASTPPH'!$8:$8,0))</f>
        <v>#N/A</v>
      </c>
      <c r="G177" s="20" t="e">
        <f>INDEX('01_FASTPPH'!$9:$1048576,MATCH($A177,'01_FASTPPH'!$A$9:$A$1048576,0),MATCH(G$9,'01_FASTPPH'!$8:$8,0))</f>
        <v>#N/A</v>
      </c>
      <c r="H177" s="20" t="e">
        <f>INDEX('01_FASTPPH'!$9:$1048576,MATCH($A177,'01_FASTPPH'!$A$9:$A$1048576,0),MATCH(H$9,'01_FASTPPH'!$8:$8,0))</f>
        <v>#N/A</v>
      </c>
      <c r="I177" s="20" t="e">
        <f>INDEX('01_FASTPPH'!$9:$1048576,MATCH($A177,'01_FASTPPH'!$A$9:$A$1048576,0),MATCH(I$9,'01_FASTPPH'!$8:$8,0))</f>
        <v>#N/A</v>
      </c>
      <c r="J177" s="20" t="e">
        <f>INDEX('01_FASTPPH'!$9:$1048576,MATCH($A177,'01_FASTPPH'!$A$9:$A$1048576,0),MATCH(J$9,'01_FASTPPH'!$8:$8,0))</f>
        <v>#N/A</v>
      </c>
      <c r="K177" s="23" t="e">
        <f>INDEX('01_FASTPPH'!$9:$1048576,MATCH($A177,'01_FASTPPH'!$A$9:$A$1048576,0),MATCH(K$9,'01_FASTPPH'!$8:$8,0))</f>
        <v>#N/A</v>
      </c>
      <c r="L177" s="20" t="e">
        <f>INDEX('01_FASTPPH'!$9:$1048576,MATCH($A177,'01_FASTPPH'!$A$9:$A$1048576,0),MATCH(L$9,'01_FASTPPH'!$8:$8,0))</f>
        <v>#N/A</v>
      </c>
      <c r="M177" s="20" t="e">
        <f>INDEX('01_FASTPPH'!$9:$1048576,MATCH($A177,'01_FASTPPH'!$A$9:$A$1048576,0),MATCH(M$9,'01_FASTPPH'!$8:$8,0))</f>
        <v>#N/A</v>
      </c>
      <c r="N177" s="24" t="e">
        <f>INDEX('01_FASTPPH'!$9:$1048576,MATCH($A177,'01_FASTPPH'!$A$9:$A$1048576,0),MATCH(N$9,'01_FASTPPH'!$8:$8,0))</f>
        <v>#N/A</v>
      </c>
      <c r="O177" s="23" t="e">
        <f>INDEX('01_FASTPPH'!$9:$1048576,MATCH($A177,'01_FASTPPH'!$A$9:$A$1048576,0),MATCH(O$9,'01_FASTPPH'!$8:$8,0))</f>
        <v>#N/A</v>
      </c>
      <c r="P177" s="20" t="e">
        <f>INDEX('01_FASTPPH'!$9:$1048576,MATCH($A177,'01_FASTPPH'!$A$9:$A$1048576,0),MATCH(P$9,'01_FASTPPH'!$8:$8,0))</f>
        <v>#N/A</v>
      </c>
      <c r="Q177" s="20" t="e">
        <f>INDEX('01_FASTPPH'!$9:$1048576,MATCH($A177,'01_FASTPPH'!$A$9:$A$1048576,0),MATCH(Q$9,'01_FASTPPH'!$8:$8,0))</f>
        <v>#N/A</v>
      </c>
      <c r="R177" s="20" t="e">
        <f>INDEX('01_FASTPPH'!$9:$1048576,MATCH($A177,'01_FASTPPH'!$A$9:$A$1048576,0),MATCH(R$9,'01_FASTPPH'!$8:$8,0))</f>
        <v>#N/A</v>
      </c>
      <c r="S177" s="20" t="e">
        <f>INDEX('01_FASTPPH'!$9:$1048576,MATCH($A177,'01_FASTPPH'!$A$9:$A$1048576,0),MATCH(S$9,'01_FASTPPH'!$8:$8,0))</f>
        <v>#N/A</v>
      </c>
      <c r="T177" s="24" t="e">
        <f>INDEX('01_FASTPPH'!$9:$1048576,MATCH($A177,'01_FASTPPH'!$A$9:$A$1048576,0),MATCH(T$9,'01_FASTPPH'!$8:$8,0))</f>
        <v>#N/A</v>
      </c>
      <c r="U177" s="23" t="e">
        <f>INDEX('01_FASTPPH'!$9:$1048576,MATCH($A177,'01_FASTPPH'!$A$9:$A$1048576,0),MATCH(U$9,'01_FASTPPH'!$8:$8,0))</f>
        <v>#N/A</v>
      </c>
      <c r="V177" s="20" t="e">
        <f>INDEX('01_FASTPPH'!$9:$1048576,MATCH($A177,'01_FASTPPH'!$A$9:$A$1048576,0),MATCH(V$9,'01_FASTPPH'!$8:$8,0))</f>
        <v>#N/A</v>
      </c>
      <c r="W177" s="24" t="e">
        <f>INDEX('01_FASTPPH'!$9:$1048576,MATCH($A177,'01_FASTPPH'!$A$9:$A$1048576,0),MATCH(W$9,'01_FASTPPH'!$8:$8,0))</f>
        <v>#N/A</v>
      </c>
      <c r="X177" s="20" t="e">
        <f>INDEX('01_FASTPPH'!$9:$1048576,MATCH($A177,'01_FASTPPH'!$A$9:$A$1048576,0),MATCH(X$9,'01_FASTPPH'!$8:$8,0))</f>
        <v>#N/A</v>
      </c>
      <c r="Y177" s="20" t="e">
        <f>INDEX('01_FASTPPH'!$9:$1048576,MATCH($A177,'01_FASTPPH'!$A$9:$A$1048576,0),MATCH(Y$9,'01_FASTPPH'!$8:$8,0))</f>
        <v>#N/A</v>
      </c>
      <c r="AA177" s="32" t="e">
        <f>INDEX('02_PROPERTIES'!$C$10:$I$1048576,MATCH('03_CALCULATIONS'!$D177,'02_PROPERTIES'!$C$10:$C$1048576,0),MATCH('03_CALCULATIONS'!AA$9,'02_PROPERTIES'!$C$10:$I$10,0))</f>
        <v>#N/A</v>
      </c>
      <c r="AB177" s="20" t="e">
        <f>INDEX('02_PROPERTIES'!$C$10:$I$1048576,MATCH('03_CALCULATIONS'!$D177,'02_PROPERTIES'!$C$10:$C$1048576,0),MATCH('03_CALCULATIONS'!AB$9,'02_PROPERTIES'!$C$10:$I$10,0))</f>
        <v>#N/A</v>
      </c>
      <c r="AC177" s="20" t="e">
        <f>INDEX('02_PROPERTIES'!$C$10:$I$1048576,MATCH('03_CALCULATIONS'!$D177,'02_PROPERTIES'!$C$10:$C$1048576,0),MATCH('03_CALCULATIONS'!AC$9,'02_PROPERTIES'!$C$10:$I$10,0))</f>
        <v>#N/A</v>
      </c>
      <c r="AD177" s="20" t="e">
        <f>INDEX('02_PROPERTIES'!$C$10:$I$1048576,MATCH('03_CALCULATIONS'!$D177,'02_PROPERTIES'!$C$10:$C$1048576,0),MATCH('03_CALCULATIONS'!AD$9,'02_PROPERTIES'!$C$10:$I$10,0))</f>
        <v>#N/A</v>
      </c>
      <c r="AE177" s="32" t="e">
        <f>INDEX('02_PROPERTIES'!$C$10:$I$1048576,MATCH('03_CALCULATIONS'!$D177,'02_PROPERTIES'!$C$10:$C$1048576,0),MATCH('03_CALCULATIONS'!AE$9,'02_PROPERTIES'!$C$10:$I$10,0))</f>
        <v>#N/A</v>
      </c>
      <c r="AF177" s="32" t="e">
        <f>INDEX('02_PROPERTIES'!$C$10:$I$1048576,MATCH('03_CALCULATIONS'!$D177,'02_PROPERTIES'!$C$10:$C$1048576,0),MATCH('03_CALCULATIONS'!AF$9,'02_PROPERTIES'!$C$10:$I$10,0))</f>
        <v>#N/A</v>
      </c>
      <c r="AH177" s="20" t="e">
        <f t="shared" si="22"/>
        <v>#N/A</v>
      </c>
      <c r="AI177" s="20" t="e">
        <f t="shared" si="23"/>
        <v>#N/A</v>
      </c>
      <c r="AJ177" s="20" t="e">
        <f t="shared" si="24"/>
        <v>#N/A</v>
      </c>
      <c r="AL177" s="20" t="e">
        <f t="shared" si="25"/>
        <v>#N/A</v>
      </c>
      <c r="AM177" s="20" t="e">
        <f t="shared" si="26"/>
        <v>#N/A</v>
      </c>
      <c r="AN177" s="20" t="e">
        <f t="shared" si="27"/>
        <v>#N/A</v>
      </c>
      <c r="AO177" s="20" t="e">
        <f t="shared" si="28"/>
        <v>#N/A</v>
      </c>
      <c r="AP177" s="20" t="e">
        <f t="shared" si="29"/>
        <v>#N/A</v>
      </c>
      <c r="AR177" s="20" t="e">
        <f t="shared" si="30"/>
        <v>#N/A</v>
      </c>
      <c r="AS177" s="20" t="e">
        <f t="shared" si="31"/>
        <v>#N/A</v>
      </c>
      <c r="AT177" s="20" t="e">
        <f t="shared" si="32"/>
        <v>#N/A</v>
      </c>
    </row>
    <row r="178" spans="1:46" x14ac:dyDescent="0.3">
      <c r="A178" s="18"/>
      <c r="B178" s="20" t="e">
        <f>INDEX('01_FASTPPH'!$9:$1048576,MATCH($A178,'01_FASTPPH'!$A$9:$A$1048576,0),MATCH(B$9,'01_FASTPPH'!$8:$8,0))</f>
        <v>#N/A</v>
      </c>
      <c r="C178" s="20" t="e">
        <f>INDEX('01_FASTPPH'!$9:$1048576,MATCH($A178,'01_FASTPPH'!$A$9:$A$1048576,0),MATCH(C$9,'01_FASTPPH'!$8:$8,0))</f>
        <v>#N/A</v>
      </c>
      <c r="D178" s="20" t="e">
        <f>INDEX('01_FASTPPH'!$9:$1048576,MATCH($A178,'01_FASTPPH'!$A$9:$A$1048576,0),MATCH(D$9,'01_FASTPPH'!$8:$8,0))</f>
        <v>#N/A</v>
      </c>
      <c r="E178" s="20" t="e">
        <f>INDEX('01_FASTPPH'!$9:$1048576,MATCH($A178,'01_FASTPPH'!$A$9:$A$1048576,0),MATCH(E$9,'01_FASTPPH'!$8:$8,0))</f>
        <v>#N/A</v>
      </c>
      <c r="F178" s="20" t="e">
        <f>INDEX('01_FASTPPH'!$9:$1048576,MATCH($A178,'01_FASTPPH'!$A$9:$A$1048576,0),MATCH(F$9,'01_FASTPPH'!$8:$8,0))</f>
        <v>#N/A</v>
      </c>
      <c r="G178" s="20" t="e">
        <f>INDEX('01_FASTPPH'!$9:$1048576,MATCH($A178,'01_FASTPPH'!$A$9:$A$1048576,0),MATCH(G$9,'01_FASTPPH'!$8:$8,0))</f>
        <v>#N/A</v>
      </c>
      <c r="H178" s="20" t="e">
        <f>INDEX('01_FASTPPH'!$9:$1048576,MATCH($A178,'01_FASTPPH'!$A$9:$A$1048576,0),MATCH(H$9,'01_FASTPPH'!$8:$8,0))</f>
        <v>#N/A</v>
      </c>
      <c r="I178" s="20" t="e">
        <f>INDEX('01_FASTPPH'!$9:$1048576,MATCH($A178,'01_FASTPPH'!$A$9:$A$1048576,0),MATCH(I$9,'01_FASTPPH'!$8:$8,0))</f>
        <v>#N/A</v>
      </c>
      <c r="J178" s="20" t="e">
        <f>INDEX('01_FASTPPH'!$9:$1048576,MATCH($A178,'01_FASTPPH'!$A$9:$A$1048576,0),MATCH(J$9,'01_FASTPPH'!$8:$8,0))</f>
        <v>#N/A</v>
      </c>
      <c r="K178" s="23" t="e">
        <f>INDEX('01_FASTPPH'!$9:$1048576,MATCH($A178,'01_FASTPPH'!$A$9:$A$1048576,0),MATCH(K$9,'01_FASTPPH'!$8:$8,0))</f>
        <v>#N/A</v>
      </c>
      <c r="L178" s="20" t="e">
        <f>INDEX('01_FASTPPH'!$9:$1048576,MATCH($A178,'01_FASTPPH'!$A$9:$A$1048576,0),MATCH(L$9,'01_FASTPPH'!$8:$8,0))</f>
        <v>#N/A</v>
      </c>
      <c r="M178" s="20" t="e">
        <f>INDEX('01_FASTPPH'!$9:$1048576,MATCH($A178,'01_FASTPPH'!$A$9:$A$1048576,0),MATCH(M$9,'01_FASTPPH'!$8:$8,0))</f>
        <v>#N/A</v>
      </c>
      <c r="N178" s="24" t="e">
        <f>INDEX('01_FASTPPH'!$9:$1048576,MATCH($A178,'01_FASTPPH'!$A$9:$A$1048576,0),MATCH(N$9,'01_FASTPPH'!$8:$8,0))</f>
        <v>#N/A</v>
      </c>
      <c r="O178" s="23" t="e">
        <f>INDEX('01_FASTPPH'!$9:$1048576,MATCH($A178,'01_FASTPPH'!$A$9:$A$1048576,0),MATCH(O$9,'01_FASTPPH'!$8:$8,0))</f>
        <v>#N/A</v>
      </c>
      <c r="P178" s="20" t="e">
        <f>INDEX('01_FASTPPH'!$9:$1048576,MATCH($A178,'01_FASTPPH'!$A$9:$A$1048576,0),MATCH(P$9,'01_FASTPPH'!$8:$8,0))</f>
        <v>#N/A</v>
      </c>
      <c r="Q178" s="20" t="e">
        <f>INDEX('01_FASTPPH'!$9:$1048576,MATCH($A178,'01_FASTPPH'!$A$9:$A$1048576,0),MATCH(Q$9,'01_FASTPPH'!$8:$8,0))</f>
        <v>#N/A</v>
      </c>
      <c r="R178" s="20" t="e">
        <f>INDEX('01_FASTPPH'!$9:$1048576,MATCH($A178,'01_FASTPPH'!$A$9:$A$1048576,0),MATCH(R$9,'01_FASTPPH'!$8:$8,0))</f>
        <v>#N/A</v>
      </c>
      <c r="S178" s="20" t="e">
        <f>INDEX('01_FASTPPH'!$9:$1048576,MATCH($A178,'01_FASTPPH'!$A$9:$A$1048576,0),MATCH(S$9,'01_FASTPPH'!$8:$8,0))</f>
        <v>#N/A</v>
      </c>
      <c r="T178" s="24" t="e">
        <f>INDEX('01_FASTPPH'!$9:$1048576,MATCH($A178,'01_FASTPPH'!$A$9:$A$1048576,0),MATCH(T$9,'01_FASTPPH'!$8:$8,0))</f>
        <v>#N/A</v>
      </c>
      <c r="U178" s="23" t="e">
        <f>INDEX('01_FASTPPH'!$9:$1048576,MATCH($A178,'01_FASTPPH'!$A$9:$A$1048576,0),MATCH(U$9,'01_FASTPPH'!$8:$8,0))</f>
        <v>#N/A</v>
      </c>
      <c r="V178" s="20" t="e">
        <f>INDEX('01_FASTPPH'!$9:$1048576,MATCH($A178,'01_FASTPPH'!$A$9:$A$1048576,0),MATCH(V$9,'01_FASTPPH'!$8:$8,0))</f>
        <v>#N/A</v>
      </c>
      <c r="W178" s="24" t="e">
        <f>INDEX('01_FASTPPH'!$9:$1048576,MATCH($A178,'01_FASTPPH'!$A$9:$A$1048576,0),MATCH(W$9,'01_FASTPPH'!$8:$8,0))</f>
        <v>#N/A</v>
      </c>
      <c r="X178" s="20" t="e">
        <f>INDEX('01_FASTPPH'!$9:$1048576,MATCH($A178,'01_FASTPPH'!$A$9:$A$1048576,0),MATCH(X$9,'01_FASTPPH'!$8:$8,0))</f>
        <v>#N/A</v>
      </c>
      <c r="Y178" s="20" t="e">
        <f>INDEX('01_FASTPPH'!$9:$1048576,MATCH($A178,'01_FASTPPH'!$A$9:$A$1048576,0),MATCH(Y$9,'01_FASTPPH'!$8:$8,0))</f>
        <v>#N/A</v>
      </c>
      <c r="AA178" s="32" t="e">
        <f>INDEX('02_PROPERTIES'!$C$10:$I$1048576,MATCH('03_CALCULATIONS'!$D178,'02_PROPERTIES'!$C$10:$C$1048576,0),MATCH('03_CALCULATIONS'!AA$9,'02_PROPERTIES'!$C$10:$I$10,0))</f>
        <v>#N/A</v>
      </c>
      <c r="AB178" s="20" t="e">
        <f>INDEX('02_PROPERTIES'!$C$10:$I$1048576,MATCH('03_CALCULATIONS'!$D178,'02_PROPERTIES'!$C$10:$C$1048576,0),MATCH('03_CALCULATIONS'!AB$9,'02_PROPERTIES'!$C$10:$I$10,0))</f>
        <v>#N/A</v>
      </c>
      <c r="AC178" s="20" t="e">
        <f>INDEX('02_PROPERTIES'!$C$10:$I$1048576,MATCH('03_CALCULATIONS'!$D178,'02_PROPERTIES'!$C$10:$C$1048576,0),MATCH('03_CALCULATIONS'!AC$9,'02_PROPERTIES'!$C$10:$I$10,0))</f>
        <v>#N/A</v>
      </c>
      <c r="AD178" s="20" t="e">
        <f>INDEX('02_PROPERTIES'!$C$10:$I$1048576,MATCH('03_CALCULATIONS'!$D178,'02_PROPERTIES'!$C$10:$C$1048576,0),MATCH('03_CALCULATIONS'!AD$9,'02_PROPERTIES'!$C$10:$I$10,0))</f>
        <v>#N/A</v>
      </c>
      <c r="AE178" s="32" t="e">
        <f>INDEX('02_PROPERTIES'!$C$10:$I$1048576,MATCH('03_CALCULATIONS'!$D178,'02_PROPERTIES'!$C$10:$C$1048576,0),MATCH('03_CALCULATIONS'!AE$9,'02_PROPERTIES'!$C$10:$I$10,0))</f>
        <v>#N/A</v>
      </c>
      <c r="AF178" s="32" t="e">
        <f>INDEX('02_PROPERTIES'!$C$10:$I$1048576,MATCH('03_CALCULATIONS'!$D178,'02_PROPERTIES'!$C$10:$C$1048576,0),MATCH('03_CALCULATIONS'!AF$9,'02_PROPERTIES'!$C$10:$I$10,0))</f>
        <v>#N/A</v>
      </c>
      <c r="AH178" s="20" t="e">
        <f t="shared" si="22"/>
        <v>#N/A</v>
      </c>
      <c r="AI178" s="20" t="e">
        <f t="shared" si="23"/>
        <v>#N/A</v>
      </c>
      <c r="AJ178" s="20" t="e">
        <f t="shared" si="24"/>
        <v>#N/A</v>
      </c>
      <c r="AL178" s="20" t="e">
        <f t="shared" si="25"/>
        <v>#N/A</v>
      </c>
      <c r="AM178" s="20" t="e">
        <f t="shared" si="26"/>
        <v>#N/A</v>
      </c>
      <c r="AN178" s="20" t="e">
        <f t="shared" si="27"/>
        <v>#N/A</v>
      </c>
      <c r="AO178" s="20" t="e">
        <f t="shared" si="28"/>
        <v>#N/A</v>
      </c>
      <c r="AP178" s="20" t="e">
        <f t="shared" si="29"/>
        <v>#N/A</v>
      </c>
      <c r="AR178" s="20" t="e">
        <f t="shared" si="30"/>
        <v>#N/A</v>
      </c>
      <c r="AS178" s="20" t="e">
        <f t="shared" si="31"/>
        <v>#N/A</v>
      </c>
      <c r="AT178" s="20" t="e">
        <f t="shared" si="32"/>
        <v>#N/A</v>
      </c>
    </row>
    <row r="179" spans="1:46" x14ac:dyDescent="0.3">
      <c r="A179" s="18"/>
      <c r="B179" s="20" t="e">
        <f>INDEX('01_FASTPPH'!$9:$1048576,MATCH($A179,'01_FASTPPH'!$A$9:$A$1048576,0),MATCH(B$9,'01_FASTPPH'!$8:$8,0))</f>
        <v>#N/A</v>
      </c>
      <c r="C179" s="20" t="e">
        <f>INDEX('01_FASTPPH'!$9:$1048576,MATCH($A179,'01_FASTPPH'!$A$9:$A$1048576,0),MATCH(C$9,'01_FASTPPH'!$8:$8,0))</f>
        <v>#N/A</v>
      </c>
      <c r="D179" s="20" t="e">
        <f>INDEX('01_FASTPPH'!$9:$1048576,MATCH($A179,'01_FASTPPH'!$A$9:$A$1048576,0),MATCH(D$9,'01_FASTPPH'!$8:$8,0))</f>
        <v>#N/A</v>
      </c>
      <c r="E179" s="20" t="e">
        <f>INDEX('01_FASTPPH'!$9:$1048576,MATCH($A179,'01_FASTPPH'!$A$9:$A$1048576,0),MATCH(E$9,'01_FASTPPH'!$8:$8,0))</f>
        <v>#N/A</v>
      </c>
      <c r="F179" s="20" t="e">
        <f>INDEX('01_FASTPPH'!$9:$1048576,MATCH($A179,'01_FASTPPH'!$A$9:$A$1048576,0),MATCH(F$9,'01_FASTPPH'!$8:$8,0))</f>
        <v>#N/A</v>
      </c>
      <c r="G179" s="20" t="e">
        <f>INDEX('01_FASTPPH'!$9:$1048576,MATCH($A179,'01_FASTPPH'!$A$9:$A$1048576,0),MATCH(G$9,'01_FASTPPH'!$8:$8,0))</f>
        <v>#N/A</v>
      </c>
      <c r="H179" s="20" t="e">
        <f>INDEX('01_FASTPPH'!$9:$1048576,MATCH($A179,'01_FASTPPH'!$A$9:$A$1048576,0),MATCH(H$9,'01_FASTPPH'!$8:$8,0))</f>
        <v>#N/A</v>
      </c>
      <c r="I179" s="20" t="e">
        <f>INDEX('01_FASTPPH'!$9:$1048576,MATCH($A179,'01_FASTPPH'!$A$9:$A$1048576,0),MATCH(I$9,'01_FASTPPH'!$8:$8,0))</f>
        <v>#N/A</v>
      </c>
      <c r="J179" s="20" t="e">
        <f>INDEX('01_FASTPPH'!$9:$1048576,MATCH($A179,'01_FASTPPH'!$A$9:$A$1048576,0),MATCH(J$9,'01_FASTPPH'!$8:$8,0))</f>
        <v>#N/A</v>
      </c>
      <c r="K179" s="23" t="e">
        <f>INDEX('01_FASTPPH'!$9:$1048576,MATCH($A179,'01_FASTPPH'!$A$9:$A$1048576,0),MATCH(K$9,'01_FASTPPH'!$8:$8,0))</f>
        <v>#N/A</v>
      </c>
      <c r="L179" s="20" t="e">
        <f>INDEX('01_FASTPPH'!$9:$1048576,MATCH($A179,'01_FASTPPH'!$A$9:$A$1048576,0),MATCH(L$9,'01_FASTPPH'!$8:$8,0))</f>
        <v>#N/A</v>
      </c>
      <c r="M179" s="20" t="e">
        <f>INDEX('01_FASTPPH'!$9:$1048576,MATCH($A179,'01_FASTPPH'!$A$9:$A$1048576,0),MATCH(M$9,'01_FASTPPH'!$8:$8,0))</f>
        <v>#N/A</v>
      </c>
      <c r="N179" s="24" t="e">
        <f>INDEX('01_FASTPPH'!$9:$1048576,MATCH($A179,'01_FASTPPH'!$A$9:$A$1048576,0),MATCH(N$9,'01_FASTPPH'!$8:$8,0))</f>
        <v>#N/A</v>
      </c>
      <c r="O179" s="23" t="e">
        <f>INDEX('01_FASTPPH'!$9:$1048576,MATCH($A179,'01_FASTPPH'!$A$9:$A$1048576,0),MATCH(O$9,'01_FASTPPH'!$8:$8,0))</f>
        <v>#N/A</v>
      </c>
      <c r="P179" s="20" t="e">
        <f>INDEX('01_FASTPPH'!$9:$1048576,MATCH($A179,'01_FASTPPH'!$A$9:$A$1048576,0),MATCH(P$9,'01_FASTPPH'!$8:$8,0))</f>
        <v>#N/A</v>
      </c>
      <c r="Q179" s="20" t="e">
        <f>INDEX('01_FASTPPH'!$9:$1048576,MATCH($A179,'01_FASTPPH'!$A$9:$A$1048576,0),MATCH(Q$9,'01_FASTPPH'!$8:$8,0))</f>
        <v>#N/A</v>
      </c>
      <c r="R179" s="20" t="e">
        <f>INDEX('01_FASTPPH'!$9:$1048576,MATCH($A179,'01_FASTPPH'!$A$9:$A$1048576,0),MATCH(R$9,'01_FASTPPH'!$8:$8,0))</f>
        <v>#N/A</v>
      </c>
      <c r="S179" s="20" t="e">
        <f>INDEX('01_FASTPPH'!$9:$1048576,MATCH($A179,'01_FASTPPH'!$A$9:$A$1048576,0),MATCH(S$9,'01_FASTPPH'!$8:$8,0))</f>
        <v>#N/A</v>
      </c>
      <c r="T179" s="24" t="e">
        <f>INDEX('01_FASTPPH'!$9:$1048576,MATCH($A179,'01_FASTPPH'!$A$9:$A$1048576,0),MATCH(T$9,'01_FASTPPH'!$8:$8,0))</f>
        <v>#N/A</v>
      </c>
      <c r="U179" s="23" t="e">
        <f>INDEX('01_FASTPPH'!$9:$1048576,MATCH($A179,'01_FASTPPH'!$A$9:$A$1048576,0),MATCH(U$9,'01_FASTPPH'!$8:$8,0))</f>
        <v>#N/A</v>
      </c>
      <c r="V179" s="20" t="e">
        <f>INDEX('01_FASTPPH'!$9:$1048576,MATCH($A179,'01_FASTPPH'!$A$9:$A$1048576,0),MATCH(V$9,'01_FASTPPH'!$8:$8,0))</f>
        <v>#N/A</v>
      </c>
      <c r="W179" s="24" t="e">
        <f>INDEX('01_FASTPPH'!$9:$1048576,MATCH($A179,'01_FASTPPH'!$A$9:$A$1048576,0),MATCH(W$9,'01_FASTPPH'!$8:$8,0))</f>
        <v>#N/A</v>
      </c>
      <c r="X179" s="20" t="e">
        <f>INDEX('01_FASTPPH'!$9:$1048576,MATCH($A179,'01_FASTPPH'!$A$9:$A$1048576,0),MATCH(X$9,'01_FASTPPH'!$8:$8,0))</f>
        <v>#N/A</v>
      </c>
      <c r="Y179" s="20" t="e">
        <f>INDEX('01_FASTPPH'!$9:$1048576,MATCH($A179,'01_FASTPPH'!$A$9:$A$1048576,0),MATCH(Y$9,'01_FASTPPH'!$8:$8,0))</f>
        <v>#N/A</v>
      </c>
      <c r="AA179" s="32" t="e">
        <f>INDEX('02_PROPERTIES'!$C$10:$I$1048576,MATCH('03_CALCULATIONS'!$D179,'02_PROPERTIES'!$C$10:$C$1048576,0),MATCH('03_CALCULATIONS'!AA$9,'02_PROPERTIES'!$C$10:$I$10,0))</f>
        <v>#N/A</v>
      </c>
      <c r="AB179" s="20" t="e">
        <f>INDEX('02_PROPERTIES'!$C$10:$I$1048576,MATCH('03_CALCULATIONS'!$D179,'02_PROPERTIES'!$C$10:$C$1048576,0),MATCH('03_CALCULATIONS'!AB$9,'02_PROPERTIES'!$C$10:$I$10,0))</f>
        <v>#N/A</v>
      </c>
      <c r="AC179" s="20" t="e">
        <f>INDEX('02_PROPERTIES'!$C$10:$I$1048576,MATCH('03_CALCULATIONS'!$D179,'02_PROPERTIES'!$C$10:$C$1048576,0),MATCH('03_CALCULATIONS'!AC$9,'02_PROPERTIES'!$C$10:$I$10,0))</f>
        <v>#N/A</v>
      </c>
      <c r="AD179" s="20" t="e">
        <f>INDEX('02_PROPERTIES'!$C$10:$I$1048576,MATCH('03_CALCULATIONS'!$D179,'02_PROPERTIES'!$C$10:$C$1048576,0),MATCH('03_CALCULATIONS'!AD$9,'02_PROPERTIES'!$C$10:$I$10,0))</f>
        <v>#N/A</v>
      </c>
      <c r="AE179" s="32" t="e">
        <f>INDEX('02_PROPERTIES'!$C$10:$I$1048576,MATCH('03_CALCULATIONS'!$D179,'02_PROPERTIES'!$C$10:$C$1048576,0),MATCH('03_CALCULATIONS'!AE$9,'02_PROPERTIES'!$C$10:$I$10,0))</f>
        <v>#N/A</v>
      </c>
      <c r="AF179" s="32" t="e">
        <f>INDEX('02_PROPERTIES'!$C$10:$I$1048576,MATCH('03_CALCULATIONS'!$D179,'02_PROPERTIES'!$C$10:$C$1048576,0),MATCH('03_CALCULATIONS'!AF$9,'02_PROPERTIES'!$C$10:$I$10,0))</f>
        <v>#N/A</v>
      </c>
      <c r="AH179" s="20" t="e">
        <f t="shared" si="22"/>
        <v>#N/A</v>
      </c>
      <c r="AI179" s="20" t="e">
        <f t="shared" si="23"/>
        <v>#N/A</v>
      </c>
      <c r="AJ179" s="20" t="e">
        <f t="shared" si="24"/>
        <v>#N/A</v>
      </c>
      <c r="AL179" s="20" t="e">
        <f t="shared" si="25"/>
        <v>#N/A</v>
      </c>
      <c r="AM179" s="20" t="e">
        <f t="shared" si="26"/>
        <v>#N/A</v>
      </c>
      <c r="AN179" s="20" t="e">
        <f t="shared" si="27"/>
        <v>#N/A</v>
      </c>
      <c r="AO179" s="20" t="e">
        <f t="shared" si="28"/>
        <v>#N/A</v>
      </c>
      <c r="AP179" s="20" t="e">
        <f t="shared" si="29"/>
        <v>#N/A</v>
      </c>
      <c r="AR179" s="20" t="e">
        <f t="shared" si="30"/>
        <v>#N/A</v>
      </c>
      <c r="AS179" s="20" t="e">
        <f t="shared" si="31"/>
        <v>#N/A</v>
      </c>
      <c r="AT179" s="20" t="e">
        <f t="shared" si="32"/>
        <v>#N/A</v>
      </c>
    </row>
    <row r="180" spans="1:46" x14ac:dyDescent="0.3">
      <c r="A180" s="18"/>
      <c r="B180" s="20" t="e">
        <f>INDEX('01_FASTPPH'!$9:$1048576,MATCH($A180,'01_FASTPPH'!$A$9:$A$1048576,0),MATCH(B$9,'01_FASTPPH'!$8:$8,0))</f>
        <v>#N/A</v>
      </c>
      <c r="C180" s="20" t="e">
        <f>INDEX('01_FASTPPH'!$9:$1048576,MATCH($A180,'01_FASTPPH'!$A$9:$A$1048576,0),MATCH(C$9,'01_FASTPPH'!$8:$8,0))</f>
        <v>#N/A</v>
      </c>
      <c r="D180" s="20" t="e">
        <f>INDEX('01_FASTPPH'!$9:$1048576,MATCH($A180,'01_FASTPPH'!$A$9:$A$1048576,0),MATCH(D$9,'01_FASTPPH'!$8:$8,0))</f>
        <v>#N/A</v>
      </c>
      <c r="E180" s="20" t="e">
        <f>INDEX('01_FASTPPH'!$9:$1048576,MATCH($A180,'01_FASTPPH'!$A$9:$A$1048576,0),MATCH(E$9,'01_FASTPPH'!$8:$8,0))</f>
        <v>#N/A</v>
      </c>
      <c r="F180" s="20" t="e">
        <f>INDEX('01_FASTPPH'!$9:$1048576,MATCH($A180,'01_FASTPPH'!$A$9:$A$1048576,0),MATCH(F$9,'01_FASTPPH'!$8:$8,0))</f>
        <v>#N/A</v>
      </c>
      <c r="G180" s="20" t="e">
        <f>INDEX('01_FASTPPH'!$9:$1048576,MATCH($A180,'01_FASTPPH'!$A$9:$A$1048576,0),MATCH(G$9,'01_FASTPPH'!$8:$8,0))</f>
        <v>#N/A</v>
      </c>
      <c r="H180" s="20" t="e">
        <f>INDEX('01_FASTPPH'!$9:$1048576,MATCH($A180,'01_FASTPPH'!$A$9:$A$1048576,0),MATCH(H$9,'01_FASTPPH'!$8:$8,0))</f>
        <v>#N/A</v>
      </c>
      <c r="I180" s="20" t="e">
        <f>INDEX('01_FASTPPH'!$9:$1048576,MATCH($A180,'01_FASTPPH'!$A$9:$A$1048576,0),MATCH(I$9,'01_FASTPPH'!$8:$8,0))</f>
        <v>#N/A</v>
      </c>
      <c r="J180" s="20" t="e">
        <f>INDEX('01_FASTPPH'!$9:$1048576,MATCH($A180,'01_FASTPPH'!$A$9:$A$1048576,0),MATCH(J$9,'01_FASTPPH'!$8:$8,0))</f>
        <v>#N/A</v>
      </c>
      <c r="K180" s="23" t="e">
        <f>INDEX('01_FASTPPH'!$9:$1048576,MATCH($A180,'01_FASTPPH'!$A$9:$A$1048576,0),MATCH(K$9,'01_FASTPPH'!$8:$8,0))</f>
        <v>#N/A</v>
      </c>
      <c r="L180" s="20" t="e">
        <f>INDEX('01_FASTPPH'!$9:$1048576,MATCH($A180,'01_FASTPPH'!$A$9:$A$1048576,0),MATCH(L$9,'01_FASTPPH'!$8:$8,0))</f>
        <v>#N/A</v>
      </c>
      <c r="M180" s="20" t="e">
        <f>INDEX('01_FASTPPH'!$9:$1048576,MATCH($A180,'01_FASTPPH'!$A$9:$A$1048576,0),MATCH(M$9,'01_FASTPPH'!$8:$8,0))</f>
        <v>#N/A</v>
      </c>
      <c r="N180" s="24" t="e">
        <f>INDEX('01_FASTPPH'!$9:$1048576,MATCH($A180,'01_FASTPPH'!$A$9:$A$1048576,0),MATCH(N$9,'01_FASTPPH'!$8:$8,0))</f>
        <v>#N/A</v>
      </c>
      <c r="O180" s="23" t="e">
        <f>INDEX('01_FASTPPH'!$9:$1048576,MATCH($A180,'01_FASTPPH'!$A$9:$A$1048576,0),MATCH(O$9,'01_FASTPPH'!$8:$8,0))</f>
        <v>#N/A</v>
      </c>
      <c r="P180" s="20" t="e">
        <f>INDEX('01_FASTPPH'!$9:$1048576,MATCH($A180,'01_FASTPPH'!$A$9:$A$1048576,0),MATCH(P$9,'01_FASTPPH'!$8:$8,0))</f>
        <v>#N/A</v>
      </c>
      <c r="Q180" s="20" t="e">
        <f>INDEX('01_FASTPPH'!$9:$1048576,MATCH($A180,'01_FASTPPH'!$A$9:$A$1048576,0),MATCH(Q$9,'01_FASTPPH'!$8:$8,0))</f>
        <v>#N/A</v>
      </c>
      <c r="R180" s="20" t="e">
        <f>INDEX('01_FASTPPH'!$9:$1048576,MATCH($A180,'01_FASTPPH'!$A$9:$A$1048576,0),MATCH(R$9,'01_FASTPPH'!$8:$8,0))</f>
        <v>#N/A</v>
      </c>
      <c r="S180" s="20" t="e">
        <f>INDEX('01_FASTPPH'!$9:$1048576,MATCH($A180,'01_FASTPPH'!$A$9:$A$1048576,0),MATCH(S$9,'01_FASTPPH'!$8:$8,0))</f>
        <v>#N/A</v>
      </c>
      <c r="T180" s="24" t="e">
        <f>INDEX('01_FASTPPH'!$9:$1048576,MATCH($A180,'01_FASTPPH'!$A$9:$A$1048576,0),MATCH(T$9,'01_FASTPPH'!$8:$8,0))</f>
        <v>#N/A</v>
      </c>
      <c r="U180" s="23" t="e">
        <f>INDEX('01_FASTPPH'!$9:$1048576,MATCH($A180,'01_FASTPPH'!$A$9:$A$1048576,0),MATCH(U$9,'01_FASTPPH'!$8:$8,0))</f>
        <v>#N/A</v>
      </c>
      <c r="V180" s="20" t="e">
        <f>INDEX('01_FASTPPH'!$9:$1048576,MATCH($A180,'01_FASTPPH'!$A$9:$A$1048576,0),MATCH(V$9,'01_FASTPPH'!$8:$8,0))</f>
        <v>#N/A</v>
      </c>
      <c r="W180" s="24" t="e">
        <f>INDEX('01_FASTPPH'!$9:$1048576,MATCH($A180,'01_FASTPPH'!$A$9:$A$1048576,0),MATCH(W$9,'01_FASTPPH'!$8:$8,0))</f>
        <v>#N/A</v>
      </c>
      <c r="X180" s="20" t="e">
        <f>INDEX('01_FASTPPH'!$9:$1048576,MATCH($A180,'01_FASTPPH'!$A$9:$A$1048576,0),MATCH(X$9,'01_FASTPPH'!$8:$8,0))</f>
        <v>#N/A</v>
      </c>
      <c r="Y180" s="20" t="e">
        <f>INDEX('01_FASTPPH'!$9:$1048576,MATCH($A180,'01_FASTPPH'!$A$9:$A$1048576,0),MATCH(Y$9,'01_FASTPPH'!$8:$8,0))</f>
        <v>#N/A</v>
      </c>
      <c r="AA180" s="32" t="e">
        <f>INDEX('02_PROPERTIES'!$C$10:$I$1048576,MATCH('03_CALCULATIONS'!$D180,'02_PROPERTIES'!$C$10:$C$1048576,0),MATCH('03_CALCULATIONS'!AA$9,'02_PROPERTIES'!$C$10:$I$10,0))</f>
        <v>#N/A</v>
      </c>
      <c r="AB180" s="20" t="e">
        <f>INDEX('02_PROPERTIES'!$C$10:$I$1048576,MATCH('03_CALCULATIONS'!$D180,'02_PROPERTIES'!$C$10:$C$1048576,0),MATCH('03_CALCULATIONS'!AB$9,'02_PROPERTIES'!$C$10:$I$10,0))</f>
        <v>#N/A</v>
      </c>
      <c r="AC180" s="20" t="e">
        <f>INDEX('02_PROPERTIES'!$C$10:$I$1048576,MATCH('03_CALCULATIONS'!$D180,'02_PROPERTIES'!$C$10:$C$1048576,0),MATCH('03_CALCULATIONS'!AC$9,'02_PROPERTIES'!$C$10:$I$10,0))</f>
        <v>#N/A</v>
      </c>
      <c r="AD180" s="20" t="e">
        <f>INDEX('02_PROPERTIES'!$C$10:$I$1048576,MATCH('03_CALCULATIONS'!$D180,'02_PROPERTIES'!$C$10:$C$1048576,0),MATCH('03_CALCULATIONS'!AD$9,'02_PROPERTIES'!$C$10:$I$10,0))</f>
        <v>#N/A</v>
      </c>
      <c r="AE180" s="32" t="e">
        <f>INDEX('02_PROPERTIES'!$C$10:$I$1048576,MATCH('03_CALCULATIONS'!$D180,'02_PROPERTIES'!$C$10:$C$1048576,0),MATCH('03_CALCULATIONS'!AE$9,'02_PROPERTIES'!$C$10:$I$10,0))</f>
        <v>#N/A</v>
      </c>
      <c r="AF180" s="32" t="e">
        <f>INDEX('02_PROPERTIES'!$C$10:$I$1048576,MATCH('03_CALCULATIONS'!$D180,'02_PROPERTIES'!$C$10:$C$1048576,0),MATCH('03_CALCULATIONS'!AF$9,'02_PROPERTIES'!$C$10:$I$10,0))</f>
        <v>#N/A</v>
      </c>
      <c r="AH180" s="20" t="e">
        <f t="shared" si="22"/>
        <v>#N/A</v>
      </c>
      <c r="AI180" s="20" t="e">
        <f t="shared" si="23"/>
        <v>#N/A</v>
      </c>
      <c r="AJ180" s="20" t="e">
        <f t="shared" si="24"/>
        <v>#N/A</v>
      </c>
      <c r="AL180" s="20" t="e">
        <f t="shared" si="25"/>
        <v>#N/A</v>
      </c>
      <c r="AM180" s="20" t="e">
        <f t="shared" si="26"/>
        <v>#N/A</v>
      </c>
      <c r="AN180" s="20" t="e">
        <f t="shared" si="27"/>
        <v>#N/A</v>
      </c>
      <c r="AO180" s="20" t="e">
        <f t="shared" si="28"/>
        <v>#N/A</v>
      </c>
      <c r="AP180" s="20" t="e">
        <f t="shared" si="29"/>
        <v>#N/A</v>
      </c>
      <c r="AR180" s="20" t="e">
        <f t="shared" si="30"/>
        <v>#N/A</v>
      </c>
      <c r="AS180" s="20" t="e">
        <f t="shared" si="31"/>
        <v>#N/A</v>
      </c>
      <c r="AT180" s="20" t="e">
        <f t="shared" si="32"/>
        <v>#N/A</v>
      </c>
    </row>
    <row r="181" spans="1:46" x14ac:dyDescent="0.3">
      <c r="A181" s="18"/>
      <c r="B181" s="20" t="e">
        <f>INDEX('01_FASTPPH'!$9:$1048576,MATCH($A181,'01_FASTPPH'!$A$9:$A$1048576,0),MATCH(B$9,'01_FASTPPH'!$8:$8,0))</f>
        <v>#N/A</v>
      </c>
      <c r="C181" s="20" t="e">
        <f>INDEX('01_FASTPPH'!$9:$1048576,MATCH($A181,'01_FASTPPH'!$A$9:$A$1048576,0),MATCH(C$9,'01_FASTPPH'!$8:$8,0))</f>
        <v>#N/A</v>
      </c>
      <c r="D181" s="20" t="e">
        <f>INDEX('01_FASTPPH'!$9:$1048576,MATCH($A181,'01_FASTPPH'!$A$9:$A$1048576,0),MATCH(D$9,'01_FASTPPH'!$8:$8,0))</f>
        <v>#N/A</v>
      </c>
      <c r="E181" s="20" t="e">
        <f>INDEX('01_FASTPPH'!$9:$1048576,MATCH($A181,'01_FASTPPH'!$A$9:$A$1048576,0),MATCH(E$9,'01_FASTPPH'!$8:$8,0))</f>
        <v>#N/A</v>
      </c>
      <c r="F181" s="20" t="e">
        <f>INDEX('01_FASTPPH'!$9:$1048576,MATCH($A181,'01_FASTPPH'!$A$9:$A$1048576,0),MATCH(F$9,'01_FASTPPH'!$8:$8,0))</f>
        <v>#N/A</v>
      </c>
      <c r="G181" s="20" t="e">
        <f>INDEX('01_FASTPPH'!$9:$1048576,MATCH($A181,'01_FASTPPH'!$A$9:$A$1048576,0),MATCH(G$9,'01_FASTPPH'!$8:$8,0))</f>
        <v>#N/A</v>
      </c>
      <c r="H181" s="20" t="e">
        <f>INDEX('01_FASTPPH'!$9:$1048576,MATCH($A181,'01_FASTPPH'!$A$9:$A$1048576,0),MATCH(H$9,'01_FASTPPH'!$8:$8,0))</f>
        <v>#N/A</v>
      </c>
      <c r="I181" s="20" t="e">
        <f>INDEX('01_FASTPPH'!$9:$1048576,MATCH($A181,'01_FASTPPH'!$A$9:$A$1048576,0),MATCH(I$9,'01_FASTPPH'!$8:$8,0))</f>
        <v>#N/A</v>
      </c>
      <c r="J181" s="20" t="e">
        <f>INDEX('01_FASTPPH'!$9:$1048576,MATCH($A181,'01_FASTPPH'!$A$9:$A$1048576,0),MATCH(J$9,'01_FASTPPH'!$8:$8,0))</f>
        <v>#N/A</v>
      </c>
      <c r="K181" s="23" t="e">
        <f>INDEX('01_FASTPPH'!$9:$1048576,MATCH($A181,'01_FASTPPH'!$A$9:$A$1048576,0),MATCH(K$9,'01_FASTPPH'!$8:$8,0))</f>
        <v>#N/A</v>
      </c>
      <c r="L181" s="20" t="e">
        <f>INDEX('01_FASTPPH'!$9:$1048576,MATCH($A181,'01_FASTPPH'!$A$9:$A$1048576,0),MATCH(L$9,'01_FASTPPH'!$8:$8,0))</f>
        <v>#N/A</v>
      </c>
      <c r="M181" s="20" t="e">
        <f>INDEX('01_FASTPPH'!$9:$1048576,MATCH($A181,'01_FASTPPH'!$A$9:$A$1048576,0),MATCH(M$9,'01_FASTPPH'!$8:$8,0))</f>
        <v>#N/A</v>
      </c>
      <c r="N181" s="24" t="e">
        <f>INDEX('01_FASTPPH'!$9:$1048576,MATCH($A181,'01_FASTPPH'!$A$9:$A$1048576,0),MATCH(N$9,'01_FASTPPH'!$8:$8,0))</f>
        <v>#N/A</v>
      </c>
      <c r="O181" s="23" t="e">
        <f>INDEX('01_FASTPPH'!$9:$1048576,MATCH($A181,'01_FASTPPH'!$A$9:$A$1048576,0),MATCH(O$9,'01_FASTPPH'!$8:$8,0))</f>
        <v>#N/A</v>
      </c>
      <c r="P181" s="20" t="e">
        <f>INDEX('01_FASTPPH'!$9:$1048576,MATCH($A181,'01_FASTPPH'!$A$9:$A$1048576,0),MATCH(P$9,'01_FASTPPH'!$8:$8,0))</f>
        <v>#N/A</v>
      </c>
      <c r="Q181" s="20" t="e">
        <f>INDEX('01_FASTPPH'!$9:$1048576,MATCH($A181,'01_FASTPPH'!$A$9:$A$1048576,0),MATCH(Q$9,'01_FASTPPH'!$8:$8,0))</f>
        <v>#N/A</v>
      </c>
      <c r="R181" s="20" t="e">
        <f>INDEX('01_FASTPPH'!$9:$1048576,MATCH($A181,'01_FASTPPH'!$A$9:$A$1048576,0),MATCH(R$9,'01_FASTPPH'!$8:$8,0))</f>
        <v>#N/A</v>
      </c>
      <c r="S181" s="20" t="e">
        <f>INDEX('01_FASTPPH'!$9:$1048576,MATCH($A181,'01_FASTPPH'!$A$9:$A$1048576,0),MATCH(S$9,'01_FASTPPH'!$8:$8,0))</f>
        <v>#N/A</v>
      </c>
      <c r="T181" s="24" t="e">
        <f>INDEX('01_FASTPPH'!$9:$1048576,MATCH($A181,'01_FASTPPH'!$A$9:$A$1048576,0),MATCH(T$9,'01_FASTPPH'!$8:$8,0))</f>
        <v>#N/A</v>
      </c>
      <c r="U181" s="23" t="e">
        <f>INDEX('01_FASTPPH'!$9:$1048576,MATCH($A181,'01_FASTPPH'!$A$9:$A$1048576,0),MATCH(U$9,'01_FASTPPH'!$8:$8,0))</f>
        <v>#N/A</v>
      </c>
      <c r="V181" s="20" t="e">
        <f>INDEX('01_FASTPPH'!$9:$1048576,MATCH($A181,'01_FASTPPH'!$A$9:$A$1048576,0),MATCH(V$9,'01_FASTPPH'!$8:$8,0))</f>
        <v>#N/A</v>
      </c>
      <c r="W181" s="24" t="e">
        <f>INDEX('01_FASTPPH'!$9:$1048576,MATCH($A181,'01_FASTPPH'!$A$9:$A$1048576,0),MATCH(W$9,'01_FASTPPH'!$8:$8,0))</f>
        <v>#N/A</v>
      </c>
      <c r="X181" s="20" t="e">
        <f>INDEX('01_FASTPPH'!$9:$1048576,MATCH($A181,'01_FASTPPH'!$A$9:$A$1048576,0),MATCH(X$9,'01_FASTPPH'!$8:$8,0))</f>
        <v>#N/A</v>
      </c>
      <c r="Y181" s="20" t="e">
        <f>INDEX('01_FASTPPH'!$9:$1048576,MATCH($A181,'01_FASTPPH'!$A$9:$A$1048576,0),MATCH(Y$9,'01_FASTPPH'!$8:$8,0))</f>
        <v>#N/A</v>
      </c>
      <c r="AA181" s="32" t="e">
        <f>INDEX('02_PROPERTIES'!$C$10:$I$1048576,MATCH('03_CALCULATIONS'!$D181,'02_PROPERTIES'!$C$10:$C$1048576,0),MATCH('03_CALCULATIONS'!AA$9,'02_PROPERTIES'!$C$10:$I$10,0))</f>
        <v>#N/A</v>
      </c>
      <c r="AB181" s="20" t="e">
        <f>INDEX('02_PROPERTIES'!$C$10:$I$1048576,MATCH('03_CALCULATIONS'!$D181,'02_PROPERTIES'!$C$10:$C$1048576,0),MATCH('03_CALCULATIONS'!AB$9,'02_PROPERTIES'!$C$10:$I$10,0))</f>
        <v>#N/A</v>
      </c>
      <c r="AC181" s="20" t="e">
        <f>INDEX('02_PROPERTIES'!$C$10:$I$1048576,MATCH('03_CALCULATIONS'!$D181,'02_PROPERTIES'!$C$10:$C$1048576,0),MATCH('03_CALCULATIONS'!AC$9,'02_PROPERTIES'!$C$10:$I$10,0))</f>
        <v>#N/A</v>
      </c>
      <c r="AD181" s="20" t="e">
        <f>INDEX('02_PROPERTIES'!$C$10:$I$1048576,MATCH('03_CALCULATIONS'!$D181,'02_PROPERTIES'!$C$10:$C$1048576,0),MATCH('03_CALCULATIONS'!AD$9,'02_PROPERTIES'!$C$10:$I$10,0))</f>
        <v>#N/A</v>
      </c>
      <c r="AE181" s="32" t="e">
        <f>INDEX('02_PROPERTIES'!$C$10:$I$1048576,MATCH('03_CALCULATIONS'!$D181,'02_PROPERTIES'!$C$10:$C$1048576,0),MATCH('03_CALCULATIONS'!AE$9,'02_PROPERTIES'!$C$10:$I$10,0))</f>
        <v>#N/A</v>
      </c>
      <c r="AF181" s="32" t="e">
        <f>INDEX('02_PROPERTIES'!$C$10:$I$1048576,MATCH('03_CALCULATIONS'!$D181,'02_PROPERTIES'!$C$10:$C$1048576,0),MATCH('03_CALCULATIONS'!AF$9,'02_PROPERTIES'!$C$10:$I$10,0))</f>
        <v>#N/A</v>
      </c>
      <c r="AH181" s="20" t="e">
        <f t="shared" si="22"/>
        <v>#N/A</v>
      </c>
      <c r="AI181" s="20" t="e">
        <f t="shared" si="23"/>
        <v>#N/A</v>
      </c>
      <c r="AJ181" s="20" t="e">
        <f t="shared" si="24"/>
        <v>#N/A</v>
      </c>
      <c r="AL181" s="20" t="e">
        <f t="shared" si="25"/>
        <v>#N/A</v>
      </c>
      <c r="AM181" s="20" t="e">
        <f t="shared" si="26"/>
        <v>#N/A</v>
      </c>
      <c r="AN181" s="20" t="e">
        <f t="shared" si="27"/>
        <v>#N/A</v>
      </c>
      <c r="AO181" s="20" t="e">
        <f t="shared" si="28"/>
        <v>#N/A</v>
      </c>
      <c r="AP181" s="20" t="e">
        <f t="shared" si="29"/>
        <v>#N/A</v>
      </c>
      <c r="AR181" s="20" t="e">
        <f t="shared" si="30"/>
        <v>#N/A</v>
      </c>
      <c r="AS181" s="20" t="e">
        <f t="shared" si="31"/>
        <v>#N/A</v>
      </c>
      <c r="AT181" s="20" t="e">
        <f t="shared" si="32"/>
        <v>#N/A</v>
      </c>
    </row>
    <row r="182" spans="1:46" x14ac:dyDescent="0.3">
      <c r="A182" s="18"/>
      <c r="B182" s="20" t="e">
        <f>INDEX('01_FASTPPH'!$9:$1048576,MATCH($A182,'01_FASTPPH'!$A$9:$A$1048576,0),MATCH(B$9,'01_FASTPPH'!$8:$8,0))</f>
        <v>#N/A</v>
      </c>
      <c r="C182" s="20" t="e">
        <f>INDEX('01_FASTPPH'!$9:$1048576,MATCH($A182,'01_FASTPPH'!$A$9:$A$1048576,0),MATCH(C$9,'01_FASTPPH'!$8:$8,0))</f>
        <v>#N/A</v>
      </c>
      <c r="D182" s="20" t="e">
        <f>INDEX('01_FASTPPH'!$9:$1048576,MATCH($A182,'01_FASTPPH'!$A$9:$A$1048576,0),MATCH(D$9,'01_FASTPPH'!$8:$8,0))</f>
        <v>#N/A</v>
      </c>
      <c r="E182" s="20" t="e">
        <f>INDEX('01_FASTPPH'!$9:$1048576,MATCH($A182,'01_FASTPPH'!$A$9:$A$1048576,0),MATCH(E$9,'01_FASTPPH'!$8:$8,0))</f>
        <v>#N/A</v>
      </c>
      <c r="F182" s="20" t="e">
        <f>INDEX('01_FASTPPH'!$9:$1048576,MATCH($A182,'01_FASTPPH'!$A$9:$A$1048576,0),MATCH(F$9,'01_FASTPPH'!$8:$8,0))</f>
        <v>#N/A</v>
      </c>
      <c r="G182" s="20" t="e">
        <f>INDEX('01_FASTPPH'!$9:$1048576,MATCH($A182,'01_FASTPPH'!$A$9:$A$1048576,0),MATCH(G$9,'01_FASTPPH'!$8:$8,0))</f>
        <v>#N/A</v>
      </c>
      <c r="H182" s="20" t="e">
        <f>INDEX('01_FASTPPH'!$9:$1048576,MATCH($A182,'01_FASTPPH'!$A$9:$A$1048576,0),MATCH(H$9,'01_FASTPPH'!$8:$8,0))</f>
        <v>#N/A</v>
      </c>
      <c r="I182" s="20" t="e">
        <f>INDEX('01_FASTPPH'!$9:$1048576,MATCH($A182,'01_FASTPPH'!$A$9:$A$1048576,0),MATCH(I$9,'01_FASTPPH'!$8:$8,0))</f>
        <v>#N/A</v>
      </c>
      <c r="J182" s="20" t="e">
        <f>INDEX('01_FASTPPH'!$9:$1048576,MATCH($A182,'01_FASTPPH'!$A$9:$A$1048576,0),MATCH(J$9,'01_FASTPPH'!$8:$8,0))</f>
        <v>#N/A</v>
      </c>
      <c r="K182" s="23" t="e">
        <f>INDEX('01_FASTPPH'!$9:$1048576,MATCH($A182,'01_FASTPPH'!$A$9:$A$1048576,0),MATCH(K$9,'01_FASTPPH'!$8:$8,0))</f>
        <v>#N/A</v>
      </c>
      <c r="L182" s="20" t="e">
        <f>INDEX('01_FASTPPH'!$9:$1048576,MATCH($A182,'01_FASTPPH'!$A$9:$A$1048576,0),MATCH(L$9,'01_FASTPPH'!$8:$8,0))</f>
        <v>#N/A</v>
      </c>
      <c r="M182" s="20" t="e">
        <f>INDEX('01_FASTPPH'!$9:$1048576,MATCH($A182,'01_FASTPPH'!$A$9:$A$1048576,0),MATCH(M$9,'01_FASTPPH'!$8:$8,0))</f>
        <v>#N/A</v>
      </c>
      <c r="N182" s="24" t="e">
        <f>INDEX('01_FASTPPH'!$9:$1048576,MATCH($A182,'01_FASTPPH'!$A$9:$A$1048576,0),MATCH(N$9,'01_FASTPPH'!$8:$8,0))</f>
        <v>#N/A</v>
      </c>
      <c r="O182" s="23" t="e">
        <f>INDEX('01_FASTPPH'!$9:$1048576,MATCH($A182,'01_FASTPPH'!$A$9:$A$1048576,0),MATCH(O$9,'01_FASTPPH'!$8:$8,0))</f>
        <v>#N/A</v>
      </c>
      <c r="P182" s="20" t="e">
        <f>INDEX('01_FASTPPH'!$9:$1048576,MATCH($A182,'01_FASTPPH'!$A$9:$A$1048576,0),MATCH(P$9,'01_FASTPPH'!$8:$8,0))</f>
        <v>#N/A</v>
      </c>
      <c r="Q182" s="20" t="e">
        <f>INDEX('01_FASTPPH'!$9:$1048576,MATCH($A182,'01_FASTPPH'!$A$9:$A$1048576,0),MATCH(Q$9,'01_FASTPPH'!$8:$8,0))</f>
        <v>#N/A</v>
      </c>
      <c r="R182" s="20" t="e">
        <f>INDEX('01_FASTPPH'!$9:$1048576,MATCH($A182,'01_FASTPPH'!$A$9:$A$1048576,0),MATCH(R$9,'01_FASTPPH'!$8:$8,0))</f>
        <v>#N/A</v>
      </c>
      <c r="S182" s="20" t="e">
        <f>INDEX('01_FASTPPH'!$9:$1048576,MATCH($A182,'01_FASTPPH'!$A$9:$A$1048576,0),MATCH(S$9,'01_FASTPPH'!$8:$8,0))</f>
        <v>#N/A</v>
      </c>
      <c r="T182" s="24" t="e">
        <f>INDEX('01_FASTPPH'!$9:$1048576,MATCH($A182,'01_FASTPPH'!$A$9:$A$1048576,0),MATCH(T$9,'01_FASTPPH'!$8:$8,0))</f>
        <v>#N/A</v>
      </c>
      <c r="U182" s="23" t="e">
        <f>INDEX('01_FASTPPH'!$9:$1048576,MATCH($A182,'01_FASTPPH'!$A$9:$A$1048576,0),MATCH(U$9,'01_FASTPPH'!$8:$8,0))</f>
        <v>#N/A</v>
      </c>
      <c r="V182" s="20" t="e">
        <f>INDEX('01_FASTPPH'!$9:$1048576,MATCH($A182,'01_FASTPPH'!$A$9:$A$1048576,0),MATCH(V$9,'01_FASTPPH'!$8:$8,0))</f>
        <v>#N/A</v>
      </c>
      <c r="W182" s="24" t="e">
        <f>INDEX('01_FASTPPH'!$9:$1048576,MATCH($A182,'01_FASTPPH'!$A$9:$A$1048576,0),MATCH(W$9,'01_FASTPPH'!$8:$8,0))</f>
        <v>#N/A</v>
      </c>
      <c r="X182" s="20" t="e">
        <f>INDEX('01_FASTPPH'!$9:$1048576,MATCH($A182,'01_FASTPPH'!$A$9:$A$1048576,0),MATCH(X$9,'01_FASTPPH'!$8:$8,0))</f>
        <v>#N/A</v>
      </c>
      <c r="Y182" s="20" t="e">
        <f>INDEX('01_FASTPPH'!$9:$1048576,MATCH($A182,'01_FASTPPH'!$A$9:$A$1048576,0),MATCH(Y$9,'01_FASTPPH'!$8:$8,0))</f>
        <v>#N/A</v>
      </c>
      <c r="AA182" s="32" t="e">
        <f>INDEX('02_PROPERTIES'!$C$10:$I$1048576,MATCH('03_CALCULATIONS'!$D182,'02_PROPERTIES'!$C$10:$C$1048576,0),MATCH('03_CALCULATIONS'!AA$9,'02_PROPERTIES'!$C$10:$I$10,0))</f>
        <v>#N/A</v>
      </c>
      <c r="AB182" s="20" t="e">
        <f>INDEX('02_PROPERTIES'!$C$10:$I$1048576,MATCH('03_CALCULATIONS'!$D182,'02_PROPERTIES'!$C$10:$C$1048576,0),MATCH('03_CALCULATIONS'!AB$9,'02_PROPERTIES'!$C$10:$I$10,0))</f>
        <v>#N/A</v>
      </c>
      <c r="AC182" s="20" t="e">
        <f>INDEX('02_PROPERTIES'!$C$10:$I$1048576,MATCH('03_CALCULATIONS'!$D182,'02_PROPERTIES'!$C$10:$C$1048576,0),MATCH('03_CALCULATIONS'!AC$9,'02_PROPERTIES'!$C$10:$I$10,0))</f>
        <v>#N/A</v>
      </c>
      <c r="AD182" s="20" t="e">
        <f>INDEX('02_PROPERTIES'!$C$10:$I$1048576,MATCH('03_CALCULATIONS'!$D182,'02_PROPERTIES'!$C$10:$C$1048576,0),MATCH('03_CALCULATIONS'!AD$9,'02_PROPERTIES'!$C$10:$I$10,0))</f>
        <v>#N/A</v>
      </c>
      <c r="AE182" s="32" t="e">
        <f>INDEX('02_PROPERTIES'!$C$10:$I$1048576,MATCH('03_CALCULATIONS'!$D182,'02_PROPERTIES'!$C$10:$C$1048576,0),MATCH('03_CALCULATIONS'!AE$9,'02_PROPERTIES'!$C$10:$I$10,0))</f>
        <v>#N/A</v>
      </c>
      <c r="AF182" s="32" t="e">
        <f>INDEX('02_PROPERTIES'!$C$10:$I$1048576,MATCH('03_CALCULATIONS'!$D182,'02_PROPERTIES'!$C$10:$C$1048576,0),MATCH('03_CALCULATIONS'!AF$9,'02_PROPERTIES'!$C$10:$I$10,0))</f>
        <v>#N/A</v>
      </c>
      <c r="AH182" s="20" t="e">
        <f t="shared" si="22"/>
        <v>#N/A</v>
      </c>
      <c r="AI182" s="20" t="e">
        <f t="shared" si="23"/>
        <v>#N/A</v>
      </c>
      <c r="AJ182" s="20" t="e">
        <f t="shared" si="24"/>
        <v>#N/A</v>
      </c>
      <c r="AL182" s="20" t="e">
        <f t="shared" si="25"/>
        <v>#N/A</v>
      </c>
      <c r="AM182" s="20" t="e">
        <f t="shared" si="26"/>
        <v>#N/A</v>
      </c>
      <c r="AN182" s="20" t="e">
        <f t="shared" si="27"/>
        <v>#N/A</v>
      </c>
      <c r="AO182" s="20" t="e">
        <f t="shared" si="28"/>
        <v>#N/A</v>
      </c>
      <c r="AP182" s="20" t="e">
        <f t="shared" si="29"/>
        <v>#N/A</v>
      </c>
      <c r="AR182" s="20" t="e">
        <f t="shared" si="30"/>
        <v>#N/A</v>
      </c>
      <c r="AS182" s="20" t="e">
        <f t="shared" si="31"/>
        <v>#N/A</v>
      </c>
      <c r="AT182" s="20" t="e">
        <f t="shared" si="32"/>
        <v>#N/A</v>
      </c>
    </row>
    <row r="183" spans="1:46" x14ac:dyDescent="0.3">
      <c r="A183" s="18"/>
      <c r="B183" s="20" t="e">
        <f>INDEX('01_FASTPPH'!$9:$1048576,MATCH($A183,'01_FASTPPH'!$A$9:$A$1048576,0),MATCH(B$9,'01_FASTPPH'!$8:$8,0))</f>
        <v>#N/A</v>
      </c>
      <c r="C183" s="20" t="e">
        <f>INDEX('01_FASTPPH'!$9:$1048576,MATCH($A183,'01_FASTPPH'!$A$9:$A$1048576,0),MATCH(C$9,'01_FASTPPH'!$8:$8,0))</f>
        <v>#N/A</v>
      </c>
      <c r="D183" s="20" t="e">
        <f>INDEX('01_FASTPPH'!$9:$1048576,MATCH($A183,'01_FASTPPH'!$A$9:$A$1048576,0),MATCH(D$9,'01_FASTPPH'!$8:$8,0))</f>
        <v>#N/A</v>
      </c>
      <c r="E183" s="20" t="e">
        <f>INDEX('01_FASTPPH'!$9:$1048576,MATCH($A183,'01_FASTPPH'!$A$9:$A$1048576,0),MATCH(E$9,'01_FASTPPH'!$8:$8,0))</f>
        <v>#N/A</v>
      </c>
      <c r="F183" s="20" t="e">
        <f>INDEX('01_FASTPPH'!$9:$1048576,MATCH($A183,'01_FASTPPH'!$A$9:$A$1048576,0),MATCH(F$9,'01_FASTPPH'!$8:$8,0))</f>
        <v>#N/A</v>
      </c>
      <c r="G183" s="20" t="e">
        <f>INDEX('01_FASTPPH'!$9:$1048576,MATCH($A183,'01_FASTPPH'!$A$9:$A$1048576,0),MATCH(G$9,'01_FASTPPH'!$8:$8,0))</f>
        <v>#N/A</v>
      </c>
      <c r="H183" s="20" t="e">
        <f>INDEX('01_FASTPPH'!$9:$1048576,MATCH($A183,'01_FASTPPH'!$A$9:$A$1048576,0),MATCH(H$9,'01_FASTPPH'!$8:$8,0))</f>
        <v>#N/A</v>
      </c>
      <c r="I183" s="20" t="e">
        <f>INDEX('01_FASTPPH'!$9:$1048576,MATCH($A183,'01_FASTPPH'!$A$9:$A$1048576,0),MATCH(I$9,'01_FASTPPH'!$8:$8,0))</f>
        <v>#N/A</v>
      </c>
      <c r="J183" s="20" t="e">
        <f>INDEX('01_FASTPPH'!$9:$1048576,MATCH($A183,'01_FASTPPH'!$A$9:$A$1048576,0),MATCH(J$9,'01_FASTPPH'!$8:$8,0))</f>
        <v>#N/A</v>
      </c>
      <c r="K183" s="23" t="e">
        <f>INDEX('01_FASTPPH'!$9:$1048576,MATCH($A183,'01_FASTPPH'!$A$9:$A$1048576,0),MATCH(K$9,'01_FASTPPH'!$8:$8,0))</f>
        <v>#N/A</v>
      </c>
      <c r="L183" s="20" t="e">
        <f>INDEX('01_FASTPPH'!$9:$1048576,MATCH($A183,'01_FASTPPH'!$A$9:$A$1048576,0),MATCH(L$9,'01_FASTPPH'!$8:$8,0))</f>
        <v>#N/A</v>
      </c>
      <c r="M183" s="20" t="e">
        <f>INDEX('01_FASTPPH'!$9:$1048576,MATCH($A183,'01_FASTPPH'!$A$9:$A$1048576,0),MATCH(M$9,'01_FASTPPH'!$8:$8,0))</f>
        <v>#N/A</v>
      </c>
      <c r="N183" s="24" t="e">
        <f>INDEX('01_FASTPPH'!$9:$1048576,MATCH($A183,'01_FASTPPH'!$A$9:$A$1048576,0),MATCH(N$9,'01_FASTPPH'!$8:$8,0))</f>
        <v>#N/A</v>
      </c>
      <c r="O183" s="23" t="e">
        <f>INDEX('01_FASTPPH'!$9:$1048576,MATCH($A183,'01_FASTPPH'!$A$9:$A$1048576,0),MATCH(O$9,'01_FASTPPH'!$8:$8,0))</f>
        <v>#N/A</v>
      </c>
      <c r="P183" s="20" t="e">
        <f>INDEX('01_FASTPPH'!$9:$1048576,MATCH($A183,'01_FASTPPH'!$A$9:$A$1048576,0),MATCH(P$9,'01_FASTPPH'!$8:$8,0))</f>
        <v>#N/A</v>
      </c>
      <c r="Q183" s="20" t="e">
        <f>INDEX('01_FASTPPH'!$9:$1048576,MATCH($A183,'01_FASTPPH'!$A$9:$A$1048576,0),MATCH(Q$9,'01_FASTPPH'!$8:$8,0))</f>
        <v>#N/A</v>
      </c>
      <c r="R183" s="20" t="e">
        <f>INDEX('01_FASTPPH'!$9:$1048576,MATCH($A183,'01_FASTPPH'!$A$9:$A$1048576,0),MATCH(R$9,'01_FASTPPH'!$8:$8,0))</f>
        <v>#N/A</v>
      </c>
      <c r="S183" s="20" t="e">
        <f>INDEX('01_FASTPPH'!$9:$1048576,MATCH($A183,'01_FASTPPH'!$A$9:$A$1048576,0),MATCH(S$9,'01_FASTPPH'!$8:$8,0))</f>
        <v>#N/A</v>
      </c>
      <c r="T183" s="24" t="e">
        <f>INDEX('01_FASTPPH'!$9:$1048576,MATCH($A183,'01_FASTPPH'!$A$9:$A$1048576,0),MATCH(T$9,'01_FASTPPH'!$8:$8,0))</f>
        <v>#N/A</v>
      </c>
      <c r="U183" s="23" t="e">
        <f>INDEX('01_FASTPPH'!$9:$1048576,MATCH($A183,'01_FASTPPH'!$A$9:$A$1048576,0),MATCH(U$9,'01_FASTPPH'!$8:$8,0))</f>
        <v>#N/A</v>
      </c>
      <c r="V183" s="20" t="e">
        <f>INDEX('01_FASTPPH'!$9:$1048576,MATCH($A183,'01_FASTPPH'!$A$9:$A$1048576,0),MATCH(V$9,'01_FASTPPH'!$8:$8,0))</f>
        <v>#N/A</v>
      </c>
      <c r="W183" s="24" t="e">
        <f>INDEX('01_FASTPPH'!$9:$1048576,MATCH($A183,'01_FASTPPH'!$A$9:$A$1048576,0),MATCH(W$9,'01_FASTPPH'!$8:$8,0))</f>
        <v>#N/A</v>
      </c>
      <c r="X183" s="20" t="e">
        <f>INDEX('01_FASTPPH'!$9:$1048576,MATCH($A183,'01_FASTPPH'!$A$9:$A$1048576,0),MATCH(X$9,'01_FASTPPH'!$8:$8,0))</f>
        <v>#N/A</v>
      </c>
      <c r="Y183" s="20" t="e">
        <f>INDEX('01_FASTPPH'!$9:$1048576,MATCH($A183,'01_FASTPPH'!$A$9:$A$1048576,0),MATCH(Y$9,'01_FASTPPH'!$8:$8,0))</f>
        <v>#N/A</v>
      </c>
      <c r="AA183" s="32" t="e">
        <f>INDEX('02_PROPERTIES'!$C$10:$I$1048576,MATCH('03_CALCULATIONS'!$D183,'02_PROPERTIES'!$C$10:$C$1048576,0),MATCH('03_CALCULATIONS'!AA$9,'02_PROPERTIES'!$C$10:$I$10,0))</f>
        <v>#N/A</v>
      </c>
      <c r="AB183" s="20" t="e">
        <f>INDEX('02_PROPERTIES'!$C$10:$I$1048576,MATCH('03_CALCULATIONS'!$D183,'02_PROPERTIES'!$C$10:$C$1048576,0),MATCH('03_CALCULATIONS'!AB$9,'02_PROPERTIES'!$C$10:$I$10,0))</f>
        <v>#N/A</v>
      </c>
      <c r="AC183" s="20" t="e">
        <f>INDEX('02_PROPERTIES'!$C$10:$I$1048576,MATCH('03_CALCULATIONS'!$D183,'02_PROPERTIES'!$C$10:$C$1048576,0),MATCH('03_CALCULATIONS'!AC$9,'02_PROPERTIES'!$C$10:$I$10,0))</f>
        <v>#N/A</v>
      </c>
      <c r="AD183" s="20" t="e">
        <f>INDEX('02_PROPERTIES'!$C$10:$I$1048576,MATCH('03_CALCULATIONS'!$D183,'02_PROPERTIES'!$C$10:$C$1048576,0),MATCH('03_CALCULATIONS'!AD$9,'02_PROPERTIES'!$C$10:$I$10,0))</f>
        <v>#N/A</v>
      </c>
      <c r="AE183" s="32" t="e">
        <f>INDEX('02_PROPERTIES'!$C$10:$I$1048576,MATCH('03_CALCULATIONS'!$D183,'02_PROPERTIES'!$C$10:$C$1048576,0),MATCH('03_CALCULATIONS'!AE$9,'02_PROPERTIES'!$C$10:$I$10,0))</f>
        <v>#N/A</v>
      </c>
      <c r="AF183" s="32" t="e">
        <f>INDEX('02_PROPERTIES'!$C$10:$I$1048576,MATCH('03_CALCULATIONS'!$D183,'02_PROPERTIES'!$C$10:$C$1048576,0),MATCH('03_CALCULATIONS'!AF$9,'02_PROPERTIES'!$C$10:$I$10,0))</f>
        <v>#N/A</v>
      </c>
      <c r="AH183" s="20" t="e">
        <f t="shared" si="22"/>
        <v>#N/A</v>
      </c>
      <c r="AI183" s="20" t="e">
        <f t="shared" si="23"/>
        <v>#N/A</v>
      </c>
      <c r="AJ183" s="20" t="e">
        <f t="shared" si="24"/>
        <v>#N/A</v>
      </c>
      <c r="AL183" s="20" t="e">
        <f t="shared" si="25"/>
        <v>#N/A</v>
      </c>
      <c r="AM183" s="20" t="e">
        <f t="shared" si="26"/>
        <v>#N/A</v>
      </c>
      <c r="AN183" s="20" t="e">
        <f t="shared" si="27"/>
        <v>#N/A</v>
      </c>
      <c r="AO183" s="20" t="e">
        <f t="shared" si="28"/>
        <v>#N/A</v>
      </c>
      <c r="AP183" s="20" t="e">
        <f t="shared" si="29"/>
        <v>#N/A</v>
      </c>
      <c r="AR183" s="20" t="e">
        <f t="shared" si="30"/>
        <v>#N/A</v>
      </c>
      <c r="AS183" s="20" t="e">
        <f t="shared" si="31"/>
        <v>#N/A</v>
      </c>
      <c r="AT183" s="20" t="e">
        <f t="shared" si="32"/>
        <v>#N/A</v>
      </c>
    </row>
    <row r="184" spans="1:46" x14ac:dyDescent="0.3">
      <c r="A184" s="18"/>
      <c r="B184" s="20" t="e">
        <f>INDEX('01_FASTPPH'!$9:$1048576,MATCH($A184,'01_FASTPPH'!$A$9:$A$1048576,0),MATCH(B$9,'01_FASTPPH'!$8:$8,0))</f>
        <v>#N/A</v>
      </c>
      <c r="C184" s="20" t="e">
        <f>INDEX('01_FASTPPH'!$9:$1048576,MATCH($A184,'01_FASTPPH'!$A$9:$A$1048576,0),MATCH(C$9,'01_FASTPPH'!$8:$8,0))</f>
        <v>#N/A</v>
      </c>
      <c r="D184" s="20" t="e">
        <f>INDEX('01_FASTPPH'!$9:$1048576,MATCH($A184,'01_FASTPPH'!$A$9:$A$1048576,0),MATCH(D$9,'01_FASTPPH'!$8:$8,0))</f>
        <v>#N/A</v>
      </c>
      <c r="E184" s="20" t="e">
        <f>INDEX('01_FASTPPH'!$9:$1048576,MATCH($A184,'01_FASTPPH'!$A$9:$A$1048576,0),MATCH(E$9,'01_FASTPPH'!$8:$8,0))</f>
        <v>#N/A</v>
      </c>
      <c r="F184" s="20" t="e">
        <f>INDEX('01_FASTPPH'!$9:$1048576,MATCH($A184,'01_FASTPPH'!$A$9:$A$1048576,0),MATCH(F$9,'01_FASTPPH'!$8:$8,0))</f>
        <v>#N/A</v>
      </c>
      <c r="G184" s="20" t="e">
        <f>INDEX('01_FASTPPH'!$9:$1048576,MATCH($A184,'01_FASTPPH'!$A$9:$A$1048576,0),MATCH(G$9,'01_FASTPPH'!$8:$8,0))</f>
        <v>#N/A</v>
      </c>
      <c r="H184" s="20" t="e">
        <f>INDEX('01_FASTPPH'!$9:$1048576,MATCH($A184,'01_FASTPPH'!$A$9:$A$1048576,0),MATCH(H$9,'01_FASTPPH'!$8:$8,0))</f>
        <v>#N/A</v>
      </c>
      <c r="I184" s="20" t="e">
        <f>INDEX('01_FASTPPH'!$9:$1048576,MATCH($A184,'01_FASTPPH'!$A$9:$A$1048576,0),MATCH(I$9,'01_FASTPPH'!$8:$8,0))</f>
        <v>#N/A</v>
      </c>
      <c r="J184" s="20" t="e">
        <f>INDEX('01_FASTPPH'!$9:$1048576,MATCH($A184,'01_FASTPPH'!$A$9:$A$1048576,0),MATCH(J$9,'01_FASTPPH'!$8:$8,0))</f>
        <v>#N/A</v>
      </c>
      <c r="K184" s="23" t="e">
        <f>INDEX('01_FASTPPH'!$9:$1048576,MATCH($A184,'01_FASTPPH'!$A$9:$A$1048576,0),MATCH(K$9,'01_FASTPPH'!$8:$8,0))</f>
        <v>#N/A</v>
      </c>
      <c r="L184" s="20" t="e">
        <f>INDEX('01_FASTPPH'!$9:$1048576,MATCH($A184,'01_FASTPPH'!$A$9:$A$1048576,0),MATCH(L$9,'01_FASTPPH'!$8:$8,0))</f>
        <v>#N/A</v>
      </c>
      <c r="M184" s="20" t="e">
        <f>INDEX('01_FASTPPH'!$9:$1048576,MATCH($A184,'01_FASTPPH'!$A$9:$A$1048576,0),MATCH(M$9,'01_FASTPPH'!$8:$8,0))</f>
        <v>#N/A</v>
      </c>
      <c r="N184" s="24" t="e">
        <f>INDEX('01_FASTPPH'!$9:$1048576,MATCH($A184,'01_FASTPPH'!$A$9:$A$1048576,0),MATCH(N$9,'01_FASTPPH'!$8:$8,0))</f>
        <v>#N/A</v>
      </c>
      <c r="O184" s="23" t="e">
        <f>INDEX('01_FASTPPH'!$9:$1048576,MATCH($A184,'01_FASTPPH'!$A$9:$A$1048576,0),MATCH(O$9,'01_FASTPPH'!$8:$8,0))</f>
        <v>#N/A</v>
      </c>
      <c r="P184" s="20" t="e">
        <f>INDEX('01_FASTPPH'!$9:$1048576,MATCH($A184,'01_FASTPPH'!$A$9:$A$1048576,0),MATCH(P$9,'01_FASTPPH'!$8:$8,0))</f>
        <v>#N/A</v>
      </c>
      <c r="Q184" s="20" t="e">
        <f>INDEX('01_FASTPPH'!$9:$1048576,MATCH($A184,'01_FASTPPH'!$A$9:$A$1048576,0),MATCH(Q$9,'01_FASTPPH'!$8:$8,0))</f>
        <v>#N/A</v>
      </c>
      <c r="R184" s="20" t="e">
        <f>INDEX('01_FASTPPH'!$9:$1048576,MATCH($A184,'01_FASTPPH'!$A$9:$A$1048576,0),MATCH(R$9,'01_FASTPPH'!$8:$8,0))</f>
        <v>#N/A</v>
      </c>
      <c r="S184" s="20" t="e">
        <f>INDEX('01_FASTPPH'!$9:$1048576,MATCH($A184,'01_FASTPPH'!$A$9:$A$1048576,0),MATCH(S$9,'01_FASTPPH'!$8:$8,0))</f>
        <v>#N/A</v>
      </c>
      <c r="T184" s="24" t="e">
        <f>INDEX('01_FASTPPH'!$9:$1048576,MATCH($A184,'01_FASTPPH'!$A$9:$A$1048576,0),MATCH(T$9,'01_FASTPPH'!$8:$8,0))</f>
        <v>#N/A</v>
      </c>
      <c r="U184" s="23" t="e">
        <f>INDEX('01_FASTPPH'!$9:$1048576,MATCH($A184,'01_FASTPPH'!$A$9:$A$1048576,0),MATCH(U$9,'01_FASTPPH'!$8:$8,0))</f>
        <v>#N/A</v>
      </c>
      <c r="V184" s="20" t="e">
        <f>INDEX('01_FASTPPH'!$9:$1048576,MATCH($A184,'01_FASTPPH'!$A$9:$A$1048576,0),MATCH(V$9,'01_FASTPPH'!$8:$8,0))</f>
        <v>#N/A</v>
      </c>
      <c r="W184" s="24" t="e">
        <f>INDEX('01_FASTPPH'!$9:$1048576,MATCH($A184,'01_FASTPPH'!$A$9:$A$1048576,0),MATCH(W$9,'01_FASTPPH'!$8:$8,0))</f>
        <v>#N/A</v>
      </c>
      <c r="X184" s="20" t="e">
        <f>INDEX('01_FASTPPH'!$9:$1048576,MATCH($A184,'01_FASTPPH'!$A$9:$A$1048576,0),MATCH(X$9,'01_FASTPPH'!$8:$8,0))</f>
        <v>#N/A</v>
      </c>
      <c r="Y184" s="20" t="e">
        <f>INDEX('01_FASTPPH'!$9:$1048576,MATCH($A184,'01_FASTPPH'!$A$9:$A$1048576,0),MATCH(Y$9,'01_FASTPPH'!$8:$8,0))</f>
        <v>#N/A</v>
      </c>
      <c r="AA184" s="32" t="e">
        <f>INDEX('02_PROPERTIES'!$C$10:$I$1048576,MATCH('03_CALCULATIONS'!$D184,'02_PROPERTIES'!$C$10:$C$1048576,0),MATCH('03_CALCULATIONS'!AA$9,'02_PROPERTIES'!$C$10:$I$10,0))</f>
        <v>#N/A</v>
      </c>
      <c r="AB184" s="20" t="e">
        <f>INDEX('02_PROPERTIES'!$C$10:$I$1048576,MATCH('03_CALCULATIONS'!$D184,'02_PROPERTIES'!$C$10:$C$1048576,0),MATCH('03_CALCULATIONS'!AB$9,'02_PROPERTIES'!$C$10:$I$10,0))</f>
        <v>#N/A</v>
      </c>
      <c r="AC184" s="20" t="e">
        <f>INDEX('02_PROPERTIES'!$C$10:$I$1048576,MATCH('03_CALCULATIONS'!$D184,'02_PROPERTIES'!$C$10:$C$1048576,0),MATCH('03_CALCULATIONS'!AC$9,'02_PROPERTIES'!$C$10:$I$10,0))</f>
        <v>#N/A</v>
      </c>
      <c r="AD184" s="20" t="e">
        <f>INDEX('02_PROPERTIES'!$C$10:$I$1048576,MATCH('03_CALCULATIONS'!$D184,'02_PROPERTIES'!$C$10:$C$1048576,0),MATCH('03_CALCULATIONS'!AD$9,'02_PROPERTIES'!$C$10:$I$10,0))</f>
        <v>#N/A</v>
      </c>
      <c r="AE184" s="32" t="e">
        <f>INDEX('02_PROPERTIES'!$C$10:$I$1048576,MATCH('03_CALCULATIONS'!$D184,'02_PROPERTIES'!$C$10:$C$1048576,0),MATCH('03_CALCULATIONS'!AE$9,'02_PROPERTIES'!$C$10:$I$10,0))</f>
        <v>#N/A</v>
      </c>
      <c r="AF184" s="32" t="e">
        <f>INDEX('02_PROPERTIES'!$C$10:$I$1048576,MATCH('03_CALCULATIONS'!$D184,'02_PROPERTIES'!$C$10:$C$1048576,0),MATCH('03_CALCULATIONS'!AF$9,'02_PROPERTIES'!$C$10:$I$10,0))</f>
        <v>#N/A</v>
      </c>
      <c r="AH184" s="20" t="e">
        <f t="shared" si="22"/>
        <v>#N/A</v>
      </c>
      <c r="AI184" s="20" t="e">
        <f t="shared" si="23"/>
        <v>#N/A</v>
      </c>
      <c r="AJ184" s="20" t="e">
        <f t="shared" si="24"/>
        <v>#N/A</v>
      </c>
      <c r="AL184" s="20" t="e">
        <f t="shared" si="25"/>
        <v>#N/A</v>
      </c>
      <c r="AM184" s="20" t="e">
        <f t="shared" si="26"/>
        <v>#N/A</v>
      </c>
      <c r="AN184" s="20" t="e">
        <f t="shared" si="27"/>
        <v>#N/A</v>
      </c>
      <c r="AO184" s="20" t="e">
        <f t="shared" si="28"/>
        <v>#N/A</v>
      </c>
      <c r="AP184" s="20" t="e">
        <f t="shared" si="29"/>
        <v>#N/A</v>
      </c>
      <c r="AR184" s="20" t="e">
        <f t="shared" si="30"/>
        <v>#N/A</v>
      </c>
      <c r="AS184" s="20" t="e">
        <f t="shared" si="31"/>
        <v>#N/A</v>
      </c>
      <c r="AT184" s="20" t="e">
        <f t="shared" si="32"/>
        <v>#N/A</v>
      </c>
    </row>
    <row r="185" spans="1:46" x14ac:dyDescent="0.3">
      <c r="A185" s="18"/>
      <c r="B185" s="20" t="e">
        <f>INDEX('01_FASTPPH'!$9:$1048576,MATCH($A185,'01_FASTPPH'!$A$9:$A$1048576,0),MATCH(B$9,'01_FASTPPH'!$8:$8,0))</f>
        <v>#N/A</v>
      </c>
      <c r="C185" s="20" t="e">
        <f>INDEX('01_FASTPPH'!$9:$1048576,MATCH($A185,'01_FASTPPH'!$A$9:$A$1048576,0),MATCH(C$9,'01_FASTPPH'!$8:$8,0))</f>
        <v>#N/A</v>
      </c>
      <c r="D185" s="20" t="e">
        <f>INDEX('01_FASTPPH'!$9:$1048576,MATCH($A185,'01_FASTPPH'!$A$9:$A$1048576,0),MATCH(D$9,'01_FASTPPH'!$8:$8,0))</f>
        <v>#N/A</v>
      </c>
      <c r="E185" s="20" t="e">
        <f>INDEX('01_FASTPPH'!$9:$1048576,MATCH($A185,'01_FASTPPH'!$A$9:$A$1048576,0),MATCH(E$9,'01_FASTPPH'!$8:$8,0))</f>
        <v>#N/A</v>
      </c>
      <c r="F185" s="20" t="e">
        <f>INDEX('01_FASTPPH'!$9:$1048576,MATCH($A185,'01_FASTPPH'!$A$9:$A$1048576,0),MATCH(F$9,'01_FASTPPH'!$8:$8,0))</f>
        <v>#N/A</v>
      </c>
      <c r="G185" s="20" t="e">
        <f>INDEX('01_FASTPPH'!$9:$1048576,MATCH($A185,'01_FASTPPH'!$A$9:$A$1048576,0),MATCH(G$9,'01_FASTPPH'!$8:$8,0))</f>
        <v>#N/A</v>
      </c>
      <c r="H185" s="20" t="e">
        <f>INDEX('01_FASTPPH'!$9:$1048576,MATCH($A185,'01_FASTPPH'!$A$9:$A$1048576,0),MATCH(H$9,'01_FASTPPH'!$8:$8,0))</f>
        <v>#N/A</v>
      </c>
      <c r="I185" s="20" t="e">
        <f>INDEX('01_FASTPPH'!$9:$1048576,MATCH($A185,'01_FASTPPH'!$A$9:$A$1048576,0),MATCH(I$9,'01_FASTPPH'!$8:$8,0))</f>
        <v>#N/A</v>
      </c>
      <c r="J185" s="20" t="e">
        <f>INDEX('01_FASTPPH'!$9:$1048576,MATCH($A185,'01_FASTPPH'!$A$9:$A$1048576,0),MATCH(J$9,'01_FASTPPH'!$8:$8,0))</f>
        <v>#N/A</v>
      </c>
      <c r="K185" s="23" t="e">
        <f>INDEX('01_FASTPPH'!$9:$1048576,MATCH($A185,'01_FASTPPH'!$A$9:$A$1048576,0),MATCH(K$9,'01_FASTPPH'!$8:$8,0))</f>
        <v>#N/A</v>
      </c>
      <c r="L185" s="20" t="e">
        <f>INDEX('01_FASTPPH'!$9:$1048576,MATCH($A185,'01_FASTPPH'!$A$9:$A$1048576,0),MATCH(L$9,'01_FASTPPH'!$8:$8,0))</f>
        <v>#N/A</v>
      </c>
      <c r="M185" s="20" t="e">
        <f>INDEX('01_FASTPPH'!$9:$1048576,MATCH($A185,'01_FASTPPH'!$A$9:$A$1048576,0),MATCH(M$9,'01_FASTPPH'!$8:$8,0))</f>
        <v>#N/A</v>
      </c>
      <c r="N185" s="24" t="e">
        <f>INDEX('01_FASTPPH'!$9:$1048576,MATCH($A185,'01_FASTPPH'!$A$9:$A$1048576,0),MATCH(N$9,'01_FASTPPH'!$8:$8,0))</f>
        <v>#N/A</v>
      </c>
      <c r="O185" s="23" t="e">
        <f>INDEX('01_FASTPPH'!$9:$1048576,MATCH($A185,'01_FASTPPH'!$A$9:$A$1048576,0),MATCH(O$9,'01_FASTPPH'!$8:$8,0))</f>
        <v>#N/A</v>
      </c>
      <c r="P185" s="20" t="e">
        <f>INDEX('01_FASTPPH'!$9:$1048576,MATCH($A185,'01_FASTPPH'!$A$9:$A$1048576,0),MATCH(P$9,'01_FASTPPH'!$8:$8,0))</f>
        <v>#N/A</v>
      </c>
      <c r="Q185" s="20" t="e">
        <f>INDEX('01_FASTPPH'!$9:$1048576,MATCH($A185,'01_FASTPPH'!$A$9:$A$1048576,0),MATCH(Q$9,'01_FASTPPH'!$8:$8,0))</f>
        <v>#N/A</v>
      </c>
      <c r="R185" s="20" t="e">
        <f>INDEX('01_FASTPPH'!$9:$1048576,MATCH($A185,'01_FASTPPH'!$A$9:$A$1048576,0),MATCH(R$9,'01_FASTPPH'!$8:$8,0))</f>
        <v>#N/A</v>
      </c>
      <c r="S185" s="20" t="e">
        <f>INDEX('01_FASTPPH'!$9:$1048576,MATCH($A185,'01_FASTPPH'!$A$9:$A$1048576,0),MATCH(S$9,'01_FASTPPH'!$8:$8,0))</f>
        <v>#N/A</v>
      </c>
      <c r="T185" s="24" t="e">
        <f>INDEX('01_FASTPPH'!$9:$1048576,MATCH($A185,'01_FASTPPH'!$A$9:$A$1048576,0),MATCH(T$9,'01_FASTPPH'!$8:$8,0))</f>
        <v>#N/A</v>
      </c>
      <c r="U185" s="23" t="e">
        <f>INDEX('01_FASTPPH'!$9:$1048576,MATCH($A185,'01_FASTPPH'!$A$9:$A$1048576,0),MATCH(U$9,'01_FASTPPH'!$8:$8,0))</f>
        <v>#N/A</v>
      </c>
      <c r="V185" s="20" t="e">
        <f>INDEX('01_FASTPPH'!$9:$1048576,MATCH($A185,'01_FASTPPH'!$A$9:$A$1048576,0),MATCH(V$9,'01_FASTPPH'!$8:$8,0))</f>
        <v>#N/A</v>
      </c>
      <c r="W185" s="24" t="e">
        <f>INDEX('01_FASTPPH'!$9:$1048576,MATCH($A185,'01_FASTPPH'!$A$9:$A$1048576,0),MATCH(W$9,'01_FASTPPH'!$8:$8,0))</f>
        <v>#N/A</v>
      </c>
      <c r="X185" s="20" t="e">
        <f>INDEX('01_FASTPPH'!$9:$1048576,MATCH($A185,'01_FASTPPH'!$A$9:$A$1048576,0),MATCH(X$9,'01_FASTPPH'!$8:$8,0))</f>
        <v>#N/A</v>
      </c>
      <c r="Y185" s="20" t="e">
        <f>INDEX('01_FASTPPH'!$9:$1048576,MATCH($A185,'01_FASTPPH'!$A$9:$A$1048576,0),MATCH(Y$9,'01_FASTPPH'!$8:$8,0))</f>
        <v>#N/A</v>
      </c>
      <c r="AA185" s="32" t="e">
        <f>INDEX('02_PROPERTIES'!$C$10:$I$1048576,MATCH('03_CALCULATIONS'!$D185,'02_PROPERTIES'!$C$10:$C$1048576,0),MATCH('03_CALCULATIONS'!AA$9,'02_PROPERTIES'!$C$10:$I$10,0))</f>
        <v>#N/A</v>
      </c>
      <c r="AB185" s="20" t="e">
        <f>INDEX('02_PROPERTIES'!$C$10:$I$1048576,MATCH('03_CALCULATIONS'!$D185,'02_PROPERTIES'!$C$10:$C$1048576,0),MATCH('03_CALCULATIONS'!AB$9,'02_PROPERTIES'!$C$10:$I$10,0))</f>
        <v>#N/A</v>
      </c>
      <c r="AC185" s="20" t="e">
        <f>INDEX('02_PROPERTIES'!$C$10:$I$1048576,MATCH('03_CALCULATIONS'!$D185,'02_PROPERTIES'!$C$10:$C$1048576,0),MATCH('03_CALCULATIONS'!AC$9,'02_PROPERTIES'!$C$10:$I$10,0))</f>
        <v>#N/A</v>
      </c>
      <c r="AD185" s="20" t="e">
        <f>INDEX('02_PROPERTIES'!$C$10:$I$1048576,MATCH('03_CALCULATIONS'!$D185,'02_PROPERTIES'!$C$10:$C$1048576,0),MATCH('03_CALCULATIONS'!AD$9,'02_PROPERTIES'!$C$10:$I$10,0))</f>
        <v>#N/A</v>
      </c>
      <c r="AE185" s="32" t="e">
        <f>INDEX('02_PROPERTIES'!$C$10:$I$1048576,MATCH('03_CALCULATIONS'!$D185,'02_PROPERTIES'!$C$10:$C$1048576,0),MATCH('03_CALCULATIONS'!AE$9,'02_PROPERTIES'!$C$10:$I$10,0))</f>
        <v>#N/A</v>
      </c>
      <c r="AF185" s="32" t="e">
        <f>INDEX('02_PROPERTIES'!$C$10:$I$1048576,MATCH('03_CALCULATIONS'!$D185,'02_PROPERTIES'!$C$10:$C$1048576,0),MATCH('03_CALCULATIONS'!AF$9,'02_PROPERTIES'!$C$10:$I$10,0))</f>
        <v>#N/A</v>
      </c>
      <c r="AH185" s="20" t="e">
        <f t="shared" si="22"/>
        <v>#N/A</v>
      </c>
      <c r="AI185" s="20" t="e">
        <f t="shared" si="23"/>
        <v>#N/A</v>
      </c>
      <c r="AJ185" s="20" t="e">
        <f t="shared" si="24"/>
        <v>#N/A</v>
      </c>
      <c r="AL185" s="20" t="e">
        <f t="shared" si="25"/>
        <v>#N/A</v>
      </c>
      <c r="AM185" s="20" t="e">
        <f t="shared" si="26"/>
        <v>#N/A</v>
      </c>
      <c r="AN185" s="20" t="e">
        <f t="shared" si="27"/>
        <v>#N/A</v>
      </c>
      <c r="AO185" s="20" t="e">
        <f t="shared" si="28"/>
        <v>#N/A</v>
      </c>
      <c r="AP185" s="20" t="e">
        <f t="shared" si="29"/>
        <v>#N/A</v>
      </c>
      <c r="AR185" s="20" t="e">
        <f t="shared" si="30"/>
        <v>#N/A</v>
      </c>
      <c r="AS185" s="20" t="e">
        <f t="shared" si="31"/>
        <v>#N/A</v>
      </c>
      <c r="AT185" s="20" t="e">
        <f t="shared" si="32"/>
        <v>#N/A</v>
      </c>
    </row>
    <row r="186" spans="1:46" x14ac:dyDescent="0.3">
      <c r="A186" s="18"/>
      <c r="B186" s="20" t="e">
        <f>INDEX('01_FASTPPH'!$9:$1048576,MATCH($A186,'01_FASTPPH'!$A$9:$A$1048576,0),MATCH(B$9,'01_FASTPPH'!$8:$8,0))</f>
        <v>#N/A</v>
      </c>
      <c r="C186" s="20" t="e">
        <f>INDEX('01_FASTPPH'!$9:$1048576,MATCH($A186,'01_FASTPPH'!$A$9:$A$1048576,0),MATCH(C$9,'01_FASTPPH'!$8:$8,0))</f>
        <v>#N/A</v>
      </c>
      <c r="D186" s="20" t="e">
        <f>INDEX('01_FASTPPH'!$9:$1048576,MATCH($A186,'01_FASTPPH'!$A$9:$A$1048576,0),MATCH(D$9,'01_FASTPPH'!$8:$8,0))</f>
        <v>#N/A</v>
      </c>
      <c r="E186" s="20" t="e">
        <f>INDEX('01_FASTPPH'!$9:$1048576,MATCH($A186,'01_FASTPPH'!$A$9:$A$1048576,0),MATCH(E$9,'01_FASTPPH'!$8:$8,0))</f>
        <v>#N/A</v>
      </c>
      <c r="F186" s="20" t="e">
        <f>INDEX('01_FASTPPH'!$9:$1048576,MATCH($A186,'01_FASTPPH'!$A$9:$A$1048576,0),MATCH(F$9,'01_FASTPPH'!$8:$8,0))</f>
        <v>#N/A</v>
      </c>
      <c r="G186" s="20" t="e">
        <f>INDEX('01_FASTPPH'!$9:$1048576,MATCH($A186,'01_FASTPPH'!$A$9:$A$1048576,0),MATCH(G$9,'01_FASTPPH'!$8:$8,0))</f>
        <v>#N/A</v>
      </c>
      <c r="H186" s="20" t="e">
        <f>INDEX('01_FASTPPH'!$9:$1048576,MATCH($A186,'01_FASTPPH'!$A$9:$A$1048576,0),MATCH(H$9,'01_FASTPPH'!$8:$8,0))</f>
        <v>#N/A</v>
      </c>
      <c r="I186" s="20" t="e">
        <f>INDEX('01_FASTPPH'!$9:$1048576,MATCH($A186,'01_FASTPPH'!$A$9:$A$1048576,0),MATCH(I$9,'01_FASTPPH'!$8:$8,0))</f>
        <v>#N/A</v>
      </c>
      <c r="J186" s="20" t="e">
        <f>INDEX('01_FASTPPH'!$9:$1048576,MATCH($A186,'01_FASTPPH'!$A$9:$A$1048576,0),MATCH(J$9,'01_FASTPPH'!$8:$8,0))</f>
        <v>#N/A</v>
      </c>
      <c r="K186" s="23" t="e">
        <f>INDEX('01_FASTPPH'!$9:$1048576,MATCH($A186,'01_FASTPPH'!$A$9:$A$1048576,0),MATCH(K$9,'01_FASTPPH'!$8:$8,0))</f>
        <v>#N/A</v>
      </c>
      <c r="L186" s="20" t="e">
        <f>INDEX('01_FASTPPH'!$9:$1048576,MATCH($A186,'01_FASTPPH'!$A$9:$A$1048576,0),MATCH(L$9,'01_FASTPPH'!$8:$8,0))</f>
        <v>#N/A</v>
      </c>
      <c r="M186" s="20" t="e">
        <f>INDEX('01_FASTPPH'!$9:$1048576,MATCH($A186,'01_FASTPPH'!$A$9:$A$1048576,0),MATCH(M$9,'01_FASTPPH'!$8:$8,0))</f>
        <v>#N/A</v>
      </c>
      <c r="N186" s="24" t="e">
        <f>INDEX('01_FASTPPH'!$9:$1048576,MATCH($A186,'01_FASTPPH'!$A$9:$A$1048576,0),MATCH(N$9,'01_FASTPPH'!$8:$8,0))</f>
        <v>#N/A</v>
      </c>
      <c r="O186" s="23" t="e">
        <f>INDEX('01_FASTPPH'!$9:$1048576,MATCH($A186,'01_FASTPPH'!$A$9:$A$1048576,0),MATCH(O$9,'01_FASTPPH'!$8:$8,0))</f>
        <v>#N/A</v>
      </c>
      <c r="P186" s="20" t="e">
        <f>INDEX('01_FASTPPH'!$9:$1048576,MATCH($A186,'01_FASTPPH'!$A$9:$A$1048576,0),MATCH(P$9,'01_FASTPPH'!$8:$8,0))</f>
        <v>#N/A</v>
      </c>
      <c r="Q186" s="20" t="e">
        <f>INDEX('01_FASTPPH'!$9:$1048576,MATCH($A186,'01_FASTPPH'!$A$9:$A$1048576,0),MATCH(Q$9,'01_FASTPPH'!$8:$8,0))</f>
        <v>#N/A</v>
      </c>
      <c r="R186" s="20" t="e">
        <f>INDEX('01_FASTPPH'!$9:$1048576,MATCH($A186,'01_FASTPPH'!$A$9:$A$1048576,0),MATCH(R$9,'01_FASTPPH'!$8:$8,0))</f>
        <v>#N/A</v>
      </c>
      <c r="S186" s="20" t="e">
        <f>INDEX('01_FASTPPH'!$9:$1048576,MATCH($A186,'01_FASTPPH'!$A$9:$A$1048576,0),MATCH(S$9,'01_FASTPPH'!$8:$8,0))</f>
        <v>#N/A</v>
      </c>
      <c r="T186" s="24" t="e">
        <f>INDEX('01_FASTPPH'!$9:$1048576,MATCH($A186,'01_FASTPPH'!$A$9:$A$1048576,0),MATCH(T$9,'01_FASTPPH'!$8:$8,0))</f>
        <v>#N/A</v>
      </c>
      <c r="U186" s="23" t="e">
        <f>INDEX('01_FASTPPH'!$9:$1048576,MATCH($A186,'01_FASTPPH'!$A$9:$A$1048576,0),MATCH(U$9,'01_FASTPPH'!$8:$8,0))</f>
        <v>#N/A</v>
      </c>
      <c r="V186" s="20" t="e">
        <f>INDEX('01_FASTPPH'!$9:$1048576,MATCH($A186,'01_FASTPPH'!$A$9:$A$1048576,0),MATCH(V$9,'01_FASTPPH'!$8:$8,0))</f>
        <v>#N/A</v>
      </c>
      <c r="W186" s="24" t="e">
        <f>INDEX('01_FASTPPH'!$9:$1048576,MATCH($A186,'01_FASTPPH'!$A$9:$A$1048576,0),MATCH(W$9,'01_FASTPPH'!$8:$8,0))</f>
        <v>#N/A</v>
      </c>
      <c r="X186" s="20" t="e">
        <f>INDEX('01_FASTPPH'!$9:$1048576,MATCH($A186,'01_FASTPPH'!$A$9:$A$1048576,0),MATCH(X$9,'01_FASTPPH'!$8:$8,0))</f>
        <v>#N/A</v>
      </c>
      <c r="Y186" s="20" t="e">
        <f>INDEX('01_FASTPPH'!$9:$1048576,MATCH($A186,'01_FASTPPH'!$A$9:$A$1048576,0),MATCH(Y$9,'01_FASTPPH'!$8:$8,0))</f>
        <v>#N/A</v>
      </c>
      <c r="AA186" s="32" t="e">
        <f>INDEX('02_PROPERTIES'!$C$10:$I$1048576,MATCH('03_CALCULATIONS'!$D186,'02_PROPERTIES'!$C$10:$C$1048576,0),MATCH('03_CALCULATIONS'!AA$9,'02_PROPERTIES'!$C$10:$I$10,0))</f>
        <v>#N/A</v>
      </c>
      <c r="AB186" s="20" t="e">
        <f>INDEX('02_PROPERTIES'!$C$10:$I$1048576,MATCH('03_CALCULATIONS'!$D186,'02_PROPERTIES'!$C$10:$C$1048576,0),MATCH('03_CALCULATIONS'!AB$9,'02_PROPERTIES'!$C$10:$I$10,0))</f>
        <v>#N/A</v>
      </c>
      <c r="AC186" s="20" t="e">
        <f>INDEX('02_PROPERTIES'!$C$10:$I$1048576,MATCH('03_CALCULATIONS'!$D186,'02_PROPERTIES'!$C$10:$C$1048576,0),MATCH('03_CALCULATIONS'!AC$9,'02_PROPERTIES'!$C$10:$I$10,0))</f>
        <v>#N/A</v>
      </c>
      <c r="AD186" s="20" t="e">
        <f>INDEX('02_PROPERTIES'!$C$10:$I$1048576,MATCH('03_CALCULATIONS'!$D186,'02_PROPERTIES'!$C$10:$C$1048576,0),MATCH('03_CALCULATIONS'!AD$9,'02_PROPERTIES'!$C$10:$I$10,0))</f>
        <v>#N/A</v>
      </c>
      <c r="AE186" s="32" t="e">
        <f>INDEX('02_PROPERTIES'!$C$10:$I$1048576,MATCH('03_CALCULATIONS'!$D186,'02_PROPERTIES'!$C$10:$C$1048576,0),MATCH('03_CALCULATIONS'!AE$9,'02_PROPERTIES'!$C$10:$I$10,0))</f>
        <v>#N/A</v>
      </c>
      <c r="AF186" s="32" t="e">
        <f>INDEX('02_PROPERTIES'!$C$10:$I$1048576,MATCH('03_CALCULATIONS'!$D186,'02_PROPERTIES'!$C$10:$C$1048576,0),MATCH('03_CALCULATIONS'!AF$9,'02_PROPERTIES'!$C$10:$I$10,0))</f>
        <v>#N/A</v>
      </c>
      <c r="AH186" s="20" t="e">
        <f t="shared" si="22"/>
        <v>#N/A</v>
      </c>
      <c r="AI186" s="20" t="e">
        <f t="shared" si="23"/>
        <v>#N/A</v>
      </c>
      <c r="AJ186" s="20" t="e">
        <f t="shared" si="24"/>
        <v>#N/A</v>
      </c>
      <c r="AL186" s="20" t="e">
        <f t="shared" si="25"/>
        <v>#N/A</v>
      </c>
      <c r="AM186" s="20" t="e">
        <f t="shared" si="26"/>
        <v>#N/A</v>
      </c>
      <c r="AN186" s="20" t="e">
        <f t="shared" si="27"/>
        <v>#N/A</v>
      </c>
      <c r="AO186" s="20" t="e">
        <f t="shared" si="28"/>
        <v>#N/A</v>
      </c>
      <c r="AP186" s="20" t="e">
        <f t="shared" si="29"/>
        <v>#N/A</v>
      </c>
      <c r="AR186" s="20" t="e">
        <f t="shared" si="30"/>
        <v>#N/A</v>
      </c>
      <c r="AS186" s="20" t="e">
        <f t="shared" si="31"/>
        <v>#N/A</v>
      </c>
      <c r="AT186" s="20" t="e">
        <f t="shared" si="32"/>
        <v>#N/A</v>
      </c>
    </row>
    <row r="187" spans="1:46" x14ac:dyDescent="0.3">
      <c r="A187" s="18"/>
      <c r="B187" s="20" t="e">
        <f>INDEX('01_FASTPPH'!$9:$1048576,MATCH($A187,'01_FASTPPH'!$A$9:$A$1048576,0),MATCH(B$9,'01_FASTPPH'!$8:$8,0))</f>
        <v>#N/A</v>
      </c>
      <c r="C187" s="20" t="e">
        <f>INDEX('01_FASTPPH'!$9:$1048576,MATCH($A187,'01_FASTPPH'!$A$9:$A$1048576,0),MATCH(C$9,'01_FASTPPH'!$8:$8,0))</f>
        <v>#N/A</v>
      </c>
      <c r="D187" s="20" t="e">
        <f>INDEX('01_FASTPPH'!$9:$1048576,MATCH($A187,'01_FASTPPH'!$A$9:$A$1048576,0),MATCH(D$9,'01_FASTPPH'!$8:$8,0))</f>
        <v>#N/A</v>
      </c>
      <c r="E187" s="20" t="e">
        <f>INDEX('01_FASTPPH'!$9:$1048576,MATCH($A187,'01_FASTPPH'!$A$9:$A$1048576,0),MATCH(E$9,'01_FASTPPH'!$8:$8,0))</f>
        <v>#N/A</v>
      </c>
      <c r="F187" s="20" t="e">
        <f>INDEX('01_FASTPPH'!$9:$1048576,MATCH($A187,'01_FASTPPH'!$A$9:$A$1048576,0),MATCH(F$9,'01_FASTPPH'!$8:$8,0))</f>
        <v>#N/A</v>
      </c>
      <c r="G187" s="20" t="e">
        <f>INDEX('01_FASTPPH'!$9:$1048576,MATCH($A187,'01_FASTPPH'!$A$9:$A$1048576,0),MATCH(G$9,'01_FASTPPH'!$8:$8,0))</f>
        <v>#N/A</v>
      </c>
      <c r="H187" s="20" t="e">
        <f>INDEX('01_FASTPPH'!$9:$1048576,MATCH($A187,'01_FASTPPH'!$A$9:$A$1048576,0),MATCH(H$9,'01_FASTPPH'!$8:$8,0))</f>
        <v>#N/A</v>
      </c>
      <c r="I187" s="20" t="e">
        <f>INDEX('01_FASTPPH'!$9:$1048576,MATCH($A187,'01_FASTPPH'!$A$9:$A$1048576,0),MATCH(I$9,'01_FASTPPH'!$8:$8,0))</f>
        <v>#N/A</v>
      </c>
      <c r="J187" s="20" t="e">
        <f>INDEX('01_FASTPPH'!$9:$1048576,MATCH($A187,'01_FASTPPH'!$A$9:$A$1048576,0),MATCH(J$9,'01_FASTPPH'!$8:$8,0))</f>
        <v>#N/A</v>
      </c>
      <c r="K187" s="23" t="e">
        <f>INDEX('01_FASTPPH'!$9:$1048576,MATCH($A187,'01_FASTPPH'!$A$9:$A$1048576,0),MATCH(K$9,'01_FASTPPH'!$8:$8,0))</f>
        <v>#N/A</v>
      </c>
      <c r="L187" s="20" t="e">
        <f>INDEX('01_FASTPPH'!$9:$1048576,MATCH($A187,'01_FASTPPH'!$A$9:$A$1048576,0),MATCH(L$9,'01_FASTPPH'!$8:$8,0))</f>
        <v>#N/A</v>
      </c>
      <c r="M187" s="20" t="e">
        <f>INDEX('01_FASTPPH'!$9:$1048576,MATCH($A187,'01_FASTPPH'!$A$9:$A$1048576,0),MATCH(M$9,'01_FASTPPH'!$8:$8,0))</f>
        <v>#N/A</v>
      </c>
      <c r="N187" s="24" t="e">
        <f>INDEX('01_FASTPPH'!$9:$1048576,MATCH($A187,'01_FASTPPH'!$A$9:$A$1048576,0),MATCH(N$9,'01_FASTPPH'!$8:$8,0))</f>
        <v>#N/A</v>
      </c>
      <c r="O187" s="23" t="e">
        <f>INDEX('01_FASTPPH'!$9:$1048576,MATCH($A187,'01_FASTPPH'!$A$9:$A$1048576,0),MATCH(O$9,'01_FASTPPH'!$8:$8,0))</f>
        <v>#N/A</v>
      </c>
      <c r="P187" s="20" t="e">
        <f>INDEX('01_FASTPPH'!$9:$1048576,MATCH($A187,'01_FASTPPH'!$A$9:$A$1048576,0),MATCH(P$9,'01_FASTPPH'!$8:$8,0))</f>
        <v>#N/A</v>
      </c>
      <c r="Q187" s="20" t="e">
        <f>INDEX('01_FASTPPH'!$9:$1048576,MATCH($A187,'01_FASTPPH'!$A$9:$A$1048576,0),MATCH(Q$9,'01_FASTPPH'!$8:$8,0))</f>
        <v>#N/A</v>
      </c>
      <c r="R187" s="20" t="e">
        <f>INDEX('01_FASTPPH'!$9:$1048576,MATCH($A187,'01_FASTPPH'!$A$9:$A$1048576,0),MATCH(R$9,'01_FASTPPH'!$8:$8,0))</f>
        <v>#N/A</v>
      </c>
      <c r="S187" s="20" t="e">
        <f>INDEX('01_FASTPPH'!$9:$1048576,MATCH($A187,'01_FASTPPH'!$A$9:$A$1048576,0),MATCH(S$9,'01_FASTPPH'!$8:$8,0))</f>
        <v>#N/A</v>
      </c>
      <c r="T187" s="24" t="e">
        <f>INDEX('01_FASTPPH'!$9:$1048576,MATCH($A187,'01_FASTPPH'!$A$9:$A$1048576,0),MATCH(T$9,'01_FASTPPH'!$8:$8,0))</f>
        <v>#N/A</v>
      </c>
      <c r="U187" s="23" t="e">
        <f>INDEX('01_FASTPPH'!$9:$1048576,MATCH($A187,'01_FASTPPH'!$A$9:$A$1048576,0),MATCH(U$9,'01_FASTPPH'!$8:$8,0))</f>
        <v>#N/A</v>
      </c>
      <c r="V187" s="20" t="e">
        <f>INDEX('01_FASTPPH'!$9:$1048576,MATCH($A187,'01_FASTPPH'!$A$9:$A$1048576,0),MATCH(V$9,'01_FASTPPH'!$8:$8,0))</f>
        <v>#N/A</v>
      </c>
      <c r="W187" s="24" t="e">
        <f>INDEX('01_FASTPPH'!$9:$1048576,MATCH($A187,'01_FASTPPH'!$A$9:$A$1048576,0),MATCH(W$9,'01_FASTPPH'!$8:$8,0))</f>
        <v>#N/A</v>
      </c>
      <c r="X187" s="20" t="e">
        <f>INDEX('01_FASTPPH'!$9:$1048576,MATCH($A187,'01_FASTPPH'!$A$9:$A$1048576,0),MATCH(X$9,'01_FASTPPH'!$8:$8,0))</f>
        <v>#N/A</v>
      </c>
      <c r="Y187" s="20" t="e">
        <f>INDEX('01_FASTPPH'!$9:$1048576,MATCH($A187,'01_FASTPPH'!$A$9:$A$1048576,0),MATCH(Y$9,'01_FASTPPH'!$8:$8,0))</f>
        <v>#N/A</v>
      </c>
      <c r="AA187" s="32" t="e">
        <f>INDEX('02_PROPERTIES'!$C$10:$I$1048576,MATCH('03_CALCULATIONS'!$D187,'02_PROPERTIES'!$C$10:$C$1048576,0),MATCH('03_CALCULATIONS'!AA$9,'02_PROPERTIES'!$C$10:$I$10,0))</f>
        <v>#N/A</v>
      </c>
      <c r="AB187" s="20" t="e">
        <f>INDEX('02_PROPERTIES'!$C$10:$I$1048576,MATCH('03_CALCULATIONS'!$D187,'02_PROPERTIES'!$C$10:$C$1048576,0),MATCH('03_CALCULATIONS'!AB$9,'02_PROPERTIES'!$C$10:$I$10,0))</f>
        <v>#N/A</v>
      </c>
      <c r="AC187" s="20" t="e">
        <f>INDEX('02_PROPERTIES'!$C$10:$I$1048576,MATCH('03_CALCULATIONS'!$D187,'02_PROPERTIES'!$C$10:$C$1048576,0),MATCH('03_CALCULATIONS'!AC$9,'02_PROPERTIES'!$C$10:$I$10,0))</f>
        <v>#N/A</v>
      </c>
      <c r="AD187" s="20" t="e">
        <f>INDEX('02_PROPERTIES'!$C$10:$I$1048576,MATCH('03_CALCULATIONS'!$D187,'02_PROPERTIES'!$C$10:$C$1048576,0),MATCH('03_CALCULATIONS'!AD$9,'02_PROPERTIES'!$C$10:$I$10,0))</f>
        <v>#N/A</v>
      </c>
      <c r="AE187" s="32" t="e">
        <f>INDEX('02_PROPERTIES'!$C$10:$I$1048576,MATCH('03_CALCULATIONS'!$D187,'02_PROPERTIES'!$C$10:$C$1048576,0),MATCH('03_CALCULATIONS'!AE$9,'02_PROPERTIES'!$C$10:$I$10,0))</f>
        <v>#N/A</v>
      </c>
      <c r="AF187" s="32" t="e">
        <f>INDEX('02_PROPERTIES'!$C$10:$I$1048576,MATCH('03_CALCULATIONS'!$D187,'02_PROPERTIES'!$C$10:$C$1048576,0),MATCH('03_CALCULATIONS'!AF$9,'02_PROPERTIES'!$C$10:$I$10,0))</f>
        <v>#N/A</v>
      </c>
      <c r="AH187" s="20" t="e">
        <f t="shared" si="22"/>
        <v>#N/A</v>
      </c>
      <c r="AI187" s="20" t="e">
        <f t="shared" si="23"/>
        <v>#N/A</v>
      </c>
      <c r="AJ187" s="20" t="e">
        <f t="shared" si="24"/>
        <v>#N/A</v>
      </c>
      <c r="AL187" s="20" t="e">
        <f t="shared" si="25"/>
        <v>#N/A</v>
      </c>
      <c r="AM187" s="20" t="e">
        <f t="shared" si="26"/>
        <v>#N/A</v>
      </c>
      <c r="AN187" s="20" t="e">
        <f t="shared" si="27"/>
        <v>#N/A</v>
      </c>
      <c r="AO187" s="20" t="e">
        <f t="shared" si="28"/>
        <v>#N/A</v>
      </c>
      <c r="AP187" s="20" t="e">
        <f t="shared" si="29"/>
        <v>#N/A</v>
      </c>
      <c r="AR187" s="20" t="e">
        <f t="shared" si="30"/>
        <v>#N/A</v>
      </c>
      <c r="AS187" s="20" t="e">
        <f t="shared" si="31"/>
        <v>#N/A</v>
      </c>
      <c r="AT187" s="20" t="e">
        <f t="shared" si="32"/>
        <v>#N/A</v>
      </c>
    </row>
    <row r="188" spans="1:46" x14ac:dyDescent="0.3">
      <c r="A188" s="18"/>
      <c r="B188" s="20" t="e">
        <f>INDEX('01_FASTPPH'!$9:$1048576,MATCH($A188,'01_FASTPPH'!$A$9:$A$1048576,0),MATCH(B$9,'01_FASTPPH'!$8:$8,0))</f>
        <v>#N/A</v>
      </c>
      <c r="C188" s="20" t="e">
        <f>INDEX('01_FASTPPH'!$9:$1048576,MATCH($A188,'01_FASTPPH'!$A$9:$A$1048576,0),MATCH(C$9,'01_FASTPPH'!$8:$8,0))</f>
        <v>#N/A</v>
      </c>
      <c r="D188" s="20" t="e">
        <f>INDEX('01_FASTPPH'!$9:$1048576,MATCH($A188,'01_FASTPPH'!$A$9:$A$1048576,0),MATCH(D$9,'01_FASTPPH'!$8:$8,0))</f>
        <v>#N/A</v>
      </c>
      <c r="E188" s="20" t="e">
        <f>INDEX('01_FASTPPH'!$9:$1048576,MATCH($A188,'01_FASTPPH'!$A$9:$A$1048576,0),MATCH(E$9,'01_FASTPPH'!$8:$8,0))</f>
        <v>#N/A</v>
      </c>
      <c r="F188" s="20" t="e">
        <f>INDEX('01_FASTPPH'!$9:$1048576,MATCH($A188,'01_FASTPPH'!$A$9:$A$1048576,0),MATCH(F$9,'01_FASTPPH'!$8:$8,0))</f>
        <v>#N/A</v>
      </c>
      <c r="G188" s="20" t="e">
        <f>INDEX('01_FASTPPH'!$9:$1048576,MATCH($A188,'01_FASTPPH'!$A$9:$A$1048576,0),MATCH(G$9,'01_FASTPPH'!$8:$8,0))</f>
        <v>#N/A</v>
      </c>
      <c r="H188" s="20" t="e">
        <f>INDEX('01_FASTPPH'!$9:$1048576,MATCH($A188,'01_FASTPPH'!$A$9:$A$1048576,0),MATCH(H$9,'01_FASTPPH'!$8:$8,0))</f>
        <v>#N/A</v>
      </c>
      <c r="I188" s="20" t="e">
        <f>INDEX('01_FASTPPH'!$9:$1048576,MATCH($A188,'01_FASTPPH'!$A$9:$A$1048576,0),MATCH(I$9,'01_FASTPPH'!$8:$8,0))</f>
        <v>#N/A</v>
      </c>
      <c r="J188" s="20" t="e">
        <f>INDEX('01_FASTPPH'!$9:$1048576,MATCH($A188,'01_FASTPPH'!$A$9:$A$1048576,0),MATCH(J$9,'01_FASTPPH'!$8:$8,0))</f>
        <v>#N/A</v>
      </c>
      <c r="K188" s="23" t="e">
        <f>INDEX('01_FASTPPH'!$9:$1048576,MATCH($A188,'01_FASTPPH'!$A$9:$A$1048576,0),MATCH(K$9,'01_FASTPPH'!$8:$8,0))</f>
        <v>#N/A</v>
      </c>
      <c r="L188" s="20" t="e">
        <f>INDEX('01_FASTPPH'!$9:$1048576,MATCH($A188,'01_FASTPPH'!$A$9:$A$1048576,0),MATCH(L$9,'01_FASTPPH'!$8:$8,0))</f>
        <v>#N/A</v>
      </c>
      <c r="M188" s="20" t="e">
        <f>INDEX('01_FASTPPH'!$9:$1048576,MATCH($A188,'01_FASTPPH'!$A$9:$A$1048576,0),MATCH(M$9,'01_FASTPPH'!$8:$8,0))</f>
        <v>#N/A</v>
      </c>
      <c r="N188" s="24" t="e">
        <f>INDEX('01_FASTPPH'!$9:$1048576,MATCH($A188,'01_FASTPPH'!$A$9:$A$1048576,0),MATCH(N$9,'01_FASTPPH'!$8:$8,0))</f>
        <v>#N/A</v>
      </c>
      <c r="O188" s="23" t="e">
        <f>INDEX('01_FASTPPH'!$9:$1048576,MATCH($A188,'01_FASTPPH'!$A$9:$A$1048576,0),MATCH(O$9,'01_FASTPPH'!$8:$8,0))</f>
        <v>#N/A</v>
      </c>
      <c r="P188" s="20" t="e">
        <f>INDEX('01_FASTPPH'!$9:$1048576,MATCH($A188,'01_FASTPPH'!$A$9:$A$1048576,0),MATCH(P$9,'01_FASTPPH'!$8:$8,0))</f>
        <v>#N/A</v>
      </c>
      <c r="Q188" s="20" t="e">
        <f>INDEX('01_FASTPPH'!$9:$1048576,MATCH($A188,'01_FASTPPH'!$A$9:$A$1048576,0),MATCH(Q$9,'01_FASTPPH'!$8:$8,0))</f>
        <v>#N/A</v>
      </c>
      <c r="R188" s="20" t="e">
        <f>INDEX('01_FASTPPH'!$9:$1048576,MATCH($A188,'01_FASTPPH'!$A$9:$A$1048576,0),MATCH(R$9,'01_FASTPPH'!$8:$8,0))</f>
        <v>#N/A</v>
      </c>
      <c r="S188" s="20" t="e">
        <f>INDEX('01_FASTPPH'!$9:$1048576,MATCH($A188,'01_FASTPPH'!$A$9:$A$1048576,0),MATCH(S$9,'01_FASTPPH'!$8:$8,0))</f>
        <v>#N/A</v>
      </c>
      <c r="T188" s="24" t="e">
        <f>INDEX('01_FASTPPH'!$9:$1048576,MATCH($A188,'01_FASTPPH'!$A$9:$A$1048576,0),MATCH(T$9,'01_FASTPPH'!$8:$8,0))</f>
        <v>#N/A</v>
      </c>
      <c r="U188" s="23" t="e">
        <f>INDEX('01_FASTPPH'!$9:$1048576,MATCH($A188,'01_FASTPPH'!$A$9:$A$1048576,0),MATCH(U$9,'01_FASTPPH'!$8:$8,0))</f>
        <v>#N/A</v>
      </c>
      <c r="V188" s="20" t="e">
        <f>INDEX('01_FASTPPH'!$9:$1048576,MATCH($A188,'01_FASTPPH'!$A$9:$A$1048576,0),MATCH(V$9,'01_FASTPPH'!$8:$8,0))</f>
        <v>#N/A</v>
      </c>
      <c r="W188" s="24" t="e">
        <f>INDEX('01_FASTPPH'!$9:$1048576,MATCH($A188,'01_FASTPPH'!$A$9:$A$1048576,0),MATCH(W$9,'01_FASTPPH'!$8:$8,0))</f>
        <v>#N/A</v>
      </c>
      <c r="X188" s="20" t="e">
        <f>INDEX('01_FASTPPH'!$9:$1048576,MATCH($A188,'01_FASTPPH'!$A$9:$A$1048576,0),MATCH(X$9,'01_FASTPPH'!$8:$8,0))</f>
        <v>#N/A</v>
      </c>
      <c r="Y188" s="20" t="e">
        <f>INDEX('01_FASTPPH'!$9:$1048576,MATCH($A188,'01_FASTPPH'!$A$9:$A$1048576,0),MATCH(Y$9,'01_FASTPPH'!$8:$8,0))</f>
        <v>#N/A</v>
      </c>
      <c r="AA188" s="32" t="e">
        <f>INDEX('02_PROPERTIES'!$C$10:$I$1048576,MATCH('03_CALCULATIONS'!$D188,'02_PROPERTIES'!$C$10:$C$1048576,0),MATCH('03_CALCULATIONS'!AA$9,'02_PROPERTIES'!$C$10:$I$10,0))</f>
        <v>#N/A</v>
      </c>
      <c r="AB188" s="20" t="e">
        <f>INDEX('02_PROPERTIES'!$C$10:$I$1048576,MATCH('03_CALCULATIONS'!$D188,'02_PROPERTIES'!$C$10:$C$1048576,0),MATCH('03_CALCULATIONS'!AB$9,'02_PROPERTIES'!$C$10:$I$10,0))</f>
        <v>#N/A</v>
      </c>
      <c r="AC188" s="20" t="e">
        <f>INDEX('02_PROPERTIES'!$C$10:$I$1048576,MATCH('03_CALCULATIONS'!$D188,'02_PROPERTIES'!$C$10:$C$1048576,0),MATCH('03_CALCULATIONS'!AC$9,'02_PROPERTIES'!$C$10:$I$10,0))</f>
        <v>#N/A</v>
      </c>
      <c r="AD188" s="20" t="e">
        <f>INDEX('02_PROPERTIES'!$C$10:$I$1048576,MATCH('03_CALCULATIONS'!$D188,'02_PROPERTIES'!$C$10:$C$1048576,0),MATCH('03_CALCULATIONS'!AD$9,'02_PROPERTIES'!$C$10:$I$10,0))</f>
        <v>#N/A</v>
      </c>
      <c r="AE188" s="32" t="e">
        <f>INDEX('02_PROPERTIES'!$C$10:$I$1048576,MATCH('03_CALCULATIONS'!$D188,'02_PROPERTIES'!$C$10:$C$1048576,0),MATCH('03_CALCULATIONS'!AE$9,'02_PROPERTIES'!$C$10:$I$10,0))</f>
        <v>#N/A</v>
      </c>
      <c r="AF188" s="32" t="e">
        <f>INDEX('02_PROPERTIES'!$C$10:$I$1048576,MATCH('03_CALCULATIONS'!$D188,'02_PROPERTIES'!$C$10:$C$1048576,0),MATCH('03_CALCULATIONS'!AF$9,'02_PROPERTIES'!$C$10:$I$10,0))</f>
        <v>#N/A</v>
      </c>
      <c r="AH188" s="20" t="e">
        <f t="shared" si="22"/>
        <v>#N/A</v>
      </c>
      <c r="AI188" s="20" t="e">
        <f t="shared" si="23"/>
        <v>#N/A</v>
      </c>
      <c r="AJ188" s="20" t="e">
        <f t="shared" si="24"/>
        <v>#N/A</v>
      </c>
      <c r="AL188" s="20" t="e">
        <f t="shared" si="25"/>
        <v>#N/A</v>
      </c>
      <c r="AM188" s="20" t="e">
        <f t="shared" si="26"/>
        <v>#N/A</v>
      </c>
      <c r="AN188" s="20" t="e">
        <f t="shared" si="27"/>
        <v>#N/A</v>
      </c>
      <c r="AO188" s="20" t="e">
        <f t="shared" si="28"/>
        <v>#N/A</v>
      </c>
      <c r="AP188" s="20" t="e">
        <f t="shared" si="29"/>
        <v>#N/A</v>
      </c>
      <c r="AR188" s="20" t="e">
        <f t="shared" si="30"/>
        <v>#N/A</v>
      </c>
      <c r="AS188" s="20" t="e">
        <f t="shared" si="31"/>
        <v>#N/A</v>
      </c>
      <c r="AT188" s="20" t="e">
        <f t="shared" si="32"/>
        <v>#N/A</v>
      </c>
    </row>
    <row r="189" spans="1:46" x14ac:dyDescent="0.3">
      <c r="A189" s="18"/>
      <c r="B189" s="20" t="e">
        <f>INDEX('01_FASTPPH'!$9:$1048576,MATCH($A189,'01_FASTPPH'!$A$9:$A$1048576,0),MATCH(B$9,'01_FASTPPH'!$8:$8,0))</f>
        <v>#N/A</v>
      </c>
      <c r="C189" s="20" t="e">
        <f>INDEX('01_FASTPPH'!$9:$1048576,MATCH($A189,'01_FASTPPH'!$A$9:$A$1048576,0),MATCH(C$9,'01_FASTPPH'!$8:$8,0))</f>
        <v>#N/A</v>
      </c>
      <c r="D189" s="20" t="e">
        <f>INDEX('01_FASTPPH'!$9:$1048576,MATCH($A189,'01_FASTPPH'!$A$9:$A$1048576,0),MATCH(D$9,'01_FASTPPH'!$8:$8,0))</f>
        <v>#N/A</v>
      </c>
      <c r="E189" s="20" t="e">
        <f>INDEX('01_FASTPPH'!$9:$1048576,MATCH($A189,'01_FASTPPH'!$A$9:$A$1048576,0),MATCH(E$9,'01_FASTPPH'!$8:$8,0))</f>
        <v>#N/A</v>
      </c>
      <c r="F189" s="20" t="e">
        <f>INDEX('01_FASTPPH'!$9:$1048576,MATCH($A189,'01_FASTPPH'!$A$9:$A$1048576,0),MATCH(F$9,'01_FASTPPH'!$8:$8,0))</f>
        <v>#N/A</v>
      </c>
      <c r="G189" s="20" t="e">
        <f>INDEX('01_FASTPPH'!$9:$1048576,MATCH($A189,'01_FASTPPH'!$A$9:$A$1048576,0),MATCH(G$9,'01_FASTPPH'!$8:$8,0))</f>
        <v>#N/A</v>
      </c>
      <c r="H189" s="20" t="e">
        <f>INDEX('01_FASTPPH'!$9:$1048576,MATCH($A189,'01_FASTPPH'!$A$9:$A$1048576,0),MATCH(H$9,'01_FASTPPH'!$8:$8,0))</f>
        <v>#N/A</v>
      </c>
      <c r="I189" s="20" t="e">
        <f>INDEX('01_FASTPPH'!$9:$1048576,MATCH($A189,'01_FASTPPH'!$A$9:$A$1048576,0),MATCH(I$9,'01_FASTPPH'!$8:$8,0))</f>
        <v>#N/A</v>
      </c>
      <c r="J189" s="20" t="e">
        <f>INDEX('01_FASTPPH'!$9:$1048576,MATCH($A189,'01_FASTPPH'!$A$9:$A$1048576,0),MATCH(J$9,'01_FASTPPH'!$8:$8,0))</f>
        <v>#N/A</v>
      </c>
      <c r="K189" s="23" t="e">
        <f>INDEX('01_FASTPPH'!$9:$1048576,MATCH($A189,'01_FASTPPH'!$A$9:$A$1048576,0),MATCH(K$9,'01_FASTPPH'!$8:$8,0))</f>
        <v>#N/A</v>
      </c>
      <c r="L189" s="20" t="e">
        <f>INDEX('01_FASTPPH'!$9:$1048576,MATCH($A189,'01_FASTPPH'!$A$9:$A$1048576,0),MATCH(L$9,'01_FASTPPH'!$8:$8,0))</f>
        <v>#N/A</v>
      </c>
      <c r="M189" s="20" t="e">
        <f>INDEX('01_FASTPPH'!$9:$1048576,MATCH($A189,'01_FASTPPH'!$A$9:$A$1048576,0),MATCH(M$9,'01_FASTPPH'!$8:$8,0))</f>
        <v>#N/A</v>
      </c>
      <c r="N189" s="24" t="e">
        <f>INDEX('01_FASTPPH'!$9:$1048576,MATCH($A189,'01_FASTPPH'!$A$9:$A$1048576,0),MATCH(N$9,'01_FASTPPH'!$8:$8,0))</f>
        <v>#N/A</v>
      </c>
      <c r="O189" s="23" t="e">
        <f>INDEX('01_FASTPPH'!$9:$1048576,MATCH($A189,'01_FASTPPH'!$A$9:$A$1048576,0),MATCH(O$9,'01_FASTPPH'!$8:$8,0))</f>
        <v>#N/A</v>
      </c>
      <c r="P189" s="20" t="e">
        <f>INDEX('01_FASTPPH'!$9:$1048576,MATCH($A189,'01_FASTPPH'!$A$9:$A$1048576,0),MATCH(P$9,'01_FASTPPH'!$8:$8,0))</f>
        <v>#N/A</v>
      </c>
      <c r="Q189" s="20" t="e">
        <f>INDEX('01_FASTPPH'!$9:$1048576,MATCH($A189,'01_FASTPPH'!$A$9:$A$1048576,0),MATCH(Q$9,'01_FASTPPH'!$8:$8,0))</f>
        <v>#N/A</v>
      </c>
      <c r="R189" s="20" t="e">
        <f>INDEX('01_FASTPPH'!$9:$1048576,MATCH($A189,'01_FASTPPH'!$A$9:$A$1048576,0),MATCH(R$9,'01_FASTPPH'!$8:$8,0))</f>
        <v>#N/A</v>
      </c>
      <c r="S189" s="20" t="e">
        <f>INDEX('01_FASTPPH'!$9:$1048576,MATCH($A189,'01_FASTPPH'!$A$9:$A$1048576,0),MATCH(S$9,'01_FASTPPH'!$8:$8,0))</f>
        <v>#N/A</v>
      </c>
      <c r="T189" s="24" t="e">
        <f>INDEX('01_FASTPPH'!$9:$1048576,MATCH($A189,'01_FASTPPH'!$A$9:$A$1048576,0),MATCH(T$9,'01_FASTPPH'!$8:$8,0))</f>
        <v>#N/A</v>
      </c>
      <c r="U189" s="23" t="e">
        <f>INDEX('01_FASTPPH'!$9:$1048576,MATCH($A189,'01_FASTPPH'!$A$9:$A$1048576,0),MATCH(U$9,'01_FASTPPH'!$8:$8,0))</f>
        <v>#N/A</v>
      </c>
      <c r="V189" s="20" t="e">
        <f>INDEX('01_FASTPPH'!$9:$1048576,MATCH($A189,'01_FASTPPH'!$A$9:$A$1048576,0),MATCH(V$9,'01_FASTPPH'!$8:$8,0))</f>
        <v>#N/A</v>
      </c>
      <c r="W189" s="24" t="e">
        <f>INDEX('01_FASTPPH'!$9:$1048576,MATCH($A189,'01_FASTPPH'!$A$9:$A$1048576,0),MATCH(W$9,'01_FASTPPH'!$8:$8,0))</f>
        <v>#N/A</v>
      </c>
      <c r="X189" s="20" t="e">
        <f>INDEX('01_FASTPPH'!$9:$1048576,MATCH($A189,'01_FASTPPH'!$A$9:$A$1048576,0),MATCH(X$9,'01_FASTPPH'!$8:$8,0))</f>
        <v>#N/A</v>
      </c>
      <c r="Y189" s="20" t="e">
        <f>INDEX('01_FASTPPH'!$9:$1048576,MATCH($A189,'01_FASTPPH'!$A$9:$A$1048576,0),MATCH(Y$9,'01_FASTPPH'!$8:$8,0))</f>
        <v>#N/A</v>
      </c>
      <c r="AA189" s="32" t="e">
        <f>INDEX('02_PROPERTIES'!$C$10:$I$1048576,MATCH('03_CALCULATIONS'!$D189,'02_PROPERTIES'!$C$10:$C$1048576,0),MATCH('03_CALCULATIONS'!AA$9,'02_PROPERTIES'!$C$10:$I$10,0))</f>
        <v>#N/A</v>
      </c>
      <c r="AB189" s="20" t="e">
        <f>INDEX('02_PROPERTIES'!$C$10:$I$1048576,MATCH('03_CALCULATIONS'!$D189,'02_PROPERTIES'!$C$10:$C$1048576,0),MATCH('03_CALCULATIONS'!AB$9,'02_PROPERTIES'!$C$10:$I$10,0))</f>
        <v>#N/A</v>
      </c>
      <c r="AC189" s="20" t="e">
        <f>INDEX('02_PROPERTIES'!$C$10:$I$1048576,MATCH('03_CALCULATIONS'!$D189,'02_PROPERTIES'!$C$10:$C$1048576,0),MATCH('03_CALCULATIONS'!AC$9,'02_PROPERTIES'!$C$10:$I$10,0))</f>
        <v>#N/A</v>
      </c>
      <c r="AD189" s="20" t="e">
        <f>INDEX('02_PROPERTIES'!$C$10:$I$1048576,MATCH('03_CALCULATIONS'!$D189,'02_PROPERTIES'!$C$10:$C$1048576,0),MATCH('03_CALCULATIONS'!AD$9,'02_PROPERTIES'!$C$10:$I$10,0))</f>
        <v>#N/A</v>
      </c>
      <c r="AE189" s="32" t="e">
        <f>INDEX('02_PROPERTIES'!$C$10:$I$1048576,MATCH('03_CALCULATIONS'!$D189,'02_PROPERTIES'!$C$10:$C$1048576,0),MATCH('03_CALCULATIONS'!AE$9,'02_PROPERTIES'!$C$10:$I$10,0))</f>
        <v>#N/A</v>
      </c>
      <c r="AF189" s="32" t="e">
        <f>INDEX('02_PROPERTIES'!$C$10:$I$1048576,MATCH('03_CALCULATIONS'!$D189,'02_PROPERTIES'!$C$10:$C$1048576,0),MATCH('03_CALCULATIONS'!AF$9,'02_PROPERTIES'!$C$10:$I$10,0))</f>
        <v>#N/A</v>
      </c>
      <c r="AH189" s="20" t="e">
        <f t="shared" si="22"/>
        <v>#N/A</v>
      </c>
      <c r="AI189" s="20" t="e">
        <f t="shared" si="23"/>
        <v>#N/A</v>
      </c>
      <c r="AJ189" s="20" t="e">
        <f t="shared" si="24"/>
        <v>#N/A</v>
      </c>
      <c r="AL189" s="20" t="e">
        <f t="shared" si="25"/>
        <v>#N/A</v>
      </c>
      <c r="AM189" s="20" t="e">
        <f t="shared" si="26"/>
        <v>#N/A</v>
      </c>
      <c r="AN189" s="20" t="e">
        <f t="shared" si="27"/>
        <v>#N/A</v>
      </c>
      <c r="AO189" s="20" t="e">
        <f t="shared" si="28"/>
        <v>#N/A</v>
      </c>
      <c r="AP189" s="20" t="e">
        <f t="shared" si="29"/>
        <v>#N/A</v>
      </c>
      <c r="AR189" s="20" t="e">
        <f t="shared" si="30"/>
        <v>#N/A</v>
      </c>
      <c r="AS189" s="20" t="e">
        <f t="shared" si="31"/>
        <v>#N/A</v>
      </c>
      <c r="AT189" s="20" t="e">
        <f t="shared" si="32"/>
        <v>#N/A</v>
      </c>
    </row>
    <row r="190" spans="1:46" x14ac:dyDescent="0.3">
      <c r="A190" s="18"/>
      <c r="B190" s="20" t="e">
        <f>INDEX('01_FASTPPH'!$9:$1048576,MATCH($A190,'01_FASTPPH'!$A$9:$A$1048576,0),MATCH(B$9,'01_FASTPPH'!$8:$8,0))</f>
        <v>#N/A</v>
      </c>
      <c r="C190" s="20" t="e">
        <f>INDEX('01_FASTPPH'!$9:$1048576,MATCH($A190,'01_FASTPPH'!$A$9:$A$1048576,0),MATCH(C$9,'01_FASTPPH'!$8:$8,0))</f>
        <v>#N/A</v>
      </c>
      <c r="D190" s="20" t="e">
        <f>INDEX('01_FASTPPH'!$9:$1048576,MATCH($A190,'01_FASTPPH'!$A$9:$A$1048576,0),MATCH(D$9,'01_FASTPPH'!$8:$8,0))</f>
        <v>#N/A</v>
      </c>
      <c r="E190" s="20" t="e">
        <f>INDEX('01_FASTPPH'!$9:$1048576,MATCH($A190,'01_FASTPPH'!$A$9:$A$1048576,0),MATCH(E$9,'01_FASTPPH'!$8:$8,0))</f>
        <v>#N/A</v>
      </c>
      <c r="F190" s="20" t="e">
        <f>INDEX('01_FASTPPH'!$9:$1048576,MATCH($A190,'01_FASTPPH'!$A$9:$A$1048576,0),MATCH(F$9,'01_FASTPPH'!$8:$8,0))</f>
        <v>#N/A</v>
      </c>
      <c r="G190" s="20" t="e">
        <f>INDEX('01_FASTPPH'!$9:$1048576,MATCH($A190,'01_FASTPPH'!$A$9:$A$1048576,0),MATCH(G$9,'01_FASTPPH'!$8:$8,0))</f>
        <v>#N/A</v>
      </c>
      <c r="H190" s="20" t="e">
        <f>INDEX('01_FASTPPH'!$9:$1048576,MATCH($A190,'01_FASTPPH'!$A$9:$A$1048576,0),MATCH(H$9,'01_FASTPPH'!$8:$8,0))</f>
        <v>#N/A</v>
      </c>
      <c r="I190" s="20" t="e">
        <f>INDEX('01_FASTPPH'!$9:$1048576,MATCH($A190,'01_FASTPPH'!$A$9:$A$1048576,0),MATCH(I$9,'01_FASTPPH'!$8:$8,0))</f>
        <v>#N/A</v>
      </c>
      <c r="J190" s="20" t="e">
        <f>INDEX('01_FASTPPH'!$9:$1048576,MATCH($A190,'01_FASTPPH'!$A$9:$A$1048576,0),MATCH(J$9,'01_FASTPPH'!$8:$8,0))</f>
        <v>#N/A</v>
      </c>
      <c r="K190" s="23" t="e">
        <f>INDEX('01_FASTPPH'!$9:$1048576,MATCH($A190,'01_FASTPPH'!$A$9:$A$1048576,0),MATCH(K$9,'01_FASTPPH'!$8:$8,0))</f>
        <v>#N/A</v>
      </c>
      <c r="L190" s="20" t="e">
        <f>INDEX('01_FASTPPH'!$9:$1048576,MATCH($A190,'01_FASTPPH'!$A$9:$A$1048576,0),MATCH(L$9,'01_FASTPPH'!$8:$8,0))</f>
        <v>#N/A</v>
      </c>
      <c r="M190" s="20" t="e">
        <f>INDEX('01_FASTPPH'!$9:$1048576,MATCH($A190,'01_FASTPPH'!$A$9:$A$1048576,0),MATCH(M$9,'01_FASTPPH'!$8:$8,0))</f>
        <v>#N/A</v>
      </c>
      <c r="N190" s="24" t="e">
        <f>INDEX('01_FASTPPH'!$9:$1048576,MATCH($A190,'01_FASTPPH'!$A$9:$A$1048576,0),MATCH(N$9,'01_FASTPPH'!$8:$8,0))</f>
        <v>#N/A</v>
      </c>
      <c r="O190" s="23" t="e">
        <f>INDEX('01_FASTPPH'!$9:$1048576,MATCH($A190,'01_FASTPPH'!$A$9:$A$1048576,0),MATCH(O$9,'01_FASTPPH'!$8:$8,0))</f>
        <v>#N/A</v>
      </c>
      <c r="P190" s="20" t="e">
        <f>INDEX('01_FASTPPH'!$9:$1048576,MATCH($A190,'01_FASTPPH'!$A$9:$A$1048576,0),MATCH(P$9,'01_FASTPPH'!$8:$8,0))</f>
        <v>#N/A</v>
      </c>
      <c r="Q190" s="20" t="e">
        <f>INDEX('01_FASTPPH'!$9:$1048576,MATCH($A190,'01_FASTPPH'!$A$9:$A$1048576,0),MATCH(Q$9,'01_FASTPPH'!$8:$8,0))</f>
        <v>#N/A</v>
      </c>
      <c r="R190" s="20" t="e">
        <f>INDEX('01_FASTPPH'!$9:$1048576,MATCH($A190,'01_FASTPPH'!$A$9:$A$1048576,0),MATCH(R$9,'01_FASTPPH'!$8:$8,0))</f>
        <v>#N/A</v>
      </c>
      <c r="S190" s="20" t="e">
        <f>INDEX('01_FASTPPH'!$9:$1048576,MATCH($A190,'01_FASTPPH'!$A$9:$A$1048576,0),MATCH(S$9,'01_FASTPPH'!$8:$8,0))</f>
        <v>#N/A</v>
      </c>
      <c r="T190" s="24" t="e">
        <f>INDEX('01_FASTPPH'!$9:$1048576,MATCH($A190,'01_FASTPPH'!$A$9:$A$1048576,0),MATCH(T$9,'01_FASTPPH'!$8:$8,0))</f>
        <v>#N/A</v>
      </c>
      <c r="U190" s="23" t="e">
        <f>INDEX('01_FASTPPH'!$9:$1048576,MATCH($A190,'01_FASTPPH'!$A$9:$A$1048576,0),MATCH(U$9,'01_FASTPPH'!$8:$8,0))</f>
        <v>#N/A</v>
      </c>
      <c r="V190" s="20" t="e">
        <f>INDEX('01_FASTPPH'!$9:$1048576,MATCH($A190,'01_FASTPPH'!$A$9:$A$1048576,0),MATCH(V$9,'01_FASTPPH'!$8:$8,0))</f>
        <v>#N/A</v>
      </c>
      <c r="W190" s="24" t="e">
        <f>INDEX('01_FASTPPH'!$9:$1048576,MATCH($A190,'01_FASTPPH'!$A$9:$A$1048576,0),MATCH(W$9,'01_FASTPPH'!$8:$8,0))</f>
        <v>#N/A</v>
      </c>
      <c r="X190" s="20" t="e">
        <f>INDEX('01_FASTPPH'!$9:$1048576,MATCH($A190,'01_FASTPPH'!$A$9:$A$1048576,0),MATCH(X$9,'01_FASTPPH'!$8:$8,0))</f>
        <v>#N/A</v>
      </c>
      <c r="Y190" s="20" t="e">
        <f>INDEX('01_FASTPPH'!$9:$1048576,MATCH($A190,'01_FASTPPH'!$A$9:$A$1048576,0),MATCH(Y$9,'01_FASTPPH'!$8:$8,0))</f>
        <v>#N/A</v>
      </c>
      <c r="AA190" s="32" t="e">
        <f>INDEX('02_PROPERTIES'!$C$10:$I$1048576,MATCH('03_CALCULATIONS'!$D190,'02_PROPERTIES'!$C$10:$C$1048576,0),MATCH('03_CALCULATIONS'!AA$9,'02_PROPERTIES'!$C$10:$I$10,0))</f>
        <v>#N/A</v>
      </c>
      <c r="AB190" s="20" t="e">
        <f>INDEX('02_PROPERTIES'!$C$10:$I$1048576,MATCH('03_CALCULATIONS'!$D190,'02_PROPERTIES'!$C$10:$C$1048576,0),MATCH('03_CALCULATIONS'!AB$9,'02_PROPERTIES'!$C$10:$I$10,0))</f>
        <v>#N/A</v>
      </c>
      <c r="AC190" s="20" t="e">
        <f>INDEX('02_PROPERTIES'!$C$10:$I$1048576,MATCH('03_CALCULATIONS'!$D190,'02_PROPERTIES'!$C$10:$C$1048576,0),MATCH('03_CALCULATIONS'!AC$9,'02_PROPERTIES'!$C$10:$I$10,0))</f>
        <v>#N/A</v>
      </c>
      <c r="AD190" s="20" t="e">
        <f>INDEX('02_PROPERTIES'!$C$10:$I$1048576,MATCH('03_CALCULATIONS'!$D190,'02_PROPERTIES'!$C$10:$C$1048576,0),MATCH('03_CALCULATIONS'!AD$9,'02_PROPERTIES'!$C$10:$I$10,0))</f>
        <v>#N/A</v>
      </c>
      <c r="AE190" s="32" t="e">
        <f>INDEX('02_PROPERTIES'!$C$10:$I$1048576,MATCH('03_CALCULATIONS'!$D190,'02_PROPERTIES'!$C$10:$C$1048576,0),MATCH('03_CALCULATIONS'!AE$9,'02_PROPERTIES'!$C$10:$I$10,0))</f>
        <v>#N/A</v>
      </c>
      <c r="AF190" s="32" t="e">
        <f>INDEX('02_PROPERTIES'!$C$10:$I$1048576,MATCH('03_CALCULATIONS'!$D190,'02_PROPERTIES'!$C$10:$C$1048576,0),MATCH('03_CALCULATIONS'!AF$9,'02_PROPERTIES'!$C$10:$I$10,0))</f>
        <v>#N/A</v>
      </c>
      <c r="AH190" s="20" t="e">
        <f t="shared" si="22"/>
        <v>#N/A</v>
      </c>
      <c r="AI190" s="20" t="e">
        <f t="shared" si="23"/>
        <v>#N/A</v>
      </c>
      <c r="AJ190" s="20" t="e">
        <f t="shared" si="24"/>
        <v>#N/A</v>
      </c>
      <c r="AL190" s="20" t="e">
        <f t="shared" si="25"/>
        <v>#N/A</v>
      </c>
      <c r="AM190" s="20" t="e">
        <f t="shared" si="26"/>
        <v>#N/A</v>
      </c>
      <c r="AN190" s="20" t="e">
        <f t="shared" si="27"/>
        <v>#N/A</v>
      </c>
      <c r="AO190" s="20" t="e">
        <f t="shared" si="28"/>
        <v>#N/A</v>
      </c>
      <c r="AP190" s="20" t="e">
        <f t="shared" si="29"/>
        <v>#N/A</v>
      </c>
      <c r="AR190" s="20" t="e">
        <f t="shared" si="30"/>
        <v>#N/A</v>
      </c>
      <c r="AS190" s="20" t="e">
        <f t="shared" si="31"/>
        <v>#N/A</v>
      </c>
      <c r="AT190" s="20" t="e">
        <f t="shared" si="32"/>
        <v>#N/A</v>
      </c>
    </row>
    <row r="191" spans="1:46" x14ac:dyDescent="0.3">
      <c r="A191" s="18"/>
      <c r="B191" s="20" t="e">
        <f>INDEX('01_FASTPPH'!$9:$1048576,MATCH($A191,'01_FASTPPH'!$A$9:$A$1048576,0),MATCH(B$9,'01_FASTPPH'!$8:$8,0))</f>
        <v>#N/A</v>
      </c>
      <c r="C191" s="20" t="e">
        <f>INDEX('01_FASTPPH'!$9:$1048576,MATCH($A191,'01_FASTPPH'!$A$9:$A$1048576,0),MATCH(C$9,'01_FASTPPH'!$8:$8,0))</f>
        <v>#N/A</v>
      </c>
      <c r="D191" s="20" t="e">
        <f>INDEX('01_FASTPPH'!$9:$1048576,MATCH($A191,'01_FASTPPH'!$A$9:$A$1048576,0),MATCH(D$9,'01_FASTPPH'!$8:$8,0))</f>
        <v>#N/A</v>
      </c>
      <c r="E191" s="20" t="e">
        <f>INDEX('01_FASTPPH'!$9:$1048576,MATCH($A191,'01_FASTPPH'!$A$9:$A$1048576,0),MATCH(E$9,'01_FASTPPH'!$8:$8,0))</f>
        <v>#N/A</v>
      </c>
      <c r="F191" s="20" t="e">
        <f>INDEX('01_FASTPPH'!$9:$1048576,MATCH($A191,'01_FASTPPH'!$A$9:$A$1048576,0),MATCH(F$9,'01_FASTPPH'!$8:$8,0))</f>
        <v>#N/A</v>
      </c>
      <c r="G191" s="20" t="e">
        <f>INDEX('01_FASTPPH'!$9:$1048576,MATCH($A191,'01_FASTPPH'!$A$9:$A$1048576,0),MATCH(G$9,'01_FASTPPH'!$8:$8,0))</f>
        <v>#N/A</v>
      </c>
      <c r="H191" s="20" t="e">
        <f>INDEX('01_FASTPPH'!$9:$1048576,MATCH($A191,'01_FASTPPH'!$A$9:$A$1048576,0),MATCH(H$9,'01_FASTPPH'!$8:$8,0))</f>
        <v>#N/A</v>
      </c>
      <c r="I191" s="20" t="e">
        <f>INDEX('01_FASTPPH'!$9:$1048576,MATCH($A191,'01_FASTPPH'!$A$9:$A$1048576,0),MATCH(I$9,'01_FASTPPH'!$8:$8,0))</f>
        <v>#N/A</v>
      </c>
      <c r="J191" s="20" t="e">
        <f>INDEX('01_FASTPPH'!$9:$1048576,MATCH($A191,'01_FASTPPH'!$A$9:$A$1048576,0),MATCH(J$9,'01_FASTPPH'!$8:$8,0))</f>
        <v>#N/A</v>
      </c>
      <c r="K191" s="23" t="e">
        <f>INDEX('01_FASTPPH'!$9:$1048576,MATCH($A191,'01_FASTPPH'!$A$9:$A$1048576,0),MATCH(K$9,'01_FASTPPH'!$8:$8,0))</f>
        <v>#N/A</v>
      </c>
      <c r="L191" s="20" t="e">
        <f>INDEX('01_FASTPPH'!$9:$1048576,MATCH($A191,'01_FASTPPH'!$A$9:$A$1048576,0),MATCH(L$9,'01_FASTPPH'!$8:$8,0))</f>
        <v>#N/A</v>
      </c>
      <c r="M191" s="20" t="e">
        <f>INDEX('01_FASTPPH'!$9:$1048576,MATCH($A191,'01_FASTPPH'!$A$9:$A$1048576,0),MATCH(M$9,'01_FASTPPH'!$8:$8,0))</f>
        <v>#N/A</v>
      </c>
      <c r="N191" s="24" t="e">
        <f>INDEX('01_FASTPPH'!$9:$1048576,MATCH($A191,'01_FASTPPH'!$A$9:$A$1048576,0),MATCH(N$9,'01_FASTPPH'!$8:$8,0))</f>
        <v>#N/A</v>
      </c>
      <c r="O191" s="23" t="e">
        <f>INDEX('01_FASTPPH'!$9:$1048576,MATCH($A191,'01_FASTPPH'!$A$9:$A$1048576,0),MATCH(O$9,'01_FASTPPH'!$8:$8,0))</f>
        <v>#N/A</v>
      </c>
      <c r="P191" s="20" t="e">
        <f>INDEX('01_FASTPPH'!$9:$1048576,MATCH($A191,'01_FASTPPH'!$A$9:$A$1048576,0),MATCH(P$9,'01_FASTPPH'!$8:$8,0))</f>
        <v>#N/A</v>
      </c>
      <c r="Q191" s="20" t="e">
        <f>INDEX('01_FASTPPH'!$9:$1048576,MATCH($A191,'01_FASTPPH'!$A$9:$A$1048576,0),MATCH(Q$9,'01_FASTPPH'!$8:$8,0))</f>
        <v>#N/A</v>
      </c>
      <c r="R191" s="20" t="e">
        <f>INDEX('01_FASTPPH'!$9:$1048576,MATCH($A191,'01_FASTPPH'!$A$9:$A$1048576,0),MATCH(R$9,'01_FASTPPH'!$8:$8,0))</f>
        <v>#N/A</v>
      </c>
      <c r="S191" s="20" t="e">
        <f>INDEX('01_FASTPPH'!$9:$1048576,MATCH($A191,'01_FASTPPH'!$A$9:$A$1048576,0),MATCH(S$9,'01_FASTPPH'!$8:$8,0))</f>
        <v>#N/A</v>
      </c>
      <c r="T191" s="24" t="e">
        <f>INDEX('01_FASTPPH'!$9:$1048576,MATCH($A191,'01_FASTPPH'!$A$9:$A$1048576,0),MATCH(T$9,'01_FASTPPH'!$8:$8,0))</f>
        <v>#N/A</v>
      </c>
      <c r="U191" s="23" t="e">
        <f>INDEX('01_FASTPPH'!$9:$1048576,MATCH($A191,'01_FASTPPH'!$A$9:$A$1048576,0),MATCH(U$9,'01_FASTPPH'!$8:$8,0))</f>
        <v>#N/A</v>
      </c>
      <c r="V191" s="20" t="e">
        <f>INDEX('01_FASTPPH'!$9:$1048576,MATCH($A191,'01_FASTPPH'!$A$9:$A$1048576,0),MATCH(V$9,'01_FASTPPH'!$8:$8,0))</f>
        <v>#N/A</v>
      </c>
      <c r="W191" s="24" t="e">
        <f>INDEX('01_FASTPPH'!$9:$1048576,MATCH($A191,'01_FASTPPH'!$A$9:$A$1048576,0),MATCH(W$9,'01_FASTPPH'!$8:$8,0))</f>
        <v>#N/A</v>
      </c>
      <c r="X191" s="20" t="e">
        <f>INDEX('01_FASTPPH'!$9:$1048576,MATCH($A191,'01_FASTPPH'!$A$9:$A$1048576,0),MATCH(X$9,'01_FASTPPH'!$8:$8,0))</f>
        <v>#N/A</v>
      </c>
      <c r="Y191" s="20" t="e">
        <f>INDEX('01_FASTPPH'!$9:$1048576,MATCH($A191,'01_FASTPPH'!$A$9:$A$1048576,0),MATCH(Y$9,'01_FASTPPH'!$8:$8,0))</f>
        <v>#N/A</v>
      </c>
      <c r="AA191" s="32" t="e">
        <f>INDEX('02_PROPERTIES'!$C$10:$I$1048576,MATCH('03_CALCULATIONS'!$D191,'02_PROPERTIES'!$C$10:$C$1048576,0),MATCH('03_CALCULATIONS'!AA$9,'02_PROPERTIES'!$C$10:$I$10,0))</f>
        <v>#N/A</v>
      </c>
      <c r="AB191" s="20" t="e">
        <f>INDEX('02_PROPERTIES'!$C$10:$I$1048576,MATCH('03_CALCULATIONS'!$D191,'02_PROPERTIES'!$C$10:$C$1048576,0),MATCH('03_CALCULATIONS'!AB$9,'02_PROPERTIES'!$C$10:$I$10,0))</f>
        <v>#N/A</v>
      </c>
      <c r="AC191" s="20" t="e">
        <f>INDEX('02_PROPERTIES'!$C$10:$I$1048576,MATCH('03_CALCULATIONS'!$D191,'02_PROPERTIES'!$C$10:$C$1048576,0),MATCH('03_CALCULATIONS'!AC$9,'02_PROPERTIES'!$C$10:$I$10,0))</f>
        <v>#N/A</v>
      </c>
      <c r="AD191" s="20" t="e">
        <f>INDEX('02_PROPERTIES'!$C$10:$I$1048576,MATCH('03_CALCULATIONS'!$D191,'02_PROPERTIES'!$C$10:$C$1048576,0),MATCH('03_CALCULATIONS'!AD$9,'02_PROPERTIES'!$C$10:$I$10,0))</f>
        <v>#N/A</v>
      </c>
      <c r="AE191" s="32" t="e">
        <f>INDEX('02_PROPERTIES'!$C$10:$I$1048576,MATCH('03_CALCULATIONS'!$D191,'02_PROPERTIES'!$C$10:$C$1048576,0),MATCH('03_CALCULATIONS'!AE$9,'02_PROPERTIES'!$C$10:$I$10,0))</f>
        <v>#N/A</v>
      </c>
      <c r="AF191" s="32" t="e">
        <f>INDEX('02_PROPERTIES'!$C$10:$I$1048576,MATCH('03_CALCULATIONS'!$D191,'02_PROPERTIES'!$C$10:$C$1048576,0),MATCH('03_CALCULATIONS'!AF$9,'02_PROPERTIES'!$C$10:$I$10,0))</f>
        <v>#N/A</v>
      </c>
      <c r="AH191" s="20" t="e">
        <f t="shared" si="22"/>
        <v>#N/A</v>
      </c>
      <c r="AI191" s="20" t="e">
        <f t="shared" si="23"/>
        <v>#N/A</v>
      </c>
      <c r="AJ191" s="20" t="e">
        <f t="shared" si="24"/>
        <v>#N/A</v>
      </c>
      <c r="AL191" s="20" t="e">
        <f t="shared" si="25"/>
        <v>#N/A</v>
      </c>
      <c r="AM191" s="20" t="e">
        <f t="shared" si="26"/>
        <v>#N/A</v>
      </c>
      <c r="AN191" s="20" t="e">
        <f t="shared" si="27"/>
        <v>#N/A</v>
      </c>
      <c r="AO191" s="20" t="e">
        <f t="shared" si="28"/>
        <v>#N/A</v>
      </c>
      <c r="AP191" s="20" t="e">
        <f t="shared" si="29"/>
        <v>#N/A</v>
      </c>
      <c r="AR191" s="20" t="e">
        <f t="shared" si="30"/>
        <v>#N/A</v>
      </c>
      <c r="AS191" s="20" t="e">
        <f t="shared" si="31"/>
        <v>#N/A</v>
      </c>
      <c r="AT191" s="20" t="e">
        <f t="shared" si="32"/>
        <v>#N/A</v>
      </c>
    </row>
    <row r="192" spans="1:46" x14ac:dyDescent="0.3">
      <c r="A192" s="18"/>
      <c r="B192" s="20" t="e">
        <f>INDEX('01_FASTPPH'!$9:$1048576,MATCH($A192,'01_FASTPPH'!$A$9:$A$1048576,0),MATCH(B$9,'01_FASTPPH'!$8:$8,0))</f>
        <v>#N/A</v>
      </c>
      <c r="C192" s="20" t="e">
        <f>INDEX('01_FASTPPH'!$9:$1048576,MATCH($A192,'01_FASTPPH'!$A$9:$A$1048576,0),MATCH(C$9,'01_FASTPPH'!$8:$8,0))</f>
        <v>#N/A</v>
      </c>
      <c r="D192" s="20" t="e">
        <f>INDEX('01_FASTPPH'!$9:$1048576,MATCH($A192,'01_FASTPPH'!$A$9:$A$1048576,0),MATCH(D$9,'01_FASTPPH'!$8:$8,0))</f>
        <v>#N/A</v>
      </c>
      <c r="E192" s="20" t="e">
        <f>INDEX('01_FASTPPH'!$9:$1048576,MATCH($A192,'01_FASTPPH'!$A$9:$A$1048576,0),MATCH(E$9,'01_FASTPPH'!$8:$8,0))</f>
        <v>#N/A</v>
      </c>
      <c r="F192" s="20" t="e">
        <f>INDEX('01_FASTPPH'!$9:$1048576,MATCH($A192,'01_FASTPPH'!$A$9:$A$1048576,0),MATCH(F$9,'01_FASTPPH'!$8:$8,0))</f>
        <v>#N/A</v>
      </c>
      <c r="G192" s="20" t="e">
        <f>INDEX('01_FASTPPH'!$9:$1048576,MATCH($A192,'01_FASTPPH'!$A$9:$A$1048576,0),MATCH(G$9,'01_FASTPPH'!$8:$8,0))</f>
        <v>#N/A</v>
      </c>
      <c r="H192" s="20" t="e">
        <f>INDEX('01_FASTPPH'!$9:$1048576,MATCH($A192,'01_FASTPPH'!$A$9:$A$1048576,0),MATCH(H$9,'01_FASTPPH'!$8:$8,0))</f>
        <v>#N/A</v>
      </c>
      <c r="I192" s="20" t="e">
        <f>INDEX('01_FASTPPH'!$9:$1048576,MATCH($A192,'01_FASTPPH'!$A$9:$A$1048576,0),MATCH(I$9,'01_FASTPPH'!$8:$8,0))</f>
        <v>#N/A</v>
      </c>
      <c r="J192" s="20" t="e">
        <f>INDEX('01_FASTPPH'!$9:$1048576,MATCH($A192,'01_FASTPPH'!$A$9:$A$1048576,0),MATCH(J$9,'01_FASTPPH'!$8:$8,0))</f>
        <v>#N/A</v>
      </c>
      <c r="K192" s="23" t="e">
        <f>INDEX('01_FASTPPH'!$9:$1048576,MATCH($A192,'01_FASTPPH'!$A$9:$A$1048576,0),MATCH(K$9,'01_FASTPPH'!$8:$8,0))</f>
        <v>#N/A</v>
      </c>
      <c r="L192" s="20" t="e">
        <f>INDEX('01_FASTPPH'!$9:$1048576,MATCH($A192,'01_FASTPPH'!$A$9:$A$1048576,0),MATCH(L$9,'01_FASTPPH'!$8:$8,0))</f>
        <v>#N/A</v>
      </c>
      <c r="M192" s="20" t="e">
        <f>INDEX('01_FASTPPH'!$9:$1048576,MATCH($A192,'01_FASTPPH'!$A$9:$A$1048576,0),MATCH(M$9,'01_FASTPPH'!$8:$8,0))</f>
        <v>#N/A</v>
      </c>
      <c r="N192" s="24" t="e">
        <f>INDEX('01_FASTPPH'!$9:$1048576,MATCH($A192,'01_FASTPPH'!$A$9:$A$1048576,0),MATCH(N$9,'01_FASTPPH'!$8:$8,0))</f>
        <v>#N/A</v>
      </c>
      <c r="O192" s="23" t="e">
        <f>INDEX('01_FASTPPH'!$9:$1048576,MATCH($A192,'01_FASTPPH'!$A$9:$A$1048576,0),MATCH(O$9,'01_FASTPPH'!$8:$8,0))</f>
        <v>#N/A</v>
      </c>
      <c r="P192" s="20" t="e">
        <f>INDEX('01_FASTPPH'!$9:$1048576,MATCH($A192,'01_FASTPPH'!$A$9:$A$1048576,0),MATCH(P$9,'01_FASTPPH'!$8:$8,0))</f>
        <v>#N/A</v>
      </c>
      <c r="Q192" s="20" t="e">
        <f>INDEX('01_FASTPPH'!$9:$1048576,MATCH($A192,'01_FASTPPH'!$A$9:$A$1048576,0),MATCH(Q$9,'01_FASTPPH'!$8:$8,0))</f>
        <v>#N/A</v>
      </c>
      <c r="R192" s="20" t="e">
        <f>INDEX('01_FASTPPH'!$9:$1048576,MATCH($A192,'01_FASTPPH'!$A$9:$A$1048576,0),MATCH(R$9,'01_FASTPPH'!$8:$8,0))</f>
        <v>#N/A</v>
      </c>
      <c r="S192" s="20" t="e">
        <f>INDEX('01_FASTPPH'!$9:$1048576,MATCH($A192,'01_FASTPPH'!$A$9:$A$1048576,0),MATCH(S$9,'01_FASTPPH'!$8:$8,0))</f>
        <v>#N/A</v>
      </c>
      <c r="T192" s="24" t="e">
        <f>INDEX('01_FASTPPH'!$9:$1048576,MATCH($A192,'01_FASTPPH'!$A$9:$A$1048576,0),MATCH(T$9,'01_FASTPPH'!$8:$8,0))</f>
        <v>#N/A</v>
      </c>
      <c r="U192" s="23" t="e">
        <f>INDEX('01_FASTPPH'!$9:$1048576,MATCH($A192,'01_FASTPPH'!$A$9:$A$1048576,0),MATCH(U$9,'01_FASTPPH'!$8:$8,0))</f>
        <v>#N/A</v>
      </c>
      <c r="V192" s="20" t="e">
        <f>INDEX('01_FASTPPH'!$9:$1048576,MATCH($A192,'01_FASTPPH'!$A$9:$A$1048576,0),MATCH(V$9,'01_FASTPPH'!$8:$8,0))</f>
        <v>#N/A</v>
      </c>
      <c r="W192" s="24" t="e">
        <f>INDEX('01_FASTPPH'!$9:$1048576,MATCH($A192,'01_FASTPPH'!$A$9:$A$1048576,0),MATCH(W$9,'01_FASTPPH'!$8:$8,0))</f>
        <v>#N/A</v>
      </c>
      <c r="X192" s="20" t="e">
        <f>INDEX('01_FASTPPH'!$9:$1048576,MATCH($A192,'01_FASTPPH'!$A$9:$A$1048576,0),MATCH(X$9,'01_FASTPPH'!$8:$8,0))</f>
        <v>#N/A</v>
      </c>
      <c r="Y192" s="20" t="e">
        <f>INDEX('01_FASTPPH'!$9:$1048576,MATCH($A192,'01_FASTPPH'!$A$9:$A$1048576,0),MATCH(Y$9,'01_FASTPPH'!$8:$8,0))</f>
        <v>#N/A</v>
      </c>
      <c r="AA192" s="32" t="e">
        <f>INDEX('02_PROPERTIES'!$C$10:$I$1048576,MATCH('03_CALCULATIONS'!$D192,'02_PROPERTIES'!$C$10:$C$1048576,0),MATCH('03_CALCULATIONS'!AA$9,'02_PROPERTIES'!$C$10:$I$10,0))</f>
        <v>#N/A</v>
      </c>
      <c r="AB192" s="20" t="e">
        <f>INDEX('02_PROPERTIES'!$C$10:$I$1048576,MATCH('03_CALCULATIONS'!$D192,'02_PROPERTIES'!$C$10:$C$1048576,0),MATCH('03_CALCULATIONS'!AB$9,'02_PROPERTIES'!$C$10:$I$10,0))</f>
        <v>#N/A</v>
      </c>
      <c r="AC192" s="20" t="e">
        <f>INDEX('02_PROPERTIES'!$C$10:$I$1048576,MATCH('03_CALCULATIONS'!$D192,'02_PROPERTIES'!$C$10:$C$1048576,0),MATCH('03_CALCULATIONS'!AC$9,'02_PROPERTIES'!$C$10:$I$10,0))</f>
        <v>#N/A</v>
      </c>
      <c r="AD192" s="20" t="e">
        <f>INDEX('02_PROPERTIES'!$C$10:$I$1048576,MATCH('03_CALCULATIONS'!$D192,'02_PROPERTIES'!$C$10:$C$1048576,0),MATCH('03_CALCULATIONS'!AD$9,'02_PROPERTIES'!$C$10:$I$10,0))</f>
        <v>#N/A</v>
      </c>
      <c r="AE192" s="32" t="e">
        <f>INDEX('02_PROPERTIES'!$C$10:$I$1048576,MATCH('03_CALCULATIONS'!$D192,'02_PROPERTIES'!$C$10:$C$1048576,0),MATCH('03_CALCULATIONS'!AE$9,'02_PROPERTIES'!$C$10:$I$10,0))</f>
        <v>#N/A</v>
      </c>
      <c r="AF192" s="32" t="e">
        <f>INDEX('02_PROPERTIES'!$C$10:$I$1048576,MATCH('03_CALCULATIONS'!$D192,'02_PROPERTIES'!$C$10:$C$1048576,0),MATCH('03_CALCULATIONS'!AF$9,'02_PROPERTIES'!$C$10:$I$10,0))</f>
        <v>#N/A</v>
      </c>
      <c r="AH192" s="20" t="e">
        <f t="shared" si="22"/>
        <v>#N/A</v>
      </c>
      <c r="AI192" s="20" t="e">
        <f t="shared" si="23"/>
        <v>#N/A</v>
      </c>
      <c r="AJ192" s="20" t="e">
        <f t="shared" si="24"/>
        <v>#N/A</v>
      </c>
      <c r="AL192" s="20" t="e">
        <f t="shared" si="25"/>
        <v>#N/A</v>
      </c>
      <c r="AM192" s="20" t="e">
        <f t="shared" si="26"/>
        <v>#N/A</v>
      </c>
      <c r="AN192" s="20" t="e">
        <f t="shared" si="27"/>
        <v>#N/A</v>
      </c>
      <c r="AO192" s="20" t="e">
        <f t="shared" si="28"/>
        <v>#N/A</v>
      </c>
      <c r="AP192" s="20" t="e">
        <f t="shared" si="29"/>
        <v>#N/A</v>
      </c>
      <c r="AR192" s="20" t="e">
        <f t="shared" si="30"/>
        <v>#N/A</v>
      </c>
      <c r="AS192" s="20" t="e">
        <f t="shared" si="31"/>
        <v>#N/A</v>
      </c>
      <c r="AT192" s="20" t="e">
        <f t="shared" si="32"/>
        <v>#N/A</v>
      </c>
    </row>
    <row r="193" spans="1:46" x14ac:dyDescent="0.3">
      <c r="A193" s="18"/>
      <c r="B193" s="20" t="e">
        <f>INDEX('01_FASTPPH'!$9:$1048576,MATCH($A193,'01_FASTPPH'!$A$9:$A$1048576,0),MATCH(B$9,'01_FASTPPH'!$8:$8,0))</f>
        <v>#N/A</v>
      </c>
      <c r="C193" s="20" t="e">
        <f>INDEX('01_FASTPPH'!$9:$1048576,MATCH($A193,'01_FASTPPH'!$A$9:$A$1048576,0),MATCH(C$9,'01_FASTPPH'!$8:$8,0))</f>
        <v>#N/A</v>
      </c>
      <c r="D193" s="20" t="e">
        <f>INDEX('01_FASTPPH'!$9:$1048576,MATCH($A193,'01_FASTPPH'!$A$9:$A$1048576,0),MATCH(D$9,'01_FASTPPH'!$8:$8,0))</f>
        <v>#N/A</v>
      </c>
      <c r="E193" s="20" t="e">
        <f>INDEX('01_FASTPPH'!$9:$1048576,MATCH($A193,'01_FASTPPH'!$A$9:$A$1048576,0),MATCH(E$9,'01_FASTPPH'!$8:$8,0))</f>
        <v>#N/A</v>
      </c>
      <c r="F193" s="20" t="e">
        <f>INDEX('01_FASTPPH'!$9:$1048576,MATCH($A193,'01_FASTPPH'!$A$9:$A$1048576,0),MATCH(F$9,'01_FASTPPH'!$8:$8,0))</f>
        <v>#N/A</v>
      </c>
      <c r="G193" s="20" t="e">
        <f>INDEX('01_FASTPPH'!$9:$1048576,MATCH($A193,'01_FASTPPH'!$A$9:$A$1048576,0),MATCH(G$9,'01_FASTPPH'!$8:$8,0))</f>
        <v>#N/A</v>
      </c>
      <c r="H193" s="20" t="e">
        <f>INDEX('01_FASTPPH'!$9:$1048576,MATCH($A193,'01_FASTPPH'!$A$9:$A$1048576,0),MATCH(H$9,'01_FASTPPH'!$8:$8,0))</f>
        <v>#N/A</v>
      </c>
      <c r="I193" s="20" t="e">
        <f>INDEX('01_FASTPPH'!$9:$1048576,MATCH($A193,'01_FASTPPH'!$A$9:$A$1048576,0),MATCH(I$9,'01_FASTPPH'!$8:$8,0))</f>
        <v>#N/A</v>
      </c>
      <c r="J193" s="20" t="e">
        <f>INDEX('01_FASTPPH'!$9:$1048576,MATCH($A193,'01_FASTPPH'!$A$9:$A$1048576,0),MATCH(J$9,'01_FASTPPH'!$8:$8,0))</f>
        <v>#N/A</v>
      </c>
      <c r="K193" s="23" t="e">
        <f>INDEX('01_FASTPPH'!$9:$1048576,MATCH($A193,'01_FASTPPH'!$A$9:$A$1048576,0),MATCH(K$9,'01_FASTPPH'!$8:$8,0))</f>
        <v>#N/A</v>
      </c>
      <c r="L193" s="20" t="e">
        <f>INDEX('01_FASTPPH'!$9:$1048576,MATCH($A193,'01_FASTPPH'!$A$9:$A$1048576,0),MATCH(L$9,'01_FASTPPH'!$8:$8,0))</f>
        <v>#N/A</v>
      </c>
      <c r="M193" s="20" t="e">
        <f>INDEX('01_FASTPPH'!$9:$1048576,MATCH($A193,'01_FASTPPH'!$A$9:$A$1048576,0),MATCH(M$9,'01_FASTPPH'!$8:$8,0))</f>
        <v>#N/A</v>
      </c>
      <c r="N193" s="24" t="e">
        <f>INDEX('01_FASTPPH'!$9:$1048576,MATCH($A193,'01_FASTPPH'!$A$9:$A$1048576,0),MATCH(N$9,'01_FASTPPH'!$8:$8,0))</f>
        <v>#N/A</v>
      </c>
      <c r="O193" s="23" t="e">
        <f>INDEX('01_FASTPPH'!$9:$1048576,MATCH($A193,'01_FASTPPH'!$A$9:$A$1048576,0),MATCH(O$9,'01_FASTPPH'!$8:$8,0))</f>
        <v>#N/A</v>
      </c>
      <c r="P193" s="20" t="e">
        <f>INDEX('01_FASTPPH'!$9:$1048576,MATCH($A193,'01_FASTPPH'!$A$9:$A$1048576,0),MATCH(P$9,'01_FASTPPH'!$8:$8,0))</f>
        <v>#N/A</v>
      </c>
      <c r="Q193" s="20" t="e">
        <f>INDEX('01_FASTPPH'!$9:$1048576,MATCH($A193,'01_FASTPPH'!$A$9:$A$1048576,0),MATCH(Q$9,'01_FASTPPH'!$8:$8,0))</f>
        <v>#N/A</v>
      </c>
      <c r="R193" s="20" t="e">
        <f>INDEX('01_FASTPPH'!$9:$1048576,MATCH($A193,'01_FASTPPH'!$A$9:$A$1048576,0),MATCH(R$9,'01_FASTPPH'!$8:$8,0))</f>
        <v>#N/A</v>
      </c>
      <c r="S193" s="20" t="e">
        <f>INDEX('01_FASTPPH'!$9:$1048576,MATCH($A193,'01_FASTPPH'!$A$9:$A$1048576,0),MATCH(S$9,'01_FASTPPH'!$8:$8,0))</f>
        <v>#N/A</v>
      </c>
      <c r="T193" s="24" t="e">
        <f>INDEX('01_FASTPPH'!$9:$1048576,MATCH($A193,'01_FASTPPH'!$A$9:$A$1048576,0),MATCH(T$9,'01_FASTPPH'!$8:$8,0))</f>
        <v>#N/A</v>
      </c>
      <c r="U193" s="23" t="e">
        <f>INDEX('01_FASTPPH'!$9:$1048576,MATCH($A193,'01_FASTPPH'!$A$9:$A$1048576,0),MATCH(U$9,'01_FASTPPH'!$8:$8,0))</f>
        <v>#N/A</v>
      </c>
      <c r="V193" s="20" t="e">
        <f>INDEX('01_FASTPPH'!$9:$1048576,MATCH($A193,'01_FASTPPH'!$A$9:$A$1048576,0),MATCH(V$9,'01_FASTPPH'!$8:$8,0))</f>
        <v>#N/A</v>
      </c>
      <c r="W193" s="24" t="e">
        <f>INDEX('01_FASTPPH'!$9:$1048576,MATCH($A193,'01_FASTPPH'!$A$9:$A$1048576,0),MATCH(W$9,'01_FASTPPH'!$8:$8,0))</f>
        <v>#N/A</v>
      </c>
      <c r="X193" s="20" t="e">
        <f>INDEX('01_FASTPPH'!$9:$1048576,MATCH($A193,'01_FASTPPH'!$A$9:$A$1048576,0),MATCH(X$9,'01_FASTPPH'!$8:$8,0))</f>
        <v>#N/A</v>
      </c>
      <c r="Y193" s="20" t="e">
        <f>INDEX('01_FASTPPH'!$9:$1048576,MATCH($A193,'01_FASTPPH'!$A$9:$A$1048576,0),MATCH(Y$9,'01_FASTPPH'!$8:$8,0))</f>
        <v>#N/A</v>
      </c>
      <c r="AA193" s="32" t="e">
        <f>INDEX('02_PROPERTIES'!$C$10:$I$1048576,MATCH('03_CALCULATIONS'!$D193,'02_PROPERTIES'!$C$10:$C$1048576,0),MATCH('03_CALCULATIONS'!AA$9,'02_PROPERTIES'!$C$10:$I$10,0))</f>
        <v>#N/A</v>
      </c>
      <c r="AB193" s="20" t="e">
        <f>INDEX('02_PROPERTIES'!$C$10:$I$1048576,MATCH('03_CALCULATIONS'!$D193,'02_PROPERTIES'!$C$10:$C$1048576,0),MATCH('03_CALCULATIONS'!AB$9,'02_PROPERTIES'!$C$10:$I$10,0))</f>
        <v>#N/A</v>
      </c>
      <c r="AC193" s="20" t="e">
        <f>INDEX('02_PROPERTIES'!$C$10:$I$1048576,MATCH('03_CALCULATIONS'!$D193,'02_PROPERTIES'!$C$10:$C$1048576,0),MATCH('03_CALCULATIONS'!AC$9,'02_PROPERTIES'!$C$10:$I$10,0))</f>
        <v>#N/A</v>
      </c>
      <c r="AD193" s="20" t="e">
        <f>INDEX('02_PROPERTIES'!$C$10:$I$1048576,MATCH('03_CALCULATIONS'!$D193,'02_PROPERTIES'!$C$10:$C$1048576,0),MATCH('03_CALCULATIONS'!AD$9,'02_PROPERTIES'!$C$10:$I$10,0))</f>
        <v>#N/A</v>
      </c>
      <c r="AE193" s="32" t="e">
        <f>INDEX('02_PROPERTIES'!$C$10:$I$1048576,MATCH('03_CALCULATIONS'!$D193,'02_PROPERTIES'!$C$10:$C$1048576,0),MATCH('03_CALCULATIONS'!AE$9,'02_PROPERTIES'!$C$10:$I$10,0))</f>
        <v>#N/A</v>
      </c>
      <c r="AF193" s="32" t="e">
        <f>INDEX('02_PROPERTIES'!$C$10:$I$1048576,MATCH('03_CALCULATIONS'!$D193,'02_PROPERTIES'!$C$10:$C$1048576,0),MATCH('03_CALCULATIONS'!AF$9,'02_PROPERTIES'!$C$10:$I$10,0))</f>
        <v>#N/A</v>
      </c>
      <c r="AH193" s="20" t="e">
        <f t="shared" si="22"/>
        <v>#N/A</v>
      </c>
      <c r="AI193" s="20" t="e">
        <f t="shared" si="23"/>
        <v>#N/A</v>
      </c>
      <c r="AJ193" s="20" t="e">
        <f t="shared" si="24"/>
        <v>#N/A</v>
      </c>
      <c r="AL193" s="20" t="e">
        <f t="shared" si="25"/>
        <v>#N/A</v>
      </c>
      <c r="AM193" s="20" t="e">
        <f t="shared" si="26"/>
        <v>#N/A</v>
      </c>
      <c r="AN193" s="20" t="e">
        <f t="shared" si="27"/>
        <v>#N/A</v>
      </c>
      <c r="AO193" s="20" t="e">
        <f t="shared" si="28"/>
        <v>#N/A</v>
      </c>
      <c r="AP193" s="20" t="e">
        <f t="shared" si="29"/>
        <v>#N/A</v>
      </c>
      <c r="AR193" s="20" t="e">
        <f t="shared" si="30"/>
        <v>#N/A</v>
      </c>
      <c r="AS193" s="20" t="e">
        <f t="shared" si="31"/>
        <v>#N/A</v>
      </c>
      <c r="AT193" s="20" t="e">
        <f t="shared" si="32"/>
        <v>#N/A</v>
      </c>
    </row>
    <row r="194" spans="1:46" x14ac:dyDescent="0.3">
      <c r="A194" s="18"/>
      <c r="B194" s="20" t="e">
        <f>INDEX('01_FASTPPH'!$9:$1048576,MATCH($A194,'01_FASTPPH'!$A$9:$A$1048576,0),MATCH(B$9,'01_FASTPPH'!$8:$8,0))</f>
        <v>#N/A</v>
      </c>
      <c r="C194" s="20" t="e">
        <f>INDEX('01_FASTPPH'!$9:$1048576,MATCH($A194,'01_FASTPPH'!$A$9:$A$1048576,0),MATCH(C$9,'01_FASTPPH'!$8:$8,0))</f>
        <v>#N/A</v>
      </c>
      <c r="D194" s="20" t="e">
        <f>INDEX('01_FASTPPH'!$9:$1048576,MATCH($A194,'01_FASTPPH'!$A$9:$A$1048576,0),MATCH(D$9,'01_FASTPPH'!$8:$8,0))</f>
        <v>#N/A</v>
      </c>
      <c r="E194" s="20" t="e">
        <f>INDEX('01_FASTPPH'!$9:$1048576,MATCH($A194,'01_FASTPPH'!$A$9:$A$1048576,0),MATCH(E$9,'01_FASTPPH'!$8:$8,0))</f>
        <v>#N/A</v>
      </c>
      <c r="F194" s="20" t="e">
        <f>INDEX('01_FASTPPH'!$9:$1048576,MATCH($A194,'01_FASTPPH'!$A$9:$A$1048576,0),MATCH(F$9,'01_FASTPPH'!$8:$8,0))</f>
        <v>#N/A</v>
      </c>
      <c r="G194" s="20" t="e">
        <f>INDEX('01_FASTPPH'!$9:$1048576,MATCH($A194,'01_FASTPPH'!$A$9:$A$1048576,0),MATCH(G$9,'01_FASTPPH'!$8:$8,0))</f>
        <v>#N/A</v>
      </c>
      <c r="H194" s="20" t="e">
        <f>INDEX('01_FASTPPH'!$9:$1048576,MATCH($A194,'01_FASTPPH'!$A$9:$A$1048576,0),MATCH(H$9,'01_FASTPPH'!$8:$8,0))</f>
        <v>#N/A</v>
      </c>
      <c r="I194" s="20" t="e">
        <f>INDEX('01_FASTPPH'!$9:$1048576,MATCH($A194,'01_FASTPPH'!$A$9:$A$1048576,0),MATCH(I$9,'01_FASTPPH'!$8:$8,0))</f>
        <v>#N/A</v>
      </c>
      <c r="J194" s="20" t="e">
        <f>INDEX('01_FASTPPH'!$9:$1048576,MATCH($A194,'01_FASTPPH'!$A$9:$A$1048576,0),MATCH(J$9,'01_FASTPPH'!$8:$8,0))</f>
        <v>#N/A</v>
      </c>
      <c r="K194" s="23" t="e">
        <f>INDEX('01_FASTPPH'!$9:$1048576,MATCH($A194,'01_FASTPPH'!$A$9:$A$1048576,0),MATCH(K$9,'01_FASTPPH'!$8:$8,0))</f>
        <v>#N/A</v>
      </c>
      <c r="L194" s="20" t="e">
        <f>INDEX('01_FASTPPH'!$9:$1048576,MATCH($A194,'01_FASTPPH'!$A$9:$A$1048576,0),MATCH(L$9,'01_FASTPPH'!$8:$8,0))</f>
        <v>#N/A</v>
      </c>
      <c r="M194" s="20" t="e">
        <f>INDEX('01_FASTPPH'!$9:$1048576,MATCH($A194,'01_FASTPPH'!$A$9:$A$1048576,0),MATCH(M$9,'01_FASTPPH'!$8:$8,0))</f>
        <v>#N/A</v>
      </c>
      <c r="N194" s="24" t="e">
        <f>INDEX('01_FASTPPH'!$9:$1048576,MATCH($A194,'01_FASTPPH'!$A$9:$A$1048576,0),MATCH(N$9,'01_FASTPPH'!$8:$8,0))</f>
        <v>#N/A</v>
      </c>
      <c r="O194" s="23" t="e">
        <f>INDEX('01_FASTPPH'!$9:$1048576,MATCH($A194,'01_FASTPPH'!$A$9:$A$1048576,0),MATCH(O$9,'01_FASTPPH'!$8:$8,0))</f>
        <v>#N/A</v>
      </c>
      <c r="P194" s="20" t="e">
        <f>INDEX('01_FASTPPH'!$9:$1048576,MATCH($A194,'01_FASTPPH'!$A$9:$A$1048576,0),MATCH(P$9,'01_FASTPPH'!$8:$8,0))</f>
        <v>#N/A</v>
      </c>
      <c r="Q194" s="20" t="e">
        <f>INDEX('01_FASTPPH'!$9:$1048576,MATCH($A194,'01_FASTPPH'!$A$9:$A$1048576,0),MATCH(Q$9,'01_FASTPPH'!$8:$8,0))</f>
        <v>#N/A</v>
      </c>
      <c r="R194" s="20" t="e">
        <f>INDEX('01_FASTPPH'!$9:$1048576,MATCH($A194,'01_FASTPPH'!$A$9:$A$1048576,0),MATCH(R$9,'01_FASTPPH'!$8:$8,0))</f>
        <v>#N/A</v>
      </c>
      <c r="S194" s="20" t="e">
        <f>INDEX('01_FASTPPH'!$9:$1048576,MATCH($A194,'01_FASTPPH'!$A$9:$A$1048576,0),MATCH(S$9,'01_FASTPPH'!$8:$8,0))</f>
        <v>#N/A</v>
      </c>
      <c r="T194" s="24" t="e">
        <f>INDEX('01_FASTPPH'!$9:$1048576,MATCH($A194,'01_FASTPPH'!$A$9:$A$1048576,0),MATCH(T$9,'01_FASTPPH'!$8:$8,0))</f>
        <v>#N/A</v>
      </c>
      <c r="U194" s="23" t="e">
        <f>INDEX('01_FASTPPH'!$9:$1048576,MATCH($A194,'01_FASTPPH'!$A$9:$A$1048576,0),MATCH(U$9,'01_FASTPPH'!$8:$8,0))</f>
        <v>#N/A</v>
      </c>
      <c r="V194" s="20" t="e">
        <f>INDEX('01_FASTPPH'!$9:$1048576,MATCH($A194,'01_FASTPPH'!$A$9:$A$1048576,0),MATCH(V$9,'01_FASTPPH'!$8:$8,0))</f>
        <v>#N/A</v>
      </c>
      <c r="W194" s="24" t="e">
        <f>INDEX('01_FASTPPH'!$9:$1048576,MATCH($A194,'01_FASTPPH'!$A$9:$A$1048576,0),MATCH(W$9,'01_FASTPPH'!$8:$8,0))</f>
        <v>#N/A</v>
      </c>
      <c r="X194" s="20" t="e">
        <f>INDEX('01_FASTPPH'!$9:$1048576,MATCH($A194,'01_FASTPPH'!$A$9:$A$1048576,0),MATCH(X$9,'01_FASTPPH'!$8:$8,0))</f>
        <v>#N/A</v>
      </c>
      <c r="Y194" s="20" t="e">
        <f>INDEX('01_FASTPPH'!$9:$1048576,MATCH($A194,'01_FASTPPH'!$A$9:$A$1048576,0),MATCH(Y$9,'01_FASTPPH'!$8:$8,0))</f>
        <v>#N/A</v>
      </c>
      <c r="AA194" s="32" t="e">
        <f>INDEX('02_PROPERTIES'!$C$10:$I$1048576,MATCH('03_CALCULATIONS'!$D194,'02_PROPERTIES'!$C$10:$C$1048576,0),MATCH('03_CALCULATIONS'!AA$9,'02_PROPERTIES'!$C$10:$I$10,0))</f>
        <v>#N/A</v>
      </c>
      <c r="AB194" s="20" t="e">
        <f>INDEX('02_PROPERTIES'!$C$10:$I$1048576,MATCH('03_CALCULATIONS'!$D194,'02_PROPERTIES'!$C$10:$C$1048576,0),MATCH('03_CALCULATIONS'!AB$9,'02_PROPERTIES'!$C$10:$I$10,0))</f>
        <v>#N/A</v>
      </c>
      <c r="AC194" s="20" t="e">
        <f>INDEX('02_PROPERTIES'!$C$10:$I$1048576,MATCH('03_CALCULATIONS'!$D194,'02_PROPERTIES'!$C$10:$C$1048576,0),MATCH('03_CALCULATIONS'!AC$9,'02_PROPERTIES'!$C$10:$I$10,0))</f>
        <v>#N/A</v>
      </c>
      <c r="AD194" s="20" t="e">
        <f>INDEX('02_PROPERTIES'!$C$10:$I$1048576,MATCH('03_CALCULATIONS'!$D194,'02_PROPERTIES'!$C$10:$C$1048576,0),MATCH('03_CALCULATIONS'!AD$9,'02_PROPERTIES'!$C$10:$I$10,0))</f>
        <v>#N/A</v>
      </c>
      <c r="AE194" s="32" t="e">
        <f>INDEX('02_PROPERTIES'!$C$10:$I$1048576,MATCH('03_CALCULATIONS'!$D194,'02_PROPERTIES'!$C$10:$C$1048576,0),MATCH('03_CALCULATIONS'!AE$9,'02_PROPERTIES'!$C$10:$I$10,0))</f>
        <v>#N/A</v>
      </c>
      <c r="AF194" s="32" t="e">
        <f>INDEX('02_PROPERTIES'!$C$10:$I$1048576,MATCH('03_CALCULATIONS'!$D194,'02_PROPERTIES'!$C$10:$C$1048576,0),MATCH('03_CALCULATIONS'!AF$9,'02_PROPERTIES'!$C$10:$I$10,0))</f>
        <v>#N/A</v>
      </c>
      <c r="AH194" s="20" t="e">
        <f t="shared" si="22"/>
        <v>#N/A</v>
      </c>
      <c r="AI194" s="20" t="e">
        <f t="shared" si="23"/>
        <v>#N/A</v>
      </c>
      <c r="AJ194" s="20" t="e">
        <f t="shared" si="24"/>
        <v>#N/A</v>
      </c>
      <c r="AL194" s="20" t="e">
        <f t="shared" si="25"/>
        <v>#N/A</v>
      </c>
      <c r="AM194" s="20" t="e">
        <f t="shared" si="26"/>
        <v>#N/A</v>
      </c>
      <c r="AN194" s="20" t="e">
        <f t="shared" si="27"/>
        <v>#N/A</v>
      </c>
      <c r="AO194" s="20" t="e">
        <f t="shared" si="28"/>
        <v>#N/A</v>
      </c>
      <c r="AP194" s="20" t="e">
        <f t="shared" si="29"/>
        <v>#N/A</v>
      </c>
      <c r="AR194" s="20" t="e">
        <f t="shared" si="30"/>
        <v>#N/A</v>
      </c>
      <c r="AS194" s="20" t="e">
        <f t="shared" si="31"/>
        <v>#N/A</v>
      </c>
      <c r="AT194" s="20" t="e">
        <f t="shared" si="32"/>
        <v>#N/A</v>
      </c>
    </row>
    <row r="195" spans="1:46" x14ac:dyDescent="0.3">
      <c r="A195" s="18"/>
      <c r="B195" s="20" t="e">
        <f>INDEX('01_FASTPPH'!$9:$1048576,MATCH($A195,'01_FASTPPH'!$A$9:$A$1048576,0),MATCH(B$9,'01_FASTPPH'!$8:$8,0))</f>
        <v>#N/A</v>
      </c>
      <c r="C195" s="20" t="e">
        <f>INDEX('01_FASTPPH'!$9:$1048576,MATCH($A195,'01_FASTPPH'!$A$9:$A$1048576,0),MATCH(C$9,'01_FASTPPH'!$8:$8,0))</f>
        <v>#N/A</v>
      </c>
      <c r="D195" s="20" t="e">
        <f>INDEX('01_FASTPPH'!$9:$1048576,MATCH($A195,'01_FASTPPH'!$A$9:$A$1048576,0),MATCH(D$9,'01_FASTPPH'!$8:$8,0))</f>
        <v>#N/A</v>
      </c>
      <c r="E195" s="20" t="e">
        <f>INDEX('01_FASTPPH'!$9:$1048576,MATCH($A195,'01_FASTPPH'!$A$9:$A$1048576,0),MATCH(E$9,'01_FASTPPH'!$8:$8,0))</f>
        <v>#N/A</v>
      </c>
      <c r="F195" s="20" t="e">
        <f>INDEX('01_FASTPPH'!$9:$1048576,MATCH($A195,'01_FASTPPH'!$A$9:$A$1048576,0),MATCH(F$9,'01_FASTPPH'!$8:$8,0))</f>
        <v>#N/A</v>
      </c>
      <c r="G195" s="20" t="e">
        <f>INDEX('01_FASTPPH'!$9:$1048576,MATCH($A195,'01_FASTPPH'!$A$9:$A$1048576,0),MATCH(G$9,'01_FASTPPH'!$8:$8,0))</f>
        <v>#N/A</v>
      </c>
      <c r="H195" s="20" t="e">
        <f>INDEX('01_FASTPPH'!$9:$1048576,MATCH($A195,'01_FASTPPH'!$A$9:$A$1048576,0),MATCH(H$9,'01_FASTPPH'!$8:$8,0))</f>
        <v>#N/A</v>
      </c>
      <c r="I195" s="20" t="e">
        <f>INDEX('01_FASTPPH'!$9:$1048576,MATCH($A195,'01_FASTPPH'!$A$9:$A$1048576,0),MATCH(I$9,'01_FASTPPH'!$8:$8,0))</f>
        <v>#N/A</v>
      </c>
      <c r="J195" s="20" t="e">
        <f>INDEX('01_FASTPPH'!$9:$1048576,MATCH($A195,'01_FASTPPH'!$A$9:$A$1048576,0),MATCH(J$9,'01_FASTPPH'!$8:$8,0))</f>
        <v>#N/A</v>
      </c>
      <c r="K195" s="23" t="e">
        <f>INDEX('01_FASTPPH'!$9:$1048576,MATCH($A195,'01_FASTPPH'!$A$9:$A$1048576,0),MATCH(K$9,'01_FASTPPH'!$8:$8,0))</f>
        <v>#N/A</v>
      </c>
      <c r="L195" s="20" t="e">
        <f>INDEX('01_FASTPPH'!$9:$1048576,MATCH($A195,'01_FASTPPH'!$A$9:$A$1048576,0),MATCH(L$9,'01_FASTPPH'!$8:$8,0))</f>
        <v>#N/A</v>
      </c>
      <c r="M195" s="20" t="e">
        <f>INDEX('01_FASTPPH'!$9:$1048576,MATCH($A195,'01_FASTPPH'!$A$9:$A$1048576,0),MATCH(M$9,'01_FASTPPH'!$8:$8,0))</f>
        <v>#N/A</v>
      </c>
      <c r="N195" s="24" t="e">
        <f>INDEX('01_FASTPPH'!$9:$1048576,MATCH($A195,'01_FASTPPH'!$A$9:$A$1048576,0),MATCH(N$9,'01_FASTPPH'!$8:$8,0))</f>
        <v>#N/A</v>
      </c>
      <c r="O195" s="23" t="e">
        <f>INDEX('01_FASTPPH'!$9:$1048576,MATCH($A195,'01_FASTPPH'!$A$9:$A$1048576,0),MATCH(O$9,'01_FASTPPH'!$8:$8,0))</f>
        <v>#N/A</v>
      </c>
      <c r="P195" s="20" t="e">
        <f>INDEX('01_FASTPPH'!$9:$1048576,MATCH($A195,'01_FASTPPH'!$A$9:$A$1048576,0),MATCH(P$9,'01_FASTPPH'!$8:$8,0))</f>
        <v>#N/A</v>
      </c>
      <c r="Q195" s="20" t="e">
        <f>INDEX('01_FASTPPH'!$9:$1048576,MATCH($A195,'01_FASTPPH'!$A$9:$A$1048576,0),MATCH(Q$9,'01_FASTPPH'!$8:$8,0))</f>
        <v>#N/A</v>
      </c>
      <c r="R195" s="20" t="e">
        <f>INDEX('01_FASTPPH'!$9:$1048576,MATCH($A195,'01_FASTPPH'!$A$9:$A$1048576,0),MATCH(R$9,'01_FASTPPH'!$8:$8,0))</f>
        <v>#N/A</v>
      </c>
      <c r="S195" s="20" t="e">
        <f>INDEX('01_FASTPPH'!$9:$1048576,MATCH($A195,'01_FASTPPH'!$A$9:$A$1048576,0),MATCH(S$9,'01_FASTPPH'!$8:$8,0))</f>
        <v>#N/A</v>
      </c>
      <c r="T195" s="24" t="e">
        <f>INDEX('01_FASTPPH'!$9:$1048576,MATCH($A195,'01_FASTPPH'!$A$9:$A$1048576,0),MATCH(T$9,'01_FASTPPH'!$8:$8,0))</f>
        <v>#N/A</v>
      </c>
      <c r="U195" s="23" t="e">
        <f>INDEX('01_FASTPPH'!$9:$1048576,MATCH($A195,'01_FASTPPH'!$A$9:$A$1048576,0),MATCH(U$9,'01_FASTPPH'!$8:$8,0))</f>
        <v>#N/A</v>
      </c>
      <c r="V195" s="20" t="e">
        <f>INDEX('01_FASTPPH'!$9:$1048576,MATCH($A195,'01_FASTPPH'!$A$9:$A$1048576,0),MATCH(V$9,'01_FASTPPH'!$8:$8,0))</f>
        <v>#N/A</v>
      </c>
      <c r="W195" s="24" t="e">
        <f>INDEX('01_FASTPPH'!$9:$1048576,MATCH($A195,'01_FASTPPH'!$A$9:$A$1048576,0),MATCH(W$9,'01_FASTPPH'!$8:$8,0))</f>
        <v>#N/A</v>
      </c>
      <c r="X195" s="20" t="e">
        <f>INDEX('01_FASTPPH'!$9:$1048576,MATCH($A195,'01_FASTPPH'!$A$9:$A$1048576,0),MATCH(X$9,'01_FASTPPH'!$8:$8,0))</f>
        <v>#N/A</v>
      </c>
      <c r="Y195" s="20" t="e">
        <f>INDEX('01_FASTPPH'!$9:$1048576,MATCH($A195,'01_FASTPPH'!$A$9:$A$1048576,0),MATCH(Y$9,'01_FASTPPH'!$8:$8,0))</f>
        <v>#N/A</v>
      </c>
      <c r="AA195" s="32" t="e">
        <f>INDEX('02_PROPERTIES'!$C$10:$I$1048576,MATCH('03_CALCULATIONS'!$D195,'02_PROPERTIES'!$C$10:$C$1048576,0),MATCH('03_CALCULATIONS'!AA$9,'02_PROPERTIES'!$C$10:$I$10,0))</f>
        <v>#N/A</v>
      </c>
      <c r="AB195" s="20" t="e">
        <f>INDEX('02_PROPERTIES'!$C$10:$I$1048576,MATCH('03_CALCULATIONS'!$D195,'02_PROPERTIES'!$C$10:$C$1048576,0),MATCH('03_CALCULATIONS'!AB$9,'02_PROPERTIES'!$C$10:$I$10,0))</f>
        <v>#N/A</v>
      </c>
      <c r="AC195" s="20" t="e">
        <f>INDEX('02_PROPERTIES'!$C$10:$I$1048576,MATCH('03_CALCULATIONS'!$D195,'02_PROPERTIES'!$C$10:$C$1048576,0),MATCH('03_CALCULATIONS'!AC$9,'02_PROPERTIES'!$C$10:$I$10,0))</f>
        <v>#N/A</v>
      </c>
      <c r="AD195" s="20" t="e">
        <f>INDEX('02_PROPERTIES'!$C$10:$I$1048576,MATCH('03_CALCULATIONS'!$D195,'02_PROPERTIES'!$C$10:$C$1048576,0),MATCH('03_CALCULATIONS'!AD$9,'02_PROPERTIES'!$C$10:$I$10,0))</f>
        <v>#N/A</v>
      </c>
      <c r="AE195" s="32" t="e">
        <f>INDEX('02_PROPERTIES'!$C$10:$I$1048576,MATCH('03_CALCULATIONS'!$D195,'02_PROPERTIES'!$C$10:$C$1048576,0),MATCH('03_CALCULATIONS'!AE$9,'02_PROPERTIES'!$C$10:$I$10,0))</f>
        <v>#N/A</v>
      </c>
      <c r="AF195" s="32" t="e">
        <f>INDEX('02_PROPERTIES'!$C$10:$I$1048576,MATCH('03_CALCULATIONS'!$D195,'02_PROPERTIES'!$C$10:$C$1048576,0),MATCH('03_CALCULATIONS'!AF$9,'02_PROPERTIES'!$C$10:$I$10,0))</f>
        <v>#N/A</v>
      </c>
      <c r="AH195" s="20" t="e">
        <f t="shared" si="22"/>
        <v>#N/A</v>
      </c>
      <c r="AI195" s="20" t="e">
        <f t="shared" si="23"/>
        <v>#N/A</v>
      </c>
      <c r="AJ195" s="20" t="e">
        <f t="shared" si="24"/>
        <v>#N/A</v>
      </c>
      <c r="AL195" s="20" t="e">
        <f t="shared" si="25"/>
        <v>#N/A</v>
      </c>
      <c r="AM195" s="20" t="e">
        <f t="shared" si="26"/>
        <v>#N/A</v>
      </c>
      <c r="AN195" s="20" t="e">
        <f t="shared" si="27"/>
        <v>#N/A</v>
      </c>
      <c r="AO195" s="20" t="e">
        <f t="shared" si="28"/>
        <v>#N/A</v>
      </c>
      <c r="AP195" s="20" t="e">
        <f t="shared" si="29"/>
        <v>#N/A</v>
      </c>
      <c r="AR195" s="20" t="e">
        <f t="shared" si="30"/>
        <v>#N/A</v>
      </c>
      <c r="AS195" s="20" t="e">
        <f t="shared" si="31"/>
        <v>#N/A</v>
      </c>
      <c r="AT195" s="20" t="e">
        <f t="shared" si="32"/>
        <v>#N/A</v>
      </c>
    </row>
    <row r="196" spans="1:46" x14ac:dyDescent="0.3">
      <c r="A196" s="18"/>
      <c r="B196" s="20" t="e">
        <f>INDEX('01_FASTPPH'!$9:$1048576,MATCH($A196,'01_FASTPPH'!$A$9:$A$1048576,0),MATCH(B$9,'01_FASTPPH'!$8:$8,0))</f>
        <v>#N/A</v>
      </c>
      <c r="C196" s="20" t="e">
        <f>INDEX('01_FASTPPH'!$9:$1048576,MATCH($A196,'01_FASTPPH'!$A$9:$A$1048576,0),MATCH(C$9,'01_FASTPPH'!$8:$8,0))</f>
        <v>#N/A</v>
      </c>
      <c r="D196" s="20" t="e">
        <f>INDEX('01_FASTPPH'!$9:$1048576,MATCH($A196,'01_FASTPPH'!$A$9:$A$1048576,0),MATCH(D$9,'01_FASTPPH'!$8:$8,0))</f>
        <v>#N/A</v>
      </c>
      <c r="E196" s="20" t="e">
        <f>INDEX('01_FASTPPH'!$9:$1048576,MATCH($A196,'01_FASTPPH'!$A$9:$A$1048576,0),MATCH(E$9,'01_FASTPPH'!$8:$8,0))</f>
        <v>#N/A</v>
      </c>
      <c r="F196" s="20" t="e">
        <f>INDEX('01_FASTPPH'!$9:$1048576,MATCH($A196,'01_FASTPPH'!$A$9:$A$1048576,0),MATCH(F$9,'01_FASTPPH'!$8:$8,0))</f>
        <v>#N/A</v>
      </c>
      <c r="G196" s="20" t="e">
        <f>INDEX('01_FASTPPH'!$9:$1048576,MATCH($A196,'01_FASTPPH'!$A$9:$A$1048576,0),MATCH(G$9,'01_FASTPPH'!$8:$8,0))</f>
        <v>#N/A</v>
      </c>
      <c r="H196" s="20" t="e">
        <f>INDEX('01_FASTPPH'!$9:$1048576,MATCH($A196,'01_FASTPPH'!$A$9:$A$1048576,0),MATCH(H$9,'01_FASTPPH'!$8:$8,0))</f>
        <v>#N/A</v>
      </c>
      <c r="I196" s="20" t="e">
        <f>INDEX('01_FASTPPH'!$9:$1048576,MATCH($A196,'01_FASTPPH'!$A$9:$A$1048576,0),MATCH(I$9,'01_FASTPPH'!$8:$8,0))</f>
        <v>#N/A</v>
      </c>
      <c r="J196" s="20" t="e">
        <f>INDEX('01_FASTPPH'!$9:$1048576,MATCH($A196,'01_FASTPPH'!$A$9:$A$1048576,0),MATCH(J$9,'01_FASTPPH'!$8:$8,0))</f>
        <v>#N/A</v>
      </c>
      <c r="K196" s="23" t="e">
        <f>INDEX('01_FASTPPH'!$9:$1048576,MATCH($A196,'01_FASTPPH'!$A$9:$A$1048576,0),MATCH(K$9,'01_FASTPPH'!$8:$8,0))</f>
        <v>#N/A</v>
      </c>
      <c r="L196" s="20" t="e">
        <f>INDEX('01_FASTPPH'!$9:$1048576,MATCH($A196,'01_FASTPPH'!$A$9:$A$1048576,0),MATCH(L$9,'01_FASTPPH'!$8:$8,0))</f>
        <v>#N/A</v>
      </c>
      <c r="M196" s="20" t="e">
        <f>INDEX('01_FASTPPH'!$9:$1048576,MATCH($A196,'01_FASTPPH'!$A$9:$A$1048576,0),MATCH(M$9,'01_FASTPPH'!$8:$8,0))</f>
        <v>#N/A</v>
      </c>
      <c r="N196" s="24" t="e">
        <f>INDEX('01_FASTPPH'!$9:$1048576,MATCH($A196,'01_FASTPPH'!$A$9:$A$1048576,0),MATCH(N$9,'01_FASTPPH'!$8:$8,0))</f>
        <v>#N/A</v>
      </c>
      <c r="O196" s="23" t="e">
        <f>INDEX('01_FASTPPH'!$9:$1048576,MATCH($A196,'01_FASTPPH'!$A$9:$A$1048576,0),MATCH(O$9,'01_FASTPPH'!$8:$8,0))</f>
        <v>#N/A</v>
      </c>
      <c r="P196" s="20" t="e">
        <f>INDEX('01_FASTPPH'!$9:$1048576,MATCH($A196,'01_FASTPPH'!$A$9:$A$1048576,0),MATCH(P$9,'01_FASTPPH'!$8:$8,0))</f>
        <v>#N/A</v>
      </c>
      <c r="Q196" s="20" t="e">
        <f>INDEX('01_FASTPPH'!$9:$1048576,MATCH($A196,'01_FASTPPH'!$A$9:$A$1048576,0),MATCH(Q$9,'01_FASTPPH'!$8:$8,0))</f>
        <v>#N/A</v>
      </c>
      <c r="R196" s="20" t="e">
        <f>INDEX('01_FASTPPH'!$9:$1048576,MATCH($A196,'01_FASTPPH'!$A$9:$A$1048576,0),MATCH(R$9,'01_FASTPPH'!$8:$8,0))</f>
        <v>#N/A</v>
      </c>
      <c r="S196" s="20" t="e">
        <f>INDEX('01_FASTPPH'!$9:$1048576,MATCH($A196,'01_FASTPPH'!$A$9:$A$1048576,0),MATCH(S$9,'01_FASTPPH'!$8:$8,0))</f>
        <v>#N/A</v>
      </c>
      <c r="T196" s="24" t="e">
        <f>INDEX('01_FASTPPH'!$9:$1048576,MATCH($A196,'01_FASTPPH'!$A$9:$A$1048576,0),MATCH(T$9,'01_FASTPPH'!$8:$8,0))</f>
        <v>#N/A</v>
      </c>
      <c r="U196" s="23" t="e">
        <f>INDEX('01_FASTPPH'!$9:$1048576,MATCH($A196,'01_FASTPPH'!$A$9:$A$1048576,0),MATCH(U$9,'01_FASTPPH'!$8:$8,0))</f>
        <v>#N/A</v>
      </c>
      <c r="V196" s="20" t="e">
        <f>INDEX('01_FASTPPH'!$9:$1048576,MATCH($A196,'01_FASTPPH'!$A$9:$A$1048576,0),MATCH(V$9,'01_FASTPPH'!$8:$8,0))</f>
        <v>#N/A</v>
      </c>
      <c r="W196" s="24" t="e">
        <f>INDEX('01_FASTPPH'!$9:$1048576,MATCH($A196,'01_FASTPPH'!$A$9:$A$1048576,0),MATCH(W$9,'01_FASTPPH'!$8:$8,0))</f>
        <v>#N/A</v>
      </c>
      <c r="X196" s="20" t="e">
        <f>INDEX('01_FASTPPH'!$9:$1048576,MATCH($A196,'01_FASTPPH'!$A$9:$A$1048576,0),MATCH(X$9,'01_FASTPPH'!$8:$8,0))</f>
        <v>#N/A</v>
      </c>
      <c r="Y196" s="20" t="e">
        <f>INDEX('01_FASTPPH'!$9:$1048576,MATCH($A196,'01_FASTPPH'!$A$9:$A$1048576,0),MATCH(Y$9,'01_FASTPPH'!$8:$8,0))</f>
        <v>#N/A</v>
      </c>
      <c r="AA196" s="32" t="e">
        <f>INDEX('02_PROPERTIES'!$C$10:$I$1048576,MATCH('03_CALCULATIONS'!$D196,'02_PROPERTIES'!$C$10:$C$1048576,0),MATCH('03_CALCULATIONS'!AA$9,'02_PROPERTIES'!$C$10:$I$10,0))</f>
        <v>#N/A</v>
      </c>
      <c r="AB196" s="20" t="e">
        <f>INDEX('02_PROPERTIES'!$C$10:$I$1048576,MATCH('03_CALCULATIONS'!$D196,'02_PROPERTIES'!$C$10:$C$1048576,0),MATCH('03_CALCULATIONS'!AB$9,'02_PROPERTIES'!$C$10:$I$10,0))</f>
        <v>#N/A</v>
      </c>
      <c r="AC196" s="20" t="e">
        <f>INDEX('02_PROPERTIES'!$C$10:$I$1048576,MATCH('03_CALCULATIONS'!$D196,'02_PROPERTIES'!$C$10:$C$1048576,0),MATCH('03_CALCULATIONS'!AC$9,'02_PROPERTIES'!$C$10:$I$10,0))</f>
        <v>#N/A</v>
      </c>
      <c r="AD196" s="20" t="e">
        <f>INDEX('02_PROPERTIES'!$C$10:$I$1048576,MATCH('03_CALCULATIONS'!$D196,'02_PROPERTIES'!$C$10:$C$1048576,0),MATCH('03_CALCULATIONS'!AD$9,'02_PROPERTIES'!$C$10:$I$10,0))</f>
        <v>#N/A</v>
      </c>
      <c r="AE196" s="32" t="e">
        <f>INDEX('02_PROPERTIES'!$C$10:$I$1048576,MATCH('03_CALCULATIONS'!$D196,'02_PROPERTIES'!$C$10:$C$1048576,0),MATCH('03_CALCULATIONS'!AE$9,'02_PROPERTIES'!$C$10:$I$10,0))</f>
        <v>#N/A</v>
      </c>
      <c r="AF196" s="32" t="e">
        <f>INDEX('02_PROPERTIES'!$C$10:$I$1048576,MATCH('03_CALCULATIONS'!$D196,'02_PROPERTIES'!$C$10:$C$1048576,0),MATCH('03_CALCULATIONS'!AF$9,'02_PROPERTIES'!$C$10:$I$10,0))</f>
        <v>#N/A</v>
      </c>
      <c r="AH196" s="20" t="e">
        <f t="shared" si="22"/>
        <v>#N/A</v>
      </c>
      <c r="AI196" s="20" t="e">
        <f t="shared" si="23"/>
        <v>#N/A</v>
      </c>
      <c r="AJ196" s="20" t="e">
        <f t="shared" si="24"/>
        <v>#N/A</v>
      </c>
      <c r="AL196" s="20" t="e">
        <f t="shared" si="25"/>
        <v>#N/A</v>
      </c>
      <c r="AM196" s="20" t="e">
        <f t="shared" si="26"/>
        <v>#N/A</v>
      </c>
      <c r="AN196" s="20" t="e">
        <f t="shared" si="27"/>
        <v>#N/A</v>
      </c>
      <c r="AO196" s="20" t="e">
        <f t="shared" si="28"/>
        <v>#N/A</v>
      </c>
      <c r="AP196" s="20" t="e">
        <f t="shared" si="29"/>
        <v>#N/A</v>
      </c>
      <c r="AR196" s="20" t="e">
        <f t="shared" si="30"/>
        <v>#N/A</v>
      </c>
      <c r="AS196" s="20" t="e">
        <f t="shared" si="31"/>
        <v>#N/A</v>
      </c>
      <c r="AT196" s="20" t="e">
        <f t="shared" si="32"/>
        <v>#N/A</v>
      </c>
    </row>
    <row r="197" spans="1:46" x14ac:dyDescent="0.3">
      <c r="A197" s="18"/>
      <c r="B197" s="20" t="e">
        <f>INDEX('01_FASTPPH'!$9:$1048576,MATCH($A197,'01_FASTPPH'!$A$9:$A$1048576,0),MATCH(B$9,'01_FASTPPH'!$8:$8,0))</f>
        <v>#N/A</v>
      </c>
      <c r="C197" s="20" t="e">
        <f>INDEX('01_FASTPPH'!$9:$1048576,MATCH($A197,'01_FASTPPH'!$A$9:$A$1048576,0),MATCH(C$9,'01_FASTPPH'!$8:$8,0))</f>
        <v>#N/A</v>
      </c>
      <c r="D197" s="20" t="e">
        <f>INDEX('01_FASTPPH'!$9:$1048576,MATCH($A197,'01_FASTPPH'!$A$9:$A$1048576,0),MATCH(D$9,'01_FASTPPH'!$8:$8,0))</f>
        <v>#N/A</v>
      </c>
      <c r="E197" s="20" t="e">
        <f>INDEX('01_FASTPPH'!$9:$1048576,MATCH($A197,'01_FASTPPH'!$A$9:$A$1048576,0),MATCH(E$9,'01_FASTPPH'!$8:$8,0))</f>
        <v>#N/A</v>
      </c>
      <c r="F197" s="20" t="e">
        <f>INDEX('01_FASTPPH'!$9:$1048576,MATCH($A197,'01_FASTPPH'!$A$9:$A$1048576,0),MATCH(F$9,'01_FASTPPH'!$8:$8,0))</f>
        <v>#N/A</v>
      </c>
      <c r="G197" s="20" t="e">
        <f>INDEX('01_FASTPPH'!$9:$1048576,MATCH($A197,'01_FASTPPH'!$A$9:$A$1048576,0),MATCH(G$9,'01_FASTPPH'!$8:$8,0))</f>
        <v>#N/A</v>
      </c>
      <c r="H197" s="20" t="e">
        <f>INDEX('01_FASTPPH'!$9:$1048576,MATCH($A197,'01_FASTPPH'!$A$9:$A$1048576,0),MATCH(H$9,'01_FASTPPH'!$8:$8,0))</f>
        <v>#N/A</v>
      </c>
      <c r="I197" s="20" t="e">
        <f>INDEX('01_FASTPPH'!$9:$1048576,MATCH($A197,'01_FASTPPH'!$A$9:$A$1048576,0),MATCH(I$9,'01_FASTPPH'!$8:$8,0))</f>
        <v>#N/A</v>
      </c>
      <c r="J197" s="20" t="e">
        <f>INDEX('01_FASTPPH'!$9:$1048576,MATCH($A197,'01_FASTPPH'!$A$9:$A$1048576,0),MATCH(J$9,'01_FASTPPH'!$8:$8,0))</f>
        <v>#N/A</v>
      </c>
      <c r="K197" s="23" t="e">
        <f>INDEX('01_FASTPPH'!$9:$1048576,MATCH($A197,'01_FASTPPH'!$A$9:$A$1048576,0),MATCH(K$9,'01_FASTPPH'!$8:$8,0))</f>
        <v>#N/A</v>
      </c>
      <c r="L197" s="20" t="e">
        <f>INDEX('01_FASTPPH'!$9:$1048576,MATCH($A197,'01_FASTPPH'!$A$9:$A$1048576,0),MATCH(L$9,'01_FASTPPH'!$8:$8,0))</f>
        <v>#N/A</v>
      </c>
      <c r="M197" s="20" t="e">
        <f>INDEX('01_FASTPPH'!$9:$1048576,MATCH($A197,'01_FASTPPH'!$A$9:$A$1048576,0),MATCH(M$9,'01_FASTPPH'!$8:$8,0))</f>
        <v>#N/A</v>
      </c>
      <c r="N197" s="24" t="e">
        <f>INDEX('01_FASTPPH'!$9:$1048576,MATCH($A197,'01_FASTPPH'!$A$9:$A$1048576,0),MATCH(N$9,'01_FASTPPH'!$8:$8,0))</f>
        <v>#N/A</v>
      </c>
      <c r="O197" s="23" t="e">
        <f>INDEX('01_FASTPPH'!$9:$1048576,MATCH($A197,'01_FASTPPH'!$A$9:$A$1048576,0),MATCH(O$9,'01_FASTPPH'!$8:$8,0))</f>
        <v>#N/A</v>
      </c>
      <c r="P197" s="20" t="e">
        <f>INDEX('01_FASTPPH'!$9:$1048576,MATCH($A197,'01_FASTPPH'!$A$9:$A$1048576,0),MATCH(P$9,'01_FASTPPH'!$8:$8,0))</f>
        <v>#N/A</v>
      </c>
      <c r="Q197" s="20" t="e">
        <f>INDEX('01_FASTPPH'!$9:$1048576,MATCH($A197,'01_FASTPPH'!$A$9:$A$1048576,0),MATCH(Q$9,'01_FASTPPH'!$8:$8,0))</f>
        <v>#N/A</v>
      </c>
      <c r="R197" s="20" t="e">
        <f>INDEX('01_FASTPPH'!$9:$1048576,MATCH($A197,'01_FASTPPH'!$A$9:$A$1048576,0),MATCH(R$9,'01_FASTPPH'!$8:$8,0))</f>
        <v>#N/A</v>
      </c>
      <c r="S197" s="20" t="e">
        <f>INDEX('01_FASTPPH'!$9:$1048576,MATCH($A197,'01_FASTPPH'!$A$9:$A$1048576,0),MATCH(S$9,'01_FASTPPH'!$8:$8,0))</f>
        <v>#N/A</v>
      </c>
      <c r="T197" s="24" t="e">
        <f>INDEX('01_FASTPPH'!$9:$1048576,MATCH($A197,'01_FASTPPH'!$A$9:$A$1048576,0),MATCH(T$9,'01_FASTPPH'!$8:$8,0))</f>
        <v>#N/A</v>
      </c>
      <c r="U197" s="23" t="e">
        <f>INDEX('01_FASTPPH'!$9:$1048576,MATCH($A197,'01_FASTPPH'!$A$9:$A$1048576,0),MATCH(U$9,'01_FASTPPH'!$8:$8,0))</f>
        <v>#N/A</v>
      </c>
      <c r="V197" s="20" t="e">
        <f>INDEX('01_FASTPPH'!$9:$1048576,MATCH($A197,'01_FASTPPH'!$A$9:$A$1048576,0),MATCH(V$9,'01_FASTPPH'!$8:$8,0))</f>
        <v>#N/A</v>
      </c>
      <c r="W197" s="24" t="e">
        <f>INDEX('01_FASTPPH'!$9:$1048576,MATCH($A197,'01_FASTPPH'!$A$9:$A$1048576,0),MATCH(W$9,'01_FASTPPH'!$8:$8,0))</f>
        <v>#N/A</v>
      </c>
      <c r="X197" s="20" t="e">
        <f>INDEX('01_FASTPPH'!$9:$1048576,MATCH($A197,'01_FASTPPH'!$A$9:$A$1048576,0),MATCH(X$9,'01_FASTPPH'!$8:$8,0))</f>
        <v>#N/A</v>
      </c>
      <c r="Y197" s="20" t="e">
        <f>INDEX('01_FASTPPH'!$9:$1048576,MATCH($A197,'01_FASTPPH'!$A$9:$A$1048576,0),MATCH(Y$9,'01_FASTPPH'!$8:$8,0))</f>
        <v>#N/A</v>
      </c>
      <c r="AA197" s="32" t="e">
        <f>INDEX('02_PROPERTIES'!$C$10:$I$1048576,MATCH('03_CALCULATIONS'!$D197,'02_PROPERTIES'!$C$10:$C$1048576,0),MATCH('03_CALCULATIONS'!AA$9,'02_PROPERTIES'!$C$10:$I$10,0))</f>
        <v>#N/A</v>
      </c>
      <c r="AB197" s="20" t="e">
        <f>INDEX('02_PROPERTIES'!$C$10:$I$1048576,MATCH('03_CALCULATIONS'!$D197,'02_PROPERTIES'!$C$10:$C$1048576,0),MATCH('03_CALCULATIONS'!AB$9,'02_PROPERTIES'!$C$10:$I$10,0))</f>
        <v>#N/A</v>
      </c>
      <c r="AC197" s="20" t="e">
        <f>INDEX('02_PROPERTIES'!$C$10:$I$1048576,MATCH('03_CALCULATIONS'!$D197,'02_PROPERTIES'!$C$10:$C$1048576,0),MATCH('03_CALCULATIONS'!AC$9,'02_PROPERTIES'!$C$10:$I$10,0))</f>
        <v>#N/A</v>
      </c>
      <c r="AD197" s="20" t="e">
        <f>INDEX('02_PROPERTIES'!$C$10:$I$1048576,MATCH('03_CALCULATIONS'!$D197,'02_PROPERTIES'!$C$10:$C$1048576,0),MATCH('03_CALCULATIONS'!AD$9,'02_PROPERTIES'!$C$10:$I$10,0))</f>
        <v>#N/A</v>
      </c>
      <c r="AE197" s="32" t="e">
        <f>INDEX('02_PROPERTIES'!$C$10:$I$1048576,MATCH('03_CALCULATIONS'!$D197,'02_PROPERTIES'!$C$10:$C$1048576,0),MATCH('03_CALCULATIONS'!AE$9,'02_PROPERTIES'!$C$10:$I$10,0))</f>
        <v>#N/A</v>
      </c>
      <c r="AF197" s="32" t="e">
        <f>INDEX('02_PROPERTIES'!$C$10:$I$1048576,MATCH('03_CALCULATIONS'!$D197,'02_PROPERTIES'!$C$10:$C$1048576,0),MATCH('03_CALCULATIONS'!AF$9,'02_PROPERTIES'!$C$10:$I$10,0))</f>
        <v>#N/A</v>
      </c>
      <c r="AH197" s="20" t="e">
        <f t="shared" si="22"/>
        <v>#N/A</v>
      </c>
      <c r="AI197" s="20" t="e">
        <f t="shared" si="23"/>
        <v>#N/A</v>
      </c>
      <c r="AJ197" s="20" t="e">
        <f t="shared" si="24"/>
        <v>#N/A</v>
      </c>
      <c r="AL197" s="20" t="e">
        <f t="shared" si="25"/>
        <v>#N/A</v>
      </c>
      <c r="AM197" s="20" t="e">
        <f t="shared" si="26"/>
        <v>#N/A</v>
      </c>
      <c r="AN197" s="20" t="e">
        <f t="shared" si="27"/>
        <v>#N/A</v>
      </c>
      <c r="AO197" s="20" t="e">
        <f t="shared" si="28"/>
        <v>#N/A</v>
      </c>
      <c r="AP197" s="20" t="e">
        <f t="shared" si="29"/>
        <v>#N/A</v>
      </c>
      <c r="AR197" s="20" t="e">
        <f t="shared" si="30"/>
        <v>#N/A</v>
      </c>
      <c r="AS197" s="20" t="e">
        <f t="shared" si="31"/>
        <v>#N/A</v>
      </c>
      <c r="AT197" s="20" t="e">
        <f t="shared" si="32"/>
        <v>#N/A</v>
      </c>
    </row>
    <row r="198" spans="1:46" x14ac:dyDescent="0.3">
      <c r="A198" s="18"/>
      <c r="B198" s="20" t="e">
        <f>INDEX('01_FASTPPH'!$9:$1048576,MATCH($A198,'01_FASTPPH'!$A$9:$A$1048576,0),MATCH(B$9,'01_FASTPPH'!$8:$8,0))</f>
        <v>#N/A</v>
      </c>
      <c r="C198" s="20" t="e">
        <f>INDEX('01_FASTPPH'!$9:$1048576,MATCH($A198,'01_FASTPPH'!$A$9:$A$1048576,0),MATCH(C$9,'01_FASTPPH'!$8:$8,0))</f>
        <v>#N/A</v>
      </c>
      <c r="D198" s="20" t="e">
        <f>INDEX('01_FASTPPH'!$9:$1048576,MATCH($A198,'01_FASTPPH'!$A$9:$A$1048576,0),MATCH(D$9,'01_FASTPPH'!$8:$8,0))</f>
        <v>#N/A</v>
      </c>
      <c r="E198" s="20" t="e">
        <f>INDEX('01_FASTPPH'!$9:$1048576,MATCH($A198,'01_FASTPPH'!$A$9:$A$1048576,0),MATCH(E$9,'01_FASTPPH'!$8:$8,0))</f>
        <v>#N/A</v>
      </c>
      <c r="F198" s="20" t="e">
        <f>INDEX('01_FASTPPH'!$9:$1048576,MATCH($A198,'01_FASTPPH'!$A$9:$A$1048576,0),MATCH(F$9,'01_FASTPPH'!$8:$8,0))</f>
        <v>#N/A</v>
      </c>
      <c r="G198" s="20" t="e">
        <f>INDEX('01_FASTPPH'!$9:$1048576,MATCH($A198,'01_FASTPPH'!$A$9:$A$1048576,0),MATCH(G$9,'01_FASTPPH'!$8:$8,0))</f>
        <v>#N/A</v>
      </c>
      <c r="H198" s="20" t="e">
        <f>INDEX('01_FASTPPH'!$9:$1048576,MATCH($A198,'01_FASTPPH'!$A$9:$A$1048576,0),MATCH(H$9,'01_FASTPPH'!$8:$8,0))</f>
        <v>#N/A</v>
      </c>
      <c r="I198" s="20" t="e">
        <f>INDEX('01_FASTPPH'!$9:$1048576,MATCH($A198,'01_FASTPPH'!$A$9:$A$1048576,0),MATCH(I$9,'01_FASTPPH'!$8:$8,0))</f>
        <v>#N/A</v>
      </c>
      <c r="J198" s="20" t="e">
        <f>INDEX('01_FASTPPH'!$9:$1048576,MATCH($A198,'01_FASTPPH'!$A$9:$A$1048576,0),MATCH(J$9,'01_FASTPPH'!$8:$8,0))</f>
        <v>#N/A</v>
      </c>
      <c r="K198" s="23" t="e">
        <f>INDEX('01_FASTPPH'!$9:$1048576,MATCH($A198,'01_FASTPPH'!$A$9:$A$1048576,0),MATCH(K$9,'01_FASTPPH'!$8:$8,0))</f>
        <v>#N/A</v>
      </c>
      <c r="L198" s="20" t="e">
        <f>INDEX('01_FASTPPH'!$9:$1048576,MATCH($A198,'01_FASTPPH'!$A$9:$A$1048576,0),MATCH(L$9,'01_FASTPPH'!$8:$8,0))</f>
        <v>#N/A</v>
      </c>
      <c r="M198" s="20" t="e">
        <f>INDEX('01_FASTPPH'!$9:$1048576,MATCH($A198,'01_FASTPPH'!$A$9:$A$1048576,0),MATCH(M$9,'01_FASTPPH'!$8:$8,0))</f>
        <v>#N/A</v>
      </c>
      <c r="N198" s="24" t="e">
        <f>INDEX('01_FASTPPH'!$9:$1048576,MATCH($A198,'01_FASTPPH'!$A$9:$A$1048576,0),MATCH(N$9,'01_FASTPPH'!$8:$8,0))</f>
        <v>#N/A</v>
      </c>
      <c r="O198" s="23" t="e">
        <f>INDEX('01_FASTPPH'!$9:$1048576,MATCH($A198,'01_FASTPPH'!$A$9:$A$1048576,0),MATCH(O$9,'01_FASTPPH'!$8:$8,0))</f>
        <v>#N/A</v>
      </c>
      <c r="P198" s="20" t="e">
        <f>INDEX('01_FASTPPH'!$9:$1048576,MATCH($A198,'01_FASTPPH'!$A$9:$A$1048576,0),MATCH(P$9,'01_FASTPPH'!$8:$8,0))</f>
        <v>#N/A</v>
      </c>
      <c r="Q198" s="20" t="e">
        <f>INDEX('01_FASTPPH'!$9:$1048576,MATCH($A198,'01_FASTPPH'!$A$9:$A$1048576,0),MATCH(Q$9,'01_FASTPPH'!$8:$8,0))</f>
        <v>#N/A</v>
      </c>
      <c r="R198" s="20" t="e">
        <f>INDEX('01_FASTPPH'!$9:$1048576,MATCH($A198,'01_FASTPPH'!$A$9:$A$1048576,0),MATCH(R$9,'01_FASTPPH'!$8:$8,0))</f>
        <v>#N/A</v>
      </c>
      <c r="S198" s="20" t="e">
        <f>INDEX('01_FASTPPH'!$9:$1048576,MATCH($A198,'01_FASTPPH'!$A$9:$A$1048576,0),MATCH(S$9,'01_FASTPPH'!$8:$8,0))</f>
        <v>#N/A</v>
      </c>
      <c r="T198" s="24" t="e">
        <f>INDEX('01_FASTPPH'!$9:$1048576,MATCH($A198,'01_FASTPPH'!$A$9:$A$1048576,0),MATCH(T$9,'01_FASTPPH'!$8:$8,0))</f>
        <v>#N/A</v>
      </c>
      <c r="U198" s="23" t="e">
        <f>INDEX('01_FASTPPH'!$9:$1048576,MATCH($A198,'01_FASTPPH'!$A$9:$A$1048576,0),MATCH(U$9,'01_FASTPPH'!$8:$8,0))</f>
        <v>#N/A</v>
      </c>
      <c r="V198" s="20" t="e">
        <f>INDEX('01_FASTPPH'!$9:$1048576,MATCH($A198,'01_FASTPPH'!$A$9:$A$1048576,0),MATCH(V$9,'01_FASTPPH'!$8:$8,0))</f>
        <v>#N/A</v>
      </c>
      <c r="W198" s="24" t="e">
        <f>INDEX('01_FASTPPH'!$9:$1048576,MATCH($A198,'01_FASTPPH'!$A$9:$A$1048576,0),MATCH(W$9,'01_FASTPPH'!$8:$8,0))</f>
        <v>#N/A</v>
      </c>
      <c r="X198" s="20" t="e">
        <f>INDEX('01_FASTPPH'!$9:$1048576,MATCH($A198,'01_FASTPPH'!$A$9:$A$1048576,0),MATCH(X$9,'01_FASTPPH'!$8:$8,0))</f>
        <v>#N/A</v>
      </c>
      <c r="Y198" s="20" t="e">
        <f>INDEX('01_FASTPPH'!$9:$1048576,MATCH($A198,'01_FASTPPH'!$A$9:$A$1048576,0),MATCH(Y$9,'01_FASTPPH'!$8:$8,0))</f>
        <v>#N/A</v>
      </c>
      <c r="AA198" s="32" t="e">
        <f>INDEX('02_PROPERTIES'!$C$10:$I$1048576,MATCH('03_CALCULATIONS'!$D198,'02_PROPERTIES'!$C$10:$C$1048576,0),MATCH('03_CALCULATIONS'!AA$9,'02_PROPERTIES'!$C$10:$I$10,0))</f>
        <v>#N/A</v>
      </c>
      <c r="AB198" s="20" t="e">
        <f>INDEX('02_PROPERTIES'!$C$10:$I$1048576,MATCH('03_CALCULATIONS'!$D198,'02_PROPERTIES'!$C$10:$C$1048576,0),MATCH('03_CALCULATIONS'!AB$9,'02_PROPERTIES'!$C$10:$I$10,0))</f>
        <v>#N/A</v>
      </c>
      <c r="AC198" s="20" t="e">
        <f>INDEX('02_PROPERTIES'!$C$10:$I$1048576,MATCH('03_CALCULATIONS'!$D198,'02_PROPERTIES'!$C$10:$C$1048576,0),MATCH('03_CALCULATIONS'!AC$9,'02_PROPERTIES'!$C$10:$I$10,0))</f>
        <v>#N/A</v>
      </c>
      <c r="AD198" s="20" t="e">
        <f>INDEX('02_PROPERTIES'!$C$10:$I$1048576,MATCH('03_CALCULATIONS'!$D198,'02_PROPERTIES'!$C$10:$C$1048576,0),MATCH('03_CALCULATIONS'!AD$9,'02_PROPERTIES'!$C$10:$I$10,0))</f>
        <v>#N/A</v>
      </c>
      <c r="AE198" s="32" t="e">
        <f>INDEX('02_PROPERTIES'!$C$10:$I$1048576,MATCH('03_CALCULATIONS'!$D198,'02_PROPERTIES'!$C$10:$C$1048576,0),MATCH('03_CALCULATIONS'!AE$9,'02_PROPERTIES'!$C$10:$I$10,0))</f>
        <v>#N/A</v>
      </c>
      <c r="AF198" s="32" t="e">
        <f>INDEX('02_PROPERTIES'!$C$10:$I$1048576,MATCH('03_CALCULATIONS'!$D198,'02_PROPERTIES'!$C$10:$C$1048576,0),MATCH('03_CALCULATIONS'!AF$9,'02_PROPERTIES'!$C$10:$I$10,0))</f>
        <v>#N/A</v>
      </c>
      <c r="AH198" s="20" t="e">
        <f t="shared" si="22"/>
        <v>#N/A</v>
      </c>
      <c r="AI198" s="20" t="e">
        <f t="shared" si="23"/>
        <v>#N/A</v>
      </c>
      <c r="AJ198" s="20" t="e">
        <f t="shared" si="24"/>
        <v>#N/A</v>
      </c>
      <c r="AL198" s="20" t="e">
        <f t="shared" si="25"/>
        <v>#N/A</v>
      </c>
      <c r="AM198" s="20" t="e">
        <f t="shared" si="26"/>
        <v>#N/A</v>
      </c>
      <c r="AN198" s="20" t="e">
        <f t="shared" si="27"/>
        <v>#N/A</v>
      </c>
      <c r="AO198" s="20" t="e">
        <f t="shared" si="28"/>
        <v>#N/A</v>
      </c>
      <c r="AP198" s="20" t="e">
        <f t="shared" si="29"/>
        <v>#N/A</v>
      </c>
      <c r="AR198" s="20" t="e">
        <f t="shared" si="30"/>
        <v>#N/A</v>
      </c>
      <c r="AS198" s="20" t="e">
        <f t="shared" si="31"/>
        <v>#N/A</v>
      </c>
      <c r="AT198" s="20" t="e">
        <f t="shared" si="32"/>
        <v>#N/A</v>
      </c>
    </row>
    <row r="199" spans="1:46" x14ac:dyDescent="0.3">
      <c r="A199" s="18"/>
      <c r="B199" s="20" t="e">
        <f>INDEX('01_FASTPPH'!$9:$1048576,MATCH($A199,'01_FASTPPH'!$A$9:$A$1048576,0),MATCH(B$9,'01_FASTPPH'!$8:$8,0))</f>
        <v>#N/A</v>
      </c>
      <c r="C199" s="20" t="e">
        <f>INDEX('01_FASTPPH'!$9:$1048576,MATCH($A199,'01_FASTPPH'!$A$9:$A$1048576,0),MATCH(C$9,'01_FASTPPH'!$8:$8,0))</f>
        <v>#N/A</v>
      </c>
      <c r="D199" s="20" t="e">
        <f>INDEX('01_FASTPPH'!$9:$1048576,MATCH($A199,'01_FASTPPH'!$A$9:$A$1048576,0),MATCH(D$9,'01_FASTPPH'!$8:$8,0))</f>
        <v>#N/A</v>
      </c>
      <c r="E199" s="20" t="e">
        <f>INDEX('01_FASTPPH'!$9:$1048576,MATCH($A199,'01_FASTPPH'!$A$9:$A$1048576,0),MATCH(E$9,'01_FASTPPH'!$8:$8,0))</f>
        <v>#N/A</v>
      </c>
      <c r="F199" s="20" t="e">
        <f>INDEX('01_FASTPPH'!$9:$1048576,MATCH($A199,'01_FASTPPH'!$A$9:$A$1048576,0),MATCH(F$9,'01_FASTPPH'!$8:$8,0))</f>
        <v>#N/A</v>
      </c>
      <c r="G199" s="20" t="e">
        <f>INDEX('01_FASTPPH'!$9:$1048576,MATCH($A199,'01_FASTPPH'!$A$9:$A$1048576,0),MATCH(G$9,'01_FASTPPH'!$8:$8,0))</f>
        <v>#N/A</v>
      </c>
      <c r="H199" s="20" t="e">
        <f>INDEX('01_FASTPPH'!$9:$1048576,MATCH($A199,'01_FASTPPH'!$A$9:$A$1048576,0),MATCH(H$9,'01_FASTPPH'!$8:$8,0))</f>
        <v>#N/A</v>
      </c>
      <c r="I199" s="20" t="e">
        <f>INDEX('01_FASTPPH'!$9:$1048576,MATCH($A199,'01_FASTPPH'!$A$9:$A$1048576,0),MATCH(I$9,'01_FASTPPH'!$8:$8,0))</f>
        <v>#N/A</v>
      </c>
      <c r="J199" s="20" t="e">
        <f>INDEX('01_FASTPPH'!$9:$1048576,MATCH($A199,'01_FASTPPH'!$A$9:$A$1048576,0),MATCH(J$9,'01_FASTPPH'!$8:$8,0))</f>
        <v>#N/A</v>
      </c>
      <c r="K199" s="23" t="e">
        <f>INDEX('01_FASTPPH'!$9:$1048576,MATCH($A199,'01_FASTPPH'!$A$9:$A$1048576,0),MATCH(K$9,'01_FASTPPH'!$8:$8,0))</f>
        <v>#N/A</v>
      </c>
      <c r="L199" s="20" t="e">
        <f>INDEX('01_FASTPPH'!$9:$1048576,MATCH($A199,'01_FASTPPH'!$A$9:$A$1048576,0),MATCH(L$9,'01_FASTPPH'!$8:$8,0))</f>
        <v>#N/A</v>
      </c>
      <c r="M199" s="20" t="e">
        <f>INDEX('01_FASTPPH'!$9:$1048576,MATCH($A199,'01_FASTPPH'!$A$9:$A$1048576,0),MATCH(M$9,'01_FASTPPH'!$8:$8,0))</f>
        <v>#N/A</v>
      </c>
      <c r="N199" s="24" t="e">
        <f>INDEX('01_FASTPPH'!$9:$1048576,MATCH($A199,'01_FASTPPH'!$A$9:$A$1048576,0),MATCH(N$9,'01_FASTPPH'!$8:$8,0))</f>
        <v>#N/A</v>
      </c>
      <c r="O199" s="23" t="e">
        <f>INDEX('01_FASTPPH'!$9:$1048576,MATCH($A199,'01_FASTPPH'!$A$9:$A$1048576,0),MATCH(O$9,'01_FASTPPH'!$8:$8,0))</f>
        <v>#N/A</v>
      </c>
      <c r="P199" s="20" t="e">
        <f>INDEX('01_FASTPPH'!$9:$1048576,MATCH($A199,'01_FASTPPH'!$A$9:$A$1048576,0),MATCH(P$9,'01_FASTPPH'!$8:$8,0))</f>
        <v>#N/A</v>
      </c>
      <c r="Q199" s="20" t="e">
        <f>INDEX('01_FASTPPH'!$9:$1048576,MATCH($A199,'01_FASTPPH'!$A$9:$A$1048576,0),MATCH(Q$9,'01_FASTPPH'!$8:$8,0))</f>
        <v>#N/A</v>
      </c>
      <c r="R199" s="20" t="e">
        <f>INDEX('01_FASTPPH'!$9:$1048576,MATCH($A199,'01_FASTPPH'!$A$9:$A$1048576,0),MATCH(R$9,'01_FASTPPH'!$8:$8,0))</f>
        <v>#N/A</v>
      </c>
      <c r="S199" s="20" t="e">
        <f>INDEX('01_FASTPPH'!$9:$1048576,MATCH($A199,'01_FASTPPH'!$A$9:$A$1048576,0),MATCH(S$9,'01_FASTPPH'!$8:$8,0))</f>
        <v>#N/A</v>
      </c>
      <c r="T199" s="24" t="e">
        <f>INDEX('01_FASTPPH'!$9:$1048576,MATCH($A199,'01_FASTPPH'!$A$9:$A$1048576,0),MATCH(T$9,'01_FASTPPH'!$8:$8,0))</f>
        <v>#N/A</v>
      </c>
      <c r="U199" s="23" t="e">
        <f>INDEX('01_FASTPPH'!$9:$1048576,MATCH($A199,'01_FASTPPH'!$A$9:$A$1048576,0),MATCH(U$9,'01_FASTPPH'!$8:$8,0))</f>
        <v>#N/A</v>
      </c>
      <c r="V199" s="20" t="e">
        <f>INDEX('01_FASTPPH'!$9:$1048576,MATCH($A199,'01_FASTPPH'!$A$9:$A$1048576,0),MATCH(V$9,'01_FASTPPH'!$8:$8,0))</f>
        <v>#N/A</v>
      </c>
      <c r="W199" s="24" t="e">
        <f>INDEX('01_FASTPPH'!$9:$1048576,MATCH($A199,'01_FASTPPH'!$A$9:$A$1048576,0),MATCH(W$9,'01_FASTPPH'!$8:$8,0))</f>
        <v>#N/A</v>
      </c>
      <c r="X199" s="20" t="e">
        <f>INDEX('01_FASTPPH'!$9:$1048576,MATCH($A199,'01_FASTPPH'!$A$9:$A$1048576,0),MATCH(X$9,'01_FASTPPH'!$8:$8,0))</f>
        <v>#N/A</v>
      </c>
      <c r="Y199" s="20" t="e">
        <f>INDEX('01_FASTPPH'!$9:$1048576,MATCH($A199,'01_FASTPPH'!$A$9:$A$1048576,0),MATCH(Y$9,'01_FASTPPH'!$8:$8,0))</f>
        <v>#N/A</v>
      </c>
      <c r="AA199" s="32" t="e">
        <f>INDEX('02_PROPERTIES'!$C$10:$I$1048576,MATCH('03_CALCULATIONS'!$D199,'02_PROPERTIES'!$C$10:$C$1048576,0),MATCH('03_CALCULATIONS'!AA$9,'02_PROPERTIES'!$C$10:$I$10,0))</f>
        <v>#N/A</v>
      </c>
      <c r="AB199" s="20" t="e">
        <f>INDEX('02_PROPERTIES'!$C$10:$I$1048576,MATCH('03_CALCULATIONS'!$D199,'02_PROPERTIES'!$C$10:$C$1048576,0),MATCH('03_CALCULATIONS'!AB$9,'02_PROPERTIES'!$C$10:$I$10,0))</f>
        <v>#N/A</v>
      </c>
      <c r="AC199" s="20" t="e">
        <f>INDEX('02_PROPERTIES'!$C$10:$I$1048576,MATCH('03_CALCULATIONS'!$D199,'02_PROPERTIES'!$C$10:$C$1048576,0),MATCH('03_CALCULATIONS'!AC$9,'02_PROPERTIES'!$C$10:$I$10,0))</f>
        <v>#N/A</v>
      </c>
      <c r="AD199" s="20" t="e">
        <f>INDEX('02_PROPERTIES'!$C$10:$I$1048576,MATCH('03_CALCULATIONS'!$D199,'02_PROPERTIES'!$C$10:$C$1048576,0),MATCH('03_CALCULATIONS'!AD$9,'02_PROPERTIES'!$C$10:$I$10,0))</f>
        <v>#N/A</v>
      </c>
      <c r="AE199" s="32" t="e">
        <f>INDEX('02_PROPERTIES'!$C$10:$I$1048576,MATCH('03_CALCULATIONS'!$D199,'02_PROPERTIES'!$C$10:$C$1048576,0),MATCH('03_CALCULATIONS'!AE$9,'02_PROPERTIES'!$C$10:$I$10,0))</f>
        <v>#N/A</v>
      </c>
      <c r="AF199" s="32" t="e">
        <f>INDEX('02_PROPERTIES'!$C$10:$I$1048576,MATCH('03_CALCULATIONS'!$D199,'02_PROPERTIES'!$C$10:$C$1048576,0),MATCH('03_CALCULATIONS'!AF$9,'02_PROPERTIES'!$C$10:$I$10,0))</f>
        <v>#N/A</v>
      </c>
      <c r="AH199" s="20" t="e">
        <f t="shared" si="22"/>
        <v>#N/A</v>
      </c>
      <c r="AI199" s="20" t="e">
        <f t="shared" si="23"/>
        <v>#N/A</v>
      </c>
      <c r="AJ199" s="20" t="e">
        <f t="shared" si="24"/>
        <v>#N/A</v>
      </c>
      <c r="AL199" s="20" t="e">
        <f t="shared" si="25"/>
        <v>#N/A</v>
      </c>
      <c r="AM199" s="20" t="e">
        <f t="shared" si="26"/>
        <v>#N/A</v>
      </c>
      <c r="AN199" s="20" t="e">
        <f t="shared" si="27"/>
        <v>#N/A</v>
      </c>
      <c r="AO199" s="20" t="e">
        <f t="shared" si="28"/>
        <v>#N/A</v>
      </c>
      <c r="AP199" s="20" t="e">
        <f t="shared" si="29"/>
        <v>#N/A</v>
      </c>
      <c r="AR199" s="20" t="e">
        <f t="shared" si="30"/>
        <v>#N/A</v>
      </c>
      <c r="AS199" s="20" t="e">
        <f t="shared" si="31"/>
        <v>#N/A</v>
      </c>
      <c r="AT199" s="20" t="e">
        <f t="shared" si="32"/>
        <v>#N/A</v>
      </c>
    </row>
    <row r="200" spans="1:46" x14ac:dyDescent="0.3">
      <c r="A200" s="18"/>
      <c r="B200" s="20" t="e">
        <f>INDEX('01_FASTPPH'!$9:$1048576,MATCH($A200,'01_FASTPPH'!$A$9:$A$1048576,0),MATCH(B$9,'01_FASTPPH'!$8:$8,0))</f>
        <v>#N/A</v>
      </c>
      <c r="C200" s="20" t="e">
        <f>INDEX('01_FASTPPH'!$9:$1048576,MATCH($A200,'01_FASTPPH'!$A$9:$A$1048576,0),MATCH(C$9,'01_FASTPPH'!$8:$8,0))</f>
        <v>#N/A</v>
      </c>
      <c r="D200" s="20" t="e">
        <f>INDEX('01_FASTPPH'!$9:$1048576,MATCH($A200,'01_FASTPPH'!$A$9:$A$1048576,0),MATCH(D$9,'01_FASTPPH'!$8:$8,0))</f>
        <v>#N/A</v>
      </c>
      <c r="E200" s="20" t="e">
        <f>INDEX('01_FASTPPH'!$9:$1048576,MATCH($A200,'01_FASTPPH'!$A$9:$A$1048576,0),MATCH(E$9,'01_FASTPPH'!$8:$8,0))</f>
        <v>#N/A</v>
      </c>
      <c r="F200" s="20" t="e">
        <f>INDEX('01_FASTPPH'!$9:$1048576,MATCH($A200,'01_FASTPPH'!$A$9:$A$1048576,0),MATCH(F$9,'01_FASTPPH'!$8:$8,0))</f>
        <v>#N/A</v>
      </c>
      <c r="G200" s="20" t="e">
        <f>INDEX('01_FASTPPH'!$9:$1048576,MATCH($A200,'01_FASTPPH'!$A$9:$A$1048576,0),MATCH(G$9,'01_FASTPPH'!$8:$8,0))</f>
        <v>#N/A</v>
      </c>
      <c r="H200" s="20" t="e">
        <f>INDEX('01_FASTPPH'!$9:$1048576,MATCH($A200,'01_FASTPPH'!$A$9:$A$1048576,0),MATCH(H$9,'01_FASTPPH'!$8:$8,0))</f>
        <v>#N/A</v>
      </c>
      <c r="I200" s="20" t="e">
        <f>INDEX('01_FASTPPH'!$9:$1048576,MATCH($A200,'01_FASTPPH'!$A$9:$A$1048576,0),MATCH(I$9,'01_FASTPPH'!$8:$8,0))</f>
        <v>#N/A</v>
      </c>
      <c r="J200" s="20" t="e">
        <f>INDEX('01_FASTPPH'!$9:$1048576,MATCH($A200,'01_FASTPPH'!$A$9:$A$1048576,0),MATCH(J$9,'01_FASTPPH'!$8:$8,0))</f>
        <v>#N/A</v>
      </c>
      <c r="K200" s="23" t="e">
        <f>INDEX('01_FASTPPH'!$9:$1048576,MATCH($A200,'01_FASTPPH'!$A$9:$A$1048576,0),MATCH(K$9,'01_FASTPPH'!$8:$8,0))</f>
        <v>#N/A</v>
      </c>
      <c r="L200" s="20" t="e">
        <f>INDEX('01_FASTPPH'!$9:$1048576,MATCH($A200,'01_FASTPPH'!$A$9:$A$1048576,0),MATCH(L$9,'01_FASTPPH'!$8:$8,0))</f>
        <v>#N/A</v>
      </c>
      <c r="M200" s="20" t="e">
        <f>INDEX('01_FASTPPH'!$9:$1048576,MATCH($A200,'01_FASTPPH'!$A$9:$A$1048576,0),MATCH(M$9,'01_FASTPPH'!$8:$8,0))</f>
        <v>#N/A</v>
      </c>
      <c r="N200" s="24" t="e">
        <f>INDEX('01_FASTPPH'!$9:$1048576,MATCH($A200,'01_FASTPPH'!$A$9:$A$1048576,0),MATCH(N$9,'01_FASTPPH'!$8:$8,0))</f>
        <v>#N/A</v>
      </c>
      <c r="O200" s="23" t="e">
        <f>INDEX('01_FASTPPH'!$9:$1048576,MATCH($A200,'01_FASTPPH'!$A$9:$A$1048576,0),MATCH(O$9,'01_FASTPPH'!$8:$8,0))</f>
        <v>#N/A</v>
      </c>
      <c r="P200" s="20" t="e">
        <f>INDEX('01_FASTPPH'!$9:$1048576,MATCH($A200,'01_FASTPPH'!$A$9:$A$1048576,0),MATCH(P$9,'01_FASTPPH'!$8:$8,0))</f>
        <v>#N/A</v>
      </c>
      <c r="Q200" s="20" t="e">
        <f>INDEX('01_FASTPPH'!$9:$1048576,MATCH($A200,'01_FASTPPH'!$A$9:$A$1048576,0),MATCH(Q$9,'01_FASTPPH'!$8:$8,0))</f>
        <v>#N/A</v>
      </c>
      <c r="R200" s="20" t="e">
        <f>INDEX('01_FASTPPH'!$9:$1048576,MATCH($A200,'01_FASTPPH'!$A$9:$A$1048576,0),MATCH(R$9,'01_FASTPPH'!$8:$8,0))</f>
        <v>#N/A</v>
      </c>
      <c r="S200" s="20" t="e">
        <f>INDEX('01_FASTPPH'!$9:$1048576,MATCH($A200,'01_FASTPPH'!$A$9:$A$1048576,0),MATCH(S$9,'01_FASTPPH'!$8:$8,0))</f>
        <v>#N/A</v>
      </c>
      <c r="T200" s="24" t="e">
        <f>INDEX('01_FASTPPH'!$9:$1048576,MATCH($A200,'01_FASTPPH'!$A$9:$A$1048576,0),MATCH(T$9,'01_FASTPPH'!$8:$8,0))</f>
        <v>#N/A</v>
      </c>
      <c r="U200" s="23" t="e">
        <f>INDEX('01_FASTPPH'!$9:$1048576,MATCH($A200,'01_FASTPPH'!$A$9:$A$1048576,0),MATCH(U$9,'01_FASTPPH'!$8:$8,0))</f>
        <v>#N/A</v>
      </c>
      <c r="V200" s="20" t="e">
        <f>INDEX('01_FASTPPH'!$9:$1048576,MATCH($A200,'01_FASTPPH'!$A$9:$A$1048576,0),MATCH(V$9,'01_FASTPPH'!$8:$8,0))</f>
        <v>#N/A</v>
      </c>
      <c r="W200" s="24" t="e">
        <f>INDEX('01_FASTPPH'!$9:$1048576,MATCH($A200,'01_FASTPPH'!$A$9:$A$1048576,0),MATCH(W$9,'01_FASTPPH'!$8:$8,0))</f>
        <v>#N/A</v>
      </c>
      <c r="X200" s="20" t="e">
        <f>INDEX('01_FASTPPH'!$9:$1048576,MATCH($A200,'01_FASTPPH'!$A$9:$A$1048576,0),MATCH(X$9,'01_FASTPPH'!$8:$8,0))</f>
        <v>#N/A</v>
      </c>
      <c r="Y200" s="20" t="e">
        <f>INDEX('01_FASTPPH'!$9:$1048576,MATCH($A200,'01_FASTPPH'!$A$9:$A$1048576,0),MATCH(Y$9,'01_FASTPPH'!$8:$8,0))</f>
        <v>#N/A</v>
      </c>
      <c r="AA200" s="32" t="e">
        <f>INDEX('02_PROPERTIES'!$C$10:$I$1048576,MATCH('03_CALCULATIONS'!$D200,'02_PROPERTIES'!$C$10:$C$1048576,0),MATCH('03_CALCULATIONS'!AA$9,'02_PROPERTIES'!$C$10:$I$10,0))</f>
        <v>#N/A</v>
      </c>
      <c r="AB200" s="20" t="e">
        <f>INDEX('02_PROPERTIES'!$C$10:$I$1048576,MATCH('03_CALCULATIONS'!$D200,'02_PROPERTIES'!$C$10:$C$1048576,0),MATCH('03_CALCULATIONS'!AB$9,'02_PROPERTIES'!$C$10:$I$10,0))</f>
        <v>#N/A</v>
      </c>
      <c r="AC200" s="20" t="e">
        <f>INDEX('02_PROPERTIES'!$C$10:$I$1048576,MATCH('03_CALCULATIONS'!$D200,'02_PROPERTIES'!$C$10:$C$1048576,0),MATCH('03_CALCULATIONS'!AC$9,'02_PROPERTIES'!$C$10:$I$10,0))</f>
        <v>#N/A</v>
      </c>
      <c r="AD200" s="20" t="e">
        <f>INDEX('02_PROPERTIES'!$C$10:$I$1048576,MATCH('03_CALCULATIONS'!$D200,'02_PROPERTIES'!$C$10:$C$1048576,0),MATCH('03_CALCULATIONS'!AD$9,'02_PROPERTIES'!$C$10:$I$10,0))</f>
        <v>#N/A</v>
      </c>
      <c r="AE200" s="32" t="e">
        <f>INDEX('02_PROPERTIES'!$C$10:$I$1048576,MATCH('03_CALCULATIONS'!$D200,'02_PROPERTIES'!$C$10:$C$1048576,0),MATCH('03_CALCULATIONS'!AE$9,'02_PROPERTIES'!$C$10:$I$10,0))</f>
        <v>#N/A</v>
      </c>
      <c r="AF200" s="32" t="e">
        <f>INDEX('02_PROPERTIES'!$C$10:$I$1048576,MATCH('03_CALCULATIONS'!$D200,'02_PROPERTIES'!$C$10:$C$1048576,0),MATCH('03_CALCULATIONS'!AF$9,'02_PROPERTIES'!$C$10:$I$10,0))</f>
        <v>#N/A</v>
      </c>
      <c r="AH200" s="20" t="e">
        <f t="shared" si="22"/>
        <v>#N/A</v>
      </c>
      <c r="AI200" s="20" t="e">
        <f t="shared" si="23"/>
        <v>#N/A</v>
      </c>
      <c r="AJ200" s="20" t="e">
        <f t="shared" si="24"/>
        <v>#N/A</v>
      </c>
      <c r="AL200" s="20" t="e">
        <f t="shared" si="25"/>
        <v>#N/A</v>
      </c>
      <c r="AM200" s="20" t="e">
        <f t="shared" si="26"/>
        <v>#N/A</v>
      </c>
      <c r="AN200" s="20" t="e">
        <f t="shared" si="27"/>
        <v>#N/A</v>
      </c>
      <c r="AO200" s="20" t="e">
        <f t="shared" si="28"/>
        <v>#N/A</v>
      </c>
      <c r="AP200" s="20" t="e">
        <f t="shared" si="29"/>
        <v>#N/A</v>
      </c>
      <c r="AR200" s="20" t="e">
        <f t="shared" si="30"/>
        <v>#N/A</v>
      </c>
      <c r="AS200" s="20" t="e">
        <f t="shared" si="31"/>
        <v>#N/A</v>
      </c>
      <c r="AT200" s="20" t="e">
        <f t="shared" si="32"/>
        <v>#N/A</v>
      </c>
    </row>
    <row r="201" spans="1:46" x14ac:dyDescent="0.3">
      <c r="A201" s="18"/>
      <c r="B201" s="20" t="e">
        <f>INDEX('01_FASTPPH'!$9:$1048576,MATCH($A201,'01_FASTPPH'!$A$9:$A$1048576,0),MATCH(B$9,'01_FASTPPH'!$8:$8,0))</f>
        <v>#N/A</v>
      </c>
      <c r="C201" s="20" t="e">
        <f>INDEX('01_FASTPPH'!$9:$1048576,MATCH($A201,'01_FASTPPH'!$A$9:$A$1048576,0),MATCH(C$9,'01_FASTPPH'!$8:$8,0))</f>
        <v>#N/A</v>
      </c>
      <c r="D201" s="20" t="e">
        <f>INDEX('01_FASTPPH'!$9:$1048576,MATCH($A201,'01_FASTPPH'!$A$9:$A$1048576,0),MATCH(D$9,'01_FASTPPH'!$8:$8,0))</f>
        <v>#N/A</v>
      </c>
      <c r="E201" s="20" t="e">
        <f>INDEX('01_FASTPPH'!$9:$1048576,MATCH($A201,'01_FASTPPH'!$A$9:$A$1048576,0),MATCH(E$9,'01_FASTPPH'!$8:$8,0))</f>
        <v>#N/A</v>
      </c>
      <c r="F201" s="20" t="e">
        <f>INDEX('01_FASTPPH'!$9:$1048576,MATCH($A201,'01_FASTPPH'!$A$9:$A$1048576,0),MATCH(F$9,'01_FASTPPH'!$8:$8,0))</f>
        <v>#N/A</v>
      </c>
      <c r="G201" s="20" t="e">
        <f>INDEX('01_FASTPPH'!$9:$1048576,MATCH($A201,'01_FASTPPH'!$A$9:$A$1048576,0),MATCH(G$9,'01_FASTPPH'!$8:$8,0))</f>
        <v>#N/A</v>
      </c>
      <c r="H201" s="20" t="e">
        <f>INDEX('01_FASTPPH'!$9:$1048576,MATCH($A201,'01_FASTPPH'!$A$9:$A$1048576,0),MATCH(H$9,'01_FASTPPH'!$8:$8,0))</f>
        <v>#N/A</v>
      </c>
      <c r="I201" s="20" t="e">
        <f>INDEX('01_FASTPPH'!$9:$1048576,MATCH($A201,'01_FASTPPH'!$A$9:$A$1048576,0),MATCH(I$9,'01_FASTPPH'!$8:$8,0))</f>
        <v>#N/A</v>
      </c>
      <c r="J201" s="20" t="e">
        <f>INDEX('01_FASTPPH'!$9:$1048576,MATCH($A201,'01_FASTPPH'!$A$9:$A$1048576,0),MATCH(J$9,'01_FASTPPH'!$8:$8,0))</f>
        <v>#N/A</v>
      </c>
      <c r="K201" s="23" t="e">
        <f>INDEX('01_FASTPPH'!$9:$1048576,MATCH($A201,'01_FASTPPH'!$A$9:$A$1048576,0),MATCH(K$9,'01_FASTPPH'!$8:$8,0))</f>
        <v>#N/A</v>
      </c>
      <c r="L201" s="20" t="e">
        <f>INDEX('01_FASTPPH'!$9:$1048576,MATCH($A201,'01_FASTPPH'!$A$9:$A$1048576,0),MATCH(L$9,'01_FASTPPH'!$8:$8,0))</f>
        <v>#N/A</v>
      </c>
      <c r="M201" s="20" t="e">
        <f>INDEX('01_FASTPPH'!$9:$1048576,MATCH($A201,'01_FASTPPH'!$A$9:$A$1048576,0),MATCH(M$9,'01_FASTPPH'!$8:$8,0))</f>
        <v>#N/A</v>
      </c>
      <c r="N201" s="24" t="e">
        <f>INDEX('01_FASTPPH'!$9:$1048576,MATCH($A201,'01_FASTPPH'!$A$9:$A$1048576,0),MATCH(N$9,'01_FASTPPH'!$8:$8,0))</f>
        <v>#N/A</v>
      </c>
      <c r="O201" s="23" t="e">
        <f>INDEX('01_FASTPPH'!$9:$1048576,MATCH($A201,'01_FASTPPH'!$A$9:$A$1048576,0),MATCH(O$9,'01_FASTPPH'!$8:$8,0))</f>
        <v>#N/A</v>
      </c>
      <c r="P201" s="20" t="e">
        <f>INDEX('01_FASTPPH'!$9:$1048576,MATCH($A201,'01_FASTPPH'!$A$9:$A$1048576,0),MATCH(P$9,'01_FASTPPH'!$8:$8,0))</f>
        <v>#N/A</v>
      </c>
      <c r="Q201" s="20" t="e">
        <f>INDEX('01_FASTPPH'!$9:$1048576,MATCH($A201,'01_FASTPPH'!$A$9:$A$1048576,0),MATCH(Q$9,'01_FASTPPH'!$8:$8,0))</f>
        <v>#N/A</v>
      </c>
      <c r="R201" s="20" t="e">
        <f>INDEX('01_FASTPPH'!$9:$1048576,MATCH($A201,'01_FASTPPH'!$A$9:$A$1048576,0),MATCH(R$9,'01_FASTPPH'!$8:$8,0))</f>
        <v>#N/A</v>
      </c>
      <c r="S201" s="20" t="e">
        <f>INDEX('01_FASTPPH'!$9:$1048576,MATCH($A201,'01_FASTPPH'!$A$9:$A$1048576,0),MATCH(S$9,'01_FASTPPH'!$8:$8,0))</f>
        <v>#N/A</v>
      </c>
      <c r="T201" s="24" t="e">
        <f>INDEX('01_FASTPPH'!$9:$1048576,MATCH($A201,'01_FASTPPH'!$A$9:$A$1048576,0),MATCH(T$9,'01_FASTPPH'!$8:$8,0))</f>
        <v>#N/A</v>
      </c>
      <c r="U201" s="23" t="e">
        <f>INDEX('01_FASTPPH'!$9:$1048576,MATCH($A201,'01_FASTPPH'!$A$9:$A$1048576,0),MATCH(U$9,'01_FASTPPH'!$8:$8,0))</f>
        <v>#N/A</v>
      </c>
      <c r="V201" s="20" t="e">
        <f>INDEX('01_FASTPPH'!$9:$1048576,MATCH($A201,'01_FASTPPH'!$A$9:$A$1048576,0),MATCH(V$9,'01_FASTPPH'!$8:$8,0))</f>
        <v>#N/A</v>
      </c>
      <c r="W201" s="24" t="e">
        <f>INDEX('01_FASTPPH'!$9:$1048576,MATCH($A201,'01_FASTPPH'!$A$9:$A$1048576,0),MATCH(W$9,'01_FASTPPH'!$8:$8,0))</f>
        <v>#N/A</v>
      </c>
      <c r="X201" s="20" t="e">
        <f>INDEX('01_FASTPPH'!$9:$1048576,MATCH($A201,'01_FASTPPH'!$A$9:$A$1048576,0),MATCH(X$9,'01_FASTPPH'!$8:$8,0))</f>
        <v>#N/A</v>
      </c>
      <c r="Y201" s="20" t="e">
        <f>INDEX('01_FASTPPH'!$9:$1048576,MATCH($A201,'01_FASTPPH'!$A$9:$A$1048576,0),MATCH(Y$9,'01_FASTPPH'!$8:$8,0))</f>
        <v>#N/A</v>
      </c>
      <c r="AA201" s="32" t="e">
        <f>INDEX('02_PROPERTIES'!$C$10:$I$1048576,MATCH('03_CALCULATIONS'!$D201,'02_PROPERTIES'!$C$10:$C$1048576,0),MATCH('03_CALCULATIONS'!AA$9,'02_PROPERTIES'!$C$10:$I$10,0))</f>
        <v>#N/A</v>
      </c>
      <c r="AB201" s="20" t="e">
        <f>INDEX('02_PROPERTIES'!$C$10:$I$1048576,MATCH('03_CALCULATIONS'!$D201,'02_PROPERTIES'!$C$10:$C$1048576,0),MATCH('03_CALCULATIONS'!AB$9,'02_PROPERTIES'!$C$10:$I$10,0))</f>
        <v>#N/A</v>
      </c>
      <c r="AC201" s="20" t="e">
        <f>INDEX('02_PROPERTIES'!$C$10:$I$1048576,MATCH('03_CALCULATIONS'!$D201,'02_PROPERTIES'!$C$10:$C$1048576,0),MATCH('03_CALCULATIONS'!AC$9,'02_PROPERTIES'!$C$10:$I$10,0))</f>
        <v>#N/A</v>
      </c>
      <c r="AD201" s="20" t="e">
        <f>INDEX('02_PROPERTIES'!$C$10:$I$1048576,MATCH('03_CALCULATIONS'!$D201,'02_PROPERTIES'!$C$10:$C$1048576,0),MATCH('03_CALCULATIONS'!AD$9,'02_PROPERTIES'!$C$10:$I$10,0))</f>
        <v>#N/A</v>
      </c>
      <c r="AE201" s="32" t="e">
        <f>INDEX('02_PROPERTIES'!$C$10:$I$1048576,MATCH('03_CALCULATIONS'!$D201,'02_PROPERTIES'!$C$10:$C$1048576,0),MATCH('03_CALCULATIONS'!AE$9,'02_PROPERTIES'!$C$10:$I$10,0))</f>
        <v>#N/A</v>
      </c>
      <c r="AF201" s="32" t="e">
        <f>INDEX('02_PROPERTIES'!$C$10:$I$1048576,MATCH('03_CALCULATIONS'!$D201,'02_PROPERTIES'!$C$10:$C$1048576,0),MATCH('03_CALCULATIONS'!AF$9,'02_PROPERTIES'!$C$10:$I$10,0))</f>
        <v>#N/A</v>
      </c>
      <c r="AH201" s="20" t="e">
        <f t="shared" si="22"/>
        <v>#N/A</v>
      </c>
      <c r="AI201" s="20" t="e">
        <f t="shared" si="23"/>
        <v>#N/A</v>
      </c>
      <c r="AJ201" s="20" t="e">
        <f t="shared" si="24"/>
        <v>#N/A</v>
      </c>
      <c r="AL201" s="20" t="e">
        <f t="shared" si="25"/>
        <v>#N/A</v>
      </c>
      <c r="AM201" s="20" t="e">
        <f t="shared" si="26"/>
        <v>#N/A</v>
      </c>
      <c r="AN201" s="20" t="e">
        <f t="shared" si="27"/>
        <v>#N/A</v>
      </c>
      <c r="AO201" s="20" t="e">
        <f t="shared" si="28"/>
        <v>#N/A</v>
      </c>
      <c r="AP201" s="20" t="e">
        <f t="shared" si="29"/>
        <v>#N/A</v>
      </c>
      <c r="AR201" s="20" t="e">
        <f t="shared" si="30"/>
        <v>#N/A</v>
      </c>
      <c r="AS201" s="20" t="e">
        <f t="shared" si="31"/>
        <v>#N/A</v>
      </c>
      <c r="AT201" s="20" t="e">
        <f t="shared" si="32"/>
        <v>#N/A</v>
      </c>
    </row>
    <row r="202" spans="1:46" x14ac:dyDescent="0.3">
      <c r="A202" s="18"/>
      <c r="B202" s="20" t="e">
        <f>INDEX('01_FASTPPH'!$9:$1048576,MATCH($A202,'01_FASTPPH'!$A$9:$A$1048576,0),MATCH(B$9,'01_FASTPPH'!$8:$8,0))</f>
        <v>#N/A</v>
      </c>
      <c r="C202" s="20" t="e">
        <f>INDEX('01_FASTPPH'!$9:$1048576,MATCH($A202,'01_FASTPPH'!$A$9:$A$1048576,0),MATCH(C$9,'01_FASTPPH'!$8:$8,0))</f>
        <v>#N/A</v>
      </c>
      <c r="D202" s="20" t="e">
        <f>INDEX('01_FASTPPH'!$9:$1048576,MATCH($A202,'01_FASTPPH'!$A$9:$A$1048576,0),MATCH(D$9,'01_FASTPPH'!$8:$8,0))</f>
        <v>#N/A</v>
      </c>
      <c r="E202" s="20" t="e">
        <f>INDEX('01_FASTPPH'!$9:$1048576,MATCH($A202,'01_FASTPPH'!$A$9:$A$1048576,0),MATCH(E$9,'01_FASTPPH'!$8:$8,0))</f>
        <v>#N/A</v>
      </c>
      <c r="F202" s="20" t="e">
        <f>INDEX('01_FASTPPH'!$9:$1048576,MATCH($A202,'01_FASTPPH'!$A$9:$A$1048576,0),MATCH(F$9,'01_FASTPPH'!$8:$8,0))</f>
        <v>#N/A</v>
      </c>
      <c r="G202" s="20" t="e">
        <f>INDEX('01_FASTPPH'!$9:$1048576,MATCH($A202,'01_FASTPPH'!$A$9:$A$1048576,0),MATCH(G$9,'01_FASTPPH'!$8:$8,0))</f>
        <v>#N/A</v>
      </c>
      <c r="H202" s="20" t="e">
        <f>INDEX('01_FASTPPH'!$9:$1048576,MATCH($A202,'01_FASTPPH'!$A$9:$A$1048576,0),MATCH(H$9,'01_FASTPPH'!$8:$8,0))</f>
        <v>#N/A</v>
      </c>
      <c r="I202" s="20" t="e">
        <f>INDEX('01_FASTPPH'!$9:$1048576,MATCH($A202,'01_FASTPPH'!$A$9:$A$1048576,0),MATCH(I$9,'01_FASTPPH'!$8:$8,0))</f>
        <v>#N/A</v>
      </c>
      <c r="J202" s="20" t="e">
        <f>INDEX('01_FASTPPH'!$9:$1048576,MATCH($A202,'01_FASTPPH'!$A$9:$A$1048576,0),MATCH(J$9,'01_FASTPPH'!$8:$8,0))</f>
        <v>#N/A</v>
      </c>
      <c r="K202" s="23" t="e">
        <f>INDEX('01_FASTPPH'!$9:$1048576,MATCH($A202,'01_FASTPPH'!$A$9:$A$1048576,0),MATCH(K$9,'01_FASTPPH'!$8:$8,0))</f>
        <v>#N/A</v>
      </c>
      <c r="L202" s="20" t="e">
        <f>INDEX('01_FASTPPH'!$9:$1048576,MATCH($A202,'01_FASTPPH'!$A$9:$A$1048576,0),MATCH(L$9,'01_FASTPPH'!$8:$8,0))</f>
        <v>#N/A</v>
      </c>
      <c r="M202" s="20" t="e">
        <f>INDEX('01_FASTPPH'!$9:$1048576,MATCH($A202,'01_FASTPPH'!$A$9:$A$1048576,0),MATCH(M$9,'01_FASTPPH'!$8:$8,0))</f>
        <v>#N/A</v>
      </c>
      <c r="N202" s="24" t="e">
        <f>INDEX('01_FASTPPH'!$9:$1048576,MATCH($A202,'01_FASTPPH'!$A$9:$A$1048576,0),MATCH(N$9,'01_FASTPPH'!$8:$8,0))</f>
        <v>#N/A</v>
      </c>
      <c r="O202" s="23" t="e">
        <f>INDEX('01_FASTPPH'!$9:$1048576,MATCH($A202,'01_FASTPPH'!$A$9:$A$1048576,0),MATCH(O$9,'01_FASTPPH'!$8:$8,0))</f>
        <v>#N/A</v>
      </c>
      <c r="P202" s="20" t="e">
        <f>INDEX('01_FASTPPH'!$9:$1048576,MATCH($A202,'01_FASTPPH'!$A$9:$A$1048576,0),MATCH(P$9,'01_FASTPPH'!$8:$8,0))</f>
        <v>#N/A</v>
      </c>
      <c r="Q202" s="20" t="e">
        <f>INDEX('01_FASTPPH'!$9:$1048576,MATCH($A202,'01_FASTPPH'!$A$9:$A$1048576,0),MATCH(Q$9,'01_FASTPPH'!$8:$8,0))</f>
        <v>#N/A</v>
      </c>
      <c r="R202" s="20" t="e">
        <f>INDEX('01_FASTPPH'!$9:$1048576,MATCH($A202,'01_FASTPPH'!$A$9:$A$1048576,0),MATCH(R$9,'01_FASTPPH'!$8:$8,0))</f>
        <v>#N/A</v>
      </c>
      <c r="S202" s="20" t="e">
        <f>INDEX('01_FASTPPH'!$9:$1048576,MATCH($A202,'01_FASTPPH'!$A$9:$A$1048576,0),MATCH(S$9,'01_FASTPPH'!$8:$8,0))</f>
        <v>#N/A</v>
      </c>
      <c r="T202" s="24" t="e">
        <f>INDEX('01_FASTPPH'!$9:$1048576,MATCH($A202,'01_FASTPPH'!$A$9:$A$1048576,0),MATCH(T$9,'01_FASTPPH'!$8:$8,0))</f>
        <v>#N/A</v>
      </c>
      <c r="U202" s="23" t="e">
        <f>INDEX('01_FASTPPH'!$9:$1048576,MATCH($A202,'01_FASTPPH'!$A$9:$A$1048576,0),MATCH(U$9,'01_FASTPPH'!$8:$8,0))</f>
        <v>#N/A</v>
      </c>
      <c r="V202" s="20" t="e">
        <f>INDEX('01_FASTPPH'!$9:$1048576,MATCH($A202,'01_FASTPPH'!$A$9:$A$1048576,0),MATCH(V$9,'01_FASTPPH'!$8:$8,0))</f>
        <v>#N/A</v>
      </c>
      <c r="W202" s="24" t="e">
        <f>INDEX('01_FASTPPH'!$9:$1048576,MATCH($A202,'01_FASTPPH'!$A$9:$A$1048576,0),MATCH(W$9,'01_FASTPPH'!$8:$8,0))</f>
        <v>#N/A</v>
      </c>
      <c r="X202" s="20" t="e">
        <f>INDEX('01_FASTPPH'!$9:$1048576,MATCH($A202,'01_FASTPPH'!$A$9:$A$1048576,0),MATCH(X$9,'01_FASTPPH'!$8:$8,0))</f>
        <v>#N/A</v>
      </c>
      <c r="Y202" s="20" t="e">
        <f>INDEX('01_FASTPPH'!$9:$1048576,MATCH($A202,'01_FASTPPH'!$A$9:$A$1048576,0),MATCH(Y$9,'01_FASTPPH'!$8:$8,0))</f>
        <v>#N/A</v>
      </c>
      <c r="AA202" s="32" t="e">
        <f>INDEX('02_PROPERTIES'!$C$10:$I$1048576,MATCH('03_CALCULATIONS'!$D202,'02_PROPERTIES'!$C$10:$C$1048576,0),MATCH('03_CALCULATIONS'!AA$9,'02_PROPERTIES'!$C$10:$I$10,0))</f>
        <v>#N/A</v>
      </c>
      <c r="AB202" s="20" t="e">
        <f>INDEX('02_PROPERTIES'!$C$10:$I$1048576,MATCH('03_CALCULATIONS'!$D202,'02_PROPERTIES'!$C$10:$C$1048576,0),MATCH('03_CALCULATIONS'!AB$9,'02_PROPERTIES'!$C$10:$I$10,0))</f>
        <v>#N/A</v>
      </c>
      <c r="AC202" s="20" t="e">
        <f>INDEX('02_PROPERTIES'!$C$10:$I$1048576,MATCH('03_CALCULATIONS'!$D202,'02_PROPERTIES'!$C$10:$C$1048576,0),MATCH('03_CALCULATIONS'!AC$9,'02_PROPERTIES'!$C$10:$I$10,0))</f>
        <v>#N/A</v>
      </c>
      <c r="AD202" s="20" t="e">
        <f>INDEX('02_PROPERTIES'!$C$10:$I$1048576,MATCH('03_CALCULATIONS'!$D202,'02_PROPERTIES'!$C$10:$C$1048576,0),MATCH('03_CALCULATIONS'!AD$9,'02_PROPERTIES'!$C$10:$I$10,0))</f>
        <v>#N/A</v>
      </c>
      <c r="AE202" s="32" t="e">
        <f>INDEX('02_PROPERTIES'!$C$10:$I$1048576,MATCH('03_CALCULATIONS'!$D202,'02_PROPERTIES'!$C$10:$C$1048576,0),MATCH('03_CALCULATIONS'!AE$9,'02_PROPERTIES'!$C$10:$I$10,0))</f>
        <v>#N/A</v>
      </c>
      <c r="AF202" s="32" t="e">
        <f>INDEX('02_PROPERTIES'!$C$10:$I$1048576,MATCH('03_CALCULATIONS'!$D202,'02_PROPERTIES'!$C$10:$C$1048576,0),MATCH('03_CALCULATIONS'!AF$9,'02_PROPERTIES'!$C$10:$I$10,0))</f>
        <v>#N/A</v>
      </c>
      <c r="AH202" s="20" t="e">
        <f t="shared" si="22"/>
        <v>#N/A</v>
      </c>
      <c r="AI202" s="20" t="e">
        <f t="shared" si="23"/>
        <v>#N/A</v>
      </c>
      <c r="AJ202" s="20" t="e">
        <f t="shared" si="24"/>
        <v>#N/A</v>
      </c>
      <c r="AL202" s="20" t="e">
        <f t="shared" si="25"/>
        <v>#N/A</v>
      </c>
      <c r="AM202" s="20" t="e">
        <f t="shared" si="26"/>
        <v>#N/A</v>
      </c>
      <c r="AN202" s="20" t="e">
        <f t="shared" si="27"/>
        <v>#N/A</v>
      </c>
      <c r="AO202" s="20" t="e">
        <f t="shared" si="28"/>
        <v>#N/A</v>
      </c>
      <c r="AP202" s="20" t="e">
        <f t="shared" si="29"/>
        <v>#N/A</v>
      </c>
      <c r="AR202" s="20" t="e">
        <f t="shared" si="30"/>
        <v>#N/A</v>
      </c>
      <c r="AS202" s="20" t="e">
        <f t="shared" si="31"/>
        <v>#N/A</v>
      </c>
      <c r="AT202" s="20" t="e">
        <f t="shared" si="32"/>
        <v>#N/A</v>
      </c>
    </row>
    <row r="203" spans="1:46" x14ac:dyDescent="0.3">
      <c r="A203" s="18"/>
      <c r="B203" s="20" t="e">
        <f>INDEX('01_FASTPPH'!$9:$1048576,MATCH($A203,'01_FASTPPH'!$A$9:$A$1048576,0),MATCH(B$9,'01_FASTPPH'!$8:$8,0))</f>
        <v>#N/A</v>
      </c>
      <c r="C203" s="20" t="e">
        <f>INDEX('01_FASTPPH'!$9:$1048576,MATCH($A203,'01_FASTPPH'!$A$9:$A$1048576,0),MATCH(C$9,'01_FASTPPH'!$8:$8,0))</f>
        <v>#N/A</v>
      </c>
      <c r="D203" s="20" t="e">
        <f>INDEX('01_FASTPPH'!$9:$1048576,MATCH($A203,'01_FASTPPH'!$A$9:$A$1048576,0),MATCH(D$9,'01_FASTPPH'!$8:$8,0))</f>
        <v>#N/A</v>
      </c>
      <c r="E203" s="20" t="e">
        <f>INDEX('01_FASTPPH'!$9:$1048576,MATCH($A203,'01_FASTPPH'!$A$9:$A$1048576,0),MATCH(E$9,'01_FASTPPH'!$8:$8,0))</f>
        <v>#N/A</v>
      </c>
      <c r="F203" s="20" t="e">
        <f>INDEX('01_FASTPPH'!$9:$1048576,MATCH($A203,'01_FASTPPH'!$A$9:$A$1048576,0),MATCH(F$9,'01_FASTPPH'!$8:$8,0))</f>
        <v>#N/A</v>
      </c>
      <c r="G203" s="20" t="e">
        <f>INDEX('01_FASTPPH'!$9:$1048576,MATCH($A203,'01_FASTPPH'!$A$9:$A$1048576,0),MATCH(G$9,'01_FASTPPH'!$8:$8,0))</f>
        <v>#N/A</v>
      </c>
      <c r="H203" s="20" t="e">
        <f>INDEX('01_FASTPPH'!$9:$1048576,MATCH($A203,'01_FASTPPH'!$A$9:$A$1048576,0),MATCH(H$9,'01_FASTPPH'!$8:$8,0))</f>
        <v>#N/A</v>
      </c>
      <c r="I203" s="20" t="e">
        <f>INDEX('01_FASTPPH'!$9:$1048576,MATCH($A203,'01_FASTPPH'!$A$9:$A$1048576,0),MATCH(I$9,'01_FASTPPH'!$8:$8,0))</f>
        <v>#N/A</v>
      </c>
      <c r="J203" s="20" t="e">
        <f>INDEX('01_FASTPPH'!$9:$1048576,MATCH($A203,'01_FASTPPH'!$A$9:$A$1048576,0),MATCH(J$9,'01_FASTPPH'!$8:$8,0))</f>
        <v>#N/A</v>
      </c>
      <c r="K203" s="23" t="e">
        <f>INDEX('01_FASTPPH'!$9:$1048576,MATCH($A203,'01_FASTPPH'!$A$9:$A$1048576,0),MATCH(K$9,'01_FASTPPH'!$8:$8,0))</f>
        <v>#N/A</v>
      </c>
      <c r="L203" s="20" t="e">
        <f>INDEX('01_FASTPPH'!$9:$1048576,MATCH($A203,'01_FASTPPH'!$A$9:$A$1048576,0),MATCH(L$9,'01_FASTPPH'!$8:$8,0))</f>
        <v>#N/A</v>
      </c>
      <c r="M203" s="20" t="e">
        <f>INDEX('01_FASTPPH'!$9:$1048576,MATCH($A203,'01_FASTPPH'!$A$9:$A$1048576,0),MATCH(M$9,'01_FASTPPH'!$8:$8,0))</f>
        <v>#N/A</v>
      </c>
      <c r="N203" s="24" t="e">
        <f>INDEX('01_FASTPPH'!$9:$1048576,MATCH($A203,'01_FASTPPH'!$A$9:$A$1048576,0),MATCH(N$9,'01_FASTPPH'!$8:$8,0))</f>
        <v>#N/A</v>
      </c>
      <c r="O203" s="23" t="e">
        <f>INDEX('01_FASTPPH'!$9:$1048576,MATCH($A203,'01_FASTPPH'!$A$9:$A$1048576,0),MATCH(O$9,'01_FASTPPH'!$8:$8,0))</f>
        <v>#N/A</v>
      </c>
      <c r="P203" s="20" t="e">
        <f>INDEX('01_FASTPPH'!$9:$1048576,MATCH($A203,'01_FASTPPH'!$A$9:$A$1048576,0),MATCH(P$9,'01_FASTPPH'!$8:$8,0))</f>
        <v>#N/A</v>
      </c>
      <c r="Q203" s="20" t="e">
        <f>INDEX('01_FASTPPH'!$9:$1048576,MATCH($A203,'01_FASTPPH'!$A$9:$A$1048576,0),MATCH(Q$9,'01_FASTPPH'!$8:$8,0))</f>
        <v>#N/A</v>
      </c>
      <c r="R203" s="20" t="e">
        <f>INDEX('01_FASTPPH'!$9:$1048576,MATCH($A203,'01_FASTPPH'!$A$9:$A$1048576,0),MATCH(R$9,'01_FASTPPH'!$8:$8,0))</f>
        <v>#N/A</v>
      </c>
      <c r="S203" s="20" t="e">
        <f>INDEX('01_FASTPPH'!$9:$1048576,MATCH($A203,'01_FASTPPH'!$A$9:$A$1048576,0),MATCH(S$9,'01_FASTPPH'!$8:$8,0))</f>
        <v>#N/A</v>
      </c>
      <c r="T203" s="24" t="e">
        <f>INDEX('01_FASTPPH'!$9:$1048576,MATCH($A203,'01_FASTPPH'!$A$9:$A$1048576,0),MATCH(T$9,'01_FASTPPH'!$8:$8,0))</f>
        <v>#N/A</v>
      </c>
      <c r="U203" s="23" t="e">
        <f>INDEX('01_FASTPPH'!$9:$1048576,MATCH($A203,'01_FASTPPH'!$A$9:$A$1048576,0),MATCH(U$9,'01_FASTPPH'!$8:$8,0))</f>
        <v>#N/A</v>
      </c>
      <c r="V203" s="20" t="e">
        <f>INDEX('01_FASTPPH'!$9:$1048576,MATCH($A203,'01_FASTPPH'!$A$9:$A$1048576,0),MATCH(V$9,'01_FASTPPH'!$8:$8,0))</f>
        <v>#N/A</v>
      </c>
      <c r="W203" s="24" t="e">
        <f>INDEX('01_FASTPPH'!$9:$1048576,MATCH($A203,'01_FASTPPH'!$A$9:$A$1048576,0),MATCH(W$9,'01_FASTPPH'!$8:$8,0))</f>
        <v>#N/A</v>
      </c>
      <c r="X203" s="20" t="e">
        <f>INDEX('01_FASTPPH'!$9:$1048576,MATCH($A203,'01_FASTPPH'!$A$9:$A$1048576,0),MATCH(X$9,'01_FASTPPH'!$8:$8,0))</f>
        <v>#N/A</v>
      </c>
      <c r="Y203" s="20" t="e">
        <f>INDEX('01_FASTPPH'!$9:$1048576,MATCH($A203,'01_FASTPPH'!$A$9:$A$1048576,0),MATCH(Y$9,'01_FASTPPH'!$8:$8,0))</f>
        <v>#N/A</v>
      </c>
      <c r="AA203" s="32" t="e">
        <f>INDEX('02_PROPERTIES'!$C$10:$I$1048576,MATCH('03_CALCULATIONS'!$D203,'02_PROPERTIES'!$C$10:$C$1048576,0),MATCH('03_CALCULATIONS'!AA$9,'02_PROPERTIES'!$C$10:$I$10,0))</f>
        <v>#N/A</v>
      </c>
      <c r="AB203" s="20" t="e">
        <f>INDEX('02_PROPERTIES'!$C$10:$I$1048576,MATCH('03_CALCULATIONS'!$D203,'02_PROPERTIES'!$C$10:$C$1048576,0),MATCH('03_CALCULATIONS'!AB$9,'02_PROPERTIES'!$C$10:$I$10,0))</f>
        <v>#N/A</v>
      </c>
      <c r="AC203" s="20" t="e">
        <f>INDEX('02_PROPERTIES'!$C$10:$I$1048576,MATCH('03_CALCULATIONS'!$D203,'02_PROPERTIES'!$C$10:$C$1048576,0),MATCH('03_CALCULATIONS'!AC$9,'02_PROPERTIES'!$C$10:$I$10,0))</f>
        <v>#N/A</v>
      </c>
      <c r="AD203" s="20" t="e">
        <f>INDEX('02_PROPERTIES'!$C$10:$I$1048576,MATCH('03_CALCULATIONS'!$D203,'02_PROPERTIES'!$C$10:$C$1048576,0),MATCH('03_CALCULATIONS'!AD$9,'02_PROPERTIES'!$C$10:$I$10,0))</f>
        <v>#N/A</v>
      </c>
      <c r="AE203" s="32" t="e">
        <f>INDEX('02_PROPERTIES'!$C$10:$I$1048576,MATCH('03_CALCULATIONS'!$D203,'02_PROPERTIES'!$C$10:$C$1048576,0),MATCH('03_CALCULATIONS'!AE$9,'02_PROPERTIES'!$C$10:$I$10,0))</f>
        <v>#N/A</v>
      </c>
      <c r="AF203" s="32" t="e">
        <f>INDEX('02_PROPERTIES'!$C$10:$I$1048576,MATCH('03_CALCULATIONS'!$D203,'02_PROPERTIES'!$C$10:$C$1048576,0),MATCH('03_CALCULATIONS'!AF$9,'02_PROPERTIES'!$C$10:$I$10,0))</f>
        <v>#N/A</v>
      </c>
      <c r="AH203" s="20" t="e">
        <f t="shared" ref="AH203:AH266" si="33">O203+SIGN(O203)*ABS(AF203*6*U203/AA203)</f>
        <v>#N/A</v>
      </c>
      <c r="AI203" s="20" t="e">
        <f t="shared" ref="AI203:AI266" si="34">Q203+SIGN(Q203)*ABS(AF203*6*V203/AA203)</f>
        <v>#N/A</v>
      </c>
      <c r="AJ203" s="20" t="e">
        <f t="shared" ref="AJ203:AJ266" si="35">S203+SIGN(S203)*ABS(AF203*6*W203/AA203)</f>
        <v>#N/A</v>
      </c>
      <c r="AL203" s="20" t="e">
        <f t="shared" ref="AL203:AL266" si="36">(AH203/(AB203*AA203)-AI203*AE203/(AB203*AA203))*1000000</f>
        <v>#N/A</v>
      </c>
      <c r="AM203" s="20" t="e">
        <f t="shared" ref="AM203:AM266" si="37">(AI203/(AC203*AA203)-AH203*AE203/(AC203*AA203))*1000000</f>
        <v>#N/A</v>
      </c>
      <c r="AN203" s="20" t="e">
        <f t="shared" ref="AN203:AN266" si="38">0.5*(AJ203/(AD203*AA203))*1000000</f>
        <v>#N/A</v>
      </c>
      <c r="AO203" s="20" t="e">
        <f t="shared" ref="AO203:AO266" si="39">0.5*(AL203+AM203+AN203)</f>
        <v>#N/A</v>
      </c>
      <c r="AP203" s="20" t="e">
        <f t="shared" ref="AP203:AP266" si="40">0.5*(AL203+AM203-AN203)</f>
        <v>#N/A</v>
      </c>
      <c r="AR203" s="20" t="e">
        <f t="shared" ref="AR203:AR266" si="41">0.5*(AL203+AM203)+SQRT(0.25*(AL203-AM203)^2+0.25*AN203^2)</f>
        <v>#N/A</v>
      </c>
      <c r="AS203" s="20" t="e">
        <f t="shared" ref="AS203:AS266" si="42">0.5*(AL203+AM203)-SQRT(0.25*(AL203-AM203)^2+0.25*AN203^2)</f>
        <v>#N/A</v>
      </c>
      <c r="AT203" s="20" t="e">
        <f t="shared" ref="AT203:AT266" si="43">0.5*SQRT((AL203-AM203)^2+(2*AN203)^2)</f>
        <v>#N/A</v>
      </c>
    </row>
    <row r="204" spans="1:46" x14ac:dyDescent="0.3">
      <c r="A204" s="18"/>
      <c r="B204" s="20" t="e">
        <f>INDEX('01_FASTPPH'!$9:$1048576,MATCH($A204,'01_FASTPPH'!$A$9:$A$1048576,0),MATCH(B$9,'01_FASTPPH'!$8:$8,0))</f>
        <v>#N/A</v>
      </c>
      <c r="C204" s="20" t="e">
        <f>INDEX('01_FASTPPH'!$9:$1048576,MATCH($A204,'01_FASTPPH'!$A$9:$A$1048576,0),MATCH(C$9,'01_FASTPPH'!$8:$8,0))</f>
        <v>#N/A</v>
      </c>
      <c r="D204" s="20" t="e">
        <f>INDEX('01_FASTPPH'!$9:$1048576,MATCH($A204,'01_FASTPPH'!$A$9:$A$1048576,0),MATCH(D$9,'01_FASTPPH'!$8:$8,0))</f>
        <v>#N/A</v>
      </c>
      <c r="E204" s="20" t="e">
        <f>INDEX('01_FASTPPH'!$9:$1048576,MATCH($A204,'01_FASTPPH'!$A$9:$A$1048576,0),MATCH(E$9,'01_FASTPPH'!$8:$8,0))</f>
        <v>#N/A</v>
      </c>
      <c r="F204" s="20" t="e">
        <f>INDEX('01_FASTPPH'!$9:$1048576,MATCH($A204,'01_FASTPPH'!$A$9:$A$1048576,0),MATCH(F$9,'01_FASTPPH'!$8:$8,0))</f>
        <v>#N/A</v>
      </c>
      <c r="G204" s="20" t="e">
        <f>INDEX('01_FASTPPH'!$9:$1048576,MATCH($A204,'01_FASTPPH'!$A$9:$A$1048576,0),MATCH(G$9,'01_FASTPPH'!$8:$8,0))</f>
        <v>#N/A</v>
      </c>
      <c r="H204" s="20" t="e">
        <f>INDEX('01_FASTPPH'!$9:$1048576,MATCH($A204,'01_FASTPPH'!$A$9:$A$1048576,0),MATCH(H$9,'01_FASTPPH'!$8:$8,0))</f>
        <v>#N/A</v>
      </c>
      <c r="I204" s="20" t="e">
        <f>INDEX('01_FASTPPH'!$9:$1048576,MATCH($A204,'01_FASTPPH'!$A$9:$A$1048576,0),MATCH(I$9,'01_FASTPPH'!$8:$8,0))</f>
        <v>#N/A</v>
      </c>
      <c r="J204" s="20" t="e">
        <f>INDEX('01_FASTPPH'!$9:$1048576,MATCH($A204,'01_FASTPPH'!$A$9:$A$1048576,0),MATCH(J$9,'01_FASTPPH'!$8:$8,0))</f>
        <v>#N/A</v>
      </c>
      <c r="K204" s="23" t="e">
        <f>INDEX('01_FASTPPH'!$9:$1048576,MATCH($A204,'01_FASTPPH'!$A$9:$A$1048576,0),MATCH(K$9,'01_FASTPPH'!$8:$8,0))</f>
        <v>#N/A</v>
      </c>
      <c r="L204" s="20" t="e">
        <f>INDEX('01_FASTPPH'!$9:$1048576,MATCH($A204,'01_FASTPPH'!$A$9:$A$1048576,0),MATCH(L$9,'01_FASTPPH'!$8:$8,0))</f>
        <v>#N/A</v>
      </c>
      <c r="M204" s="20" t="e">
        <f>INDEX('01_FASTPPH'!$9:$1048576,MATCH($A204,'01_FASTPPH'!$A$9:$A$1048576,0),MATCH(M$9,'01_FASTPPH'!$8:$8,0))</f>
        <v>#N/A</v>
      </c>
      <c r="N204" s="24" t="e">
        <f>INDEX('01_FASTPPH'!$9:$1048576,MATCH($A204,'01_FASTPPH'!$A$9:$A$1048576,0),MATCH(N$9,'01_FASTPPH'!$8:$8,0))</f>
        <v>#N/A</v>
      </c>
      <c r="O204" s="23" t="e">
        <f>INDEX('01_FASTPPH'!$9:$1048576,MATCH($A204,'01_FASTPPH'!$A$9:$A$1048576,0),MATCH(O$9,'01_FASTPPH'!$8:$8,0))</f>
        <v>#N/A</v>
      </c>
      <c r="P204" s="20" t="e">
        <f>INDEX('01_FASTPPH'!$9:$1048576,MATCH($A204,'01_FASTPPH'!$A$9:$A$1048576,0),MATCH(P$9,'01_FASTPPH'!$8:$8,0))</f>
        <v>#N/A</v>
      </c>
      <c r="Q204" s="20" t="e">
        <f>INDEX('01_FASTPPH'!$9:$1048576,MATCH($A204,'01_FASTPPH'!$A$9:$A$1048576,0),MATCH(Q$9,'01_FASTPPH'!$8:$8,0))</f>
        <v>#N/A</v>
      </c>
      <c r="R204" s="20" t="e">
        <f>INDEX('01_FASTPPH'!$9:$1048576,MATCH($A204,'01_FASTPPH'!$A$9:$A$1048576,0),MATCH(R$9,'01_FASTPPH'!$8:$8,0))</f>
        <v>#N/A</v>
      </c>
      <c r="S204" s="20" t="e">
        <f>INDEX('01_FASTPPH'!$9:$1048576,MATCH($A204,'01_FASTPPH'!$A$9:$A$1048576,0),MATCH(S$9,'01_FASTPPH'!$8:$8,0))</f>
        <v>#N/A</v>
      </c>
      <c r="T204" s="24" t="e">
        <f>INDEX('01_FASTPPH'!$9:$1048576,MATCH($A204,'01_FASTPPH'!$A$9:$A$1048576,0),MATCH(T$9,'01_FASTPPH'!$8:$8,0))</f>
        <v>#N/A</v>
      </c>
      <c r="U204" s="23" t="e">
        <f>INDEX('01_FASTPPH'!$9:$1048576,MATCH($A204,'01_FASTPPH'!$A$9:$A$1048576,0),MATCH(U$9,'01_FASTPPH'!$8:$8,0))</f>
        <v>#N/A</v>
      </c>
      <c r="V204" s="20" t="e">
        <f>INDEX('01_FASTPPH'!$9:$1048576,MATCH($A204,'01_FASTPPH'!$A$9:$A$1048576,0),MATCH(V$9,'01_FASTPPH'!$8:$8,0))</f>
        <v>#N/A</v>
      </c>
      <c r="W204" s="24" t="e">
        <f>INDEX('01_FASTPPH'!$9:$1048576,MATCH($A204,'01_FASTPPH'!$A$9:$A$1048576,0),MATCH(W$9,'01_FASTPPH'!$8:$8,0))</f>
        <v>#N/A</v>
      </c>
      <c r="X204" s="20" t="e">
        <f>INDEX('01_FASTPPH'!$9:$1048576,MATCH($A204,'01_FASTPPH'!$A$9:$A$1048576,0),MATCH(X$9,'01_FASTPPH'!$8:$8,0))</f>
        <v>#N/A</v>
      </c>
      <c r="Y204" s="20" t="e">
        <f>INDEX('01_FASTPPH'!$9:$1048576,MATCH($A204,'01_FASTPPH'!$A$9:$A$1048576,0),MATCH(Y$9,'01_FASTPPH'!$8:$8,0))</f>
        <v>#N/A</v>
      </c>
      <c r="AA204" s="32" t="e">
        <f>INDEX('02_PROPERTIES'!$C$10:$I$1048576,MATCH('03_CALCULATIONS'!$D204,'02_PROPERTIES'!$C$10:$C$1048576,0),MATCH('03_CALCULATIONS'!AA$9,'02_PROPERTIES'!$C$10:$I$10,0))</f>
        <v>#N/A</v>
      </c>
      <c r="AB204" s="20" t="e">
        <f>INDEX('02_PROPERTIES'!$C$10:$I$1048576,MATCH('03_CALCULATIONS'!$D204,'02_PROPERTIES'!$C$10:$C$1048576,0),MATCH('03_CALCULATIONS'!AB$9,'02_PROPERTIES'!$C$10:$I$10,0))</f>
        <v>#N/A</v>
      </c>
      <c r="AC204" s="20" t="e">
        <f>INDEX('02_PROPERTIES'!$C$10:$I$1048576,MATCH('03_CALCULATIONS'!$D204,'02_PROPERTIES'!$C$10:$C$1048576,0),MATCH('03_CALCULATIONS'!AC$9,'02_PROPERTIES'!$C$10:$I$10,0))</f>
        <v>#N/A</v>
      </c>
      <c r="AD204" s="20" t="e">
        <f>INDEX('02_PROPERTIES'!$C$10:$I$1048576,MATCH('03_CALCULATIONS'!$D204,'02_PROPERTIES'!$C$10:$C$1048576,0),MATCH('03_CALCULATIONS'!AD$9,'02_PROPERTIES'!$C$10:$I$10,0))</f>
        <v>#N/A</v>
      </c>
      <c r="AE204" s="32" t="e">
        <f>INDEX('02_PROPERTIES'!$C$10:$I$1048576,MATCH('03_CALCULATIONS'!$D204,'02_PROPERTIES'!$C$10:$C$1048576,0),MATCH('03_CALCULATIONS'!AE$9,'02_PROPERTIES'!$C$10:$I$10,0))</f>
        <v>#N/A</v>
      </c>
      <c r="AF204" s="32" t="e">
        <f>INDEX('02_PROPERTIES'!$C$10:$I$1048576,MATCH('03_CALCULATIONS'!$D204,'02_PROPERTIES'!$C$10:$C$1048576,0),MATCH('03_CALCULATIONS'!AF$9,'02_PROPERTIES'!$C$10:$I$10,0))</f>
        <v>#N/A</v>
      </c>
      <c r="AH204" s="20" t="e">
        <f t="shared" si="33"/>
        <v>#N/A</v>
      </c>
      <c r="AI204" s="20" t="e">
        <f t="shared" si="34"/>
        <v>#N/A</v>
      </c>
      <c r="AJ204" s="20" t="e">
        <f t="shared" si="35"/>
        <v>#N/A</v>
      </c>
      <c r="AL204" s="20" t="e">
        <f t="shared" si="36"/>
        <v>#N/A</v>
      </c>
      <c r="AM204" s="20" t="e">
        <f t="shared" si="37"/>
        <v>#N/A</v>
      </c>
      <c r="AN204" s="20" t="e">
        <f t="shared" si="38"/>
        <v>#N/A</v>
      </c>
      <c r="AO204" s="20" t="e">
        <f t="shared" si="39"/>
        <v>#N/A</v>
      </c>
      <c r="AP204" s="20" t="e">
        <f t="shared" si="40"/>
        <v>#N/A</v>
      </c>
      <c r="AR204" s="20" t="e">
        <f t="shared" si="41"/>
        <v>#N/A</v>
      </c>
      <c r="AS204" s="20" t="e">
        <f t="shared" si="42"/>
        <v>#N/A</v>
      </c>
      <c r="AT204" s="20" t="e">
        <f t="shared" si="43"/>
        <v>#N/A</v>
      </c>
    </row>
    <row r="205" spans="1:46" x14ac:dyDescent="0.3">
      <c r="A205" s="18"/>
      <c r="B205" s="20" t="e">
        <f>INDEX('01_FASTPPH'!$9:$1048576,MATCH($A205,'01_FASTPPH'!$A$9:$A$1048576,0),MATCH(B$9,'01_FASTPPH'!$8:$8,0))</f>
        <v>#N/A</v>
      </c>
      <c r="C205" s="20" t="e">
        <f>INDEX('01_FASTPPH'!$9:$1048576,MATCH($A205,'01_FASTPPH'!$A$9:$A$1048576,0),MATCH(C$9,'01_FASTPPH'!$8:$8,0))</f>
        <v>#N/A</v>
      </c>
      <c r="D205" s="20" t="e">
        <f>INDEX('01_FASTPPH'!$9:$1048576,MATCH($A205,'01_FASTPPH'!$A$9:$A$1048576,0),MATCH(D$9,'01_FASTPPH'!$8:$8,0))</f>
        <v>#N/A</v>
      </c>
      <c r="E205" s="20" t="e">
        <f>INDEX('01_FASTPPH'!$9:$1048576,MATCH($A205,'01_FASTPPH'!$A$9:$A$1048576,0),MATCH(E$9,'01_FASTPPH'!$8:$8,0))</f>
        <v>#N/A</v>
      </c>
      <c r="F205" s="20" t="e">
        <f>INDEX('01_FASTPPH'!$9:$1048576,MATCH($A205,'01_FASTPPH'!$A$9:$A$1048576,0),MATCH(F$9,'01_FASTPPH'!$8:$8,0))</f>
        <v>#N/A</v>
      </c>
      <c r="G205" s="20" t="e">
        <f>INDEX('01_FASTPPH'!$9:$1048576,MATCH($A205,'01_FASTPPH'!$A$9:$A$1048576,0),MATCH(G$9,'01_FASTPPH'!$8:$8,0))</f>
        <v>#N/A</v>
      </c>
      <c r="H205" s="20" t="e">
        <f>INDEX('01_FASTPPH'!$9:$1048576,MATCH($A205,'01_FASTPPH'!$A$9:$A$1048576,0),MATCH(H$9,'01_FASTPPH'!$8:$8,0))</f>
        <v>#N/A</v>
      </c>
      <c r="I205" s="20" t="e">
        <f>INDEX('01_FASTPPH'!$9:$1048576,MATCH($A205,'01_FASTPPH'!$A$9:$A$1048576,0),MATCH(I$9,'01_FASTPPH'!$8:$8,0))</f>
        <v>#N/A</v>
      </c>
      <c r="J205" s="20" t="e">
        <f>INDEX('01_FASTPPH'!$9:$1048576,MATCH($A205,'01_FASTPPH'!$A$9:$A$1048576,0),MATCH(J$9,'01_FASTPPH'!$8:$8,0))</f>
        <v>#N/A</v>
      </c>
      <c r="K205" s="23" t="e">
        <f>INDEX('01_FASTPPH'!$9:$1048576,MATCH($A205,'01_FASTPPH'!$A$9:$A$1048576,0),MATCH(K$9,'01_FASTPPH'!$8:$8,0))</f>
        <v>#N/A</v>
      </c>
      <c r="L205" s="20" t="e">
        <f>INDEX('01_FASTPPH'!$9:$1048576,MATCH($A205,'01_FASTPPH'!$A$9:$A$1048576,0),MATCH(L$9,'01_FASTPPH'!$8:$8,0))</f>
        <v>#N/A</v>
      </c>
      <c r="M205" s="20" t="e">
        <f>INDEX('01_FASTPPH'!$9:$1048576,MATCH($A205,'01_FASTPPH'!$A$9:$A$1048576,0),MATCH(M$9,'01_FASTPPH'!$8:$8,0))</f>
        <v>#N/A</v>
      </c>
      <c r="N205" s="24" t="e">
        <f>INDEX('01_FASTPPH'!$9:$1048576,MATCH($A205,'01_FASTPPH'!$A$9:$A$1048576,0),MATCH(N$9,'01_FASTPPH'!$8:$8,0))</f>
        <v>#N/A</v>
      </c>
      <c r="O205" s="23" t="e">
        <f>INDEX('01_FASTPPH'!$9:$1048576,MATCH($A205,'01_FASTPPH'!$A$9:$A$1048576,0),MATCH(O$9,'01_FASTPPH'!$8:$8,0))</f>
        <v>#N/A</v>
      </c>
      <c r="P205" s="20" t="e">
        <f>INDEX('01_FASTPPH'!$9:$1048576,MATCH($A205,'01_FASTPPH'!$A$9:$A$1048576,0),MATCH(P$9,'01_FASTPPH'!$8:$8,0))</f>
        <v>#N/A</v>
      </c>
      <c r="Q205" s="20" t="e">
        <f>INDEX('01_FASTPPH'!$9:$1048576,MATCH($A205,'01_FASTPPH'!$A$9:$A$1048576,0),MATCH(Q$9,'01_FASTPPH'!$8:$8,0))</f>
        <v>#N/A</v>
      </c>
      <c r="R205" s="20" t="e">
        <f>INDEX('01_FASTPPH'!$9:$1048576,MATCH($A205,'01_FASTPPH'!$A$9:$A$1048576,0),MATCH(R$9,'01_FASTPPH'!$8:$8,0))</f>
        <v>#N/A</v>
      </c>
      <c r="S205" s="20" t="e">
        <f>INDEX('01_FASTPPH'!$9:$1048576,MATCH($A205,'01_FASTPPH'!$A$9:$A$1048576,0),MATCH(S$9,'01_FASTPPH'!$8:$8,0))</f>
        <v>#N/A</v>
      </c>
      <c r="T205" s="24" t="e">
        <f>INDEX('01_FASTPPH'!$9:$1048576,MATCH($A205,'01_FASTPPH'!$A$9:$A$1048576,0),MATCH(T$9,'01_FASTPPH'!$8:$8,0))</f>
        <v>#N/A</v>
      </c>
      <c r="U205" s="23" t="e">
        <f>INDEX('01_FASTPPH'!$9:$1048576,MATCH($A205,'01_FASTPPH'!$A$9:$A$1048576,0),MATCH(U$9,'01_FASTPPH'!$8:$8,0))</f>
        <v>#N/A</v>
      </c>
      <c r="V205" s="20" t="e">
        <f>INDEX('01_FASTPPH'!$9:$1048576,MATCH($A205,'01_FASTPPH'!$A$9:$A$1048576,0),MATCH(V$9,'01_FASTPPH'!$8:$8,0))</f>
        <v>#N/A</v>
      </c>
      <c r="W205" s="24" t="e">
        <f>INDEX('01_FASTPPH'!$9:$1048576,MATCH($A205,'01_FASTPPH'!$A$9:$A$1048576,0),MATCH(W$9,'01_FASTPPH'!$8:$8,0))</f>
        <v>#N/A</v>
      </c>
      <c r="X205" s="20" t="e">
        <f>INDEX('01_FASTPPH'!$9:$1048576,MATCH($A205,'01_FASTPPH'!$A$9:$A$1048576,0),MATCH(X$9,'01_FASTPPH'!$8:$8,0))</f>
        <v>#N/A</v>
      </c>
      <c r="Y205" s="20" t="e">
        <f>INDEX('01_FASTPPH'!$9:$1048576,MATCH($A205,'01_FASTPPH'!$A$9:$A$1048576,0),MATCH(Y$9,'01_FASTPPH'!$8:$8,0))</f>
        <v>#N/A</v>
      </c>
      <c r="AA205" s="32" t="e">
        <f>INDEX('02_PROPERTIES'!$C$10:$I$1048576,MATCH('03_CALCULATIONS'!$D205,'02_PROPERTIES'!$C$10:$C$1048576,0),MATCH('03_CALCULATIONS'!AA$9,'02_PROPERTIES'!$C$10:$I$10,0))</f>
        <v>#N/A</v>
      </c>
      <c r="AB205" s="20" t="e">
        <f>INDEX('02_PROPERTIES'!$C$10:$I$1048576,MATCH('03_CALCULATIONS'!$D205,'02_PROPERTIES'!$C$10:$C$1048576,0),MATCH('03_CALCULATIONS'!AB$9,'02_PROPERTIES'!$C$10:$I$10,0))</f>
        <v>#N/A</v>
      </c>
      <c r="AC205" s="20" t="e">
        <f>INDEX('02_PROPERTIES'!$C$10:$I$1048576,MATCH('03_CALCULATIONS'!$D205,'02_PROPERTIES'!$C$10:$C$1048576,0),MATCH('03_CALCULATIONS'!AC$9,'02_PROPERTIES'!$C$10:$I$10,0))</f>
        <v>#N/A</v>
      </c>
      <c r="AD205" s="20" t="e">
        <f>INDEX('02_PROPERTIES'!$C$10:$I$1048576,MATCH('03_CALCULATIONS'!$D205,'02_PROPERTIES'!$C$10:$C$1048576,0),MATCH('03_CALCULATIONS'!AD$9,'02_PROPERTIES'!$C$10:$I$10,0))</f>
        <v>#N/A</v>
      </c>
      <c r="AE205" s="32" t="e">
        <f>INDEX('02_PROPERTIES'!$C$10:$I$1048576,MATCH('03_CALCULATIONS'!$D205,'02_PROPERTIES'!$C$10:$C$1048576,0),MATCH('03_CALCULATIONS'!AE$9,'02_PROPERTIES'!$C$10:$I$10,0))</f>
        <v>#N/A</v>
      </c>
      <c r="AF205" s="32" t="e">
        <f>INDEX('02_PROPERTIES'!$C$10:$I$1048576,MATCH('03_CALCULATIONS'!$D205,'02_PROPERTIES'!$C$10:$C$1048576,0),MATCH('03_CALCULATIONS'!AF$9,'02_PROPERTIES'!$C$10:$I$10,0))</f>
        <v>#N/A</v>
      </c>
      <c r="AH205" s="20" t="e">
        <f t="shared" si="33"/>
        <v>#N/A</v>
      </c>
      <c r="AI205" s="20" t="e">
        <f t="shared" si="34"/>
        <v>#N/A</v>
      </c>
      <c r="AJ205" s="20" t="e">
        <f t="shared" si="35"/>
        <v>#N/A</v>
      </c>
      <c r="AL205" s="20" t="e">
        <f t="shared" si="36"/>
        <v>#N/A</v>
      </c>
      <c r="AM205" s="20" t="e">
        <f t="shared" si="37"/>
        <v>#N/A</v>
      </c>
      <c r="AN205" s="20" t="e">
        <f t="shared" si="38"/>
        <v>#N/A</v>
      </c>
      <c r="AO205" s="20" t="e">
        <f t="shared" si="39"/>
        <v>#N/A</v>
      </c>
      <c r="AP205" s="20" t="e">
        <f t="shared" si="40"/>
        <v>#N/A</v>
      </c>
      <c r="AR205" s="20" t="e">
        <f t="shared" si="41"/>
        <v>#N/A</v>
      </c>
      <c r="AS205" s="20" t="e">
        <f t="shared" si="42"/>
        <v>#N/A</v>
      </c>
      <c r="AT205" s="20" t="e">
        <f t="shared" si="43"/>
        <v>#N/A</v>
      </c>
    </row>
    <row r="206" spans="1:46" x14ac:dyDescent="0.3">
      <c r="A206" s="18"/>
      <c r="B206" s="20" t="e">
        <f>INDEX('01_FASTPPH'!$9:$1048576,MATCH($A206,'01_FASTPPH'!$A$9:$A$1048576,0),MATCH(B$9,'01_FASTPPH'!$8:$8,0))</f>
        <v>#N/A</v>
      </c>
      <c r="C206" s="20" t="e">
        <f>INDEX('01_FASTPPH'!$9:$1048576,MATCH($A206,'01_FASTPPH'!$A$9:$A$1048576,0),MATCH(C$9,'01_FASTPPH'!$8:$8,0))</f>
        <v>#N/A</v>
      </c>
      <c r="D206" s="20" t="e">
        <f>INDEX('01_FASTPPH'!$9:$1048576,MATCH($A206,'01_FASTPPH'!$A$9:$A$1048576,0),MATCH(D$9,'01_FASTPPH'!$8:$8,0))</f>
        <v>#N/A</v>
      </c>
      <c r="E206" s="20" t="e">
        <f>INDEX('01_FASTPPH'!$9:$1048576,MATCH($A206,'01_FASTPPH'!$A$9:$A$1048576,0),MATCH(E$9,'01_FASTPPH'!$8:$8,0))</f>
        <v>#N/A</v>
      </c>
      <c r="F206" s="20" t="e">
        <f>INDEX('01_FASTPPH'!$9:$1048576,MATCH($A206,'01_FASTPPH'!$A$9:$A$1048576,0),MATCH(F$9,'01_FASTPPH'!$8:$8,0))</f>
        <v>#N/A</v>
      </c>
      <c r="G206" s="20" t="e">
        <f>INDEX('01_FASTPPH'!$9:$1048576,MATCH($A206,'01_FASTPPH'!$A$9:$A$1048576,0),MATCH(G$9,'01_FASTPPH'!$8:$8,0))</f>
        <v>#N/A</v>
      </c>
      <c r="H206" s="20" t="e">
        <f>INDEX('01_FASTPPH'!$9:$1048576,MATCH($A206,'01_FASTPPH'!$A$9:$A$1048576,0),MATCH(H$9,'01_FASTPPH'!$8:$8,0))</f>
        <v>#N/A</v>
      </c>
      <c r="I206" s="20" t="e">
        <f>INDEX('01_FASTPPH'!$9:$1048576,MATCH($A206,'01_FASTPPH'!$A$9:$A$1048576,0),MATCH(I$9,'01_FASTPPH'!$8:$8,0))</f>
        <v>#N/A</v>
      </c>
      <c r="J206" s="20" t="e">
        <f>INDEX('01_FASTPPH'!$9:$1048576,MATCH($A206,'01_FASTPPH'!$A$9:$A$1048576,0),MATCH(J$9,'01_FASTPPH'!$8:$8,0))</f>
        <v>#N/A</v>
      </c>
      <c r="K206" s="23" t="e">
        <f>INDEX('01_FASTPPH'!$9:$1048576,MATCH($A206,'01_FASTPPH'!$A$9:$A$1048576,0),MATCH(K$9,'01_FASTPPH'!$8:$8,0))</f>
        <v>#N/A</v>
      </c>
      <c r="L206" s="20" t="e">
        <f>INDEX('01_FASTPPH'!$9:$1048576,MATCH($A206,'01_FASTPPH'!$A$9:$A$1048576,0),MATCH(L$9,'01_FASTPPH'!$8:$8,0))</f>
        <v>#N/A</v>
      </c>
      <c r="M206" s="20" t="e">
        <f>INDEX('01_FASTPPH'!$9:$1048576,MATCH($A206,'01_FASTPPH'!$A$9:$A$1048576,0),MATCH(M$9,'01_FASTPPH'!$8:$8,0))</f>
        <v>#N/A</v>
      </c>
      <c r="N206" s="24" t="e">
        <f>INDEX('01_FASTPPH'!$9:$1048576,MATCH($A206,'01_FASTPPH'!$A$9:$A$1048576,0),MATCH(N$9,'01_FASTPPH'!$8:$8,0))</f>
        <v>#N/A</v>
      </c>
      <c r="O206" s="23" t="e">
        <f>INDEX('01_FASTPPH'!$9:$1048576,MATCH($A206,'01_FASTPPH'!$A$9:$A$1048576,0),MATCH(O$9,'01_FASTPPH'!$8:$8,0))</f>
        <v>#N/A</v>
      </c>
      <c r="P206" s="20" t="e">
        <f>INDEX('01_FASTPPH'!$9:$1048576,MATCH($A206,'01_FASTPPH'!$A$9:$A$1048576,0),MATCH(P$9,'01_FASTPPH'!$8:$8,0))</f>
        <v>#N/A</v>
      </c>
      <c r="Q206" s="20" t="e">
        <f>INDEX('01_FASTPPH'!$9:$1048576,MATCH($A206,'01_FASTPPH'!$A$9:$A$1048576,0),MATCH(Q$9,'01_FASTPPH'!$8:$8,0))</f>
        <v>#N/A</v>
      </c>
      <c r="R206" s="20" t="e">
        <f>INDEX('01_FASTPPH'!$9:$1048576,MATCH($A206,'01_FASTPPH'!$A$9:$A$1048576,0),MATCH(R$9,'01_FASTPPH'!$8:$8,0))</f>
        <v>#N/A</v>
      </c>
      <c r="S206" s="20" t="e">
        <f>INDEX('01_FASTPPH'!$9:$1048576,MATCH($A206,'01_FASTPPH'!$A$9:$A$1048576,0),MATCH(S$9,'01_FASTPPH'!$8:$8,0))</f>
        <v>#N/A</v>
      </c>
      <c r="T206" s="24" t="e">
        <f>INDEX('01_FASTPPH'!$9:$1048576,MATCH($A206,'01_FASTPPH'!$A$9:$A$1048576,0),MATCH(T$9,'01_FASTPPH'!$8:$8,0))</f>
        <v>#N/A</v>
      </c>
      <c r="U206" s="23" t="e">
        <f>INDEX('01_FASTPPH'!$9:$1048576,MATCH($A206,'01_FASTPPH'!$A$9:$A$1048576,0),MATCH(U$9,'01_FASTPPH'!$8:$8,0))</f>
        <v>#N/A</v>
      </c>
      <c r="V206" s="20" t="e">
        <f>INDEX('01_FASTPPH'!$9:$1048576,MATCH($A206,'01_FASTPPH'!$A$9:$A$1048576,0),MATCH(V$9,'01_FASTPPH'!$8:$8,0))</f>
        <v>#N/A</v>
      </c>
      <c r="W206" s="24" t="e">
        <f>INDEX('01_FASTPPH'!$9:$1048576,MATCH($A206,'01_FASTPPH'!$A$9:$A$1048576,0),MATCH(W$9,'01_FASTPPH'!$8:$8,0))</f>
        <v>#N/A</v>
      </c>
      <c r="X206" s="20" t="e">
        <f>INDEX('01_FASTPPH'!$9:$1048576,MATCH($A206,'01_FASTPPH'!$A$9:$A$1048576,0),MATCH(X$9,'01_FASTPPH'!$8:$8,0))</f>
        <v>#N/A</v>
      </c>
      <c r="Y206" s="20" t="e">
        <f>INDEX('01_FASTPPH'!$9:$1048576,MATCH($A206,'01_FASTPPH'!$A$9:$A$1048576,0),MATCH(Y$9,'01_FASTPPH'!$8:$8,0))</f>
        <v>#N/A</v>
      </c>
      <c r="AA206" s="32" t="e">
        <f>INDEX('02_PROPERTIES'!$C$10:$I$1048576,MATCH('03_CALCULATIONS'!$D206,'02_PROPERTIES'!$C$10:$C$1048576,0),MATCH('03_CALCULATIONS'!AA$9,'02_PROPERTIES'!$C$10:$I$10,0))</f>
        <v>#N/A</v>
      </c>
      <c r="AB206" s="20" t="e">
        <f>INDEX('02_PROPERTIES'!$C$10:$I$1048576,MATCH('03_CALCULATIONS'!$D206,'02_PROPERTIES'!$C$10:$C$1048576,0),MATCH('03_CALCULATIONS'!AB$9,'02_PROPERTIES'!$C$10:$I$10,0))</f>
        <v>#N/A</v>
      </c>
      <c r="AC206" s="20" t="e">
        <f>INDEX('02_PROPERTIES'!$C$10:$I$1048576,MATCH('03_CALCULATIONS'!$D206,'02_PROPERTIES'!$C$10:$C$1048576,0),MATCH('03_CALCULATIONS'!AC$9,'02_PROPERTIES'!$C$10:$I$10,0))</f>
        <v>#N/A</v>
      </c>
      <c r="AD206" s="20" t="e">
        <f>INDEX('02_PROPERTIES'!$C$10:$I$1048576,MATCH('03_CALCULATIONS'!$D206,'02_PROPERTIES'!$C$10:$C$1048576,0),MATCH('03_CALCULATIONS'!AD$9,'02_PROPERTIES'!$C$10:$I$10,0))</f>
        <v>#N/A</v>
      </c>
      <c r="AE206" s="32" t="e">
        <f>INDEX('02_PROPERTIES'!$C$10:$I$1048576,MATCH('03_CALCULATIONS'!$D206,'02_PROPERTIES'!$C$10:$C$1048576,0),MATCH('03_CALCULATIONS'!AE$9,'02_PROPERTIES'!$C$10:$I$10,0))</f>
        <v>#N/A</v>
      </c>
      <c r="AF206" s="32" t="e">
        <f>INDEX('02_PROPERTIES'!$C$10:$I$1048576,MATCH('03_CALCULATIONS'!$D206,'02_PROPERTIES'!$C$10:$C$1048576,0),MATCH('03_CALCULATIONS'!AF$9,'02_PROPERTIES'!$C$10:$I$10,0))</f>
        <v>#N/A</v>
      </c>
      <c r="AH206" s="20" t="e">
        <f t="shared" si="33"/>
        <v>#N/A</v>
      </c>
      <c r="AI206" s="20" t="e">
        <f t="shared" si="34"/>
        <v>#N/A</v>
      </c>
      <c r="AJ206" s="20" t="e">
        <f t="shared" si="35"/>
        <v>#N/A</v>
      </c>
      <c r="AL206" s="20" t="e">
        <f t="shared" si="36"/>
        <v>#N/A</v>
      </c>
      <c r="AM206" s="20" t="e">
        <f t="shared" si="37"/>
        <v>#N/A</v>
      </c>
      <c r="AN206" s="20" t="e">
        <f t="shared" si="38"/>
        <v>#N/A</v>
      </c>
      <c r="AO206" s="20" t="e">
        <f t="shared" si="39"/>
        <v>#N/A</v>
      </c>
      <c r="AP206" s="20" t="e">
        <f t="shared" si="40"/>
        <v>#N/A</v>
      </c>
      <c r="AR206" s="20" t="e">
        <f t="shared" si="41"/>
        <v>#N/A</v>
      </c>
      <c r="AS206" s="20" t="e">
        <f t="shared" si="42"/>
        <v>#N/A</v>
      </c>
      <c r="AT206" s="20" t="e">
        <f t="shared" si="43"/>
        <v>#N/A</v>
      </c>
    </row>
    <row r="207" spans="1:46" x14ac:dyDescent="0.3">
      <c r="A207" s="18"/>
      <c r="B207" s="20" t="e">
        <f>INDEX('01_FASTPPH'!$9:$1048576,MATCH($A207,'01_FASTPPH'!$A$9:$A$1048576,0),MATCH(B$9,'01_FASTPPH'!$8:$8,0))</f>
        <v>#N/A</v>
      </c>
      <c r="C207" s="20" t="e">
        <f>INDEX('01_FASTPPH'!$9:$1048576,MATCH($A207,'01_FASTPPH'!$A$9:$A$1048576,0),MATCH(C$9,'01_FASTPPH'!$8:$8,0))</f>
        <v>#N/A</v>
      </c>
      <c r="D207" s="20" t="e">
        <f>INDEX('01_FASTPPH'!$9:$1048576,MATCH($A207,'01_FASTPPH'!$A$9:$A$1048576,0),MATCH(D$9,'01_FASTPPH'!$8:$8,0))</f>
        <v>#N/A</v>
      </c>
      <c r="E207" s="20" t="e">
        <f>INDEX('01_FASTPPH'!$9:$1048576,MATCH($A207,'01_FASTPPH'!$A$9:$A$1048576,0),MATCH(E$9,'01_FASTPPH'!$8:$8,0))</f>
        <v>#N/A</v>
      </c>
      <c r="F207" s="20" t="e">
        <f>INDEX('01_FASTPPH'!$9:$1048576,MATCH($A207,'01_FASTPPH'!$A$9:$A$1048576,0),MATCH(F$9,'01_FASTPPH'!$8:$8,0))</f>
        <v>#N/A</v>
      </c>
      <c r="G207" s="20" t="e">
        <f>INDEX('01_FASTPPH'!$9:$1048576,MATCH($A207,'01_FASTPPH'!$A$9:$A$1048576,0),MATCH(G$9,'01_FASTPPH'!$8:$8,0))</f>
        <v>#N/A</v>
      </c>
      <c r="H207" s="20" t="e">
        <f>INDEX('01_FASTPPH'!$9:$1048576,MATCH($A207,'01_FASTPPH'!$A$9:$A$1048576,0),MATCH(H$9,'01_FASTPPH'!$8:$8,0))</f>
        <v>#N/A</v>
      </c>
      <c r="I207" s="20" t="e">
        <f>INDEX('01_FASTPPH'!$9:$1048576,MATCH($A207,'01_FASTPPH'!$A$9:$A$1048576,0),MATCH(I$9,'01_FASTPPH'!$8:$8,0))</f>
        <v>#N/A</v>
      </c>
      <c r="J207" s="20" t="e">
        <f>INDEX('01_FASTPPH'!$9:$1048576,MATCH($A207,'01_FASTPPH'!$A$9:$A$1048576,0),MATCH(J$9,'01_FASTPPH'!$8:$8,0))</f>
        <v>#N/A</v>
      </c>
      <c r="K207" s="23" t="e">
        <f>INDEX('01_FASTPPH'!$9:$1048576,MATCH($A207,'01_FASTPPH'!$A$9:$A$1048576,0),MATCH(K$9,'01_FASTPPH'!$8:$8,0))</f>
        <v>#N/A</v>
      </c>
      <c r="L207" s="20" t="e">
        <f>INDEX('01_FASTPPH'!$9:$1048576,MATCH($A207,'01_FASTPPH'!$A$9:$A$1048576,0),MATCH(L$9,'01_FASTPPH'!$8:$8,0))</f>
        <v>#N/A</v>
      </c>
      <c r="M207" s="20" t="e">
        <f>INDEX('01_FASTPPH'!$9:$1048576,MATCH($A207,'01_FASTPPH'!$A$9:$A$1048576,0),MATCH(M$9,'01_FASTPPH'!$8:$8,0))</f>
        <v>#N/A</v>
      </c>
      <c r="N207" s="24" t="e">
        <f>INDEX('01_FASTPPH'!$9:$1048576,MATCH($A207,'01_FASTPPH'!$A$9:$A$1048576,0),MATCH(N$9,'01_FASTPPH'!$8:$8,0))</f>
        <v>#N/A</v>
      </c>
      <c r="O207" s="23" t="e">
        <f>INDEX('01_FASTPPH'!$9:$1048576,MATCH($A207,'01_FASTPPH'!$A$9:$A$1048576,0),MATCH(O$9,'01_FASTPPH'!$8:$8,0))</f>
        <v>#N/A</v>
      </c>
      <c r="P207" s="20" t="e">
        <f>INDEX('01_FASTPPH'!$9:$1048576,MATCH($A207,'01_FASTPPH'!$A$9:$A$1048576,0),MATCH(P$9,'01_FASTPPH'!$8:$8,0))</f>
        <v>#N/A</v>
      </c>
      <c r="Q207" s="20" t="e">
        <f>INDEX('01_FASTPPH'!$9:$1048576,MATCH($A207,'01_FASTPPH'!$A$9:$A$1048576,0),MATCH(Q$9,'01_FASTPPH'!$8:$8,0))</f>
        <v>#N/A</v>
      </c>
      <c r="R207" s="20" t="e">
        <f>INDEX('01_FASTPPH'!$9:$1048576,MATCH($A207,'01_FASTPPH'!$A$9:$A$1048576,0),MATCH(R$9,'01_FASTPPH'!$8:$8,0))</f>
        <v>#N/A</v>
      </c>
      <c r="S207" s="20" t="e">
        <f>INDEX('01_FASTPPH'!$9:$1048576,MATCH($A207,'01_FASTPPH'!$A$9:$A$1048576,0),MATCH(S$9,'01_FASTPPH'!$8:$8,0))</f>
        <v>#N/A</v>
      </c>
      <c r="T207" s="24" t="e">
        <f>INDEX('01_FASTPPH'!$9:$1048576,MATCH($A207,'01_FASTPPH'!$A$9:$A$1048576,0),MATCH(T$9,'01_FASTPPH'!$8:$8,0))</f>
        <v>#N/A</v>
      </c>
      <c r="U207" s="23" t="e">
        <f>INDEX('01_FASTPPH'!$9:$1048576,MATCH($A207,'01_FASTPPH'!$A$9:$A$1048576,0),MATCH(U$9,'01_FASTPPH'!$8:$8,0))</f>
        <v>#N/A</v>
      </c>
      <c r="V207" s="20" t="e">
        <f>INDEX('01_FASTPPH'!$9:$1048576,MATCH($A207,'01_FASTPPH'!$A$9:$A$1048576,0),MATCH(V$9,'01_FASTPPH'!$8:$8,0))</f>
        <v>#N/A</v>
      </c>
      <c r="W207" s="24" t="e">
        <f>INDEX('01_FASTPPH'!$9:$1048576,MATCH($A207,'01_FASTPPH'!$A$9:$A$1048576,0),MATCH(W$9,'01_FASTPPH'!$8:$8,0))</f>
        <v>#N/A</v>
      </c>
      <c r="X207" s="20" t="e">
        <f>INDEX('01_FASTPPH'!$9:$1048576,MATCH($A207,'01_FASTPPH'!$A$9:$A$1048576,0),MATCH(X$9,'01_FASTPPH'!$8:$8,0))</f>
        <v>#N/A</v>
      </c>
      <c r="Y207" s="20" t="e">
        <f>INDEX('01_FASTPPH'!$9:$1048576,MATCH($A207,'01_FASTPPH'!$A$9:$A$1048576,0),MATCH(Y$9,'01_FASTPPH'!$8:$8,0))</f>
        <v>#N/A</v>
      </c>
      <c r="AA207" s="32" t="e">
        <f>INDEX('02_PROPERTIES'!$C$10:$I$1048576,MATCH('03_CALCULATIONS'!$D207,'02_PROPERTIES'!$C$10:$C$1048576,0),MATCH('03_CALCULATIONS'!AA$9,'02_PROPERTIES'!$C$10:$I$10,0))</f>
        <v>#N/A</v>
      </c>
      <c r="AB207" s="20" t="e">
        <f>INDEX('02_PROPERTIES'!$C$10:$I$1048576,MATCH('03_CALCULATIONS'!$D207,'02_PROPERTIES'!$C$10:$C$1048576,0),MATCH('03_CALCULATIONS'!AB$9,'02_PROPERTIES'!$C$10:$I$10,0))</f>
        <v>#N/A</v>
      </c>
      <c r="AC207" s="20" t="e">
        <f>INDEX('02_PROPERTIES'!$C$10:$I$1048576,MATCH('03_CALCULATIONS'!$D207,'02_PROPERTIES'!$C$10:$C$1048576,0),MATCH('03_CALCULATIONS'!AC$9,'02_PROPERTIES'!$C$10:$I$10,0))</f>
        <v>#N/A</v>
      </c>
      <c r="AD207" s="20" t="e">
        <f>INDEX('02_PROPERTIES'!$C$10:$I$1048576,MATCH('03_CALCULATIONS'!$D207,'02_PROPERTIES'!$C$10:$C$1048576,0),MATCH('03_CALCULATIONS'!AD$9,'02_PROPERTIES'!$C$10:$I$10,0))</f>
        <v>#N/A</v>
      </c>
      <c r="AE207" s="32" t="e">
        <f>INDEX('02_PROPERTIES'!$C$10:$I$1048576,MATCH('03_CALCULATIONS'!$D207,'02_PROPERTIES'!$C$10:$C$1048576,0),MATCH('03_CALCULATIONS'!AE$9,'02_PROPERTIES'!$C$10:$I$10,0))</f>
        <v>#N/A</v>
      </c>
      <c r="AF207" s="32" t="e">
        <f>INDEX('02_PROPERTIES'!$C$10:$I$1048576,MATCH('03_CALCULATIONS'!$D207,'02_PROPERTIES'!$C$10:$C$1048576,0),MATCH('03_CALCULATIONS'!AF$9,'02_PROPERTIES'!$C$10:$I$10,0))</f>
        <v>#N/A</v>
      </c>
      <c r="AH207" s="20" t="e">
        <f t="shared" si="33"/>
        <v>#N/A</v>
      </c>
      <c r="AI207" s="20" t="e">
        <f t="shared" si="34"/>
        <v>#N/A</v>
      </c>
      <c r="AJ207" s="20" t="e">
        <f t="shared" si="35"/>
        <v>#N/A</v>
      </c>
      <c r="AL207" s="20" t="e">
        <f t="shared" si="36"/>
        <v>#N/A</v>
      </c>
      <c r="AM207" s="20" t="e">
        <f t="shared" si="37"/>
        <v>#N/A</v>
      </c>
      <c r="AN207" s="20" t="e">
        <f t="shared" si="38"/>
        <v>#N/A</v>
      </c>
      <c r="AO207" s="20" t="e">
        <f t="shared" si="39"/>
        <v>#N/A</v>
      </c>
      <c r="AP207" s="20" t="e">
        <f t="shared" si="40"/>
        <v>#N/A</v>
      </c>
      <c r="AR207" s="20" t="e">
        <f t="shared" si="41"/>
        <v>#N/A</v>
      </c>
      <c r="AS207" s="20" t="e">
        <f t="shared" si="42"/>
        <v>#N/A</v>
      </c>
      <c r="AT207" s="20" t="e">
        <f t="shared" si="43"/>
        <v>#N/A</v>
      </c>
    </row>
    <row r="208" spans="1:46" x14ac:dyDescent="0.3">
      <c r="A208" s="18"/>
      <c r="B208" s="20" t="e">
        <f>INDEX('01_FASTPPH'!$9:$1048576,MATCH($A208,'01_FASTPPH'!$A$9:$A$1048576,0),MATCH(B$9,'01_FASTPPH'!$8:$8,0))</f>
        <v>#N/A</v>
      </c>
      <c r="C208" s="20" t="e">
        <f>INDEX('01_FASTPPH'!$9:$1048576,MATCH($A208,'01_FASTPPH'!$A$9:$A$1048576,0),MATCH(C$9,'01_FASTPPH'!$8:$8,0))</f>
        <v>#N/A</v>
      </c>
      <c r="D208" s="20" t="e">
        <f>INDEX('01_FASTPPH'!$9:$1048576,MATCH($A208,'01_FASTPPH'!$A$9:$A$1048576,0),MATCH(D$9,'01_FASTPPH'!$8:$8,0))</f>
        <v>#N/A</v>
      </c>
      <c r="E208" s="20" t="e">
        <f>INDEX('01_FASTPPH'!$9:$1048576,MATCH($A208,'01_FASTPPH'!$A$9:$A$1048576,0),MATCH(E$9,'01_FASTPPH'!$8:$8,0))</f>
        <v>#N/A</v>
      </c>
      <c r="F208" s="20" t="e">
        <f>INDEX('01_FASTPPH'!$9:$1048576,MATCH($A208,'01_FASTPPH'!$A$9:$A$1048576,0),MATCH(F$9,'01_FASTPPH'!$8:$8,0))</f>
        <v>#N/A</v>
      </c>
      <c r="G208" s="20" t="e">
        <f>INDEX('01_FASTPPH'!$9:$1048576,MATCH($A208,'01_FASTPPH'!$A$9:$A$1048576,0),MATCH(G$9,'01_FASTPPH'!$8:$8,0))</f>
        <v>#N/A</v>
      </c>
      <c r="H208" s="20" t="e">
        <f>INDEX('01_FASTPPH'!$9:$1048576,MATCH($A208,'01_FASTPPH'!$A$9:$A$1048576,0),MATCH(H$9,'01_FASTPPH'!$8:$8,0))</f>
        <v>#N/A</v>
      </c>
      <c r="I208" s="20" t="e">
        <f>INDEX('01_FASTPPH'!$9:$1048576,MATCH($A208,'01_FASTPPH'!$A$9:$A$1048576,0),MATCH(I$9,'01_FASTPPH'!$8:$8,0))</f>
        <v>#N/A</v>
      </c>
      <c r="J208" s="20" t="e">
        <f>INDEX('01_FASTPPH'!$9:$1048576,MATCH($A208,'01_FASTPPH'!$A$9:$A$1048576,0),MATCH(J$9,'01_FASTPPH'!$8:$8,0))</f>
        <v>#N/A</v>
      </c>
      <c r="K208" s="23" t="e">
        <f>INDEX('01_FASTPPH'!$9:$1048576,MATCH($A208,'01_FASTPPH'!$A$9:$A$1048576,0),MATCH(K$9,'01_FASTPPH'!$8:$8,0))</f>
        <v>#N/A</v>
      </c>
      <c r="L208" s="20" t="e">
        <f>INDEX('01_FASTPPH'!$9:$1048576,MATCH($A208,'01_FASTPPH'!$A$9:$A$1048576,0),MATCH(L$9,'01_FASTPPH'!$8:$8,0))</f>
        <v>#N/A</v>
      </c>
      <c r="M208" s="20" t="e">
        <f>INDEX('01_FASTPPH'!$9:$1048576,MATCH($A208,'01_FASTPPH'!$A$9:$A$1048576,0),MATCH(M$9,'01_FASTPPH'!$8:$8,0))</f>
        <v>#N/A</v>
      </c>
      <c r="N208" s="24" t="e">
        <f>INDEX('01_FASTPPH'!$9:$1048576,MATCH($A208,'01_FASTPPH'!$A$9:$A$1048576,0),MATCH(N$9,'01_FASTPPH'!$8:$8,0))</f>
        <v>#N/A</v>
      </c>
      <c r="O208" s="23" t="e">
        <f>INDEX('01_FASTPPH'!$9:$1048576,MATCH($A208,'01_FASTPPH'!$A$9:$A$1048576,0),MATCH(O$9,'01_FASTPPH'!$8:$8,0))</f>
        <v>#N/A</v>
      </c>
      <c r="P208" s="20" t="e">
        <f>INDEX('01_FASTPPH'!$9:$1048576,MATCH($A208,'01_FASTPPH'!$A$9:$A$1048576,0),MATCH(P$9,'01_FASTPPH'!$8:$8,0))</f>
        <v>#N/A</v>
      </c>
      <c r="Q208" s="20" t="e">
        <f>INDEX('01_FASTPPH'!$9:$1048576,MATCH($A208,'01_FASTPPH'!$A$9:$A$1048576,0),MATCH(Q$9,'01_FASTPPH'!$8:$8,0))</f>
        <v>#N/A</v>
      </c>
      <c r="R208" s="20" t="e">
        <f>INDEX('01_FASTPPH'!$9:$1048576,MATCH($A208,'01_FASTPPH'!$A$9:$A$1048576,0),MATCH(R$9,'01_FASTPPH'!$8:$8,0))</f>
        <v>#N/A</v>
      </c>
      <c r="S208" s="20" t="e">
        <f>INDEX('01_FASTPPH'!$9:$1048576,MATCH($A208,'01_FASTPPH'!$A$9:$A$1048576,0),MATCH(S$9,'01_FASTPPH'!$8:$8,0))</f>
        <v>#N/A</v>
      </c>
      <c r="T208" s="24" t="e">
        <f>INDEX('01_FASTPPH'!$9:$1048576,MATCH($A208,'01_FASTPPH'!$A$9:$A$1048576,0),MATCH(T$9,'01_FASTPPH'!$8:$8,0))</f>
        <v>#N/A</v>
      </c>
      <c r="U208" s="23" t="e">
        <f>INDEX('01_FASTPPH'!$9:$1048576,MATCH($A208,'01_FASTPPH'!$A$9:$A$1048576,0),MATCH(U$9,'01_FASTPPH'!$8:$8,0))</f>
        <v>#N/A</v>
      </c>
      <c r="V208" s="20" t="e">
        <f>INDEX('01_FASTPPH'!$9:$1048576,MATCH($A208,'01_FASTPPH'!$A$9:$A$1048576,0),MATCH(V$9,'01_FASTPPH'!$8:$8,0))</f>
        <v>#N/A</v>
      </c>
      <c r="W208" s="24" t="e">
        <f>INDEX('01_FASTPPH'!$9:$1048576,MATCH($A208,'01_FASTPPH'!$A$9:$A$1048576,0),MATCH(W$9,'01_FASTPPH'!$8:$8,0))</f>
        <v>#N/A</v>
      </c>
      <c r="X208" s="20" t="e">
        <f>INDEX('01_FASTPPH'!$9:$1048576,MATCH($A208,'01_FASTPPH'!$A$9:$A$1048576,0),MATCH(X$9,'01_FASTPPH'!$8:$8,0))</f>
        <v>#N/A</v>
      </c>
      <c r="Y208" s="20" t="e">
        <f>INDEX('01_FASTPPH'!$9:$1048576,MATCH($A208,'01_FASTPPH'!$A$9:$A$1048576,0),MATCH(Y$9,'01_FASTPPH'!$8:$8,0))</f>
        <v>#N/A</v>
      </c>
      <c r="AA208" s="32" t="e">
        <f>INDEX('02_PROPERTIES'!$C$10:$I$1048576,MATCH('03_CALCULATIONS'!$D208,'02_PROPERTIES'!$C$10:$C$1048576,0),MATCH('03_CALCULATIONS'!AA$9,'02_PROPERTIES'!$C$10:$I$10,0))</f>
        <v>#N/A</v>
      </c>
      <c r="AB208" s="20" t="e">
        <f>INDEX('02_PROPERTIES'!$C$10:$I$1048576,MATCH('03_CALCULATIONS'!$D208,'02_PROPERTIES'!$C$10:$C$1048576,0),MATCH('03_CALCULATIONS'!AB$9,'02_PROPERTIES'!$C$10:$I$10,0))</f>
        <v>#N/A</v>
      </c>
      <c r="AC208" s="20" t="e">
        <f>INDEX('02_PROPERTIES'!$C$10:$I$1048576,MATCH('03_CALCULATIONS'!$D208,'02_PROPERTIES'!$C$10:$C$1048576,0),MATCH('03_CALCULATIONS'!AC$9,'02_PROPERTIES'!$C$10:$I$10,0))</f>
        <v>#N/A</v>
      </c>
      <c r="AD208" s="20" t="e">
        <f>INDEX('02_PROPERTIES'!$C$10:$I$1048576,MATCH('03_CALCULATIONS'!$D208,'02_PROPERTIES'!$C$10:$C$1048576,0),MATCH('03_CALCULATIONS'!AD$9,'02_PROPERTIES'!$C$10:$I$10,0))</f>
        <v>#N/A</v>
      </c>
      <c r="AE208" s="32" t="e">
        <f>INDEX('02_PROPERTIES'!$C$10:$I$1048576,MATCH('03_CALCULATIONS'!$D208,'02_PROPERTIES'!$C$10:$C$1048576,0),MATCH('03_CALCULATIONS'!AE$9,'02_PROPERTIES'!$C$10:$I$10,0))</f>
        <v>#N/A</v>
      </c>
      <c r="AF208" s="32" t="e">
        <f>INDEX('02_PROPERTIES'!$C$10:$I$1048576,MATCH('03_CALCULATIONS'!$D208,'02_PROPERTIES'!$C$10:$C$1048576,0),MATCH('03_CALCULATIONS'!AF$9,'02_PROPERTIES'!$C$10:$I$10,0))</f>
        <v>#N/A</v>
      </c>
      <c r="AH208" s="20" t="e">
        <f t="shared" si="33"/>
        <v>#N/A</v>
      </c>
      <c r="AI208" s="20" t="e">
        <f t="shared" si="34"/>
        <v>#N/A</v>
      </c>
      <c r="AJ208" s="20" t="e">
        <f t="shared" si="35"/>
        <v>#N/A</v>
      </c>
      <c r="AL208" s="20" t="e">
        <f t="shared" si="36"/>
        <v>#N/A</v>
      </c>
      <c r="AM208" s="20" t="e">
        <f t="shared" si="37"/>
        <v>#N/A</v>
      </c>
      <c r="AN208" s="20" t="e">
        <f t="shared" si="38"/>
        <v>#N/A</v>
      </c>
      <c r="AO208" s="20" t="e">
        <f t="shared" si="39"/>
        <v>#N/A</v>
      </c>
      <c r="AP208" s="20" t="e">
        <f t="shared" si="40"/>
        <v>#N/A</v>
      </c>
      <c r="AR208" s="20" t="e">
        <f t="shared" si="41"/>
        <v>#N/A</v>
      </c>
      <c r="AS208" s="20" t="e">
        <f t="shared" si="42"/>
        <v>#N/A</v>
      </c>
      <c r="AT208" s="20" t="e">
        <f t="shared" si="43"/>
        <v>#N/A</v>
      </c>
    </row>
    <row r="209" spans="1:46" x14ac:dyDescent="0.3">
      <c r="A209" s="18"/>
      <c r="B209" s="20" t="e">
        <f>INDEX('01_FASTPPH'!$9:$1048576,MATCH($A209,'01_FASTPPH'!$A$9:$A$1048576,0),MATCH(B$9,'01_FASTPPH'!$8:$8,0))</f>
        <v>#N/A</v>
      </c>
      <c r="C209" s="20" t="e">
        <f>INDEX('01_FASTPPH'!$9:$1048576,MATCH($A209,'01_FASTPPH'!$A$9:$A$1048576,0),MATCH(C$9,'01_FASTPPH'!$8:$8,0))</f>
        <v>#N/A</v>
      </c>
      <c r="D209" s="20" t="e">
        <f>INDEX('01_FASTPPH'!$9:$1048576,MATCH($A209,'01_FASTPPH'!$A$9:$A$1048576,0),MATCH(D$9,'01_FASTPPH'!$8:$8,0))</f>
        <v>#N/A</v>
      </c>
      <c r="E209" s="20" t="e">
        <f>INDEX('01_FASTPPH'!$9:$1048576,MATCH($A209,'01_FASTPPH'!$A$9:$A$1048576,0),MATCH(E$9,'01_FASTPPH'!$8:$8,0))</f>
        <v>#N/A</v>
      </c>
      <c r="F209" s="20" t="e">
        <f>INDEX('01_FASTPPH'!$9:$1048576,MATCH($A209,'01_FASTPPH'!$A$9:$A$1048576,0),MATCH(F$9,'01_FASTPPH'!$8:$8,0))</f>
        <v>#N/A</v>
      </c>
      <c r="G209" s="20" t="e">
        <f>INDEX('01_FASTPPH'!$9:$1048576,MATCH($A209,'01_FASTPPH'!$A$9:$A$1048576,0),MATCH(G$9,'01_FASTPPH'!$8:$8,0))</f>
        <v>#N/A</v>
      </c>
      <c r="H209" s="20" t="e">
        <f>INDEX('01_FASTPPH'!$9:$1048576,MATCH($A209,'01_FASTPPH'!$A$9:$A$1048576,0),MATCH(H$9,'01_FASTPPH'!$8:$8,0))</f>
        <v>#N/A</v>
      </c>
      <c r="I209" s="20" t="e">
        <f>INDEX('01_FASTPPH'!$9:$1048576,MATCH($A209,'01_FASTPPH'!$A$9:$A$1048576,0),MATCH(I$9,'01_FASTPPH'!$8:$8,0))</f>
        <v>#N/A</v>
      </c>
      <c r="J209" s="20" t="e">
        <f>INDEX('01_FASTPPH'!$9:$1048576,MATCH($A209,'01_FASTPPH'!$A$9:$A$1048576,0),MATCH(J$9,'01_FASTPPH'!$8:$8,0))</f>
        <v>#N/A</v>
      </c>
      <c r="K209" s="23" t="e">
        <f>INDEX('01_FASTPPH'!$9:$1048576,MATCH($A209,'01_FASTPPH'!$A$9:$A$1048576,0),MATCH(K$9,'01_FASTPPH'!$8:$8,0))</f>
        <v>#N/A</v>
      </c>
      <c r="L209" s="20" t="e">
        <f>INDEX('01_FASTPPH'!$9:$1048576,MATCH($A209,'01_FASTPPH'!$A$9:$A$1048576,0),MATCH(L$9,'01_FASTPPH'!$8:$8,0))</f>
        <v>#N/A</v>
      </c>
      <c r="M209" s="20" t="e">
        <f>INDEX('01_FASTPPH'!$9:$1048576,MATCH($A209,'01_FASTPPH'!$A$9:$A$1048576,0),MATCH(M$9,'01_FASTPPH'!$8:$8,0))</f>
        <v>#N/A</v>
      </c>
      <c r="N209" s="24" t="e">
        <f>INDEX('01_FASTPPH'!$9:$1048576,MATCH($A209,'01_FASTPPH'!$A$9:$A$1048576,0),MATCH(N$9,'01_FASTPPH'!$8:$8,0))</f>
        <v>#N/A</v>
      </c>
      <c r="O209" s="23" t="e">
        <f>INDEX('01_FASTPPH'!$9:$1048576,MATCH($A209,'01_FASTPPH'!$A$9:$A$1048576,0),MATCH(O$9,'01_FASTPPH'!$8:$8,0))</f>
        <v>#N/A</v>
      </c>
      <c r="P209" s="20" t="e">
        <f>INDEX('01_FASTPPH'!$9:$1048576,MATCH($A209,'01_FASTPPH'!$A$9:$A$1048576,0),MATCH(P$9,'01_FASTPPH'!$8:$8,0))</f>
        <v>#N/A</v>
      </c>
      <c r="Q209" s="20" t="e">
        <f>INDEX('01_FASTPPH'!$9:$1048576,MATCH($A209,'01_FASTPPH'!$A$9:$A$1048576,0),MATCH(Q$9,'01_FASTPPH'!$8:$8,0))</f>
        <v>#N/A</v>
      </c>
      <c r="R209" s="20" t="e">
        <f>INDEX('01_FASTPPH'!$9:$1048576,MATCH($A209,'01_FASTPPH'!$A$9:$A$1048576,0),MATCH(R$9,'01_FASTPPH'!$8:$8,0))</f>
        <v>#N/A</v>
      </c>
      <c r="S209" s="20" t="e">
        <f>INDEX('01_FASTPPH'!$9:$1048576,MATCH($A209,'01_FASTPPH'!$A$9:$A$1048576,0),MATCH(S$9,'01_FASTPPH'!$8:$8,0))</f>
        <v>#N/A</v>
      </c>
      <c r="T209" s="24" t="e">
        <f>INDEX('01_FASTPPH'!$9:$1048576,MATCH($A209,'01_FASTPPH'!$A$9:$A$1048576,0),MATCH(T$9,'01_FASTPPH'!$8:$8,0))</f>
        <v>#N/A</v>
      </c>
      <c r="U209" s="23" t="e">
        <f>INDEX('01_FASTPPH'!$9:$1048576,MATCH($A209,'01_FASTPPH'!$A$9:$A$1048576,0),MATCH(U$9,'01_FASTPPH'!$8:$8,0))</f>
        <v>#N/A</v>
      </c>
      <c r="V209" s="20" t="e">
        <f>INDEX('01_FASTPPH'!$9:$1048576,MATCH($A209,'01_FASTPPH'!$A$9:$A$1048576,0),MATCH(V$9,'01_FASTPPH'!$8:$8,0))</f>
        <v>#N/A</v>
      </c>
      <c r="W209" s="24" t="e">
        <f>INDEX('01_FASTPPH'!$9:$1048576,MATCH($A209,'01_FASTPPH'!$A$9:$A$1048576,0),MATCH(W$9,'01_FASTPPH'!$8:$8,0))</f>
        <v>#N/A</v>
      </c>
      <c r="X209" s="20" t="e">
        <f>INDEX('01_FASTPPH'!$9:$1048576,MATCH($A209,'01_FASTPPH'!$A$9:$A$1048576,0),MATCH(X$9,'01_FASTPPH'!$8:$8,0))</f>
        <v>#N/A</v>
      </c>
      <c r="Y209" s="20" t="e">
        <f>INDEX('01_FASTPPH'!$9:$1048576,MATCH($A209,'01_FASTPPH'!$A$9:$A$1048576,0),MATCH(Y$9,'01_FASTPPH'!$8:$8,0))</f>
        <v>#N/A</v>
      </c>
      <c r="AA209" s="32" t="e">
        <f>INDEX('02_PROPERTIES'!$C$10:$I$1048576,MATCH('03_CALCULATIONS'!$D209,'02_PROPERTIES'!$C$10:$C$1048576,0),MATCH('03_CALCULATIONS'!AA$9,'02_PROPERTIES'!$C$10:$I$10,0))</f>
        <v>#N/A</v>
      </c>
      <c r="AB209" s="20" t="e">
        <f>INDEX('02_PROPERTIES'!$C$10:$I$1048576,MATCH('03_CALCULATIONS'!$D209,'02_PROPERTIES'!$C$10:$C$1048576,0),MATCH('03_CALCULATIONS'!AB$9,'02_PROPERTIES'!$C$10:$I$10,0))</f>
        <v>#N/A</v>
      </c>
      <c r="AC209" s="20" t="e">
        <f>INDEX('02_PROPERTIES'!$C$10:$I$1048576,MATCH('03_CALCULATIONS'!$D209,'02_PROPERTIES'!$C$10:$C$1048576,0),MATCH('03_CALCULATIONS'!AC$9,'02_PROPERTIES'!$C$10:$I$10,0))</f>
        <v>#N/A</v>
      </c>
      <c r="AD209" s="20" t="e">
        <f>INDEX('02_PROPERTIES'!$C$10:$I$1048576,MATCH('03_CALCULATIONS'!$D209,'02_PROPERTIES'!$C$10:$C$1048576,0),MATCH('03_CALCULATIONS'!AD$9,'02_PROPERTIES'!$C$10:$I$10,0))</f>
        <v>#N/A</v>
      </c>
      <c r="AE209" s="32" t="e">
        <f>INDEX('02_PROPERTIES'!$C$10:$I$1048576,MATCH('03_CALCULATIONS'!$D209,'02_PROPERTIES'!$C$10:$C$1048576,0),MATCH('03_CALCULATIONS'!AE$9,'02_PROPERTIES'!$C$10:$I$10,0))</f>
        <v>#N/A</v>
      </c>
      <c r="AF209" s="32" t="e">
        <f>INDEX('02_PROPERTIES'!$C$10:$I$1048576,MATCH('03_CALCULATIONS'!$D209,'02_PROPERTIES'!$C$10:$C$1048576,0),MATCH('03_CALCULATIONS'!AF$9,'02_PROPERTIES'!$C$10:$I$10,0))</f>
        <v>#N/A</v>
      </c>
      <c r="AH209" s="20" t="e">
        <f t="shared" si="33"/>
        <v>#N/A</v>
      </c>
      <c r="AI209" s="20" t="e">
        <f t="shared" si="34"/>
        <v>#N/A</v>
      </c>
      <c r="AJ209" s="20" t="e">
        <f t="shared" si="35"/>
        <v>#N/A</v>
      </c>
      <c r="AL209" s="20" t="e">
        <f t="shared" si="36"/>
        <v>#N/A</v>
      </c>
      <c r="AM209" s="20" t="e">
        <f t="shared" si="37"/>
        <v>#N/A</v>
      </c>
      <c r="AN209" s="20" t="e">
        <f t="shared" si="38"/>
        <v>#N/A</v>
      </c>
      <c r="AO209" s="20" t="e">
        <f t="shared" si="39"/>
        <v>#N/A</v>
      </c>
      <c r="AP209" s="20" t="e">
        <f t="shared" si="40"/>
        <v>#N/A</v>
      </c>
      <c r="AR209" s="20" t="e">
        <f t="shared" si="41"/>
        <v>#N/A</v>
      </c>
      <c r="AS209" s="20" t="e">
        <f t="shared" si="42"/>
        <v>#N/A</v>
      </c>
      <c r="AT209" s="20" t="e">
        <f t="shared" si="43"/>
        <v>#N/A</v>
      </c>
    </row>
    <row r="210" spans="1:46" x14ac:dyDescent="0.3">
      <c r="A210" s="18"/>
      <c r="B210" s="20" t="e">
        <f>INDEX('01_FASTPPH'!$9:$1048576,MATCH($A210,'01_FASTPPH'!$A$9:$A$1048576,0),MATCH(B$9,'01_FASTPPH'!$8:$8,0))</f>
        <v>#N/A</v>
      </c>
      <c r="C210" s="20" t="e">
        <f>INDEX('01_FASTPPH'!$9:$1048576,MATCH($A210,'01_FASTPPH'!$A$9:$A$1048576,0),MATCH(C$9,'01_FASTPPH'!$8:$8,0))</f>
        <v>#N/A</v>
      </c>
      <c r="D210" s="20" t="e">
        <f>INDEX('01_FASTPPH'!$9:$1048576,MATCH($A210,'01_FASTPPH'!$A$9:$A$1048576,0),MATCH(D$9,'01_FASTPPH'!$8:$8,0))</f>
        <v>#N/A</v>
      </c>
      <c r="E210" s="20" t="e">
        <f>INDEX('01_FASTPPH'!$9:$1048576,MATCH($A210,'01_FASTPPH'!$A$9:$A$1048576,0),MATCH(E$9,'01_FASTPPH'!$8:$8,0))</f>
        <v>#N/A</v>
      </c>
      <c r="F210" s="20" t="e">
        <f>INDEX('01_FASTPPH'!$9:$1048576,MATCH($A210,'01_FASTPPH'!$A$9:$A$1048576,0),MATCH(F$9,'01_FASTPPH'!$8:$8,0))</f>
        <v>#N/A</v>
      </c>
      <c r="G210" s="20" t="e">
        <f>INDEX('01_FASTPPH'!$9:$1048576,MATCH($A210,'01_FASTPPH'!$A$9:$A$1048576,0),MATCH(G$9,'01_FASTPPH'!$8:$8,0))</f>
        <v>#N/A</v>
      </c>
      <c r="H210" s="20" t="e">
        <f>INDEX('01_FASTPPH'!$9:$1048576,MATCH($A210,'01_FASTPPH'!$A$9:$A$1048576,0),MATCH(H$9,'01_FASTPPH'!$8:$8,0))</f>
        <v>#N/A</v>
      </c>
      <c r="I210" s="20" t="e">
        <f>INDEX('01_FASTPPH'!$9:$1048576,MATCH($A210,'01_FASTPPH'!$A$9:$A$1048576,0),MATCH(I$9,'01_FASTPPH'!$8:$8,0))</f>
        <v>#N/A</v>
      </c>
      <c r="J210" s="20" t="e">
        <f>INDEX('01_FASTPPH'!$9:$1048576,MATCH($A210,'01_FASTPPH'!$A$9:$A$1048576,0),MATCH(J$9,'01_FASTPPH'!$8:$8,0))</f>
        <v>#N/A</v>
      </c>
      <c r="K210" s="23" t="e">
        <f>INDEX('01_FASTPPH'!$9:$1048576,MATCH($A210,'01_FASTPPH'!$A$9:$A$1048576,0),MATCH(K$9,'01_FASTPPH'!$8:$8,0))</f>
        <v>#N/A</v>
      </c>
      <c r="L210" s="20" t="e">
        <f>INDEX('01_FASTPPH'!$9:$1048576,MATCH($A210,'01_FASTPPH'!$A$9:$A$1048576,0),MATCH(L$9,'01_FASTPPH'!$8:$8,0))</f>
        <v>#N/A</v>
      </c>
      <c r="M210" s="20" t="e">
        <f>INDEX('01_FASTPPH'!$9:$1048576,MATCH($A210,'01_FASTPPH'!$A$9:$A$1048576,0),MATCH(M$9,'01_FASTPPH'!$8:$8,0))</f>
        <v>#N/A</v>
      </c>
      <c r="N210" s="24" t="e">
        <f>INDEX('01_FASTPPH'!$9:$1048576,MATCH($A210,'01_FASTPPH'!$A$9:$A$1048576,0),MATCH(N$9,'01_FASTPPH'!$8:$8,0))</f>
        <v>#N/A</v>
      </c>
      <c r="O210" s="23" t="e">
        <f>INDEX('01_FASTPPH'!$9:$1048576,MATCH($A210,'01_FASTPPH'!$A$9:$A$1048576,0),MATCH(O$9,'01_FASTPPH'!$8:$8,0))</f>
        <v>#N/A</v>
      </c>
      <c r="P210" s="20" t="e">
        <f>INDEX('01_FASTPPH'!$9:$1048576,MATCH($A210,'01_FASTPPH'!$A$9:$A$1048576,0),MATCH(P$9,'01_FASTPPH'!$8:$8,0))</f>
        <v>#N/A</v>
      </c>
      <c r="Q210" s="20" t="e">
        <f>INDEX('01_FASTPPH'!$9:$1048576,MATCH($A210,'01_FASTPPH'!$A$9:$A$1048576,0),MATCH(Q$9,'01_FASTPPH'!$8:$8,0))</f>
        <v>#N/A</v>
      </c>
      <c r="R210" s="20" t="e">
        <f>INDEX('01_FASTPPH'!$9:$1048576,MATCH($A210,'01_FASTPPH'!$A$9:$A$1048576,0),MATCH(R$9,'01_FASTPPH'!$8:$8,0))</f>
        <v>#N/A</v>
      </c>
      <c r="S210" s="20" t="e">
        <f>INDEX('01_FASTPPH'!$9:$1048576,MATCH($A210,'01_FASTPPH'!$A$9:$A$1048576,0),MATCH(S$9,'01_FASTPPH'!$8:$8,0))</f>
        <v>#N/A</v>
      </c>
      <c r="T210" s="24" t="e">
        <f>INDEX('01_FASTPPH'!$9:$1048576,MATCH($A210,'01_FASTPPH'!$A$9:$A$1048576,0),MATCH(T$9,'01_FASTPPH'!$8:$8,0))</f>
        <v>#N/A</v>
      </c>
      <c r="U210" s="23" t="e">
        <f>INDEX('01_FASTPPH'!$9:$1048576,MATCH($A210,'01_FASTPPH'!$A$9:$A$1048576,0),MATCH(U$9,'01_FASTPPH'!$8:$8,0))</f>
        <v>#N/A</v>
      </c>
      <c r="V210" s="20" t="e">
        <f>INDEX('01_FASTPPH'!$9:$1048576,MATCH($A210,'01_FASTPPH'!$A$9:$A$1048576,0),MATCH(V$9,'01_FASTPPH'!$8:$8,0))</f>
        <v>#N/A</v>
      </c>
      <c r="W210" s="24" t="e">
        <f>INDEX('01_FASTPPH'!$9:$1048576,MATCH($A210,'01_FASTPPH'!$A$9:$A$1048576,0),MATCH(W$9,'01_FASTPPH'!$8:$8,0))</f>
        <v>#N/A</v>
      </c>
      <c r="X210" s="20" t="e">
        <f>INDEX('01_FASTPPH'!$9:$1048576,MATCH($A210,'01_FASTPPH'!$A$9:$A$1048576,0),MATCH(X$9,'01_FASTPPH'!$8:$8,0))</f>
        <v>#N/A</v>
      </c>
      <c r="Y210" s="20" t="e">
        <f>INDEX('01_FASTPPH'!$9:$1048576,MATCH($A210,'01_FASTPPH'!$A$9:$A$1048576,0),MATCH(Y$9,'01_FASTPPH'!$8:$8,0))</f>
        <v>#N/A</v>
      </c>
      <c r="AA210" s="32" t="e">
        <f>INDEX('02_PROPERTIES'!$C$10:$I$1048576,MATCH('03_CALCULATIONS'!$D210,'02_PROPERTIES'!$C$10:$C$1048576,0),MATCH('03_CALCULATIONS'!AA$9,'02_PROPERTIES'!$C$10:$I$10,0))</f>
        <v>#N/A</v>
      </c>
      <c r="AB210" s="20" t="e">
        <f>INDEX('02_PROPERTIES'!$C$10:$I$1048576,MATCH('03_CALCULATIONS'!$D210,'02_PROPERTIES'!$C$10:$C$1048576,0),MATCH('03_CALCULATIONS'!AB$9,'02_PROPERTIES'!$C$10:$I$10,0))</f>
        <v>#N/A</v>
      </c>
      <c r="AC210" s="20" t="e">
        <f>INDEX('02_PROPERTIES'!$C$10:$I$1048576,MATCH('03_CALCULATIONS'!$D210,'02_PROPERTIES'!$C$10:$C$1048576,0),MATCH('03_CALCULATIONS'!AC$9,'02_PROPERTIES'!$C$10:$I$10,0))</f>
        <v>#N/A</v>
      </c>
      <c r="AD210" s="20" t="e">
        <f>INDEX('02_PROPERTIES'!$C$10:$I$1048576,MATCH('03_CALCULATIONS'!$D210,'02_PROPERTIES'!$C$10:$C$1048576,0),MATCH('03_CALCULATIONS'!AD$9,'02_PROPERTIES'!$C$10:$I$10,0))</f>
        <v>#N/A</v>
      </c>
      <c r="AE210" s="32" t="e">
        <f>INDEX('02_PROPERTIES'!$C$10:$I$1048576,MATCH('03_CALCULATIONS'!$D210,'02_PROPERTIES'!$C$10:$C$1048576,0),MATCH('03_CALCULATIONS'!AE$9,'02_PROPERTIES'!$C$10:$I$10,0))</f>
        <v>#N/A</v>
      </c>
      <c r="AF210" s="32" t="e">
        <f>INDEX('02_PROPERTIES'!$C$10:$I$1048576,MATCH('03_CALCULATIONS'!$D210,'02_PROPERTIES'!$C$10:$C$1048576,0),MATCH('03_CALCULATIONS'!AF$9,'02_PROPERTIES'!$C$10:$I$10,0))</f>
        <v>#N/A</v>
      </c>
      <c r="AH210" s="20" t="e">
        <f t="shared" si="33"/>
        <v>#N/A</v>
      </c>
      <c r="AI210" s="20" t="e">
        <f t="shared" si="34"/>
        <v>#N/A</v>
      </c>
      <c r="AJ210" s="20" t="e">
        <f t="shared" si="35"/>
        <v>#N/A</v>
      </c>
      <c r="AL210" s="20" t="e">
        <f t="shared" si="36"/>
        <v>#N/A</v>
      </c>
      <c r="AM210" s="20" t="e">
        <f t="shared" si="37"/>
        <v>#N/A</v>
      </c>
      <c r="AN210" s="20" t="e">
        <f t="shared" si="38"/>
        <v>#N/A</v>
      </c>
      <c r="AO210" s="20" t="e">
        <f t="shared" si="39"/>
        <v>#N/A</v>
      </c>
      <c r="AP210" s="20" t="e">
        <f t="shared" si="40"/>
        <v>#N/A</v>
      </c>
      <c r="AR210" s="20" t="e">
        <f t="shared" si="41"/>
        <v>#N/A</v>
      </c>
      <c r="AS210" s="20" t="e">
        <f t="shared" si="42"/>
        <v>#N/A</v>
      </c>
      <c r="AT210" s="20" t="e">
        <f t="shared" si="43"/>
        <v>#N/A</v>
      </c>
    </row>
    <row r="211" spans="1:46" x14ac:dyDescent="0.3">
      <c r="A211" s="18"/>
      <c r="B211" s="20" t="e">
        <f>INDEX('01_FASTPPH'!$9:$1048576,MATCH($A211,'01_FASTPPH'!$A$9:$A$1048576,0),MATCH(B$9,'01_FASTPPH'!$8:$8,0))</f>
        <v>#N/A</v>
      </c>
      <c r="C211" s="20" t="e">
        <f>INDEX('01_FASTPPH'!$9:$1048576,MATCH($A211,'01_FASTPPH'!$A$9:$A$1048576,0),MATCH(C$9,'01_FASTPPH'!$8:$8,0))</f>
        <v>#N/A</v>
      </c>
      <c r="D211" s="20" t="e">
        <f>INDEX('01_FASTPPH'!$9:$1048576,MATCH($A211,'01_FASTPPH'!$A$9:$A$1048576,0),MATCH(D$9,'01_FASTPPH'!$8:$8,0))</f>
        <v>#N/A</v>
      </c>
      <c r="E211" s="20" t="e">
        <f>INDEX('01_FASTPPH'!$9:$1048576,MATCH($A211,'01_FASTPPH'!$A$9:$A$1048576,0),MATCH(E$9,'01_FASTPPH'!$8:$8,0))</f>
        <v>#N/A</v>
      </c>
      <c r="F211" s="20" t="e">
        <f>INDEX('01_FASTPPH'!$9:$1048576,MATCH($A211,'01_FASTPPH'!$A$9:$A$1048576,0),MATCH(F$9,'01_FASTPPH'!$8:$8,0))</f>
        <v>#N/A</v>
      </c>
      <c r="G211" s="20" t="e">
        <f>INDEX('01_FASTPPH'!$9:$1048576,MATCH($A211,'01_FASTPPH'!$A$9:$A$1048576,0),MATCH(G$9,'01_FASTPPH'!$8:$8,0))</f>
        <v>#N/A</v>
      </c>
      <c r="H211" s="20" t="e">
        <f>INDEX('01_FASTPPH'!$9:$1048576,MATCH($A211,'01_FASTPPH'!$A$9:$A$1048576,0),MATCH(H$9,'01_FASTPPH'!$8:$8,0))</f>
        <v>#N/A</v>
      </c>
      <c r="I211" s="20" t="e">
        <f>INDEX('01_FASTPPH'!$9:$1048576,MATCH($A211,'01_FASTPPH'!$A$9:$A$1048576,0),MATCH(I$9,'01_FASTPPH'!$8:$8,0))</f>
        <v>#N/A</v>
      </c>
      <c r="J211" s="20" t="e">
        <f>INDEX('01_FASTPPH'!$9:$1048576,MATCH($A211,'01_FASTPPH'!$A$9:$A$1048576,0),MATCH(J$9,'01_FASTPPH'!$8:$8,0))</f>
        <v>#N/A</v>
      </c>
      <c r="K211" s="23" t="e">
        <f>INDEX('01_FASTPPH'!$9:$1048576,MATCH($A211,'01_FASTPPH'!$A$9:$A$1048576,0),MATCH(K$9,'01_FASTPPH'!$8:$8,0))</f>
        <v>#N/A</v>
      </c>
      <c r="L211" s="20" t="e">
        <f>INDEX('01_FASTPPH'!$9:$1048576,MATCH($A211,'01_FASTPPH'!$A$9:$A$1048576,0),MATCH(L$9,'01_FASTPPH'!$8:$8,0))</f>
        <v>#N/A</v>
      </c>
      <c r="M211" s="20" t="e">
        <f>INDEX('01_FASTPPH'!$9:$1048576,MATCH($A211,'01_FASTPPH'!$A$9:$A$1048576,0),MATCH(M$9,'01_FASTPPH'!$8:$8,0))</f>
        <v>#N/A</v>
      </c>
      <c r="N211" s="24" t="e">
        <f>INDEX('01_FASTPPH'!$9:$1048576,MATCH($A211,'01_FASTPPH'!$A$9:$A$1048576,0),MATCH(N$9,'01_FASTPPH'!$8:$8,0))</f>
        <v>#N/A</v>
      </c>
      <c r="O211" s="23" t="e">
        <f>INDEX('01_FASTPPH'!$9:$1048576,MATCH($A211,'01_FASTPPH'!$A$9:$A$1048576,0),MATCH(O$9,'01_FASTPPH'!$8:$8,0))</f>
        <v>#N/A</v>
      </c>
      <c r="P211" s="20" t="e">
        <f>INDEX('01_FASTPPH'!$9:$1048576,MATCH($A211,'01_FASTPPH'!$A$9:$A$1048576,0),MATCH(P$9,'01_FASTPPH'!$8:$8,0))</f>
        <v>#N/A</v>
      </c>
      <c r="Q211" s="20" t="e">
        <f>INDEX('01_FASTPPH'!$9:$1048576,MATCH($A211,'01_FASTPPH'!$A$9:$A$1048576,0),MATCH(Q$9,'01_FASTPPH'!$8:$8,0))</f>
        <v>#N/A</v>
      </c>
      <c r="R211" s="20" t="e">
        <f>INDEX('01_FASTPPH'!$9:$1048576,MATCH($A211,'01_FASTPPH'!$A$9:$A$1048576,0),MATCH(R$9,'01_FASTPPH'!$8:$8,0))</f>
        <v>#N/A</v>
      </c>
      <c r="S211" s="20" t="e">
        <f>INDEX('01_FASTPPH'!$9:$1048576,MATCH($A211,'01_FASTPPH'!$A$9:$A$1048576,0),MATCH(S$9,'01_FASTPPH'!$8:$8,0))</f>
        <v>#N/A</v>
      </c>
      <c r="T211" s="24" t="e">
        <f>INDEX('01_FASTPPH'!$9:$1048576,MATCH($A211,'01_FASTPPH'!$A$9:$A$1048576,0),MATCH(T$9,'01_FASTPPH'!$8:$8,0))</f>
        <v>#N/A</v>
      </c>
      <c r="U211" s="23" t="e">
        <f>INDEX('01_FASTPPH'!$9:$1048576,MATCH($A211,'01_FASTPPH'!$A$9:$A$1048576,0),MATCH(U$9,'01_FASTPPH'!$8:$8,0))</f>
        <v>#N/A</v>
      </c>
      <c r="V211" s="20" t="e">
        <f>INDEX('01_FASTPPH'!$9:$1048576,MATCH($A211,'01_FASTPPH'!$A$9:$A$1048576,0),MATCH(V$9,'01_FASTPPH'!$8:$8,0))</f>
        <v>#N/A</v>
      </c>
      <c r="W211" s="24" t="e">
        <f>INDEX('01_FASTPPH'!$9:$1048576,MATCH($A211,'01_FASTPPH'!$A$9:$A$1048576,0),MATCH(W$9,'01_FASTPPH'!$8:$8,0))</f>
        <v>#N/A</v>
      </c>
      <c r="X211" s="20" t="e">
        <f>INDEX('01_FASTPPH'!$9:$1048576,MATCH($A211,'01_FASTPPH'!$A$9:$A$1048576,0),MATCH(X$9,'01_FASTPPH'!$8:$8,0))</f>
        <v>#N/A</v>
      </c>
      <c r="Y211" s="20" t="e">
        <f>INDEX('01_FASTPPH'!$9:$1048576,MATCH($A211,'01_FASTPPH'!$A$9:$A$1048576,0),MATCH(Y$9,'01_FASTPPH'!$8:$8,0))</f>
        <v>#N/A</v>
      </c>
      <c r="AA211" s="32" t="e">
        <f>INDEX('02_PROPERTIES'!$C$10:$I$1048576,MATCH('03_CALCULATIONS'!$D211,'02_PROPERTIES'!$C$10:$C$1048576,0),MATCH('03_CALCULATIONS'!AA$9,'02_PROPERTIES'!$C$10:$I$10,0))</f>
        <v>#N/A</v>
      </c>
      <c r="AB211" s="20" t="e">
        <f>INDEX('02_PROPERTIES'!$C$10:$I$1048576,MATCH('03_CALCULATIONS'!$D211,'02_PROPERTIES'!$C$10:$C$1048576,0),MATCH('03_CALCULATIONS'!AB$9,'02_PROPERTIES'!$C$10:$I$10,0))</f>
        <v>#N/A</v>
      </c>
      <c r="AC211" s="20" t="e">
        <f>INDEX('02_PROPERTIES'!$C$10:$I$1048576,MATCH('03_CALCULATIONS'!$D211,'02_PROPERTIES'!$C$10:$C$1048576,0),MATCH('03_CALCULATIONS'!AC$9,'02_PROPERTIES'!$C$10:$I$10,0))</f>
        <v>#N/A</v>
      </c>
      <c r="AD211" s="20" t="e">
        <f>INDEX('02_PROPERTIES'!$C$10:$I$1048576,MATCH('03_CALCULATIONS'!$D211,'02_PROPERTIES'!$C$10:$C$1048576,0),MATCH('03_CALCULATIONS'!AD$9,'02_PROPERTIES'!$C$10:$I$10,0))</f>
        <v>#N/A</v>
      </c>
      <c r="AE211" s="32" t="e">
        <f>INDEX('02_PROPERTIES'!$C$10:$I$1048576,MATCH('03_CALCULATIONS'!$D211,'02_PROPERTIES'!$C$10:$C$1048576,0),MATCH('03_CALCULATIONS'!AE$9,'02_PROPERTIES'!$C$10:$I$10,0))</f>
        <v>#N/A</v>
      </c>
      <c r="AF211" s="32" t="e">
        <f>INDEX('02_PROPERTIES'!$C$10:$I$1048576,MATCH('03_CALCULATIONS'!$D211,'02_PROPERTIES'!$C$10:$C$1048576,0),MATCH('03_CALCULATIONS'!AF$9,'02_PROPERTIES'!$C$10:$I$10,0))</f>
        <v>#N/A</v>
      </c>
      <c r="AH211" s="20" t="e">
        <f t="shared" si="33"/>
        <v>#N/A</v>
      </c>
      <c r="AI211" s="20" t="e">
        <f t="shared" si="34"/>
        <v>#N/A</v>
      </c>
      <c r="AJ211" s="20" t="e">
        <f t="shared" si="35"/>
        <v>#N/A</v>
      </c>
      <c r="AL211" s="20" t="e">
        <f t="shared" si="36"/>
        <v>#N/A</v>
      </c>
      <c r="AM211" s="20" t="e">
        <f t="shared" si="37"/>
        <v>#N/A</v>
      </c>
      <c r="AN211" s="20" t="e">
        <f t="shared" si="38"/>
        <v>#N/A</v>
      </c>
      <c r="AO211" s="20" t="e">
        <f t="shared" si="39"/>
        <v>#N/A</v>
      </c>
      <c r="AP211" s="20" t="e">
        <f t="shared" si="40"/>
        <v>#N/A</v>
      </c>
      <c r="AR211" s="20" t="e">
        <f t="shared" si="41"/>
        <v>#N/A</v>
      </c>
      <c r="AS211" s="20" t="e">
        <f t="shared" si="42"/>
        <v>#N/A</v>
      </c>
      <c r="AT211" s="20" t="e">
        <f t="shared" si="43"/>
        <v>#N/A</v>
      </c>
    </row>
    <row r="212" spans="1:46" x14ac:dyDescent="0.3">
      <c r="A212" s="18"/>
      <c r="B212" s="20" t="e">
        <f>INDEX('01_FASTPPH'!$9:$1048576,MATCH($A212,'01_FASTPPH'!$A$9:$A$1048576,0),MATCH(B$9,'01_FASTPPH'!$8:$8,0))</f>
        <v>#N/A</v>
      </c>
      <c r="C212" s="20" t="e">
        <f>INDEX('01_FASTPPH'!$9:$1048576,MATCH($A212,'01_FASTPPH'!$A$9:$A$1048576,0),MATCH(C$9,'01_FASTPPH'!$8:$8,0))</f>
        <v>#N/A</v>
      </c>
      <c r="D212" s="20" t="e">
        <f>INDEX('01_FASTPPH'!$9:$1048576,MATCH($A212,'01_FASTPPH'!$A$9:$A$1048576,0),MATCH(D$9,'01_FASTPPH'!$8:$8,0))</f>
        <v>#N/A</v>
      </c>
      <c r="E212" s="20" t="e">
        <f>INDEX('01_FASTPPH'!$9:$1048576,MATCH($A212,'01_FASTPPH'!$A$9:$A$1048576,0),MATCH(E$9,'01_FASTPPH'!$8:$8,0))</f>
        <v>#N/A</v>
      </c>
      <c r="F212" s="20" t="e">
        <f>INDEX('01_FASTPPH'!$9:$1048576,MATCH($A212,'01_FASTPPH'!$A$9:$A$1048576,0),MATCH(F$9,'01_FASTPPH'!$8:$8,0))</f>
        <v>#N/A</v>
      </c>
      <c r="G212" s="20" t="e">
        <f>INDEX('01_FASTPPH'!$9:$1048576,MATCH($A212,'01_FASTPPH'!$A$9:$A$1048576,0),MATCH(G$9,'01_FASTPPH'!$8:$8,0))</f>
        <v>#N/A</v>
      </c>
      <c r="H212" s="20" t="e">
        <f>INDEX('01_FASTPPH'!$9:$1048576,MATCH($A212,'01_FASTPPH'!$A$9:$A$1048576,0),MATCH(H$9,'01_FASTPPH'!$8:$8,0))</f>
        <v>#N/A</v>
      </c>
      <c r="I212" s="20" t="e">
        <f>INDEX('01_FASTPPH'!$9:$1048576,MATCH($A212,'01_FASTPPH'!$A$9:$A$1048576,0),MATCH(I$9,'01_FASTPPH'!$8:$8,0))</f>
        <v>#N/A</v>
      </c>
      <c r="J212" s="20" t="e">
        <f>INDEX('01_FASTPPH'!$9:$1048576,MATCH($A212,'01_FASTPPH'!$A$9:$A$1048576,0),MATCH(J$9,'01_FASTPPH'!$8:$8,0))</f>
        <v>#N/A</v>
      </c>
      <c r="K212" s="23" t="e">
        <f>INDEX('01_FASTPPH'!$9:$1048576,MATCH($A212,'01_FASTPPH'!$A$9:$A$1048576,0),MATCH(K$9,'01_FASTPPH'!$8:$8,0))</f>
        <v>#N/A</v>
      </c>
      <c r="L212" s="20" t="e">
        <f>INDEX('01_FASTPPH'!$9:$1048576,MATCH($A212,'01_FASTPPH'!$A$9:$A$1048576,0),MATCH(L$9,'01_FASTPPH'!$8:$8,0))</f>
        <v>#N/A</v>
      </c>
      <c r="M212" s="20" t="e">
        <f>INDEX('01_FASTPPH'!$9:$1048576,MATCH($A212,'01_FASTPPH'!$A$9:$A$1048576,0),MATCH(M$9,'01_FASTPPH'!$8:$8,0))</f>
        <v>#N/A</v>
      </c>
      <c r="N212" s="24" t="e">
        <f>INDEX('01_FASTPPH'!$9:$1048576,MATCH($A212,'01_FASTPPH'!$A$9:$A$1048576,0),MATCH(N$9,'01_FASTPPH'!$8:$8,0))</f>
        <v>#N/A</v>
      </c>
      <c r="O212" s="23" t="e">
        <f>INDEX('01_FASTPPH'!$9:$1048576,MATCH($A212,'01_FASTPPH'!$A$9:$A$1048576,0),MATCH(O$9,'01_FASTPPH'!$8:$8,0))</f>
        <v>#N/A</v>
      </c>
      <c r="P212" s="20" t="e">
        <f>INDEX('01_FASTPPH'!$9:$1048576,MATCH($A212,'01_FASTPPH'!$A$9:$A$1048576,0),MATCH(P$9,'01_FASTPPH'!$8:$8,0))</f>
        <v>#N/A</v>
      </c>
      <c r="Q212" s="20" t="e">
        <f>INDEX('01_FASTPPH'!$9:$1048576,MATCH($A212,'01_FASTPPH'!$A$9:$A$1048576,0),MATCH(Q$9,'01_FASTPPH'!$8:$8,0))</f>
        <v>#N/A</v>
      </c>
      <c r="R212" s="20" t="e">
        <f>INDEX('01_FASTPPH'!$9:$1048576,MATCH($A212,'01_FASTPPH'!$A$9:$A$1048576,0),MATCH(R$9,'01_FASTPPH'!$8:$8,0))</f>
        <v>#N/A</v>
      </c>
      <c r="S212" s="20" t="e">
        <f>INDEX('01_FASTPPH'!$9:$1048576,MATCH($A212,'01_FASTPPH'!$A$9:$A$1048576,0),MATCH(S$9,'01_FASTPPH'!$8:$8,0))</f>
        <v>#N/A</v>
      </c>
      <c r="T212" s="24" t="e">
        <f>INDEX('01_FASTPPH'!$9:$1048576,MATCH($A212,'01_FASTPPH'!$A$9:$A$1048576,0),MATCH(T$9,'01_FASTPPH'!$8:$8,0))</f>
        <v>#N/A</v>
      </c>
      <c r="U212" s="23" t="e">
        <f>INDEX('01_FASTPPH'!$9:$1048576,MATCH($A212,'01_FASTPPH'!$A$9:$A$1048576,0),MATCH(U$9,'01_FASTPPH'!$8:$8,0))</f>
        <v>#N/A</v>
      </c>
      <c r="V212" s="20" t="e">
        <f>INDEX('01_FASTPPH'!$9:$1048576,MATCH($A212,'01_FASTPPH'!$A$9:$A$1048576,0),MATCH(V$9,'01_FASTPPH'!$8:$8,0))</f>
        <v>#N/A</v>
      </c>
      <c r="W212" s="24" t="e">
        <f>INDEX('01_FASTPPH'!$9:$1048576,MATCH($A212,'01_FASTPPH'!$A$9:$A$1048576,0),MATCH(W$9,'01_FASTPPH'!$8:$8,0))</f>
        <v>#N/A</v>
      </c>
      <c r="X212" s="20" t="e">
        <f>INDEX('01_FASTPPH'!$9:$1048576,MATCH($A212,'01_FASTPPH'!$A$9:$A$1048576,0),MATCH(X$9,'01_FASTPPH'!$8:$8,0))</f>
        <v>#N/A</v>
      </c>
      <c r="Y212" s="20" t="e">
        <f>INDEX('01_FASTPPH'!$9:$1048576,MATCH($A212,'01_FASTPPH'!$A$9:$A$1048576,0),MATCH(Y$9,'01_FASTPPH'!$8:$8,0))</f>
        <v>#N/A</v>
      </c>
      <c r="AA212" s="32" t="e">
        <f>INDEX('02_PROPERTIES'!$C$10:$I$1048576,MATCH('03_CALCULATIONS'!$D212,'02_PROPERTIES'!$C$10:$C$1048576,0),MATCH('03_CALCULATIONS'!AA$9,'02_PROPERTIES'!$C$10:$I$10,0))</f>
        <v>#N/A</v>
      </c>
      <c r="AB212" s="20" t="e">
        <f>INDEX('02_PROPERTIES'!$C$10:$I$1048576,MATCH('03_CALCULATIONS'!$D212,'02_PROPERTIES'!$C$10:$C$1048576,0),MATCH('03_CALCULATIONS'!AB$9,'02_PROPERTIES'!$C$10:$I$10,0))</f>
        <v>#N/A</v>
      </c>
      <c r="AC212" s="20" t="e">
        <f>INDEX('02_PROPERTIES'!$C$10:$I$1048576,MATCH('03_CALCULATIONS'!$D212,'02_PROPERTIES'!$C$10:$C$1048576,0),MATCH('03_CALCULATIONS'!AC$9,'02_PROPERTIES'!$C$10:$I$10,0))</f>
        <v>#N/A</v>
      </c>
      <c r="AD212" s="20" t="e">
        <f>INDEX('02_PROPERTIES'!$C$10:$I$1048576,MATCH('03_CALCULATIONS'!$D212,'02_PROPERTIES'!$C$10:$C$1048576,0),MATCH('03_CALCULATIONS'!AD$9,'02_PROPERTIES'!$C$10:$I$10,0))</f>
        <v>#N/A</v>
      </c>
      <c r="AE212" s="32" t="e">
        <f>INDEX('02_PROPERTIES'!$C$10:$I$1048576,MATCH('03_CALCULATIONS'!$D212,'02_PROPERTIES'!$C$10:$C$1048576,0),MATCH('03_CALCULATIONS'!AE$9,'02_PROPERTIES'!$C$10:$I$10,0))</f>
        <v>#N/A</v>
      </c>
      <c r="AF212" s="32" t="e">
        <f>INDEX('02_PROPERTIES'!$C$10:$I$1048576,MATCH('03_CALCULATIONS'!$D212,'02_PROPERTIES'!$C$10:$C$1048576,0),MATCH('03_CALCULATIONS'!AF$9,'02_PROPERTIES'!$C$10:$I$10,0))</f>
        <v>#N/A</v>
      </c>
      <c r="AH212" s="20" t="e">
        <f t="shared" si="33"/>
        <v>#N/A</v>
      </c>
      <c r="AI212" s="20" t="e">
        <f t="shared" si="34"/>
        <v>#N/A</v>
      </c>
      <c r="AJ212" s="20" t="e">
        <f t="shared" si="35"/>
        <v>#N/A</v>
      </c>
      <c r="AL212" s="20" t="e">
        <f t="shared" si="36"/>
        <v>#N/A</v>
      </c>
      <c r="AM212" s="20" t="e">
        <f t="shared" si="37"/>
        <v>#N/A</v>
      </c>
      <c r="AN212" s="20" t="e">
        <f t="shared" si="38"/>
        <v>#N/A</v>
      </c>
      <c r="AO212" s="20" t="e">
        <f t="shared" si="39"/>
        <v>#N/A</v>
      </c>
      <c r="AP212" s="20" t="e">
        <f t="shared" si="40"/>
        <v>#N/A</v>
      </c>
      <c r="AR212" s="20" t="e">
        <f t="shared" si="41"/>
        <v>#N/A</v>
      </c>
      <c r="AS212" s="20" t="e">
        <f t="shared" si="42"/>
        <v>#N/A</v>
      </c>
      <c r="AT212" s="20" t="e">
        <f t="shared" si="43"/>
        <v>#N/A</v>
      </c>
    </row>
    <row r="213" spans="1:46" x14ac:dyDescent="0.3">
      <c r="A213" s="18"/>
      <c r="B213" s="20" t="e">
        <f>INDEX('01_FASTPPH'!$9:$1048576,MATCH($A213,'01_FASTPPH'!$A$9:$A$1048576,0),MATCH(B$9,'01_FASTPPH'!$8:$8,0))</f>
        <v>#N/A</v>
      </c>
      <c r="C213" s="20" t="e">
        <f>INDEX('01_FASTPPH'!$9:$1048576,MATCH($A213,'01_FASTPPH'!$A$9:$A$1048576,0),MATCH(C$9,'01_FASTPPH'!$8:$8,0))</f>
        <v>#N/A</v>
      </c>
      <c r="D213" s="20" t="e">
        <f>INDEX('01_FASTPPH'!$9:$1048576,MATCH($A213,'01_FASTPPH'!$A$9:$A$1048576,0),MATCH(D$9,'01_FASTPPH'!$8:$8,0))</f>
        <v>#N/A</v>
      </c>
      <c r="E213" s="20" t="e">
        <f>INDEX('01_FASTPPH'!$9:$1048576,MATCH($A213,'01_FASTPPH'!$A$9:$A$1048576,0),MATCH(E$9,'01_FASTPPH'!$8:$8,0))</f>
        <v>#N/A</v>
      </c>
      <c r="F213" s="20" t="e">
        <f>INDEX('01_FASTPPH'!$9:$1048576,MATCH($A213,'01_FASTPPH'!$A$9:$A$1048576,0),MATCH(F$9,'01_FASTPPH'!$8:$8,0))</f>
        <v>#N/A</v>
      </c>
      <c r="G213" s="20" t="e">
        <f>INDEX('01_FASTPPH'!$9:$1048576,MATCH($A213,'01_FASTPPH'!$A$9:$A$1048576,0),MATCH(G$9,'01_FASTPPH'!$8:$8,0))</f>
        <v>#N/A</v>
      </c>
      <c r="H213" s="20" t="e">
        <f>INDEX('01_FASTPPH'!$9:$1048576,MATCH($A213,'01_FASTPPH'!$A$9:$A$1048576,0),MATCH(H$9,'01_FASTPPH'!$8:$8,0))</f>
        <v>#N/A</v>
      </c>
      <c r="I213" s="20" t="e">
        <f>INDEX('01_FASTPPH'!$9:$1048576,MATCH($A213,'01_FASTPPH'!$A$9:$A$1048576,0),MATCH(I$9,'01_FASTPPH'!$8:$8,0))</f>
        <v>#N/A</v>
      </c>
      <c r="J213" s="20" t="e">
        <f>INDEX('01_FASTPPH'!$9:$1048576,MATCH($A213,'01_FASTPPH'!$A$9:$A$1048576,0),MATCH(J$9,'01_FASTPPH'!$8:$8,0))</f>
        <v>#N/A</v>
      </c>
      <c r="K213" s="23" t="e">
        <f>INDEX('01_FASTPPH'!$9:$1048576,MATCH($A213,'01_FASTPPH'!$A$9:$A$1048576,0),MATCH(K$9,'01_FASTPPH'!$8:$8,0))</f>
        <v>#N/A</v>
      </c>
      <c r="L213" s="20" t="e">
        <f>INDEX('01_FASTPPH'!$9:$1048576,MATCH($A213,'01_FASTPPH'!$A$9:$A$1048576,0),MATCH(L$9,'01_FASTPPH'!$8:$8,0))</f>
        <v>#N/A</v>
      </c>
      <c r="M213" s="20" t="e">
        <f>INDEX('01_FASTPPH'!$9:$1048576,MATCH($A213,'01_FASTPPH'!$A$9:$A$1048576,0),MATCH(M$9,'01_FASTPPH'!$8:$8,0))</f>
        <v>#N/A</v>
      </c>
      <c r="N213" s="24" t="e">
        <f>INDEX('01_FASTPPH'!$9:$1048576,MATCH($A213,'01_FASTPPH'!$A$9:$A$1048576,0),MATCH(N$9,'01_FASTPPH'!$8:$8,0))</f>
        <v>#N/A</v>
      </c>
      <c r="O213" s="23" t="e">
        <f>INDEX('01_FASTPPH'!$9:$1048576,MATCH($A213,'01_FASTPPH'!$A$9:$A$1048576,0),MATCH(O$9,'01_FASTPPH'!$8:$8,0))</f>
        <v>#N/A</v>
      </c>
      <c r="P213" s="20" t="e">
        <f>INDEX('01_FASTPPH'!$9:$1048576,MATCH($A213,'01_FASTPPH'!$A$9:$A$1048576,0),MATCH(P$9,'01_FASTPPH'!$8:$8,0))</f>
        <v>#N/A</v>
      </c>
      <c r="Q213" s="20" t="e">
        <f>INDEX('01_FASTPPH'!$9:$1048576,MATCH($A213,'01_FASTPPH'!$A$9:$A$1048576,0),MATCH(Q$9,'01_FASTPPH'!$8:$8,0))</f>
        <v>#N/A</v>
      </c>
      <c r="R213" s="20" t="e">
        <f>INDEX('01_FASTPPH'!$9:$1048576,MATCH($A213,'01_FASTPPH'!$A$9:$A$1048576,0),MATCH(R$9,'01_FASTPPH'!$8:$8,0))</f>
        <v>#N/A</v>
      </c>
      <c r="S213" s="20" t="e">
        <f>INDEX('01_FASTPPH'!$9:$1048576,MATCH($A213,'01_FASTPPH'!$A$9:$A$1048576,0),MATCH(S$9,'01_FASTPPH'!$8:$8,0))</f>
        <v>#N/A</v>
      </c>
      <c r="T213" s="24" t="e">
        <f>INDEX('01_FASTPPH'!$9:$1048576,MATCH($A213,'01_FASTPPH'!$A$9:$A$1048576,0),MATCH(T$9,'01_FASTPPH'!$8:$8,0))</f>
        <v>#N/A</v>
      </c>
      <c r="U213" s="23" t="e">
        <f>INDEX('01_FASTPPH'!$9:$1048576,MATCH($A213,'01_FASTPPH'!$A$9:$A$1048576,0),MATCH(U$9,'01_FASTPPH'!$8:$8,0))</f>
        <v>#N/A</v>
      </c>
      <c r="V213" s="20" t="e">
        <f>INDEX('01_FASTPPH'!$9:$1048576,MATCH($A213,'01_FASTPPH'!$A$9:$A$1048576,0),MATCH(V$9,'01_FASTPPH'!$8:$8,0))</f>
        <v>#N/A</v>
      </c>
      <c r="W213" s="24" t="e">
        <f>INDEX('01_FASTPPH'!$9:$1048576,MATCH($A213,'01_FASTPPH'!$A$9:$A$1048576,0),MATCH(W$9,'01_FASTPPH'!$8:$8,0))</f>
        <v>#N/A</v>
      </c>
      <c r="X213" s="20" t="e">
        <f>INDEX('01_FASTPPH'!$9:$1048576,MATCH($A213,'01_FASTPPH'!$A$9:$A$1048576,0),MATCH(X$9,'01_FASTPPH'!$8:$8,0))</f>
        <v>#N/A</v>
      </c>
      <c r="Y213" s="20" t="e">
        <f>INDEX('01_FASTPPH'!$9:$1048576,MATCH($A213,'01_FASTPPH'!$A$9:$A$1048576,0),MATCH(Y$9,'01_FASTPPH'!$8:$8,0))</f>
        <v>#N/A</v>
      </c>
      <c r="AA213" s="32" t="e">
        <f>INDEX('02_PROPERTIES'!$C$10:$I$1048576,MATCH('03_CALCULATIONS'!$D213,'02_PROPERTIES'!$C$10:$C$1048576,0),MATCH('03_CALCULATIONS'!AA$9,'02_PROPERTIES'!$C$10:$I$10,0))</f>
        <v>#N/A</v>
      </c>
      <c r="AB213" s="20" t="e">
        <f>INDEX('02_PROPERTIES'!$C$10:$I$1048576,MATCH('03_CALCULATIONS'!$D213,'02_PROPERTIES'!$C$10:$C$1048576,0),MATCH('03_CALCULATIONS'!AB$9,'02_PROPERTIES'!$C$10:$I$10,0))</f>
        <v>#N/A</v>
      </c>
      <c r="AC213" s="20" t="e">
        <f>INDEX('02_PROPERTIES'!$C$10:$I$1048576,MATCH('03_CALCULATIONS'!$D213,'02_PROPERTIES'!$C$10:$C$1048576,0),MATCH('03_CALCULATIONS'!AC$9,'02_PROPERTIES'!$C$10:$I$10,0))</f>
        <v>#N/A</v>
      </c>
      <c r="AD213" s="20" t="e">
        <f>INDEX('02_PROPERTIES'!$C$10:$I$1048576,MATCH('03_CALCULATIONS'!$D213,'02_PROPERTIES'!$C$10:$C$1048576,0),MATCH('03_CALCULATIONS'!AD$9,'02_PROPERTIES'!$C$10:$I$10,0))</f>
        <v>#N/A</v>
      </c>
      <c r="AE213" s="32" t="e">
        <f>INDEX('02_PROPERTIES'!$C$10:$I$1048576,MATCH('03_CALCULATIONS'!$D213,'02_PROPERTIES'!$C$10:$C$1048576,0),MATCH('03_CALCULATIONS'!AE$9,'02_PROPERTIES'!$C$10:$I$10,0))</f>
        <v>#N/A</v>
      </c>
      <c r="AF213" s="32" t="e">
        <f>INDEX('02_PROPERTIES'!$C$10:$I$1048576,MATCH('03_CALCULATIONS'!$D213,'02_PROPERTIES'!$C$10:$C$1048576,0),MATCH('03_CALCULATIONS'!AF$9,'02_PROPERTIES'!$C$10:$I$10,0))</f>
        <v>#N/A</v>
      </c>
      <c r="AH213" s="20" t="e">
        <f t="shared" si="33"/>
        <v>#N/A</v>
      </c>
      <c r="AI213" s="20" t="e">
        <f t="shared" si="34"/>
        <v>#N/A</v>
      </c>
      <c r="AJ213" s="20" t="e">
        <f t="shared" si="35"/>
        <v>#N/A</v>
      </c>
      <c r="AL213" s="20" t="e">
        <f t="shared" si="36"/>
        <v>#N/A</v>
      </c>
      <c r="AM213" s="20" t="e">
        <f t="shared" si="37"/>
        <v>#N/A</v>
      </c>
      <c r="AN213" s="20" t="e">
        <f t="shared" si="38"/>
        <v>#N/A</v>
      </c>
      <c r="AO213" s="20" t="e">
        <f t="shared" si="39"/>
        <v>#N/A</v>
      </c>
      <c r="AP213" s="20" t="e">
        <f t="shared" si="40"/>
        <v>#N/A</v>
      </c>
      <c r="AR213" s="20" t="e">
        <f t="shared" si="41"/>
        <v>#N/A</v>
      </c>
      <c r="AS213" s="20" t="e">
        <f t="shared" si="42"/>
        <v>#N/A</v>
      </c>
      <c r="AT213" s="20" t="e">
        <f t="shared" si="43"/>
        <v>#N/A</v>
      </c>
    </row>
    <row r="214" spans="1:46" x14ac:dyDescent="0.3">
      <c r="A214" s="18"/>
      <c r="B214" s="20" t="e">
        <f>INDEX('01_FASTPPH'!$9:$1048576,MATCH($A214,'01_FASTPPH'!$A$9:$A$1048576,0),MATCH(B$9,'01_FASTPPH'!$8:$8,0))</f>
        <v>#N/A</v>
      </c>
      <c r="C214" s="20" t="e">
        <f>INDEX('01_FASTPPH'!$9:$1048576,MATCH($A214,'01_FASTPPH'!$A$9:$A$1048576,0),MATCH(C$9,'01_FASTPPH'!$8:$8,0))</f>
        <v>#N/A</v>
      </c>
      <c r="D214" s="20" t="e">
        <f>INDEX('01_FASTPPH'!$9:$1048576,MATCH($A214,'01_FASTPPH'!$A$9:$A$1048576,0),MATCH(D$9,'01_FASTPPH'!$8:$8,0))</f>
        <v>#N/A</v>
      </c>
      <c r="E214" s="20" t="e">
        <f>INDEX('01_FASTPPH'!$9:$1048576,MATCH($A214,'01_FASTPPH'!$A$9:$A$1048576,0),MATCH(E$9,'01_FASTPPH'!$8:$8,0))</f>
        <v>#N/A</v>
      </c>
      <c r="F214" s="20" t="e">
        <f>INDEX('01_FASTPPH'!$9:$1048576,MATCH($A214,'01_FASTPPH'!$A$9:$A$1048576,0),MATCH(F$9,'01_FASTPPH'!$8:$8,0))</f>
        <v>#N/A</v>
      </c>
      <c r="G214" s="20" t="e">
        <f>INDEX('01_FASTPPH'!$9:$1048576,MATCH($A214,'01_FASTPPH'!$A$9:$A$1048576,0),MATCH(G$9,'01_FASTPPH'!$8:$8,0))</f>
        <v>#N/A</v>
      </c>
      <c r="H214" s="20" t="e">
        <f>INDEX('01_FASTPPH'!$9:$1048576,MATCH($A214,'01_FASTPPH'!$A$9:$A$1048576,0),MATCH(H$9,'01_FASTPPH'!$8:$8,0))</f>
        <v>#N/A</v>
      </c>
      <c r="I214" s="20" t="e">
        <f>INDEX('01_FASTPPH'!$9:$1048576,MATCH($A214,'01_FASTPPH'!$A$9:$A$1048576,0),MATCH(I$9,'01_FASTPPH'!$8:$8,0))</f>
        <v>#N/A</v>
      </c>
      <c r="J214" s="20" t="e">
        <f>INDEX('01_FASTPPH'!$9:$1048576,MATCH($A214,'01_FASTPPH'!$A$9:$A$1048576,0),MATCH(J$9,'01_FASTPPH'!$8:$8,0))</f>
        <v>#N/A</v>
      </c>
      <c r="K214" s="23" t="e">
        <f>INDEX('01_FASTPPH'!$9:$1048576,MATCH($A214,'01_FASTPPH'!$A$9:$A$1048576,0),MATCH(K$9,'01_FASTPPH'!$8:$8,0))</f>
        <v>#N/A</v>
      </c>
      <c r="L214" s="20" t="e">
        <f>INDEX('01_FASTPPH'!$9:$1048576,MATCH($A214,'01_FASTPPH'!$A$9:$A$1048576,0),MATCH(L$9,'01_FASTPPH'!$8:$8,0))</f>
        <v>#N/A</v>
      </c>
      <c r="M214" s="20" t="e">
        <f>INDEX('01_FASTPPH'!$9:$1048576,MATCH($A214,'01_FASTPPH'!$A$9:$A$1048576,0),MATCH(M$9,'01_FASTPPH'!$8:$8,0))</f>
        <v>#N/A</v>
      </c>
      <c r="N214" s="24" t="e">
        <f>INDEX('01_FASTPPH'!$9:$1048576,MATCH($A214,'01_FASTPPH'!$A$9:$A$1048576,0),MATCH(N$9,'01_FASTPPH'!$8:$8,0))</f>
        <v>#N/A</v>
      </c>
      <c r="O214" s="23" t="e">
        <f>INDEX('01_FASTPPH'!$9:$1048576,MATCH($A214,'01_FASTPPH'!$A$9:$A$1048576,0),MATCH(O$9,'01_FASTPPH'!$8:$8,0))</f>
        <v>#N/A</v>
      </c>
      <c r="P214" s="20" t="e">
        <f>INDEX('01_FASTPPH'!$9:$1048576,MATCH($A214,'01_FASTPPH'!$A$9:$A$1048576,0),MATCH(P$9,'01_FASTPPH'!$8:$8,0))</f>
        <v>#N/A</v>
      </c>
      <c r="Q214" s="20" t="e">
        <f>INDEX('01_FASTPPH'!$9:$1048576,MATCH($A214,'01_FASTPPH'!$A$9:$A$1048576,0),MATCH(Q$9,'01_FASTPPH'!$8:$8,0))</f>
        <v>#N/A</v>
      </c>
      <c r="R214" s="20" t="e">
        <f>INDEX('01_FASTPPH'!$9:$1048576,MATCH($A214,'01_FASTPPH'!$A$9:$A$1048576,0),MATCH(R$9,'01_FASTPPH'!$8:$8,0))</f>
        <v>#N/A</v>
      </c>
      <c r="S214" s="20" t="e">
        <f>INDEX('01_FASTPPH'!$9:$1048576,MATCH($A214,'01_FASTPPH'!$A$9:$A$1048576,0),MATCH(S$9,'01_FASTPPH'!$8:$8,0))</f>
        <v>#N/A</v>
      </c>
      <c r="T214" s="24" t="e">
        <f>INDEX('01_FASTPPH'!$9:$1048576,MATCH($A214,'01_FASTPPH'!$A$9:$A$1048576,0),MATCH(T$9,'01_FASTPPH'!$8:$8,0))</f>
        <v>#N/A</v>
      </c>
      <c r="U214" s="23" t="e">
        <f>INDEX('01_FASTPPH'!$9:$1048576,MATCH($A214,'01_FASTPPH'!$A$9:$A$1048576,0),MATCH(U$9,'01_FASTPPH'!$8:$8,0))</f>
        <v>#N/A</v>
      </c>
      <c r="V214" s="20" t="e">
        <f>INDEX('01_FASTPPH'!$9:$1048576,MATCH($A214,'01_FASTPPH'!$A$9:$A$1048576,0),MATCH(V$9,'01_FASTPPH'!$8:$8,0))</f>
        <v>#N/A</v>
      </c>
      <c r="W214" s="24" t="e">
        <f>INDEX('01_FASTPPH'!$9:$1048576,MATCH($A214,'01_FASTPPH'!$A$9:$A$1048576,0),MATCH(W$9,'01_FASTPPH'!$8:$8,0))</f>
        <v>#N/A</v>
      </c>
      <c r="X214" s="20" t="e">
        <f>INDEX('01_FASTPPH'!$9:$1048576,MATCH($A214,'01_FASTPPH'!$A$9:$A$1048576,0),MATCH(X$9,'01_FASTPPH'!$8:$8,0))</f>
        <v>#N/A</v>
      </c>
      <c r="Y214" s="20" t="e">
        <f>INDEX('01_FASTPPH'!$9:$1048576,MATCH($A214,'01_FASTPPH'!$A$9:$A$1048576,0),MATCH(Y$9,'01_FASTPPH'!$8:$8,0))</f>
        <v>#N/A</v>
      </c>
      <c r="AA214" s="32" t="e">
        <f>INDEX('02_PROPERTIES'!$C$10:$I$1048576,MATCH('03_CALCULATIONS'!$D214,'02_PROPERTIES'!$C$10:$C$1048576,0),MATCH('03_CALCULATIONS'!AA$9,'02_PROPERTIES'!$C$10:$I$10,0))</f>
        <v>#N/A</v>
      </c>
      <c r="AB214" s="20" t="e">
        <f>INDEX('02_PROPERTIES'!$C$10:$I$1048576,MATCH('03_CALCULATIONS'!$D214,'02_PROPERTIES'!$C$10:$C$1048576,0),MATCH('03_CALCULATIONS'!AB$9,'02_PROPERTIES'!$C$10:$I$10,0))</f>
        <v>#N/A</v>
      </c>
      <c r="AC214" s="20" t="e">
        <f>INDEX('02_PROPERTIES'!$C$10:$I$1048576,MATCH('03_CALCULATIONS'!$D214,'02_PROPERTIES'!$C$10:$C$1048576,0),MATCH('03_CALCULATIONS'!AC$9,'02_PROPERTIES'!$C$10:$I$10,0))</f>
        <v>#N/A</v>
      </c>
      <c r="AD214" s="20" t="e">
        <f>INDEX('02_PROPERTIES'!$C$10:$I$1048576,MATCH('03_CALCULATIONS'!$D214,'02_PROPERTIES'!$C$10:$C$1048576,0),MATCH('03_CALCULATIONS'!AD$9,'02_PROPERTIES'!$C$10:$I$10,0))</f>
        <v>#N/A</v>
      </c>
      <c r="AE214" s="32" t="e">
        <f>INDEX('02_PROPERTIES'!$C$10:$I$1048576,MATCH('03_CALCULATIONS'!$D214,'02_PROPERTIES'!$C$10:$C$1048576,0),MATCH('03_CALCULATIONS'!AE$9,'02_PROPERTIES'!$C$10:$I$10,0))</f>
        <v>#N/A</v>
      </c>
      <c r="AF214" s="32" t="e">
        <f>INDEX('02_PROPERTIES'!$C$10:$I$1048576,MATCH('03_CALCULATIONS'!$D214,'02_PROPERTIES'!$C$10:$C$1048576,0),MATCH('03_CALCULATIONS'!AF$9,'02_PROPERTIES'!$C$10:$I$10,0))</f>
        <v>#N/A</v>
      </c>
      <c r="AH214" s="20" t="e">
        <f t="shared" si="33"/>
        <v>#N/A</v>
      </c>
      <c r="AI214" s="20" t="e">
        <f t="shared" si="34"/>
        <v>#N/A</v>
      </c>
      <c r="AJ214" s="20" t="e">
        <f t="shared" si="35"/>
        <v>#N/A</v>
      </c>
      <c r="AL214" s="20" t="e">
        <f t="shared" si="36"/>
        <v>#N/A</v>
      </c>
      <c r="AM214" s="20" t="e">
        <f t="shared" si="37"/>
        <v>#N/A</v>
      </c>
      <c r="AN214" s="20" t="e">
        <f t="shared" si="38"/>
        <v>#N/A</v>
      </c>
      <c r="AO214" s="20" t="e">
        <f t="shared" si="39"/>
        <v>#N/A</v>
      </c>
      <c r="AP214" s="20" t="e">
        <f t="shared" si="40"/>
        <v>#N/A</v>
      </c>
      <c r="AR214" s="20" t="e">
        <f t="shared" si="41"/>
        <v>#N/A</v>
      </c>
      <c r="AS214" s="20" t="e">
        <f t="shared" si="42"/>
        <v>#N/A</v>
      </c>
      <c r="AT214" s="20" t="e">
        <f t="shared" si="43"/>
        <v>#N/A</v>
      </c>
    </row>
    <row r="215" spans="1:46" x14ac:dyDescent="0.3">
      <c r="A215" s="18"/>
      <c r="B215" s="20" t="e">
        <f>INDEX('01_FASTPPH'!$9:$1048576,MATCH($A215,'01_FASTPPH'!$A$9:$A$1048576,0),MATCH(B$9,'01_FASTPPH'!$8:$8,0))</f>
        <v>#N/A</v>
      </c>
      <c r="C215" s="20" t="e">
        <f>INDEX('01_FASTPPH'!$9:$1048576,MATCH($A215,'01_FASTPPH'!$A$9:$A$1048576,0),MATCH(C$9,'01_FASTPPH'!$8:$8,0))</f>
        <v>#N/A</v>
      </c>
      <c r="D215" s="20" t="e">
        <f>INDEX('01_FASTPPH'!$9:$1048576,MATCH($A215,'01_FASTPPH'!$A$9:$A$1048576,0),MATCH(D$9,'01_FASTPPH'!$8:$8,0))</f>
        <v>#N/A</v>
      </c>
      <c r="E215" s="20" t="e">
        <f>INDEX('01_FASTPPH'!$9:$1048576,MATCH($A215,'01_FASTPPH'!$A$9:$A$1048576,0),MATCH(E$9,'01_FASTPPH'!$8:$8,0))</f>
        <v>#N/A</v>
      </c>
      <c r="F215" s="20" t="e">
        <f>INDEX('01_FASTPPH'!$9:$1048576,MATCH($A215,'01_FASTPPH'!$A$9:$A$1048576,0),MATCH(F$9,'01_FASTPPH'!$8:$8,0))</f>
        <v>#N/A</v>
      </c>
      <c r="G215" s="20" t="e">
        <f>INDEX('01_FASTPPH'!$9:$1048576,MATCH($A215,'01_FASTPPH'!$A$9:$A$1048576,0),MATCH(G$9,'01_FASTPPH'!$8:$8,0))</f>
        <v>#N/A</v>
      </c>
      <c r="H215" s="20" t="e">
        <f>INDEX('01_FASTPPH'!$9:$1048576,MATCH($A215,'01_FASTPPH'!$A$9:$A$1048576,0),MATCH(H$9,'01_FASTPPH'!$8:$8,0))</f>
        <v>#N/A</v>
      </c>
      <c r="I215" s="20" t="e">
        <f>INDEX('01_FASTPPH'!$9:$1048576,MATCH($A215,'01_FASTPPH'!$A$9:$A$1048576,0),MATCH(I$9,'01_FASTPPH'!$8:$8,0))</f>
        <v>#N/A</v>
      </c>
      <c r="J215" s="20" t="e">
        <f>INDEX('01_FASTPPH'!$9:$1048576,MATCH($A215,'01_FASTPPH'!$A$9:$A$1048576,0),MATCH(J$9,'01_FASTPPH'!$8:$8,0))</f>
        <v>#N/A</v>
      </c>
      <c r="K215" s="23" t="e">
        <f>INDEX('01_FASTPPH'!$9:$1048576,MATCH($A215,'01_FASTPPH'!$A$9:$A$1048576,0),MATCH(K$9,'01_FASTPPH'!$8:$8,0))</f>
        <v>#N/A</v>
      </c>
      <c r="L215" s="20" t="e">
        <f>INDEX('01_FASTPPH'!$9:$1048576,MATCH($A215,'01_FASTPPH'!$A$9:$A$1048576,0),MATCH(L$9,'01_FASTPPH'!$8:$8,0))</f>
        <v>#N/A</v>
      </c>
      <c r="M215" s="20" t="e">
        <f>INDEX('01_FASTPPH'!$9:$1048576,MATCH($A215,'01_FASTPPH'!$A$9:$A$1048576,0),MATCH(M$9,'01_FASTPPH'!$8:$8,0))</f>
        <v>#N/A</v>
      </c>
      <c r="N215" s="24" t="e">
        <f>INDEX('01_FASTPPH'!$9:$1048576,MATCH($A215,'01_FASTPPH'!$A$9:$A$1048576,0),MATCH(N$9,'01_FASTPPH'!$8:$8,0))</f>
        <v>#N/A</v>
      </c>
      <c r="O215" s="23" t="e">
        <f>INDEX('01_FASTPPH'!$9:$1048576,MATCH($A215,'01_FASTPPH'!$A$9:$A$1048576,0),MATCH(O$9,'01_FASTPPH'!$8:$8,0))</f>
        <v>#N/A</v>
      </c>
      <c r="P215" s="20" t="e">
        <f>INDEX('01_FASTPPH'!$9:$1048576,MATCH($A215,'01_FASTPPH'!$A$9:$A$1048576,0),MATCH(P$9,'01_FASTPPH'!$8:$8,0))</f>
        <v>#N/A</v>
      </c>
      <c r="Q215" s="20" t="e">
        <f>INDEX('01_FASTPPH'!$9:$1048576,MATCH($A215,'01_FASTPPH'!$A$9:$A$1048576,0),MATCH(Q$9,'01_FASTPPH'!$8:$8,0))</f>
        <v>#N/A</v>
      </c>
      <c r="R215" s="20" t="e">
        <f>INDEX('01_FASTPPH'!$9:$1048576,MATCH($A215,'01_FASTPPH'!$A$9:$A$1048576,0),MATCH(R$9,'01_FASTPPH'!$8:$8,0))</f>
        <v>#N/A</v>
      </c>
      <c r="S215" s="20" t="e">
        <f>INDEX('01_FASTPPH'!$9:$1048576,MATCH($A215,'01_FASTPPH'!$A$9:$A$1048576,0),MATCH(S$9,'01_FASTPPH'!$8:$8,0))</f>
        <v>#N/A</v>
      </c>
      <c r="T215" s="24" t="e">
        <f>INDEX('01_FASTPPH'!$9:$1048576,MATCH($A215,'01_FASTPPH'!$A$9:$A$1048576,0),MATCH(T$9,'01_FASTPPH'!$8:$8,0))</f>
        <v>#N/A</v>
      </c>
      <c r="U215" s="23" t="e">
        <f>INDEX('01_FASTPPH'!$9:$1048576,MATCH($A215,'01_FASTPPH'!$A$9:$A$1048576,0),MATCH(U$9,'01_FASTPPH'!$8:$8,0))</f>
        <v>#N/A</v>
      </c>
      <c r="V215" s="20" t="e">
        <f>INDEX('01_FASTPPH'!$9:$1048576,MATCH($A215,'01_FASTPPH'!$A$9:$A$1048576,0),MATCH(V$9,'01_FASTPPH'!$8:$8,0))</f>
        <v>#N/A</v>
      </c>
      <c r="W215" s="24" t="e">
        <f>INDEX('01_FASTPPH'!$9:$1048576,MATCH($A215,'01_FASTPPH'!$A$9:$A$1048576,0),MATCH(W$9,'01_FASTPPH'!$8:$8,0))</f>
        <v>#N/A</v>
      </c>
      <c r="X215" s="20" t="e">
        <f>INDEX('01_FASTPPH'!$9:$1048576,MATCH($A215,'01_FASTPPH'!$A$9:$A$1048576,0),MATCH(X$9,'01_FASTPPH'!$8:$8,0))</f>
        <v>#N/A</v>
      </c>
      <c r="Y215" s="20" t="e">
        <f>INDEX('01_FASTPPH'!$9:$1048576,MATCH($A215,'01_FASTPPH'!$A$9:$A$1048576,0),MATCH(Y$9,'01_FASTPPH'!$8:$8,0))</f>
        <v>#N/A</v>
      </c>
      <c r="AA215" s="32" t="e">
        <f>INDEX('02_PROPERTIES'!$C$10:$I$1048576,MATCH('03_CALCULATIONS'!$D215,'02_PROPERTIES'!$C$10:$C$1048576,0),MATCH('03_CALCULATIONS'!AA$9,'02_PROPERTIES'!$C$10:$I$10,0))</f>
        <v>#N/A</v>
      </c>
      <c r="AB215" s="20" t="e">
        <f>INDEX('02_PROPERTIES'!$C$10:$I$1048576,MATCH('03_CALCULATIONS'!$D215,'02_PROPERTIES'!$C$10:$C$1048576,0),MATCH('03_CALCULATIONS'!AB$9,'02_PROPERTIES'!$C$10:$I$10,0))</f>
        <v>#N/A</v>
      </c>
      <c r="AC215" s="20" t="e">
        <f>INDEX('02_PROPERTIES'!$C$10:$I$1048576,MATCH('03_CALCULATIONS'!$D215,'02_PROPERTIES'!$C$10:$C$1048576,0),MATCH('03_CALCULATIONS'!AC$9,'02_PROPERTIES'!$C$10:$I$10,0))</f>
        <v>#N/A</v>
      </c>
      <c r="AD215" s="20" t="e">
        <f>INDEX('02_PROPERTIES'!$C$10:$I$1048576,MATCH('03_CALCULATIONS'!$D215,'02_PROPERTIES'!$C$10:$C$1048576,0),MATCH('03_CALCULATIONS'!AD$9,'02_PROPERTIES'!$C$10:$I$10,0))</f>
        <v>#N/A</v>
      </c>
      <c r="AE215" s="32" t="e">
        <f>INDEX('02_PROPERTIES'!$C$10:$I$1048576,MATCH('03_CALCULATIONS'!$D215,'02_PROPERTIES'!$C$10:$C$1048576,0),MATCH('03_CALCULATIONS'!AE$9,'02_PROPERTIES'!$C$10:$I$10,0))</f>
        <v>#N/A</v>
      </c>
      <c r="AF215" s="32" t="e">
        <f>INDEX('02_PROPERTIES'!$C$10:$I$1048576,MATCH('03_CALCULATIONS'!$D215,'02_PROPERTIES'!$C$10:$C$1048576,0),MATCH('03_CALCULATIONS'!AF$9,'02_PROPERTIES'!$C$10:$I$10,0))</f>
        <v>#N/A</v>
      </c>
      <c r="AH215" s="20" t="e">
        <f t="shared" si="33"/>
        <v>#N/A</v>
      </c>
      <c r="AI215" s="20" t="e">
        <f t="shared" si="34"/>
        <v>#N/A</v>
      </c>
      <c r="AJ215" s="20" t="e">
        <f t="shared" si="35"/>
        <v>#N/A</v>
      </c>
      <c r="AL215" s="20" t="e">
        <f t="shared" si="36"/>
        <v>#N/A</v>
      </c>
      <c r="AM215" s="20" t="e">
        <f t="shared" si="37"/>
        <v>#N/A</v>
      </c>
      <c r="AN215" s="20" t="e">
        <f t="shared" si="38"/>
        <v>#N/A</v>
      </c>
      <c r="AO215" s="20" t="e">
        <f t="shared" si="39"/>
        <v>#N/A</v>
      </c>
      <c r="AP215" s="20" t="e">
        <f t="shared" si="40"/>
        <v>#N/A</v>
      </c>
      <c r="AR215" s="20" t="e">
        <f t="shared" si="41"/>
        <v>#N/A</v>
      </c>
      <c r="AS215" s="20" t="e">
        <f t="shared" si="42"/>
        <v>#N/A</v>
      </c>
      <c r="AT215" s="20" t="e">
        <f t="shared" si="43"/>
        <v>#N/A</v>
      </c>
    </row>
    <row r="216" spans="1:46" x14ac:dyDescent="0.3">
      <c r="A216" s="18"/>
      <c r="B216" s="20" t="e">
        <f>INDEX('01_FASTPPH'!$9:$1048576,MATCH($A216,'01_FASTPPH'!$A$9:$A$1048576,0),MATCH(B$9,'01_FASTPPH'!$8:$8,0))</f>
        <v>#N/A</v>
      </c>
      <c r="C216" s="20" t="e">
        <f>INDEX('01_FASTPPH'!$9:$1048576,MATCH($A216,'01_FASTPPH'!$A$9:$A$1048576,0),MATCH(C$9,'01_FASTPPH'!$8:$8,0))</f>
        <v>#N/A</v>
      </c>
      <c r="D216" s="20" t="e">
        <f>INDEX('01_FASTPPH'!$9:$1048576,MATCH($A216,'01_FASTPPH'!$A$9:$A$1048576,0),MATCH(D$9,'01_FASTPPH'!$8:$8,0))</f>
        <v>#N/A</v>
      </c>
      <c r="E216" s="20" t="e">
        <f>INDEX('01_FASTPPH'!$9:$1048576,MATCH($A216,'01_FASTPPH'!$A$9:$A$1048576,0),MATCH(E$9,'01_FASTPPH'!$8:$8,0))</f>
        <v>#N/A</v>
      </c>
      <c r="F216" s="20" t="e">
        <f>INDEX('01_FASTPPH'!$9:$1048576,MATCH($A216,'01_FASTPPH'!$A$9:$A$1048576,0),MATCH(F$9,'01_FASTPPH'!$8:$8,0))</f>
        <v>#N/A</v>
      </c>
      <c r="G216" s="20" t="e">
        <f>INDEX('01_FASTPPH'!$9:$1048576,MATCH($A216,'01_FASTPPH'!$A$9:$A$1048576,0),MATCH(G$9,'01_FASTPPH'!$8:$8,0))</f>
        <v>#N/A</v>
      </c>
      <c r="H216" s="20" t="e">
        <f>INDEX('01_FASTPPH'!$9:$1048576,MATCH($A216,'01_FASTPPH'!$A$9:$A$1048576,0),MATCH(H$9,'01_FASTPPH'!$8:$8,0))</f>
        <v>#N/A</v>
      </c>
      <c r="I216" s="20" t="e">
        <f>INDEX('01_FASTPPH'!$9:$1048576,MATCH($A216,'01_FASTPPH'!$A$9:$A$1048576,0),MATCH(I$9,'01_FASTPPH'!$8:$8,0))</f>
        <v>#N/A</v>
      </c>
      <c r="J216" s="20" t="e">
        <f>INDEX('01_FASTPPH'!$9:$1048576,MATCH($A216,'01_FASTPPH'!$A$9:$A$1048576,0),MATCH(J$9,'01_FASTPPH'!$8:$8,0))</f>
        <v>#N/A</v>
      </c>
      <c r="K216" s="23" t="e">
        <f>INDEX('01_FASTPPH'!$9:$1048576,MATCH($A216,'01_FASTPPH'!$A$9:$A$1048576,0),MATCH(K$9,'01_FASTPPH'!$8:$8,0))</f>
        <v>#N/A</v>
      </c>
      <c r="L216" s="20" t="e">
        <f>INDEX('01_FASTPPH'!$9:$1048576,MATCH($A216,'01_FASTPPH'!$A$9:$A$1048576,0),MATCH(L$9,'01_FASTPPH'!$8:$8,0))</f>
        <v>#N/A</v>
      </c>
      <c r="M216" s="20" t="e">
        <f>INDEX('01_FASTPPH'!$9:$1048576,MATCH($A216,'01_FASTPPH'!$A$9:$A$1048576,0),MATCH(M$9,'01_FASTPPH'!$8:$8,0))</f>
        <v>#N/A</v>
      </c>
      <c r="N216" s="24" t="e">
        <f>INDEX('01_FASTPPH'!$9:$1048576,MATCH($A216,'01_FASTPPH'!$A$9:$A$1048576,0),MATCH(N$9,'01_FASTPPH'!$8:$8,0))</f>
        <v>#N/A</v>
      </c>
      <c r="O216" s="23" t="e">
        <f>INDEX('01_FASTPPH'!$9:$1048576,MATCH($A216,'01_FASTPPH'!$A$9:$A$1048576,0),MATCH(O$9,'01_FASTPPH'!$8:$8,0))</f>
        <v>#N/A</v>
      </c>
      <c r="P216" s="20" t="e">
        <f>INDEX('01_FASTPPH'!$9:$1048576,MATCH($A216,'01_FASTPPH'!$A$9:$A$1048576,0),MATCH(P$9,'01_FASTPPH'!$8:$8,0))</f>
        <v>#N/A</v>
      </c>
      <c r="Q216" s="20" t="e">
        <f>INDEX('01_FASTPPH'!$9:$1048576,MATCH($A216,'01_FASTPPH'!$A$9:$A$1048576,0),MATCH(Q$9,'01_FASTPPH'!$8:$8,0))</f>
        <v>#N/A</v>
      </c>
      <c r="R216" s="20" t="e">
        <f>INDEX('01_FASTPPH'!$9:$1048576,MATCH($A216,'01_FASTPPH'!$A$9:$A$1048576,0),MATCH(R$9,'01_FASTPPH'!$8:$8,0))</f>
        <v>#N/A</v>
      </c>
      <c r="S216" s="20" t="e">
        <f>INDEX('01_FASTPPH'!$9:$1048576,MATCH($A216,'01_FASTPPH'!$A$9:$A$1048576,0),MATCH(S$9,'01_FASTPPH'!$8:$8,0))</f>
        <v>#N/A</v>
      </c>
      <c r="T216" s="24" t="e">
        <f>INDEX('01_FASTPPH'!$9:$1048576,MATCH($A216,'01_FASTPPH'!$A$9:$A$1048576,0),MATCH(T$9,'01_FASTPPH'!$8:$8,0))</f>
        <v>#N/A</v>
      </c>
      <c r="U216" s="23" t="e">
        <f>INDEX('01_FASTPPH'!$9:$1048576,MATCH($A216,'01_FASTPPH'!$A$9:$A$1048576,0),MATCH(U$9,'01_FASTPPH'!$8:$8,0))</f>
        <v>#N/A</v>
      </c>
      <c r="V216" s="20" t="e">
        <f>INDEX('01_FASTPPH'!$9:$1048576,MATCH($A216,'01_FASTPPH'!$A$9:$A$1048576,0),MATCH(V$9,'01_FASTPPH'!$8:$8,0))</f>
        <v>#N/A</v>
      </c>
      <c r="W216" s="24" t="e">
        <f>INDEX('01_FASTPPH'!$9:$1048576,MATCH($A216,'01_FASTPPH'!$A$9:$A$1048576,0),MATCH(W$9,'01_FASTPPH'!$8:$8,0))</f>
        <v>#N/A</v>
      </c>
      <c r="X216" s="20" t="e">
        <f>INDEX('01_FASTPPH'!$9:$1048576,MATCH($A216,'01_FASTPPH'!$A$9:$A$1048576,0),MATCH(X$9,'01_FASTPPH'!$8:$8,0))</f>
        <v>#N/A</v>
      </c>
      <c r="Y216" s="20" t="e">
        <f>INDEX('01_FASTPPH'!$9:$1048576,MATCH($A216,'01_FASTPPH'!$A$9:$A$1048576,0),MATCH(Y$9,'01_FASTPPH'!$8:$8,0))</f>
        <v>#N/A</v>
      </c>
      <c r="AA216" s="32" t="e">
        <f>INDEX('02_PROPERTIES'!$C$10:$I$1048576,MATCH('03_CALCULATIONS'!$D216,'02_PROPERTIES'!$C$10:$C$1048576,0),MATCH('03_CALCULATIONS'!AA$9,'02_PROPERTIES'!$C$10:$I$10,0))</f>
        <v>#N/A</v>
      </c>
      <c r="AB216" s="20" t="e">
        <f>INDEX('02_PROPERTIES'!$C$10:$I$1048576,MATCH('03_CALCULATIONS'!$D216,'02_PROPERTIES'!$C$10:$C$1048576,0),MATCH('03_CALCULATIONS'!AB$9,'02_PROPERTIES'!$C$10:$I$10,0))</f>
        <v>#N/A</v>
      </c>
      <c r="AC216" s="20" t="e">
        <f>INDEX('02_PROPERTIES'!$C$10:$I$1048576,MATCH('03_CALCULATIONS'!$D216,'02_PROPERTIES'!$C$10:$C$1048576,0),MATCH('03_CALCULATIONS'!AC$9,'02_PROPERTIES'!$C$10:$I$10,0))</f>
        <v>#N/A</v>
      </c>
      <c r="AD216" s="20" t="e">
        <f>INDEX('02_PROPERTIES'!$C$10:$I$1048576,MATCH('03_CALCULATIONS'!$D216,'02_PROPERTIES'!$C$10:$C$1048576,0),MATCH('03_CALCULATIONS'!AD$9,'02_PROPERTIES'!$C$10:$I$10,0))</f>
        <v>#N/A</v>
      </c>
      <c r="AE216" s="32" t="e">
        <f>INDEX('02_PROPERTIES'!$C$10:$I$1048576,MATCH('03_CALCULATIONS'!$D216,'02_PROPERTIES'!$C$10:$C$1048576,0),MATCH('03_CALCULATIONS'!AE$9,'02_PROPERTIES'!$C$10:$I$10,0))</f>
        <v>#N/A</v>
      </c>
      <c r="AF216" s="32" t="e">
        <f>INDEX('02_PROPERTIES'!$C$10:$I$1048576,MATCH('03_CALCULATIONS'!$D216,'02_PROPERTIES'!$C$10:$C$1048576,0),MATCH('03_CALCULATIONS'!AF$9,'02_PROPERTIES'!$C$10:$I$10,0))</f>
        <v>#N/A</v>
      </c>
      <c r="AH216" s="20" t="e">
        <f t="shared" si="33"/>
        <v>#N/A</v>
      </c>
      <c r="AI216" s="20" t="e">
        <f t="shared" si="34"/>
        <v>#N/A</v>
      </c>
      <c r="AJ216" s="20" t="e">
        <f t="shared" si="35"/>
        <v>#N/A</v>
      </c>
      <c r="AL216" s="20" t="e">
        <f t="shared" si="36"/>
        <v>#N/A</v>
      </c>
      <c r="AM216" s="20" t="e">
        <f t="shared" si="37"/>
        <v>#N/A</v>
      </c>
      <c r="AN216" s="20" t="e">
        <f t="shared" si="38"/>
        <v>#N/A</v>
      </c>
      <c r="AO216" s="20" t="e">
        <f t="shared" si="39"/>
        <v>#N/A</v>
      </c>
      <c r="AP216" s="20" t="e">
        <f t="shared" si="40"/>
        <v>#N/A</v>
      </c>
      <c r="AR216" s="20" t="e">
        <f t="shared" si="41"/>
        <v>#N/A</v>
      </c>
      <c r="AS216" s="20" t="e">
        <f t="shared" si="42"/>
        <v>#N/A</v>
      </c>
      <c r="AT216" s="20" t="e">
        <f t="shared" si="43"/>
        <v>#N/A</v>
      </c>
    </row>
    <row r="217" spans="1:46" x14ac:dyDescent="0.3">
      <c r="A217" s="18"/>
      <c r="B217" s="20" t="e">
        <f>INDEX('01_FASTPPH'!$9:$1048576,MATCH($A217,'01_FASTPPH'!$A$9:$A$1048576,0),MATCH(B$9,'01_FASTPPH'!$8:$8,0))</f>
        <v>#N/A</v>
      </c>
      <c r="C217" s="20" t="e">
        <f>INDEX('01_FASTPPH'!$9:$1048576,MATCH($A217,'01_FASTPPH'!$A$9:$A$1048576,0),MATCH(C$9,'01_FASTPPH'!$8:$8,0))</f>
        <v>#N/A</v>
      </c>
      <c r="D217" s="20" t="e">
        <f>INDEX('01_FASTPPH'!$9:$1048576,MATCH($A217,'01_FASTPPH'!$A$9:$A$1048576,0),MATCH(D$9,'01_FASTPPH'!$8:$8,0))</f>
        <v>#N/A</v>
      </c>
      <c r="E217" s="20" t="e">
        <f>INDEX('01_FASTPPH'!$9:$1048576,MATCH($A217,'01_FASTPPH'!$A$9:$A$1048576,0),MATCH(E$9,'01_FASTPPH'!$8:$8,0))</f>
        <v>#N/A</v>
      </c>
      <c r="F217" s="20" t="e">
        <f>INDEX('01_FASTPPH'!$9:$1048576,MATCH($A217,'01_FASTPPH'!$A$9:$A$1048576,0),MATCH(F$9,'01_FASTPPH'!$8:$8,0))</f>
        <v>#N/A</v>
      </c>
      <c r="G217" s="20" t="e">
        <f>INDEX('01_FASTPPH'!$9:$1048576,MATCH($A217,'01_FASTPPH'!$A$9:$A$1048576,0),MATCH(G$9,'01_FASTPPH'!$8:$8,0))</f>
        <v>#N/A</v>
      </c>
      <c r="H217" s="20" t="e">
        <f>INDEX('01_FASTPPH'!$9:$1048576,MATCH($A217,'01_FASTPPH'!$A$9:$A$1048576,0),MATCH(H$9,'01_FASTPPH'!$8:$8,0))</f>
        <v>#N/A</v>
      </c>
      <c r="I217" s="20" t="e">
        <f>INDEX('01_FASTPPH'!$9:$1048576,MATCH($A217,'01_FASTPPH'!$A$9:$A$1048576,0),MATCH(I$9,'01_FASTPPH'!$8:$8,0))</f>
        <v>#N/A</v>
      </c>
      <c r="J217" s="20" t="e">
        <f>INDEX('01_FASTPPH'!$9:$1048576,MATCH($A217,'01_FASTPPH'!$A$9:$A$1048576,0),MATCH(J$9,'01_FASTPPH'!$8:$8,0))</f>
        <v>#N/A</v>
      </c>
      <c r="K217" s="23" t="e">
        <f>INDEX('01_FASTPPH'!$9:$1048576,MATCH($A217,'01_FASTPPH'!$A$9:$A$1048576,0),MATCH(K$9,'01_FASTPPH'!$8:$8,0))</f>
        <v>#N/A</v>
      </c>
      <c r="L217" s="20" t="e">
        <f>INDEX('01_FASTPPH'!$9:$1048576,MATCH($A217,'01_FASTPPH'!$A$9:$A$1048576,0),MATCH(L$9,'01_FASTPPH'!$8:$8,0))</f>
        <v>#N/A</v>
      </c>
      <c r="M217" s="20" t="e">
        <f>INDEX('01_FASTPPH'!$9:$1048576,MATCH($A217,'01_FASTPPH'!$A$9:$A$1048576,0),MATCH(M$9,'01_FASTPPH'!$8:$8,0))</f>
        <v>#N/A</v>
      </c>
      <c r="N217" s="24" t="e">
        <f>INDEX('01_FASTPPH'!$9:$1048576,MATCH($A217,'01_FASTPPH'!$A$9:$A$1048576,0),MATCH(N$9,'01_FASTPPH'!$8:$8,0))</f>
        <v>#N/A</v>
      </c>
      <c r="O217" s="23" t="e">
        <f>INDEX('01_FASTPPH'!$9:$1048576,MATCH($A217,'01_FASTPPH'!$A$9:$A$1048576,0),MATCH(O$9,'01_FASTPPH'!$8:$8,0))</f>
        <v>#N/A</v>
      </c>
      <c r="P217" s="20" t="e">
        <f>INDEX('01_FASTPPH'!$9:$1048576,MATCH($A217,'01_FASTPPH'!$A$9:$A$1048576,0),MATCH(P$9,'01_FASTPPH'!$8:$8,0))</f>
        <v>#N/A</v>
      </c>
      <c r="Q217" s="20" t="e">
        <f>INDEX('01_FASTPPH'!$9:$1048576,MATCH($A217,'01_FASTPPH'!$A$9:$A$1048576,0),MATCH(Q$9,'01_FASTPPH'!$8:$8,0))</f>
        <v>#N/A</v>
      </c>
      <c r="R217" s="20" t="e">
        <f>INDEX('01_FASTPPH'!$9:$1048576,MATCH($A217,'01_FASTPPH'!$A$9:$A$1048576,0),MATCH(R$9,'01_FASTPPH'!$8:$8,0))</f>
        <v>#N/A</v>
      </c>
      <c r="S217" s="20" t="e">
        <f>INDEX('01_FASTPPH'!$9:$1048576,MATCH($A217,'01_FASTPPH'!$A$9:$A$1048576,0),MATCH(S$9,'01_FASTPPH'!$8:$8,0))</f>
        <v>#N/A</v>
      </c>
      <c r="T217" s="24" t="e">
        <f>INDEX('01_FASTPPH'!$9:$1048576,MATCH($A217,'01_FASTPPH'!$A$9:$A$1048576,0),MATCH(T$9,'01_FASTPPH'!$8:$8,0))</f>
        <v>#N/A</v>
      </c>
      <c r="U217" s="23" t="e">
        <f>INDEX('01_FASTPPH'!$9:$1048576,MATCH($A217,'01_FASTPPH'!$A$9:$A$1048576,0),MATCH(U$9,'01_FASTPPH'!$8:$8,0))</f>
        <v>#N/A</v>
      </c>
      <c r="V217" s="20" t="e">
        <f>INDEX('01_FASTPPH'!$9:$1048576,MATCH($A217,'01_FASTPPH'!$A$9:$A$1048576,0),MATCH(V$9,'01_FASTPPH'!$8:$8,0))</f>
        <v>#N/A</v>
      </c>
      <c r="W217" s="24" t="e">
        <f>INDEX('01_FASTPPH'!$9:$1048576,MATCH($A217,'01_FASTPPH'!$A$9:$A$1048576,0),MATCH(W$9,'01_FASTPPH'!$8:$8,0))</f>
        <v>#N/A</v>
      </c>
      <c r="X217" s="20" t="e">
        <f>INDEX('01_FASTPPH'!$9:$1048576,MATCH($A217,'01_FASTPPH'!$A$9:$A$1048576,0),MATCH(X$9,'01_FASTPPH'!$8:$8,0))</f>
        <v>#N/A</v>
      </c>
      <c r="Y217" s="20" t="e">
        <f>INDEX('01_FASTPPH'!$9:$1048576,MATCH($A217,'01_FASTPPH'!$A$9:$A$1048576,0),MATCH(Y$9,'01_FASTPPH'!$8:$8,0))</f>
        <v>#N/A</v>
      </c>
      <c r="AA217" s="32" t="e">
        <f>INDEX('02_PROPERTIES'!$C$10:$I$1048576,MATCH('03_CALCULATIONS'!$D217,'02_PROPERTIES'!$C$10:$C$1048576,0),MATCH('03_CALCULATIONS'!AA$9,'02_PROPERTIES'!$C$10:$I$10,0))</f>
        <v>#N/A</v>
      </c>
      <c r="AB217" s="20" t="e">
        <f>INDEX('02_PROPERTIES'!$C$10:$I$1048576,MATCH('03_CALCULATIONS'!$D217,'02_PROPERTIES'!$C$10:$C$1048576,0),MATCH('03_CALCULATIONS'!AB$9,'02_PROPERTIES'!$C$10:$I$10,0))</f>
        <v>#N/A</v>
      </c>
      <c r="AC217" s="20" t="e">
        <f>INDEX('02_PROPERTIES'!$C$10:$I$1048576,MATCH('03_CALCULATIONS'!$D217,'02_PROPERTIES'!$C$10:$C$1048576,0),MATCH('03_CALCULATIONS'!AC$9,'02_PROPERTIES'!$C$10:$I$10,0))</f>
        <v>#N/A</v>
      </c>
      <c r="AD217" s="20" t="e">
        <f>INDEX('02_PROPERTIES'!$C$10:$I$1048576,MATCH('03_CALCULATIONS'!$D217,'02_PROPERTIES'!$C$10:$C$1048576,0),MATCH('03_CALCULATIONS'!AD$9,'02_PROPERTIES'!$C$10:$I$10,0))</f>
        <v>#N/A</v>
      </c>
      <c r="AE217" s="32" t="e">
        <f>INDEX('02_PROPERTIES'!$C$10:$I$1048576,MATCH('03_CALCULATIONS'!$D217,'02_PROPERTIES'!$C$10:$C$1048576,0),MATCH('03_CALCULATIONS'!AE$9,'02_PROPERTIES'!$C$10:$I$10,0))</f>
        <v>#N/A</v>
      </c>
      <c r="AF217" s="32" t="e">
        <f>INDEX('02_PROPERTIES'!$C$10:$I$1048576,MATCH('03_CALCULATIONS'!$D217,'02_PROPERTIES'!$C$10:$C$1048576,0),MATCH('03_CALCULATIONS'!AF$9,'02_PROPERTIES'!$C$10:$I$10,0))</f>
        <v>#N/A</v>
      </c>
      <c r="AH217" s="20" t="e">
        <f t="shared" si="33"/>
        <v>#N/A</v>
      </c>
      <c r="AI217" s="20" t="e">
        <f t="shared" si="34"/>
        <v>#N/A</v>
      </c>
      <c r="AJ217" s="20" t="e">
        <f t="shared" si="35"/>
        <v>#N/A</v>
      </c>
      <c r="AL217" s="20" t="e">
        <f t="shared" si="36"/>
        <v>#N/A</v>
      </c>
      <c r="AM217" s="20" t="e">
        <f t="shared" si="37"/>
        <v>#N/A</v>
      </c>
      <c r="AN217" s="20" t="e">
        <f t="shared" si="38"/>
        <v>#N/A</v>
      </c>
      <c r="AO217" s="20" t="e">
        <f t="shared" si="39"/>
        <v>#N/A</v>
      </c>
      <c r="AP217" s="20" t="e">
        <f t="shared" si="40"/>
        <v>#N/A</v>
      </c>
      <c r="AR217" s="20" t="e">
        <f t="shared" si="41"/>
        <v>#N/A</v>
      </c>
      <c r="AS217" s="20" t="e">
        <f t="shared" si="42"/>
        <v>#N/A</v>
      </c>
      <c r="AT217" s="20" t="e">
        <f t="shared" si="43"/>
        <v>#N/A</v>
      </c>
    </row>
    <row r="218" spans="1:46" x14ac:dyDescent="0.3">
      <c r="A218" s="18"/>
      <c r="B218" s="20" t="e">
        <f>INDEX('01_FASTPPH'!$9:$1048576,MATCH($A218,'01_FASTPPH'!$A$9:$A$1048576,0),MATCH(B$9,'01_FASTPPH'!$8:$8,0))</f>
        <v>#N/A</v>
      </c>
      <c r="C218" s="20" t="e">
        <f>INDEX('01_FASTPPH'!$9:$1048576,MATCH($A218,'01_FASTPPH'!$A$9:$A$1048576,0),MATCH(C$9,'01_FASTPPH'!$8:$8,0))</f>
        <v>#N/A</v>
      </c>
      <c r="D218" s="20" t="e">
        <f>INDEX('01_FASTPPH'!$9:$1048576,MATCH($A218,'01_FASTPPH'!$A$9:$A$1048576,0),MATCH(D$9,'01_FASTPPH'!$8:$8,0))</f>
        <v>#N/A</v>
      </c>
      <c r="E218" s="20" t="e">
        <f>INDEX('01_FASTPPH'!$9:$1048576,MATCH($A218,'01_FASTPPH'!$A$9:$A$1048576,0),MATCH(E$9,'01_FASTPPH'!$8:$8,0))</f>
        <v>#N/A</v>
      </c>
      <c r="F218" s="20" t="e">
        <f>INDEX('01_FASTPPH'!$9:$1048576,MATCH($A218,'01_FASTPPH'!$A$9:$A$1048576,0),MATCH(F$9,'01_FASTPPH'!$8:$8,0))</f>
        <v>#N/A</v>
      </c>
      <c r="G218" s="20" t="e">
        <f>INDEX('01_FASTPPH'!$9:$1048576,MATCH($A218,'01_FASTPPH'!$A$9:$A$1048576,0),MATCH(G$9,'01_FASTPPH'!$8:$8,0))</f>
        <v>#N/A</v>
      </c>
      <c r="H218" s="20" t="e">
        <f>INDEX('01_FASTPPH'!$9:$1048576,MATCH($A218,'01_FASTPPH'!$A$9:$A$1048576,0),MATCH(H$9,'01_FASTPPH'!$8:$8,0))</f>
        <v>#N/A</v>
      </c>
      <c r="I218" s="20" t="e">
        <f>INDEX('01_FASTPPH'!$9:$1048576,MATCH($A218,'01_FASTPPH'!$A$9:$A$1048576,0),MATCH(I$9,'01_FASTPPH'!$8:$8,0))</f>
        <v>#N/A</v>
      </c>
      <c r="J218" s="20" t="e">
        <f>INDEX('01_FASTPPH'!$9:$1048576,MATCH($A218,'01_FASTPPH'!$A$9:$A$1048576,0),MATCH(J$9,'01_FASTPPH'!$8:$8,0))</f>
        <v>#N/A</v>
      </c>
      <c r="K218" s="23" t="e">
        <f>INDEX('01_FASTPPH'!$9:$1048576,MATCH($A218,'01_FASTPPH'!$A$9:$A$1048576,0),MATCH(K$9,'01_FASTPPH'!$8:$8,0))</f>
        <v>#N/A</v>
      </c>
      <c r="L218" s="20" t="e">
        <f>INDEX('01_FASTPPH'!$9:$1048576,MATCH($A218,'01_FASTPPH'!$A$9:$A$1048576,0),MATCH(L$9,'01_FASTPPH'!$8:$8,0))</f>
        <v>#N/A</v>
      </c>
      <c r="M218" s="20" t="e">
        <f>INDEX('01_FASTPPH'!$9:$1048576,MATCH($A218,'01_FASTPPH'!$A$9:$A$1048576,0),MATCH(M$9,'01_FASTPPH'!$8:$8,0))</f>
        <v>#N/A</v>
      </c>
      <c r="N218" s="24" t="e">
        <f>INDEX('01_FASTPPH'!$9:$1048576,MATCH($A218,'01_FASTPPH'!$A$9:$A$1048576,0),MATCH(N$9,'01_FASTPPH'!$8:$8,0))</f>
        <v>#N/A</v>
      </c>
      <c r="O218" s="23" t="e">
        <f>INDEX('01_FASTPPH'!$9:$1048576,MATCH($A218,'01_FASTPPH'!$A$9:$A$1048576,0),MATCH(O$9,'01_FASTPPH'!$8:$8,0))</f>
        <v>#N/A</v>
      </c>
      <c r="P218" s="20" t="e">
        <f>INDEX('01_FASTPPH'!$9:$1048576,MATCH($A218,'01_FASTPPH'!$A$9:$A$1048576,0),MATCH(P$9,'01_FASTPPH'!$8:$8,0))</f>
        <v>#N/A</v>
      </c>
      <c r="Q218" s="20" t="e">
        <f>INDEX('01_FASTPPH'!$9:$1048576,MATCH($A218,'01_FASTPPH'!$A$9:$A$1048576,0),MATCH(Q$9,'01_FASTPPH'!$8:$8,0))</f>
        <v>#N/A</v>
      </c>
      <c r="R218" s="20" t="e">
        <f>INDEX('01_FASTPPH'!$9:$1048576,MATCH($A218,'01_FASTPPH'!$A$9:$A$1048576,0),MATCH(R$9,'01_FASTPPH'!$8:$8,0))</f>
        <v>#N/A</v>
      </c>
      <c r="S218" s="20" t="e">
        <f>INDEX('01_FASTPPH'!$9:$1048576,MATCH($A218,'01_FASTPPH'!$A$9:$A$1048576,0),MATCH(S$9,'01_FASTPPH'!$8:$8,0))</f>
        <v>#N/A</v>
      </c>
      <c r="T218" s="24" t="e">
        <f>INDEX('01_FASTPPH'!$9:$1048576,MATCH($A218,'01_FASTPPH'!$A$9:$A$1048576,0),MATCH(T$9,'01_FASTPPH'!$8:$8,0))</f>
        <v>#N/A</v>
      </c>
      <c r="U218" s="23" t="e">
        <f>INDEX('01_FASTPPH'!$9:$1048576,MATCH($A218,'01_FASTPPH'!$A$9:$A$1048576,0),MATCH(U$9,'01_FASTPPH'!$8:$8,0))</f>
        <v>#N/A</v>
      </c>
      <c r="V218" s="20" t="e">
        <f>INDEX('01_FASTPPH'!$9:$1048576,MATCH($A218,'01_FASTPPH'!$A$9:$A$1048576,0),MATCH(V$9,'01_FASTPPH'!$8:$8,0))</f>
        <v>#N/A</v>
      </c>
      <c r="W218" s="24" t="e">
        <f>INDEX('01_FASTPPH'!$9:$1048576,MATCH($A218,'01_FASTPPH'!$A$9:$A$1048576,0),MATCH(W$9,'01_FASTPPH'!$8:$8,0))</f>
        <v>#N/A</v>
      </c>
      <c r="X218" s="20" t="e">
        <f>INDEX('01_FASTPPH'!$9:$1048576,MATCH($A218,'01_FASTPPH'!$A$9:$A$1048576,0),MATCH(X$9,'01_FASTPPH'!$8:$8,0))</f>
        <v>#N/A</v>
      </c>
      <c r="Y218" s="20" t="e">
        <f>INDEX('01_FASTPPH'!$9:$1048576,MATCH($A218,'01_FASTPPH'!$A$9:$A$1048576,0),MATCH(Y$9,'01_FASTPPH'!$8:$8,0))</f>
        <v>#N/A</v>
      </c>
      <c r="AA218" s="32" t="e">
        <f>INDEX('02_PROPERTIES'!$C$10:$I$1048576,MATCH('03_CALCULATIONS'!$D218,'02_PROPERTIES'!$C$10:$C$1048576,0),MATCH('03_CALCULATIONS'!AA$9,'02_PROPERTIES'!$C$10:$I$10,0))</f>
        <v>#N/A</v>
      </c>
      <c r="AB218" s="20" t="e">
        <f>INDEX('02_PROPERTIES'!$C$10:$I$1048576,MATCH('03_CALCULATIONS'!$D218,'02_PROPERTIES'!$C$10:$C$1048576,0),MATCH('03_CALCULATIONS'!AB$9,'02_PROPERTIES'!$C$10:$I$10,0))</f>
        <v>#N/A</v>
      </c>
      <c r="AC218" s="20" t="e">
        <f>INDEX('02_PROPERTIES'!$C$10:$I$1048576,MATCH('03_CALCULATIONS'!$D218,'02_PROPERTIES'!$C$10:$C$1048576,0),MATCH('03_CALCULATIONS'!AC$9,'02_PROPERTIES'!$C$10:$I$10,0))</f>
        <v>#N/A</v>
      </c>
      <c r="AD218" s="20" t="e">
        <f>INDEX('02_PROPERTIES'!$C$10:$I$1048576,MATCH('03_CALCULATIONS'!$D218,'02_PROPERTIES'!$C$10:$C$1048576,0),MATCH('03_CALCULATIONS'!AD$9,'02_PROPERTIES'!$C$10:$I$10,0))</f>
        <v>#N/A</v>
      </c>
      <c r="AE218" s="32" t="e">
        <f>INDEX('02_PROPERTIES'!$C$10:$I$1048576,MATCH('03_CALCULATIONS'!$D218,'02_PROPERTIES'!$C$10:$C$1048576,0),MATCH('03_CALCULATIONS'!AE$9,'02_PROPERTIES'!$C$10:$I$10,0))</f>
        <v>#N/A</v>
      </c>
      <c r="AF218" s="32" t="e">
        <f>INDEX('02_PROPERTIES'!$C$10:$I$1048576,MATCH('03_CALCULATIONS'!$D218,'02_PROPERTIES'!$C$10:$C$1048576,0),MATCH('03_CALCULATIONS'!AF$9,'02_PROPERTIES'!$C$10:$I$10,0))</f>
        <v>#N/A</v>
      </c>
      <c r="AH218" s="20" t="e">
        <f t="shared" si="33"/>
        <v>#N/A</v>
      </c>
      <c r="AI218" s="20" t="e">
        <f t="shared" si="34"/>
        <v>#N/A</v>
      </c>
      <c r="AJ218" s="20" t="e">
        <f t="shared" si="35"/>
        <v>#N/A</v>
      </c>
      <c r="AL218" s="20" t="e">
        <f t="shared" si="36"/>
        <v>#N/A</v>
      </c>
      <c r="AM218" s="20" t="e">
        <f t="shared" si="37"/>
        <v>#N/A</v>
      </c>
      <c r="AN218" s="20" t="e">
        <f t="shared" si="38"/>
        <v>#N/A</v>
      </c>
      <c r="AO218" s="20" t="e">
        <f t="shared" si="39"/>
        <v>#N/A</v>
      </c>
      <c r="AP218" s="20" t="e">
        <f t="shared" si="40"/>
        <v>#N/A</v>
      </c>
      <c r="AR218" s="20" t="e">
        <f t="shared" si="41"/>
        <v>#N/A</v>
      </c>
      <c r="AS218" s="20" t="e">
        <f t="shared" si="42"/>
        <v>#N/A</v>
      </c>
      <c r="AT218" s="20" t="e">
        <f t="shared" si="43"/>
        <v>#N/A</v>
      </c>
    </row>
    <row r="219" spans="1:46" x14ac:dyDescent="0.3">
      <c r="A219" s="18"/>
      <c r="B219" s="20" t="e">
        <f>INDEX('01_FASTPPH'!$9:$1048576,MATCH($A219,'01_FASTPPH'!$A$9:$A$1048576,0),MATCH(B$9,'01_FASTPPH'!$8:$8,0))</f>
        <v>#N/A</v>
      </c>
      <c r="C219" s="20" t="e">
        <f>INDEX('01_FASTPPH'!$9:$1048576,MATCH($A219,'01_FASTPPH'!$A$9:$A$1048576,0),MATCH(C$9,'01_FASTPPH'!$8:$8,0))</f>
        <v>#N/A</v>
      </c>
      <c r="D219" s="20" t="e">
        <f>INDEX('01_FASTPPH'!$9:$1048576,MATCH($A219,'01_FASTPPH'!$A$9:$A$1048576,0),MATCH(D$9,'01_FASTPPH'!$8:$8,0))</f>
        <v>#N/A</v>
      </c>
      <c r="E219" s="20" t="e">
        <f>INDEX('01_FASTPPH'!$9:$1048576,MATCH($A219,'01_FASTPPH'!$A$9:$A$1048576,0),MATCH(E$9,'01_FASTPPH'!$8:$8,0))</f>
        <v>#N/A</v>
      </c>
      <c r="F219" s="20" t="e">
        <f>INDEX('01_FASTPPH'!$9:$1048576,MATCH($A219,'01_FASTPPH'!$A$9:$A$1048576,0),MATCH(F$9,'01_FASTPPH'!$8:$8,0))</f>
        <v>#N/A</v>
      </c>
      <c r="G219" s="20" t="e">
        <f>INDEX('01_FASTPPH'!$9:$1048576,MATCH($A219,'01_FASTPPH'!$A$9:$A$1048576,0),MATCH(G$9,'01_FASTPPH'!$8:$8,0))</f>
        <v>#N/A</v>
      </c>
      <c r="H219" s="20" t="e">
        <f>INDEX('01_FASTPPH'!$9:$1048576,MATCH($A219,'01_FASTPPH'!$A$9:$A$1048576,0),MATCH(H$9,'01_FASTPPH'!$8:$8,0))</f>
        <v>#N/A</v>
      </c>
      <c r="I219" s="20" t="e">
        <f>INDEX('01_FASTPPH'!$9:$1048576,MATCH($A219,'01_FASTPPH'!$A$9:$A$1048576,0),MATCH(I$9,'01_FASTPPH'!$8:$8,0))</f>
        <v>#N/A</v>
      </c>
      <c r="J219" s="20" t="e">
        <f>INDEX('01_FASTPPH'!$9:$1048576,MATCH($A219,'01_FASTPPH'!$A$9:$A$1048576,0),MATCH(J$9,'01_FASTPPH'!$8:$8,0))</f>
        <v>#N/A</v>
      </c>
      <c r="K219" s="23" t="e">
        <f>INDEX('01_FASTPPH'!$9:$1048576,MATCH($A219,'01_FASTPPH'!$A$9:$A$1048576,0),MATCH(K$9,'01_FASTPPH'!$8:$8,0))</f>
        <v>#N/A</v>
      </c>
      <c r="L219" s="20" t="e">
        <f>INDEX('01_FASTPPH'!$9:$1048576,MATCH($A219,'01_FASTPPH'!$A$9:$A$1048576,0),MATCH(L$9,'01_FASTPPH'!$8:$8,0))</f>
        <v>#N/A</v>
      </c>
      <c r="M219" s="20" t="e">
        <f>INDEX('01_FASTPPH'!$9:$1048576,MATCH($A219,'01_FASTPPH'!$A$9:$A$1048576,0),MATCH(M$9,'01_FASTPPH'!$8:$8,0))</f>
        <v>#N/A</v>
      </c>
      <c r="N219" s="24" t="e">
        <f>INDEX('01_FASTPPH'!$9:$1048576,MATCH($A219,'01_FASTPPH'!$A$9:$A$1048576,0),MATCH(N$9,'01_FASTPPH'!$8:$8,0))</f>
        <v>#N/A</v>
      </c>
      <c r="O219" s="23" t="e">
        <f>INDEX('01_FASTPPH'!$9:$1048576,MATCH($A219,'01_FASTPPH'!$A$9:$A$1048576,0),MATCH(O$9,'01_FASTPPH'!$8:$8,0))</f>
        <v>#N/A</v>
      </c>
      <c r="P219" s="20" t="e">
        <f>INDEX('01_FASTPPH'!$9:$1048576,MATCH($A219,'01_FASTPPH'!$A$9:$A$1048576,0),MATCH(P$9,'01_FASTPPH'!$8:$8,0))</f>
        <v>#N/A</v>
      </c>
      <c r="Q219" s="20" t="e">
        <f>INDEX('01_FASTPPH'!$9:$1048576,MATCH($A219,'01_FASTPPH'!$A$9:$A$1048576,0),MATCH(Q$9,'01_FASTPPH'!$8:$8,0))</f>
        <v>#N/A</v>
      </c>
      <c r="R219" s="20" t="e">
        <f>INDEX('01_FASTPPH'!$9:$1048576,MATCH($A219,'01_FASTPPH'!$A$9:$A$1048576,0),MATCH(R$9,'01_FASTPPH'!$8:$8,0))</f>
        <v>#N/A</v>
      </c>
      <c r="S219" s="20" t="e">
        <f>INDEX('01_FASTPPH'!$9:$1048576,MATCH($A219,'01_FASTPPH'!$A$9:$A$1048576,0),MATCH(S$9,'01_FASTPPH'!$8:$8,0))</f>
        <v>#N/A</v>
      </c>
      <c r="T219" s="24" t="e">
        <f>INDEX('01_FASTPPH'!$9:$1048576,MATCH($A219,'01_FASTPPH'!$A$9:$A$1048576,0),MATCH(T$9,'01_FASTPPH'!$8:$8,0))</f>
        <v>#N/A</v>
      </c>
      <c r="U219" s="23" t="e">
        <f>INDEX('01_FASTPPH'!$9:$1048576,MATCH($A219,'01_FASTPPH'!$A$9:$A$1048576,0),MATCH(U$9,'01_FASTPPH'!$8:$8,0))</f>
        <v>#N/A</v>
      </c>
      <c r="V219" s="20" t="e">
        <f>INDEX('01_FASTPPH'!$9:$1048576,MATCH($A219,'01_FASTPPH'!$A$9:$A$1048576,0),MATCH(V$9,'01_FASTPPH'!$8:$8,0))</f>
        <v>#N/A</v>
      </c>
      <c r="W219" s="24" t="e">
        <f>INDEX('01_FASTPPH'!$9:$1048576,MATCH($A219,'01_FASTPPH'!$A$9:$A$1048576,0),MATCH(W$9,'01_FASTPPH'!$8:$8,0))</f>
        <v>#N/A</v>
      </c>
      <c r="X219" s="20" t="e">
        <f>INDEX('01_FASTPPH'!$9:$1048576,MATCH($A219,'01_FASTPPH'!$A$9:$A$1048576,0),MATCH(X$9,'01_FASTPPH'!$8:$8,0))</f>
        <v>#N/A</v>
      </c>
      <c r="Y219" s="20" t="e">
        <f>INDEX('01_FASTPPH'!$9:$1048576,MATCH($A219,'01_FASTPPH'!$A$9:$A$1048576,0),MATCH(Y$9,'01_FASTPPH'!$8:$8,0))</f>
        <v>#N/A</v>
      </c>
      <c r="AA219" s="32" t="e">
        <f>INDEX('02_PROPERTIES'!$C$10:$I$1048576,MATCH('03_CALCULATIONS'!$D219,'02_PROPERTIES'!$C$10:$C$1048576,0),MATCH('03_CALCULATIONS'!AA$9,'02_PROPERTIES'!$C$10:$I$10,0))</f>
        <v>#N/A</v>
      </c>
      <c r="AB219" s="20" t="e">
        <f>INDEX('02_PROPERTIES'!$C$10:$I$1048576,MATCH('03_CALCULATIONS'!$D219,'02_PROPERTIES'!$C$10:$C$1048576,0),MATCH('03_CALCULATIONS'!AB$9,'02_PROPERTIES'!$C$10:$I$10,0))</f>
        <v>#N/A</v>
      </c>
      <c r="AC219" s="20" t="e">
        <f>INDEX('02_PROPERTIES'!$C$10:$I$1048576,MATCH('03_CALCULATIONS'!$D219,'02_PROPERTIES'!$C$10:$C$1048576,0),MATCH('03_CALCULATIONS'!AC$9,'02_PROPERTIES'!$C$10:$I$10,0))</f>
        <v>#N/A</v>
      </c>
      <c r="AD219" s="20" t="e">
        <f>INDEX('02_PROPERTIES'!$C$10:$I$1048576,MATCH('03_CALCULATIONS'!$D219,'02_PROPERTIES'!$C$10:$C$1048576,0),MATCH('03_CALCULATIONS'!AD$9,'02_PROPERTIES'!$C$10:$I$10,0))</f>
        <v>#N/A</v>
      </c>
      <c r="AE219" s="32" t="e">
        <f>INDEX('02_PROPERTIES'!$C$10:$I$1048576,MATCH('03_CALCULATIONS'!$D219,'02_PROPERTIES'!$C$10:$C$1048576,0),MATCH('03_CALCULATIONS'!AE$9,'02_PROPERTIES'!$C$10:$I$10,0))</f>
        <v>#N/A</v>
      </c>
      <c r="AF219" s="32" t="e">
        <f>INDEX('02_PROPERTIES'!$C$10:$I$1048576,MATCH('03_CALCULATIONS'!$D219,'02_PROPERTIES'!$C$10:$C$1048576,0),MATCH('03_CALCULATIONS'!AF$9,'02_PROPERTIES'!$C$10:$I$10,0))</f>
        <v>#N/A</v>
      </c>
      <c r="AH219" s="20" t="e">
        <f t="shared" si="33"/>
        <v>#N/A</v>
      </c>
      <c r="AI219" s="20" t="e">
        <f t="shared" si="34"/>
        <v>#N/A</v>
      </c>
      <c r="AJ219" s="20" t="e">
        <f t="shared" si="35"/>
        <v>#N/A</v>
      </c>
      <c r="AL219" s="20" t="e">
        <f t="shared" si="36"/>
        <v>#N/A</v>
      </c>
      <c r="AM219" s="20" t="e">
        <f t="shared" si="37"/>
        <v>#N/A</v>
      </c>
      <c r="AN219" s="20" t="e">
        <f t="shared" si="38"/>
        <v>#N/A</v>
      </c>
      <c r="AO219" s="20" t="e">
        <f t="shared" si="39"/>
        <v>#N/A</v>
      </c>
      <c r="AP219" s="20" t="e">
        <f t="shared" si="40"/>
        <v>#N/A</v>
      </c>
      <c r="AR219" s="20" t="e">
        <f t="shared" si="41"/>
        <v>#N/A</v>
      </c>
      <c r="AS219" s="20" t="e">
        <f t="shared" si="42"/>
        <v>#N/A</v>
      </c>
      <c r="AT219" s="20" t="e">
        <f t="shared" si="43"/>
        <v>#N/A</v>
      </c>
    </row>
    <row r="220" spans="1:46" x14ac:dyDescent="0.3">
      <c r="A220" s="18"/>
      <c r="B220" s="20" t="e">
        <f>INDEX('01_FASTPPH'!$9:$1048576,MATCH($A220,'01_FASTPPH'!$A$9:$A$1048576,0),MATCH(B$9,'01_FASTPPH'!$8:$8,0))</f>
        <v>#N/A</v>
      </c>
      <c r="C220" s="20" t="e">
        <f>INDEX('01_FASTPPH'!$9:$1048576,MATCH($A220,'01_FASTPPH'!$A$9:$A$1048576,0),MATCH(C$9,'01_FASTPPH'!$8:$8,0))</f>
        <v>#N/A</v>
      </c>
      <c r="D220" s="20" t="e">
        <f>INDEX('01_FASTPPH'!$9:$1048576,MATCH($A220,'01_FASTPPH'!$A$9:$A$1048576,0),MATCH(D$9,'01_FASTPPH'!$8:$8,0))</f>
        <v>#N/A</v>
      </c>
      <c r="E220" s="20" t="e">
        <f>INDEX('01_FASTPPH'!$9:$1048576,MATCH($A220,'01_FASTPPH'!$A$9:$A$1048576,0),MATCH(E$9,'01_FASTPPH'!$8:$8,0))</f>
        <v>#N/A</v>
      </c>
      <c r="F220" s="20" t="e">
        <f>INDEX('01_FASTPPH'!$9:$1048576,MATCH($A220,'01_FASTPPH'!$A$9:$A$1048576,0),MATCH(F$9,'01_FASTPPH'!$8:$8,0))</f>
        <v>#N/A</v>
      </c>
      <c r="G220" s="20" t="e">
        <f>INDEX('01_FASTPPH'!$9:$1048576,MATCH($A220,'01_FASTPPH'!$A$9:$A$1048576,0),MATCH(G$9,'01_FASTPPH'!$8:$8,0))</f>
        <v>#N/A</v>
      </c>
      <c r="H220" s="20" t="e">
        <f>INDEX('01_FASTPPH'!$9:$1048576,MATCH($A220,'01_FASTPPH'!$A$9:$A$1048576,0),MATCH(H$9,'01_FASTPPH'!$8:$8,0))</f>
        <v>#N/A</v>
      </c>
      <c r="I220" s="20" t="e">
        <f>INDEX('01_FASTPPH'!$9:$1048576,MATCH($A220,'01_FASTPPH'!$A$9:$A$1048576,0),MATCH(I$9,'01_FASTPPH'!$8:$8,0))</f>
        <v>#N/A</v>
      </c>
      <c r="J220" s="20" t="e">
        <f>INDEX('01_FASTPPH'!$9:$1048576,MATCH($A220,'01_FASTPPH'!$A$9:$A$1048576,0),MATCH(J$9,'01_FASTPPH'!$8:$8,0))</f>
        <v>#N/A</v>
      </c>
      <c r="K220" s="23" t="e">
        <f>INDEX('01_FASTPPH'!$9:$1048576,MATCH($A220,'01_FASTPPH'!$A$9:$A$1048576,0),MATCH(K$9,'01_FASTPPH'!$8:$8,0))</f>
        <v>#N/A</v>
      </c>
      <c r="L220" s="20" t="e">
        <f>INDEX('01_FASTPPH'!$9:$1048576,MATCH($A220,'01_FASTPPH'!$A$9:$A$1048576,0),MATCH(L$9,'01_FASTPPH'!$8:$8,0))</f>
        <v>#N/A</v>
      </c>
      <c r="M220" s="20" t="e">
        <f>INDEX('01_FASTPPH'!$9:$1048576,MATCH($A220,'01_FASTPPH'!$A$9:$A$1048576,0),MATCH(M$9,'01_FASTPPH'!$8:$8,0))</f>
        <v>#N/A</v>
      </c>
      <c r="N220" s="24" t="e">
        <f>INDEX('01_FASTPPH'!$9:$1048576,MATCH($A220,'01_FASTPPH'!$A$9:$A$1048576,0),MATCH(N$9,'01_FASTPPH'!$8:$8,0))</f>
        <v>#N/A</v>
      </c>
      <c r="O220" s="23" t="e">
        <f>INDEX('01_FASTPPH'!$9:$1048576,MATCH($A220,'01_FASTPPH'!$A$9:$A$1048576,0),MATCH(O$9,'01_FASTPPH'!$8:$8,0))</f>
        <v>#N/A</v>
      </c>
      <c r="P220" s="20" t="e">
        <f>INDEX('01_FASTPPH'!$9:$1048576,MATCH($A220,'01_FASTPPH'!$A$9:$A$1048576,0),MATCH(P$9,'01_FASTPPH'!$8:$8,0))</f>
        <v>#N/A</v>
      </c>
      <c r="Q220" s="20" t="e">
        <f>INDEX('01_FASTPPH'!$9:$1048576,MATCH($A220,'01_FASTPPH'!$A$9:$A$1048576,0),MATCH(Q$9,'01_FASTPPH'!$8:$8,0))</f>
        <v>#N/A</v>
      </c>
      <c r="R220" s="20" t="e">
        <f>INDEX('01_FASTPPH'!$9:$1048576,MATCH($A220,'01_FASTPPH'!$A$9:$A$1048576,0),MATCH(R$9,'01_FASTPPH'!$8:$8,0))</f>
        <v>#N/A</v>
      </c>
      <c r="S220" s="20" t="e">
        <f>INDEX('01_FASTPPH'!$9:$1048576,MATCH($A220,'01_FASTPPH'!$A$9:$A$1048576,0),MATCH(S$9,'01_FASTPPH'!$8:$8,0))</f>
        <v>#N/A</v>
      </c>
      <c r="T220" s="24" t="e">
        <f>INDEX('01_FASTPPH'!$9:$1048576,MATCH($A220,'01_FASTPPH'!$A$9:$A$1048576,0),MATCH(T$9,'01_FASTPPH'!$8:$8,0))</f>
        <v>#N/A</v>
      </c>
      <c r="U220" s="23" t="e">
        <f>INDEX('01_FASTPPH'!$9:$1048576,MATCH($A220,'01_FASTPPH'!$A$9:$A$1048576,0),MATCH(U$9,'01_FASTPPH'!$8:$8,0))</f>
        <v>#N/A</v>
      </c>
      <c r="V220" s="20" t="e">
        <f>INDEX('01_FASTPPH'!$9:$1048576,MATCH($A220,'01_FASTPPH'!$A$9:$A$1048576,0),MATCH(V$9,'01_FASTPPH'!$8:$8,0))</f>
        <v>#N/A</v>
      </c>
      <c r="W220" s="24" t="e">
        <f>INDEX('01_FASTPPH'!$9:$1048576,MATCH($A220,'01_FASTPPH'!$A$9:$A$1048576,0),MATCH(W$9,'01_FASTPPH'!$8:$8,0))</f>
        <v>#N/A</v>
      </c>
      <c r="X220" s="20" t="e">
        <f>INDEX('01_FASTPPH'!$9:$1048576,MATCH($A220,'01_FASTPPH'!$A$9:$A$1048576,0),MATCH(X$9,'01_FASTPPH'!$8:$8,0))</f>
        <v>#N/A</v>
      </c>
      <c r="Y220" s="20" t="e">
        <f>INDEX('01_FASTPPH'!$9:$1048576,MATCH($A220,'01_FASTPPH'!$A$9:$A$1048576,0),MATCH(Y$9,'01_FASTPPH'!$8:$8,0))</f>
        <v>#N/A</v>
      </c>
      <c r="AA220" s="32" t="e">
        <f>INDEX('02_PROPERTIES'!$C$10:$I$1048576,MATCH('03_CALCULATIONS'!$D220,'02_PROPERTIES'!$C$10:$C$1048576,0),MATCH('03_CALCULATIONS'!AA$9,'02_PROPERTIES'!$C$10:$I$10,0))</f>
        <v>#N/A</v>
      </c>
      <c r="AB220" s="20" t="e">
        <f>INDEX('02_PROPERTIES'!$C$10:$I$1048576,MATCH('03_CALCULATIONS'!$D220,'02_PROPERTIES'!$C$10:$C$1048576,0),MATCH('03_CALCULATIONS'!AB$9,'02_PROPERTIES'!$C$10:$I$10,0))</f>
        <v>#N/A</v>
      </c>
      <c r="AC220" s="20" t="e">
        <f>INDEX('02_PROPERTIES'!$C$10:$I$1048576,MATCH('03_CALCULATIONS'!$D220,'02_PROPERTIES'!$C$10:$C$1048576,0),MATCH('03_CALCULATIONS'!AC$9,'02_PROPERTIES'!$C$10:$I$10,0))</f>
        <v>#N/A</v>
      </c>
      <c r="AD220" s="20" t="e">
        <f>INDEX('02_PROPERTIES'!$C$10:$I$1048576,MATCH('03_CALCULATIONS'!$D220,'02_PROPERTIES'!$C$10:$C$1048576,0),MATCH('03_CALCULATIONS'!AD$9,'02_PROPERTIES'!$C$10:$I$10,0))</f>
        <v>#N/A</v>
      </c>
      <c r="AE220" s="32" t="e">
        <f>INDEX('02_PROPERTIES'!$C$10:$I$1048576,MATCH('03_CALCULATIONS'!$D220,'02_PROPERTIES'!$C$10:$C$1048576,0),MATCH('03_CALCULATIONS'!AE$9,'02_PROPERTIES'!$C$10:$I$10,0))</f>
        <v>#N/A</v>
      </c>
      <c r="AF220" s="32" t="e">
        <f>INDEX('02_PROPERTIES'!$C$10:$I$1048576,MATCH('03_CALCULATIONS'!$D220,'02_PROPERTIES'!$C$10:$C$1048576,0),MATCH('03_CALCULATIONS'!AF$9,'02_PROPERTIES'!$C$10:$I$10,0))</f>
        <v>#N/A</v>
      </c>
      <c r="AH220" s="20" t="e">
        <f t="shared" si="33"/>
        <v>#N/A</v>
      </c>
      <c r="AI220" s="20" t="e">
        <f t="shared" si="34"/>
        <v>#N/A</v>
      </c>
      <c r="AJ220" s="20" t="e">
        <f t="shared" si="35"/>
        <v>#N/A</v>
      </c>
      <c r="AL220" s="20" t="e">
        <f t="shared" si="36"/>
        <v>#N/A</v>
      </c>
      <c r="AM220" s="20" t="e">
        <f t="shared" si="37"/>
        <v>#N/A</v>
      </c>
      <c r="AN220" s="20" t="e">
        <f t="shared" si="38"/>
        <v>#N/A</v>
      </c>
      <c r="AO220" s="20" t="e">
        <f t="shared" si="39"/>
        <v>#N/A</v>
      </c>
      <c r="AP220" s="20" t="e">
        <f t="shared" si="40"/>
        <v>#N/A</v>
      </c>
      <c r="AR220" s="20" t="e">
        <f t="shared" si="41"/>
        <v>#N/A</v>
      </c>
      <c r="AS220" s="20" t="e">
        <f t="shared" si="42"/>
        <v>#N/A</v>
      </c>
      <c r="AT220" s="20" t="e">
        <f t="shared" si="43"/>
        <v>#N/A</v>
      </c>
    </row>
    <row r="221" spans="1:46" x14ac:dyDescent="0.3">
      <c r="A221" s="18"/>
      <c r="B221" s="20" t="e">
        <f>INDEX('01_FASTPPH'!$9:$1048576,MATCH($A221,'01_FASTPPH'!$A$9:$A$1048576,0),MATCH(B$9,'01_FASTPPH'!$8:$8,0))</f>
        <v>#N/A</v>
      </c>
      <c r="C221" s="20" t="e">
        <f>INDEX('01_FASTPPH'!$9:$1048576,MATCH($A221,'01_FASTPPH'!$A$9:$A$1048576,0),MATCH(C$9,'01_FASTPPH'!$8:$8,0))</f>
        <v>#N/A</v>
      </c>
      <c r="D221" s="20" t="e">
        <f>INDEX('01_FASTPPH'!$9:$1048576,MATCH($A221,'01_FASTPPH'!$A$9:$A$1048576,0),MATCH(D$9,'01_FASTPPH'!$8:$8,0))</f>
        <v>#N/A</v>
      </c>
      <c r="E221" s="20" t="e">
        <f>INDEX('01_FASTPPH'!$9:$1048576,MATCH($A221,'01_FASTPPH'!$A$9:$A$1048576,0),MATCH(E$9,'01_FASTPPH'!$8:$8,0))</f>
        <v>#N/A</v>
      </c>
      <c r="F221" s="20" t="e">
        <f>INDEX('01_FASTPPH'!$9:$1048576,MATCH($A221,'01_FASTPPH'!$A$9:$A$1048576,0),MATCH(F$9,'01_FASTPPH'!$8:$8,0))</f>
        <v>#N/A</v>
      </c>
      <c r="G221" s="20" t="e">
        <f>INDEX('01_FASTPPH'!$9:$1048576,MATCH($A221,'01_FASTPPH'!$A$9:$A$1048576,0),MATCH(G$9,'01_FASTPPH'!$8:$8,0))</f>
        <v>#N/A</v>
      </c>
      <c r="H221" s="20" t="e">
        <f>INDEX('01_FASTPPH'!$9:$1048576,MATCH($A221,'01_FASTPPH'!$A$9:$A$1048576,0),MATCH(H$9,'01_FASTPPH'!$8:$8,0))</f>
        <v>#N/A</v>
      </c>
      <c r="I221" s="20" t="e">
        <f>INDEX('01_FASTPPH'!$9:$1048576,MATCH($A221,'01_FASTPPH'!$A$9:$A$1048576,0),MATCH(I$9,'01_FASTPPH'!$8:$8,0))</f>
        <v>#N/A</v>
      </c>
      <c r="J221" s="20" t="e">
        <f>INDEX('01_FASTPPH'!$9:$1048576,MATCH($A221,'01_FASTPPH'!$A$9:$A$1048576,0),MATCH(J$9,'01_FASTPPH'!$8:$8,0))</f>
        <v>#N/A</v>
      </c>
      <c r="K221" s="23" t="e">
        <f>INDEX('01_FASTPPH'!$9:$1048576,MATCH($A221,'01_FASTPPH'!$A$9:$A$1048576,0),MATCH(K$9,'01_FASTPPH'!$8:$8,0))</f>
        <v>#N/A</v>
      </c>
      <c r="L221" s="20" t="e">
        <f>INDEX('01_FASTPPH'!$9:$1048576,MATCH($A221,'01_FASTPPH'!$A$9:$A$1048576,0),MATCH(L$9,'01_FASTPPH'!$8:$8,0))</f>
        <v>#N/A</v>
      </c>
      <c r="M221" s="20" t="e">
        <f>INDEX('01_FASTPPH'!$9:$1048576,MATCH($A221,'01_FASTPPH'!$A$9:$A$1048576,0),MATCH(M$9,'01_FASTPPH'!$8:$8,0))</f>
        <v>#N/A</v>
      </c>
      <c r="N221" s="24" t="e">
        <f>INDEX('01_FASTPPH'!$9:$1048576,MATCH($A221,'01_FASTPPH'!$A$9:$A$1048576,0),MATCH(N$9,'01_FASTPPH'!$8:$8,0))</f>
        <v>#N/A</v>
      </c>
      <c r="O221" s="23" t="e">
        <f>INDEX('01_FASTPPH'!$9:$1048576,MATCH($A221,'01_FASTPPH'!$A$9:$A$1048576,0),MATCH(O$9,'01_FASTPPH'!$8:$8,0))</f>
        <v>#N/A</v>
      </c>
      <c r="P221" s="20" t="e">
        <f>INDEX('01_FASTPPH'!$9:$1048576,MATCH($A221,'01_FASTPPH'!$A$9:$A$1048576,0),MATCH(P$9,'01_FASTPPH'!$8:$8,0))</f>
        <v>#N/A</v>
      </c>
      <c r="Q221" s="20" t="e">
        <f>INDEX('01_FASTPPH'!$9:$1048576,MATCH($A221,'01_FASTPPH'!$A$9:$A$1048576,0),MATCH(Q$9,'01_FASTPPH'!$8:$8,0))</f>
        <v>#N/A</v>
      </c>
      <c r="R221" s="20" t="e">
        <f>INDEX('01_FASTPPH'!$9:$1048576,MATCH($A221,'01_FASTPPH'!$A$9:$A$1048576,0),MATCH(R$9,'01_FASTPPH'!$8:$8,0))</f>
        <v>#N/A</v>
      </c>
      <c r="S221" s="20" t="e">
        <f>INDEX('01_FASTPPH'!$9:$1048576,MATCH($A221,'01_FASTPPH'!$A$9:$A$1048576,0),MATCH(S$9,'01_FASTPPH'!$8:$8,0))</f>
        <v>#N/A</v>
      </c>
      <c r="T221" s="24" t="e">
        <f>INDEX('01_FASTPPH'!$9:$1048576,MATCH($A221,'01_FASTPPH'!$A$9:$A$1048576,0),MATCH(T$9,'01_FASTPPH'!$8:$8,0))</f>
        <v>#N/A</v>
      </c>
      <c r="U221" s="23" t="e">
        <f>INDEX('01_FASTPPH'!$9:$1048576,MATCH($A221,'01_FASTPPH'!$A$9:$A$1048576,0),MATCH(U$9,'01_FASTPPH'!$8:$8,0))</f>
        <v>#N/A</v>
      </c>
      <c r="V221" s="20" t="e">
        <f>INDEX('01_FASTPPH'!$9:$1048576,MATCH($A221,'01_FASTPPH'!$A$9:$A$1048576,0),MATCH(V$9,'01_FASTPPH'!$8:$8,0))</f>
        <v>#N/A</v>
      </c>
      <c r="W221" s="24" t="e">
        <f>INDEX('01_FASTPPH'!$9:$1048576,MATCH($A221,'01_FASTPPH'!$A$9:$A$1048576,0),MATCH(W$9,'01_FASTPPH'!$8:$8,0))</f>
        <v>#N/A</v>
      </c>
      <c r="X221" s="20" t="e">
        <f>INDEX('01_FASTPPH'!$9:$1048576,MATCH($A221,'01_FASTPPH'!$A$9:$A$1048576,0),MATCH(X$9,'01_FASTPPH'!$8:$8,0))</f>
        <v>#N/A</v>
      </c>
      <c r="Y221" s="20" t="e">
        <f>INDEX('01_FASTPPH'!$9:$1048576,MATCH($A221,'01_FASTPPH'!$A$9:$A$1048576,0),MATCH(Y$9,'01_FASTPPH'!$8:$8,0))</f>
        <v>#N/A</v>
      </c>
      <c r="AA221" s="32" t="e">
        <f>INDEX('02_PROPERTIES'!$C$10:$I$1048576,MATCH('03_CALCULATIONS'!$D221,'02_PROPERTIES'!$C$10:$C$1048576,0),MATCH('03_CALCULATIONS'!AA$9,'02_PROPERTIES'!$C$10:$I$10,0))</f>
        <v>#N/A</v>
      </c>
      <c r="AB221" s="20" t="e">
        <f>INDEX('02_PROPERTIES'!$C$10:$I$1048576,MATCH('03_CALCULATIONS'!$D221,'02_PROPERTIES'!$C$10:$C$1048576,0),MATCH('03_CALCULATIONS'!AB$9,'02_PROPERTIES'!$C$10:$I$10,0))</f>
        <v>#N/A</v>
      </c>
      <c r="AC221" s="20" t="e">
        <f>INDEX('02_PROPERTIES'!$C$10:$I$1048576,MATCH('03_CALCULATIONS'!$D221,'02_PROPERTIES'!$C$10:$C$1048576,0),MATCH('03_CALCULATIONS'!AC$9,'02_PROPERTIES'!$C$10:$I$10,0))</f>
        <v>#N/A</v>
      </c>
      <c r="AD221" s="20" t="e">
        <f>INDEX('02_PROPERTIES'!$C$10:$I$1048576,MATCH('03_CALCULATIONS'!$D221,'02_PROPERTIES'!$C$10:$C$1048576,0),MATCH('03_CALCULATIONS'!AD$9,'02_PROPERTIES'!$C$10:$I$10,0))</f>
        <v>#N/A</v>
      </c>
      <c r="AE221" s="32" t="e">
        <f>INDEX('02_PROPERTIES'!$C$10:$I$1048576,MATCH('03_CALCULATIONS'!$D221,'02_PROPERTIES'!$C$10:$C$1048576,0),MATCH('03_CALCULATIONS'!AE$9,'02_PROPERTIES'!$C$10:$I$10,0))</f>
        <v>#N/A</v>
      </c>
      <c r="AF221" s="32" t="e">
        <f>INDEX('02_PROPERTIES'!$C$10:$I$1048576,MATCH('03_CALCULATIONS'!$D221,'02_PROPERTIES'!$C$10:$C$1048576,0),MATCH('03_CALCULATIONS'!AF$9,'02_PROPERTIES'!$C$10:$I$10,0))</f>
        <v>#N/A</v>
      </c>
      <c r="AH221" s="20" t="e">
        <f t="shared" si="33"/>
        <v>#N/A</v>
      </c>
      <c r="AI221" s="20" t="e">
        <f t="shared" si="34"/>
        <v>#N/A</v>
      </c>
      <c r="AJ221" s="20" t="e">
        <f t="shared" si="35"/>
        <v>#N/A</v>
      </c>
      <c r="AL221" s="20" t="e">
        <f t="shared" si="36"/>
        <v>#N/A</v>
      </c>
      <c r="AM221" s="20" t="e">
        <f t="shared" si="37"/>
        <v>#N/A</v>
      </c>
      <c r="AN221" s="20" t="e">
        <f t="shared" si="38"/>
        <v>#N/A</v>
      </c>
      <c r="AO221" s="20" t="e">
        <f t="shared" si="39"/>
        <v>#N/A</v>
      </c>
      <c r="AP221" s="20" t="e">
        <f t="shared" si="40"/>
        <v>#N/A</v>
      </c>
      <c r="AR221" s="20" t="e">
        <f t="shared" si="41"/>
        <v>#N/A</v>
      </c>
      <c r="AS221" s="20" t="e">
        <f t="shared" si="42"/>
        <v>#N/A</v>
      </c>
      <c r="AT221" s="20" t="e">
        <f t="shared" si="43"/>
        <v>#N/A</v>
      </c>
    </row>
    <row r="222" spans="1:46" x14ac:dyDescent="0.3">
      <c r="A222" s="18"/>
      <c r="B222" s="20" t="e">
        <f>INDEX('01_FASTPPH'!$9:$1048576,MATCH($A222,'01_FASTPPH'!$A$9:$A$1048576,0),MATCH(B$9,'01_FASTPPH'!$8:$8,0))</f>
        <v>#N/A</v>
      </c>
      <c r="C222" s="20" t="e">
        <f>INDEX('01_FASTPPH'!$9:$1048576,MATCH($A222,'01_FASTPPH'!$A$9:$A$1048576,0),MATCH(C$9,'01_FASTPPH'!$8:$8,0))</f>
        <v>#N/A</v>
      </c>
      <c r="D222" s="20" t="e">
        <f>INDEX('01_FASTPPH'!$9:$1048576,MATCH($A222,'01_FASTPPH'!$A$9:$A$1048576,0),MATCH(D$9,'01_FASTPPH'!$8:$8,0))</f>
        <v>#N/A</v>
      </c>
      <c r="E222" s="20" t="e">
        <f>INDEX('01_FASTPPH'!$9:$1048576,MATCH($A222,'01_FASTPPH'!$A$9:$A$1048576,0),MATCH(E$9,'01_FASTPPH'!$8:$8,0))</f>
        <v>#N/A</v>
      </c>
      <c r="F222" s="20" t="e">
        <f>INDEX('01_FASTPPH'!$9:$1048576,MATCH($A222,'01_FASTPPH'!$A$9:$A$1048576,0),MATCH(F$9,'01_FASTPPH'!$8:$8,0))</f>
        <v>#N/A</v>
      </c>
      <c r="G222" s="20" t="e">
        <f>INDEX('01_FASTPPH'!$9:$1048576,MATCH($A222,'01_FASTPPH'!$A$9:$A$1048576,0),MATCH(G$9,'01_FASTPPH'!$8:$8,0))</f>
        <v>#N/A</v>
      </c>
      <c r="H222" s="20" t="e">
        <f>INDEX('01_FASTPPH'!$9:$1048576,MATCH($A222,'01_FASTPPH'!$A$9:$A$1048576,0),MATCH(H$9,'01_FASTPPH'!$8:$8,0))</f>
        <v>#N/A</v>
      </c>
      <c r="I222" s="20" t="e">
        <f>INDEX('01_FASTPPH'!$9:$1048576,MATCH($A222,'01_FASTPPH'!$A$9:$A$1048576,0),MATCH(I$9,'01_FASTPPH'!$8:$8,0))</f>
        <v>#N/A</v>
      </c>
      <c r="J222" s="20" t="e">
        <f>INDEX('01_FASTPPH'!$9:$1048576,MATCH($A222,'01_FASTPPH'!$A$9:$A$1048576,0),MATCH(J$9,'01_FASTPPH'!$8:$8,0))</f>
        <v>#N/A</v>
      </c>
      <c r="K222" s="23" t="e">
        <f>INDEX('01_FASTPPH'!$9:$1048576,MATCH($A222,'01_FASTPPH'!$A$9:$A$1048576,0),MATCH(K$9,'01_FASTPPH'!$8:$8,0))</f>
        <v>#N/A</v>
      </c>
      <c r="L222" s="20" t="e">
        <f>INDEX('01_FASTPPH'!$9:$1048576,MATCH($A222,'01_FASTPPH'!$A$9:$A$1048576,0),MATCH(L$9,'01_FASTPPH'!$8:$8,0))</f>
        <v>#N/A</v>
      </c>
      <c r="M222" s="20" t="e">
        <f>INDEX('01_FASTPPH'!$9:$1048576,MATCH($A222,'01_FASTPPH'!$A$9:$A$1048576,0),MATCH(M$9,'01_FASTPPH'!$8:$8,0))</f>
        <v>#N/A</v>
      </c>
      <c r="N222" s="24" t="e">
        <f>INDEX('01_FASTPPH'!$9:$1048576,MATCH($A222,'01_FASTPPH'!$A$9:$A$1048576,0),MATCH(N$9,'01_FASTPPH'!$8:$8,0))</f>
        <v>#N/A</v>
      </c>
      <c r="O222" s="23" t="e">
        <f>INDEX('01_FASTPPH'!$9:$1048576,MATCH($A222,'01_FASTPPH'!$A$9:$A$1048576,0),MATCH(O$9,'01_FASTPPH'!$8:$8,0))</f>
        <v>#N/A</v>
      </c>
      <c r="P222" s="20" t="e">
        <f>INDEX('01_FASTPPH'!$9:$1048576,MATCH($A222,'01_FASTPPH'!$A$9:$A$1048576,0),MATCH(P$9,'01_FASTPPH'!$8:$8,0))</f>
        <v>#N/A</v>
      </c>
      <c r="Q222" s="20" t="e">
        <f>INDEX('01_FASTPPH'!$9:$1048576,MATCH($A222,'01_FASTPPH'!$A$9:$A$1048576,0),MATCH(Q$9,'01_FASTPPH'!$8:$8,0))</f>
        <v>#N/A</v>
      </c>
      <c r="R222" s="20" t="e">
        <f>INDEX('01_FASTPPH'!$9:$1048576,MATCH($A222,'01_FASTPPH'!$A$9:$A$1048576,0),MATCH(R$9,'01_FASTPPH'!$8:$8,0))</f>
        <v>#N/A</v>
      </c>
      <c r="S222" s="20" t="e">
        <f>INDEX('01_FASTPPH'!$9:$1048576,MATCH($A222,'01_FASTPPH'!$A$9:$A$1048576,0),MATCH(S$9,'01_FASTPPH'!$8:$8,0))</f>
        <v>#N/A</v>
      </c>
      <c r="T222" s="24" t="e">
        <f>INDEX('01_FASTPPH'!$9:$1048576,MATCH($A222,'01_FASTPPH'!$A$9:$A$1048576,0),MATCH(T$9,'01_FASTPPH'!$8:$8,0))</f>
        <v>#N/A</v>
      </c>
      <c r="U222" s="23" t="e">
        <f>INDEX('01_FASTPPH'!$9:$1048576,MATCH($A222,'01_FASTPPH'!$A$9:$A$1048576,0),MATCH(U$9,'01_FASTPPH'!$8:$8,0))</f>
        <v>#N/A</v>
      </c>
      <c r="V222" s="20" t="e">
        <f>INDEX('01_FASTPPH'!$9:$1048576,MATCH($A222,'01_FASTPPH'!$A$9:$A$1048576,0),MATCH(V$9,'01_FASTPPH'!$8:$8,0))</f>
        <v>#N/A</v>
      </c>
      <c r="W222" s="24" t="e">
        <f>INDEX('01_FASTPPH'!$9:$1048576,MATCH($A222,'01_FASTPPH'!$A$9:$A$1048576,0),MATCH(W$9,'01_FASTPPH'!$8:$8,0))</f>
        <v>#N/A</v>
      </c>
      <c r="X222" s="20" t="e">
        <f>INDEX('01_FASTPPH'!$9:$1048576,MATCH($A222,'01_FASTPPH'!$A$9:$A$1048576,0),MATCH(X$9,'01_FASTPPH'!$8:$8,0))</f>
        <v>#N/A</v>
      </c>
      <c r="Y222" s="20" t="e">
        <f>INDEX('01_FASTPPH'!$9:$1048576,MATCH($A222,'01_FASTPPH'!$A$9:$A$1048576,0),MATCH(Y$9,'01_FASTPPH'!$8:$8,0))</f>
        <v>#N/A</v>
      </c>
      <c r="AA222" s="32" t="e">
        <f>INDEX('02_PROPERTIES'!$C$10:$I$1048576,MATCH('03_CALCULATIONS'!$D222,'02_PROPERTIES'!$C$10:$C$1048576,0),MATCH('03_CALCULATIONS'!AA$9,'02_PROPERTIES'!$C$10:$I$10,0))</f>
        <v>#N/A</v>
      </c>
      <c r="AB222" s="20" t="e">
        <f>INDEX('02_PROPERTIES'!$C$10:$I$1048576,MATCH('03_CALCULATIONS'!$D222,'02_PROPERTIES'!$C$10:$C$1048576,0),MATCH('03_CALCULATIONS'!AB$9,'02_PROPERTIES'!$C$10:$I$10,0))</f>
        <v>#N/A</v>
      </c>
      <c r="AC222" s="20" t="e">
        <f>INDEX('02_PROPERTIES'!$C$10:$I$1048576,MATCH('03_CALCULATIONS'!$D222,'02_PROPERTIES'!$C$10:$C$1048576,0),MATCH('03_CALCULATIONS'!AC$9,'02_PROPERTIES'!$C$10:$I$10,0))</f>
        <v>#N/A</v>
      </c>
      <c r="AD222" s="20" t="e">
        <f>INDEX('02_PROPERTIES'!$C$10:$I$1048576,MATCH('03_CALCULATIONS'!$D222,'02_PROPERTIES'!$C$10:$C$1048576,0),MATCH('03_CALCULATIONS'!AD$9,'02_PROPERTIES'!$C$10:$I$10,0))</f>
        <v>#N/A</v>
      </c>
      <c r="AE222" s="32" t="e">
        <f>INDEX('02_PROPERTIES'!$C$10:$I$1048576,MATCH('03_CALCULATIONS'!$D222,'02_PROPERTIES'!$C$10:$C$1048576,0),MATCH('03_CALCULATIONS'!AE$9,'02_PROPERTIES'!$C$10:$I$10,0))</f>
        <v>#N/A</v>
      </c>
      <c r="AF222" s="32" t="e">
        <f>INDEX('02_PROPERTIES'!$C$10:$I$1048576,MATCH('03_CALCULATIONS'!$D222,'02_PROPERTIES'!$C$10:$C$1048576,0),MATCH('03_CALCULATIONS'!AF$9,'02_PROPERTIES'!$C$10:$I$10,0))</f>
        <v>#N/A</v>
      </c>
      <c r="AH222" s="20" t="e">
        <f t="shared" si="33"/>
        <v>#N/A</v>
      </c>
      <c r="AI222" s="20" t="e">
        <f t="shared" si="34"/>
        <v>#N/A</v>
      </c>
      <c r="AJ222" s="20" t="e">
        <f t="shared" si="35"/>
        <v>#N/A</v>
      </c>
      <c r="AL222" s="20" t="e">
        <f t="shared" si="36"/>
        <v>#N/A</v>
      </c>
      <c r="AM222" s="20" t="e">
        <f t="shared" si="37"/>
        <v>#N/A</v>
      </c>
      <c r="AN222" s="20" t="e">
        <f t="shared" si="38"/>
        <v>#N/A</v>
      </c>
      <c r="AO222" s="20" t="e">
        <f t="shared" si="39"/>
        <v>#N/A</v>
      </c>
      <c r="AP222" s="20" t="e">
        <f t="shared" si="40"/>
        <v>#N/A</v>
      </c>
      <c r="AR222" s="20" t="e">
        <f t="shared" si="41"/>
        <v>#N/A</v>
      </c>
      <c r="AS222" s="20" t="e">
        <f t="shared" si="42"/>
        <v>#N/A</v>
      </c>
      <c r="AT222" s="20" t="e">
        <f t="shared" si="43"/>
        <v>#N/A</v>
      </c>
    </row>
    <row r="223" spans="1:46" x14ac:dyDescent="0.3">
      <c r="A223" s="18"/>
      <c r="B223" s="20" t="e">
        <f>INDEX('01_FASTPPH'!$9:$1048576,MATCH($A223,'01_FASTPPH'!$A$9:$A$1048576,0),MATCH(B$9,'01_FASTPPH'!$8:$8,0))</f>
        <v>#N/A</v>
      </c>
      <c r="C223" s="20" t="e">
        <f>INDEX('01_FASTPPH'!$9:$1048576,MATCH($A223,'01_FASTPPH'!$A$9:$A$1048576,0),MATCH(C$9,'01_FASTPPH'!$8:$8,0))</f>
        <v>#N/A</v>
      </c>
      <c r="D223" s="20" t="e">
        <f>INDEX('01_FASTPPH'!$9:$1048576,MATCH($A223,'01_FASTPPH'!$A$9:$A$1048576,0),MATCH(D$9,'01_FASTPPH'!$8:$8,0))</f>
        <v>#N/A</v>
      </c>
      <c r="E223" s="20" t="e">
        <f>INDEX('01_FASTPPH'!$9:$1048576,MATCH($A223,'01_FASTPPH'!$A$9:$A$1048576,0),MATCH(E$9,'01_FASTPPH'!$8:$8,0))</f>
        <v>#N/A</v>
      </c>
      <c r="F223" s="20" t="e">
        <f>INDEX('01_FASTPPH'!$9:$1048576,MATCH($A223,'01_FASTPPH'!$A$9:$A$1048576,0),MATCH(F$9,'01_FASTPPH'!$8:$8,0))</f>
        <v>#N/A</v>
      </c>
      <c r="G223" s="20" t="e">
        <f>INDEX('01_FASTPPH'!$9:$1048576,MATCH($A223,'01_FASTPPH'!$A$9:$A$1048576,0),MATCH(G$9,'01_FASTPPH'!$8:$8,0))</f>
        <v>#N/A</v>
      </c>
      <c r="H223" s="20" t="e">
        <f>INDEX('01_FASTPPH'!$9:$1048576,MATCH($A223,'01_FASTPPH'!$A$9:$A$1048576,0),MATCH(H$9,'01_FASTPPH'!$8:$8,0))</f>
        <v>#N/A</v>
      </c>
      <c r="I223" s="20" t="e">
        <f>INDEX('01_FASTPPH'!$9:$1048576,MATCH($A223,'01_FASTPPH'!$A$9:$A$1048576,0),MATCH(I$9,'01_FASTPPH'!$8:$8,0))</f>
        <v>#N/A</v>
      </c>
      <c r="J223" s="20" t="e">
        <f>INDEX('01_FASTPPH'!$9:$1048576,MATCH($A223,'01_FASTPPH'!$A$9:$A$1048576,0),MATCH(J$9,'01_FASTPPH'!$8:$8,0))</f>
        <v>#N/A</v>
      </c>
      <c r="K223" s="23" t="e">
        <f>INDEX('01_FASTPPH'!$9:$1048576,MATCH($A223,'01_FASTPPH'!$A$9:$A$1048576,0),MATCH(K$9,'01_FASTPPH'!$8:$8,0))</f>
        <v>#N/A</v>
      </c>
      <c r="L223" s="20" t="e">
        <f>INDEX('01_FASTPPH'!$9:$1048576,MATCH($A223,'01_FASTPPH'!$A$9:$A$1048576,0),MATCH(L$9,'01_FASTPPH'!$8:$8,0))</f>
        <v>#N/A</v>
      </c>
      <c r="M223" s="20" t="e">
        <f>INDEX('01_FASTPPH'!$9:$1048576,MATCH($A223,'01_FASTPPH'!$A$9:$A$1048576,0),MATCH(M$9,'01_FASTPPH'!$8:$8,0))</f>
        <v>#N/A</v>
      </c>
      <c r="N223" s="24" t="e">
        <f>INDEX('01_FASTPPH'!$9:$1048576,MATCH($A223,'01_FASTPPH'!$A$9:$A$1048576,0),MATCH(N$9,'01_FASTPPH'!$8:$8,0))</f>
        <v>#N/A</v>
      </c>
      <c r="O223" s="23" t="e">
        <f>INDEX('01_FASTPPH'!$9:$1048576,MATCH($A223,'01_FASTPPH'!$A$9:$A$1048576,0),MATCH(O$9,'01_FASTPPH'!$8:$8,0))</f>
        <v>#N/A</v>
      </c>
      <c r="P223" s="20" t="e">
        <f>INDEX('01_FASTPPH'!$9:$1048576,MATCH($A223,'01_FASTPPH'!$A$9:$A$1048576,0),MATCH(P$9,'01_FASTPPH'!$8:$8,0))</f>
        <v>#N/A</v>
      </c>
      <c r="Q223" s="20" t="e">
        <f>INDEX('01_FASTPPH'!$9:$1048576,MATCH($A223,'01_FASTPPH'!$A$9:$A$1048576,0),MATCH(Q$9,'01_FASTPPH'!$8:$8,0))</f>
        <v>#N/A</v>
      </c>
      <c r="R223" s="20" t="e">
        <f>INDEX('01_FASTPPH'!$9:$1048576,MATCH($A223,'01_FASTPPH'!$A$9:$A$1048576,0),MATCH(R$9,'01_FASTPPH'!$8:$8,0))</f>
        <v>#N/A</v>
      </c>
      <c r="S223" s="20" t="e">
        <f>INDEX('01_FASTPPH'!$9:$1048576,MATCH($A223,'01_FASTPPH'!$A$9:$A$1048576,0),MATCH(S$9,'01_FASTPPH'!$8:$8,0))</f>
        <v>#N/A</v>
      </c>
      <c r="T223" s="24" t="e">
        <f>INDEX('01_FASTPPH'!$9:$1048576,MATCH($A223,'01_FASTPPH'!$A$9:$A$1048576,0),MATCH(T$9,'01_FASTPPH'!$8:$8,0))</f>
        <v>#N/A</v>
      </c>
      <c r="U223" s="23" t="e">
        <f>INDEX('01_FASTPPH'!$9:$1048576,MATCH($A223,'01_FASTPPH'!$A$9:$A$1048576,0),MATCH(U$9,'01_FASTPPH'!$8:$8,0))</f>
        <v>#N/A</v>
      </c>
      <c r="V223" s="20" t="e">
        <f>INDEX('01_FASTPPH'!$9:$1048576,MATCH($A223,'01_FASTPPH'!$A$9:$A$1048576,0),MATCH(V$9,'01_FASTPPH'!$8:$8,0))</f>
        <v>#N/A</v>
      </c>
      <c r="W223" s="24" t="e">
        <f>INDEX('01_FASTPPH'!$9:$1048576,MATCH($A223,'01_FASTPPH'!$A$9:$A$1048576,0),MATCH(W$9,'01_FASTPPH'!$8:$8,0))</f>
        <v>#N/A</v>
      </c>
      <c r="X223" s="20" t="e">
        <f>INDEX('01_FASTPPH'!$9:$1048576,MATCH($A223,'01_FASTPPH'!$A$9:$A$1048576,0),MATCH(X$9,'01_FASTPPH'!$8:$8,0))</f>
        <v>#N/A</v>
      </c>
      <c r="Y223" s="20" t="e">
        <f>INDEX('01_FASTPPH'!$9:$1048576,MATCH($A223,'01_FASTPPH'!$A$9:$A$1048576,0),MATCH(Y$9,'01_FASTPPH'!$8:$8,0))</f>
        <v>#N/A</v>
      </c>
      <c r="AA223" s="32" t="e">
        <f>INDEX('02_PROPERTIES'!$C$10:$I$1048576,MATCH('03_CALCULATIONS'!$D223,'02_PROPERTIES'!$C$10:$C$1048576,0),MATCH('03_CALCULATIONS'!AA$9,'02_PROPERTIES'!$C$10:$I$10,0))</f>
        <v>#N/A</v>
      </c>
      <c r="AB223" s="20" t="e">
        <f>INDEX('02_PROPERTIES'!$C$10:$I$1048576,MATCH('03_CALCULATIONS'!$D223,'02_PROPERTIES'!$C$10:$C$1048576,0),MATCH('03_CALCULATIONS'!AB$9,'02_PROPERTIES'!$C$10:$I$10,0))</f>
        <v>#N/A</v>
      </c>
      <c r="AC223" s="20" t="e">
        <f>INDEX('02_PROPERTIES'!$C$10:$I$1048576,MATCH('03_CALCULATIONS'!$D223,'02_PROPERTIES'!$C$10:$C$1048576,0),MATCH('03_CALCULATIONS'!AC$9,'02_PROPERTIES'!$C$10:$I$10,0))</f>
        <v>#N/A</v>
      </c>
      <c r="AD223" s="20" t="e">
        <f>INDEX('02_PROPERTIES'!$C$10:$I$1048576,MATCH('03_CALCULATIONS'!$D223,'02_PROPERTIES'!$C$10:$C$1048576,0),MATCH('03_CALCULATIONS'!AD$9,'02_PROPERTIES'!$C$10:$I$10,0))</f>
        <v>#N/A</v>
      </c>
      <c r="AE223" s="32" t="e">
        <f>INDEX('02_PROPERTIES'!$C$10:$I$1048576,MATCH('03_CALCULATIONS'!$D223,'02_PROPERTIES'!$C$10:$C$1048576,0),MATCH('03_CALCULATIONS'!AE$9,'02_PROPERTIES'!$C$10:$I$10,0))</f>
        <v>#N/A</v>
      </c>
      <c r="AF223" s="32" t="e">
        <f>INDEX('02_PROPERTIES'!$C$10:$I$1048576,MATCH('03_CALCULATIONS'!$D223,'02_PROPERTIES'!$C$10:$C$1048576,0),MATCH('03_CALCULATIONS'!AF$9,'02_PROPERTIES'!$C$10:$I$10,0))</f>
        <v>#N/A</v>
      </c>
      <c r="AH223" s="20" t="e">
        <f t="shared" si="33"/>
        <v>#N/A</v>
      </c>
      <c r="AI223" s="20" t="e">
        <f t="shared" si="34"/>
        <v>#N/A</v>
      </c>
      <c r="AJ223" s="20" t="e">
        <f t="shared" si="35"/>
        <v>#N/A</v>
      </c>
      <c r="AL223" s="20" t="e">
        <f t="shared" si="36"/>
        <v>#N/A</v>
      </c>
      <c r="AM223" s="20" t="e">
        <f t="shared" si="37"/>
        <v>#N/A</v>
      </c>
      <c r="AN223" s="20" t="e">
        <f t="shared" si="38"/>
        <v>#N/A</v>
      </c>
      <c r="AO223" s="20" t="e">
        <f t="shared" si="39"/>
        <v>#N/A</v>
      </c>
      <c r="AP223" s="20" t="e">
        <f t="shared" si="40"/>
        <v>#N/A</v>
      </c>
      <c r="AR223" s="20" t="e">
        <f t="shared" si="41"/>
        <v>#N/A</v>
      </c>
      <c r="AS223" s="20" t="e">
        <f t="shared" si="42"/>
        <v>#N/A</v>
      </c>
      <c r="AT223" s="20" t="e">
        <f t="shared" si="43"/>
        <v>#N/A</v>
      </c>
    </row>
    <row r="224" spans="1:46" x14ac:dyDescent="0.3">
      <c r="A224" s="18"/>
      <c r="B224" s="20" t="e">
        <f>INDEX('01_FASTPPH'!$9:$1048576,MATCH($A224,'01_FASTPPH'!$A$9:$A$1048576,0),MATCH(B$9,'01_FASTPPH'!$8:$8,0))</f>
        <v>#N/A</v>
      </c>
      <c r="C224" s="20" t="e">
        <f>INDEX('01_FASTPPH'!$9:$1048576,MATCH($A224,'01_FASTPPH'!$A$9:$A$1048576,0),MATCH(C$9,'01_FASTPPH'!$8:$8,0))</f>
        <v>#N/A</v>
      </c>
      <c r="D224" s="20" t="e">
        <f>INDEX('01_FASTPPH'!$9:$1048576,MATCH($A224,'01_FASTPPH'!$A$9:$A$1048576,0),MATCH(D$9,'01_FASTPPH'!$8:$8,0))</f>
        <v>#N/A</v>
      </c>
      <c r="E224" s="20" t="e">
        <f>INDEX('01_FASTPPH'!$9:$1048576,MATCH($A224,'01_FASTPPH'!$A$9:$A$1048576,0),MATCH(E$9,'01_FASTPPH'!$8:$8,0))</f>
        <v>#N/A</v>
      </c>
      <c r="F224" s="20" t="e">
        <f>INDEX('01_FASTPPH'!$9:$1048576,MATCH($A224,'01_FASTPPH'!$A$9:$A$1048576,0),MATCH(F$9,'01_FASTPPH'!$8:$8,0))</f>
        <v>#N/A</v>
      </c>
      <c r="G224" s="20" t="e">
        <f>INDEX('01_FASTPPH'!$9:$1048576,MATCH($A224,'01_FASTPPH'!$A$9:$A$1048576,0),MATCH(G$9,'01_FASTPPH'!$8:$8,0))</f>
        <v>#N/A</v>
      </c>
      <c r="H224" s="20" t="e">
        <f>INDEX('01_FASTPPH'!$9:$1048576,MATCH($A224,'01_FASTPPH'!$A$9:$A$1048576,0),MATCH(H$9,'01_FASTPPH'!$8:$8,0))</f>
        <v>#N/A</v>
      </c>
      <c r="I224" s="20" t="e">
        <f>INDEX('01_FASTPPH'!$9:$1048576,MATCH($A224,'01_FASTPPH'!$A$9:$A$1048576,0),MATCH(I$9,'01_FASTPPH'!$8:$8,0))</f>
        <v>#N/A</v>
      </c>
      <c r="J224" s="20" t="e">
        <f>INDEX('01_FASTPPH'!$9:$1048576,MATCH($A224,'01_FASTPPH'!$A$9:$A$1048576,0),MATCH(J$9,'01_FASTPPH'!$8:$8,0))</f>
        <v>#N/A</v>
      </c>
      <c r="K224" s="23" t="e">
        <f>INDEX('01_FASTPPH'!$9:$1048576,MATCH($A224,'01_FASTPPH'!$A$9:$A$1048576,0),MATCH(K$9,'01_FASTPPH'!$8:$8,0))</f>
        <v>#N/A</v>
      </c>
      <c r="L224" s="20" t="e">
        <f>INDEX('01_FASTPPH'!$9:$1048576,MATCH($A224,'01_FASTPPH'!$A$9:$A$1048576,0),MATCH(L$9,'01_FASTPPH'!$8:$8,0))</f>
        <v>#N/A</v>
      </c>
      <c r="M224" s="20" t="e">
        <f>INDEX('01_FASTPPH'!$9:$1048576,MATCH($A224,'01_FASTPPH'!$A$9:$A$1048576,0),MATCH(M$9,'01_FASTPPH'!$8:$8,0))</f>
        <v>#N/A</v>
      </c>
      <c r="N224" s="24" t="e">
        <f>INDEX('01_FASTPPH'!$9:$1048576,MATCH($A224,'01_FASTPPH'!$A$9:$A$1048576,0),MATCH(N$9,'01_FASTPPH'!$8:$8,0))</f>
        <v>#N/A</v>
      </c>
      <c r="O224" s="23" t="e">
        <f>INDEX('01_FASTPPH'!$9:$1048576,MATCH($A224,'01_FASTPPH'!$A$9:$A$1048576,0),MATCH(O$9,'01_FASTPPH'!$8:$8,0))</f>
        <v>#N/A</v>
      </c>
      <c r="P224" s="20" t="e">
        <f>INDEX('01_FASTPPH'!$9:$1048576,MATCH($A224,'01_FASTPPH'!$A$9:$A$1048576,0),MATCH(P$9,'01_FASTPPH'!$8:$8,0))</f>
        <v>#N/A</v>
      </c>
      <c r="Q224" s="20" t="e">
        <f>INDEX('01_FASTPPH'!$9:$1048576,MATCH($A224,'01_FASTPPH'!$A$9:$A$1048576,0),MATCH(Q$9,'01_FASTPPH'!$8:$8,0))</f>
        <v>#N/A</v>
      </c>
      <c r="R224" s="20" t="e">
        <f>INDEX('01_FASTPPH'!$9:$1048576,MATCH($A224,'01_FASTPPH'!$A$9:$A$1048576,0),MATCH(R$9,'01_FASTPPH'!$8:$8,0))</f>
        <v>#N/A</v>
      </c>
      <c r="S224" s="20" t="e">
        <f>INDEX('01_FASTPPH'!$9:$1048576,MATCH($A224,'01_FASTPPH'!$A$9:$A$1048576,0),MATCH(S$9,'01_FASTPPH'!$8:$8,0))</f>
        <v>#N/A</v>
      </c>
      <c r="T224" s="24" t="e">
        <f>INDEX('01_FASTPPH'!$9:$1048576,MATCH($A224,'01_FASTPPH'!$A$9:$A$1048576,0),MATCH(T$9,'01_FASTPPH'!$8:$8,0))</f>
        <v>#N/A</v>
      </c>
      <c r="U224" s="23" t="e">
        <f>INDEX('01_FASTPPH'!$9:$1048576,MATCH($A224,'01_FASTPPH'!$A$9:$A$1048576,0),MATCH(U$9,'01_FASTPPH'!$8:$8,0))</f>
        <v>#N/A</v>
      </c>
      <c r="V224" s="20" t="e">
        <f>INDEX('01_FASTPPH'!$9:$1048576,MATCH($A224,'01_FASTPPH'!$A$9:$A$1048576,0),MATCH(V$9,'01_FASTPPH'!$8:$8,0))</f>
        <v>#N/A</v>
      </c>
      <c r="W224" s="24" t="e">
        <f>INDEX('01_FASTPPH'!$9:$1048576,MATCH($A224,'01_FASTPPH'!$A$9:$A$1048576,0),MATCH(W$9,'01_FASTPPH'!$8:$8,0))</f>
        <v>#N/A</v>
      </c>
      <c r="X224" s="20" t="e">
        <f>INDEX('01_FASTPPH'!$9:$1048576,MATCH($A224,'01_FASTPPH'!$A$9:$A$1048576,0),MATCH(X$9,'01_FASTPPH'!$8:$8,0))</f>
        <v>#N/A</v>
      </c>
      <c r="Y224" s="20" t="e">
        <f>INDEX('01_FASTPPH'!$9:$1048576,MATCH($A224,'01_FASTPPH'!$A$9:$A$1048576,0),MATCH(Y$9,'01_FASTPPH'!$8:$8,0))</f>
        <v>#N/A</v>
      </c>
      <c r="AA224" s="32" t="e">
        <f>INDEX('02_PROPERTIES'!$C$10:$I$1048576,MATCH('03_CALCULATIONS'!$D224,'02_PROPERTIES'!$C$10:$C$1048576,0),MATCH('03_CALCULATIONS'!AA$9,'02_PROPERTIES'!$C$10:$I$10,0))</f>
        <v>#N/A</v>
      </c>
      <c r="AB224" s="20" t="e">
        <f>INDEX('02_PROPERTIES'!$C$10:$I$1048576,MATCH('03_CALCULATIONS'!$D224,'02_PROPERTIES'!$C$10:$C$1048576,0),MATCH('03_CALCULATIONS'!AB$9,'02_PROPERTIES'!$C$10:$I$10,0))</f>
        <v>#N/A</v>
      </c>
      <c r="AC224" s="20" t="e">
        <f>INDEX('02_PROPERTIES'!$C$10:$I$1048576,MATCH('03_CALCULATIONS'!$D224,'02_PROPERTIES'!$C$10:$C$1048576,0),MATCH('03_CALCULATIONS'!AC$9,'02_PROPERTIES'!$C$10:$I$10,0))</f>
        <v>#N/A</v>
      </c>
      <c r="AD224" s="20" t="e">
        <f>INDEX('02_PROPERTIES'!$C$10:$I$1048576,MATCH('03_CALCULATIONS'!$D224,'02_PROPERTIES'!$C$10:$C$1048576,0),MATCH('03_CALCULATIONS'!AD$9,'02_PROPERTIES'!$C$10:$I$10,0))</f>
        <v>#N/A</v>
      </c>
      <c r="AE224" s="32" t="e">
        <f>INDEX('02_PROPERTIES'!$C$10:$I$1048576,MATCH('03_CALCULATIONS'!$D224,'02_PROPERTIES'!$C$10:$C$1048576,0),MATCH('03_CALCULATIONS'!AE$9,'02_PROPERTIES'!$C$10:$I$10,0))</f>
        <v>#N/A</v>
      </c>
      <c r="AF224" s="32" t="e">
        <f>INDEX('02_PROPERTIES'!$C$10:$I$1048576,MATCH('03_CALCULATIONS'!$D224,'02_PROPERTIES'!$C$10:$C$1048576,0),MATCH('03_CALCULATIONS'!AF$9,'02_PROPERTIES'!$C$10:$I$10,0))</f>
        <v>#N/A</v>
      </c>
      <c r="AH224" s="20" t="e">
        <f t="shared" si="33"/>
        <v>#N/A</v>
      </c>
      <c r="AI224" s="20" t="e">
        <f t="shared" si="34"/>
        <v>#N/A</v>
      </c>
      <c r="AJ224" s="20" t="e">
        <f t="shared" si="35"/>
        <v>#N/A</v>
      </c>
      <c r="AL224" s="20" t="e">
        <f t="shared" si="36"/>
        <v>#N/A</v>
      </c>
      <c r="AM224" s="20" t="e">
        <f t="shared" si="37"/>
        <v>#N/A</v>
      </c>
      <c r="AN224" s="20" t="e">
        <f t="shared" si="38"/>
        <v>#N/A</v>
      </c>
      <c r="AO224" s="20" t="e">
        <f t="shared" si="39"/>
        <v>#N/A</v>
      </c>
      <c r="AP224" s="20" t="e">
        <f t="shared" si="40"/>
        <v>#N/A</v>
      </c>
      <c r="AR224" s="20" t="e">
        <f t="shared" si="41"/>
        <v>#N/A</v>
      </c>
      <c r="AS224" s="20" t="e">
        <f t="shared" si="42"/>
        <v>#N/A</v>
      </c>
      <c r="AT224" s="20" t="e">
        <f t="shared" si="43"/>
        <v>#N/A</v>
      </c>
    </row>
    <row r="225" spans="1:46" x14ac:dyDescent="0.3">
      <c r="A225" s="18"/>
      <c r="B225" s="20" t="e">
        <f>INDEX('01_FASTPPH'!$9:$1048576,MATCH($A225,'01_FASTPPH'!$A$9:$A$1048576,0),MATCH(B$9,'01_FASTPPH'!$8:$8,0))</f>
        <v>#N/A</v>
      </c>
      <c r="C225" s="20" t="e">
        <f>INDEX('01_FASTPPH'!$9:$1048576,MATCH($A225,'01_FASTPPH'!$A$9:$A$1048576,0),MATCH(C$9,'01_FASTPPH'!$8:$8,0))</f>
        <v>#N/A</v>
      </c>
      <c r="D225" s="20" t="e">
        <f>INDEX('01_FASTPPH'!$9:$1048576,MATCH($A225,'01_FASTPPH'!$A$9:$A$1048576,0),MATCH(D$9,'01_FASTPPH'!$8:$8,0))</f>
        <v>#N/A</v>
      </c>
      <c r="E225" s="20" t="e">
        <f>INDEX('01_FASTPPH'!$9:$1048576,MATCH($A225,'01_FASTPPH'!$A$9:$A$1048576,0),MATCH(E$9,'01_FASTPPH'!$8:$8,0))</f>
        <v>#N/A</v>
      </c>
      <c r="F225" s="20" t="e">
        <f>INDEX('01_FASTPPH'!$9:$1048576,MATCH($A225,'01_FASTPPH'!$A$9:$A$1048576,0),MATCH(F$9,'01_FASTPPH'!$8:$8,0))</f>
        <v>#N/A</v>
      </c>
      <c r="G225" s="20" t="e">
        <f>INDEX('01_FASTPPH'!$9:$1048576,MATCH($A225,'01_FASTPPH'!$A$9:$A$1048576,0),MATCH(G$9,'01_FASTPPH'!$8:$8,0))</f>
        <v>#N/A</v>
      </c>
      <c r="H225" s="20" t="e">
        <f>INDEX('01_FASTPPH'!$9:$1048576,MATCH($A225,'01_FASTPPH'!$A$9:$A$1048576,0),MATCH(H$9,'01_FASTPPH'!$8:$8,0))</f>
        <v>#N/A</v>
      </c>
      <c r="I225" s="20" t="e">
        <f>INDEX('01_FASTPPH'!$9:$1048576,MATCH($A225,'01_FASTPPH'!$A$9:$A$1048576,0),MATCH(I$9,'01_FASTPPH'!$8:$8,0))</f>
        <v>#N/A</v>
      </c>
      <c r="J225" s="20" t="e">
        <f>INDEX('01_FASTPPH'!$9:$1048576,MATCH($A225,'01_FASTPPH'!$A$9:$A$1048576,0),MATCH(J$9,'01_FASTPPH'!$8:$8,0))</f>
        <v>#N/A</v>
      </c>
      <c r="K225" s="23" t="e">
        <f>INDEX('01_FASTPPH'!$9:$1048576,MATCH($A225,'01_FASTPPH'!$A$9:$A$1048576,0),MATCH(K$9,'01_FASTPPH'!$8:$8,0))</f>
        <v>#N/A</v>
      </c>
      <c r="L225" s="20" t="e">
        <f>INDEX('01_FASTPPH'!$9:$1048576,MATCH($A225,'01_FASTPPH'!$A$9:$A$1048576,0),MATCH(L$9,'01_FASTPPH'!$8:$8,0))</f>
        <v>#N/A</v>
      </c>
      <c r="M225" s="20" t="e">
        <f>INDEX('01_FASTPPH'!$9:$1048576,MATCH($A225,'01_FASTPPH'!$A$9:$A$1048576,0),MATCH(M$9,'01_FASTPPH'!$8:$8,0))</f>
        <v>#N/A</v>
      </c>
      <c r="N225" s="24" t="e">
        <f>INDEX('01_FASTPPH'!$9:$1048576,MATCH($A225,'01_FASTPPH'!$A$9:$A$1048576,0),MATCH(N$9,'01_FASTPPH'!$8:$8,0))</f>
        <v>#N/A</v>
      </c>
      <c r="O225" s="23" t="e">
        <f>INDEX('01_FASTPPH'!$9:$1048576,MATCH($A225,'01_FASTPPH'!$A$9:$A$1048576,0),MATCH(O$9,'01_FASTPPH'!$8:$8,0))</f>
        <v>#N/A</v>
      </c>
      <c r="P225" s="20" t="e">
        <f>INDEX('01_FASTPPH'!$9:$1048576,MATCH($A225,'01_FASTPPH'!$A$9:$A$1048576,0),MATCH(P$9,'01_FASTPPH'!$8:$8,0))</f>
        <v>#N/A</v>
      </c>
      <c r="Q225" s="20" t="e">
        <f>INDEX('01_FASTPPH'!$9:$1048576,MATCH($A225,'01_FASTPPH'!$A$9:$A$1048576,0),MATCH(Q$9,'01_FASTPPH'!$8:$8,0))</f>
        <v>#N/A</v>
      </c>
      <c r="R225" s="20" t="e">
        <f>INDEX('01_FASTPPH'!$9:$1048576,MATCH($A225,'01_FASTPPH'!$A$9:$A$1048576,0),MATCH(R$9,'01_FASTPPH'!$8:$8,0))</f>
        <v>#N/A</v>
      </c>
      <c r="S225" s="20" t="e">
        <f>INDEX('01_FASTPPH'!$9:$1048576,MATCH($A225,'01_FASTPPH'!$A$9:$A$1048576,0),MATCH(S$9,'01_FASTPPH'!$8:$8,0))</f>
        <v>#N/A</v>
      </c>
      <c r="T225" s="24" t="e">
        <f>INDEX('01_FASTPPH'!$9:$1048576,MATCH($A225,'01_FASTPPH'!$A$9:$A$1048576,0),MATCH(T$9,'01_FASTPPH'!$8:$8,0))</f>
        <v>#N/A</v>
      </c>
      <c r="U225" s="23" t="e">
        <f>INDEX('01_FASTPPH'!$9:$1048576,MATCH($A225,'01_FASTPPH'!$A$9:$A$1048576,0),MATCH(U$9,'01_FASTPPH'!$8:$8,0))</f>
        <v>#N/A</v>
      </c>
      <c r="V225" s="20" t="e">
        <f>INDEX('01_FASTPPH'!$9:$1048576,MATCH($A225,'01_FASTPPH'!$A$9:$A$1048576,0),MATCH(V$9,'01_FASTPPH'!$8:$8,0))</f>
        <v>#N/A</v>
      </c>
      <c r="W225" s="24" t="e">
        <f>INDEX('01_FASTPPH'!$9:$1048576,MATCH($A225,'01_FASTPPH'!$A$9:$A$1048576,0),MATCH(W$9,'01_FASTPPH'!$8:$8,0))</f>
        <v>#N/A</v>
      </c>
      <c r="X225" s="20" t="e">
        <f>INDEX('01_FASTPPH'!$9:$1048576,MATCH($A225,'01_FASTPPH'!$A$9:$A$1048576,0),MATCH(X$9,'01_FASTPPH'!$8:$8,0))</f>
        <v>#N/A</v>
      </c>
      <c r="Y225" s="20" t="e">
        <f>INDEX('01_FASTPPH'!$9:$1048576,MATCH($A225,'01_FASTPPH'!$A$9:$A$1048576,0),MATCH(Y$9,'01_FASTPPH'!$8:$8,0))</f>
        <v>#N/A</v>
      </c>
      <c r="AA225" s="32" t="e">
        <f>INDEX('02_PROPERTIES'!$C$10:$I$1048576,MATCH('03_CALCULATIONS'!$D225,'02_PROPERTIES'!$C$10:$C$1048576,0),MATCH('03_CALCULATIONS'!AA$9,'02_PROPERTIES'!$C$10:$I$10,0))</f>
        <v>#N/A</v>
      </c>
      <c r="AB225" s="20" t="e">
        <f>INDEX('02_PROPERTIES'!$C$10:$I$1048576,MATCH('03_CALCULATIONS'!$D225,'02_PROPERTIES'!$C$10:$C$1048576,0),MATCH('03_CALCULATIONS'!AB$9,'02_PROPERTIES'!$C$10:$I$10,0))</f>
        <v>#N/A</v>
      </c>
      <c r="AC225" s="20" t="e">
        <f>INDEX('02_PROPERTIES'!$C$10:$I$1048576,MATCH('03_CALCULATIONS'!$D225,'02_PROPERTIES'!$C$10:$C$1048576,0),MATCH('03_CALCULATIONS'!AC$9,'02_PROPERTIES'!$C$10:$I$10,0))</f>
        <v>#N/A</v>
      </c>
      <c r="AD225" s="20" t="e">
        <f>INDEX('02_PROPERTIES'!$C$10:$I$1048576,MATCH('03_CALCULATIONS'!$D225,'02_PROPERTIES'!$C$10:$C$1048576,0),MATCH('03_CALCULATIONS'!AD$9,'02_PROPERTIES'!$C$10:$I$10,0))</f>
        <v>#N/A</v>
      </c>
      <c r="AE225" s="32" t="e">
        <f>INDEX('02_PROPERTIES'!$C$10:$I$1048576,MATCH('03_CALCULATIONS'!$D225,'02_PROPERTIES'!$C$10:$C$1048576,0),MATCH('03_CALCULATIONS'!AE$9,'02_PROPERTIES'!$C$10:$I$10,0))</f>
        <v>#N/A</v>
      </c>
      <c r="AF225" s="32" t="e">
        <f>INDEX('02_PROPERTIES'!$C$10:$I$1048576,MATCH('03_CALCULATIONS'!$D225,'02_PROPERTIES'!$C$10:$C$1048576,0),MATCH('03_CALCULATIONS'!AF$9,'02_PROPERTIES'!$C$10:$I$10,0))</f>
        <v>#N/A</v>
      </c>
      <c r="AH225" s="20" t="e">
        <f t="shared" si="33"/>
        <v>#N/A</v>
      </c>
      <c r="AI225" s="20" t="e">
        <f t="shared" si="34"/>
        <v>#N/A</v>
      </c>
      <c r="AJ225" s="20" t="e">
        <f t="shared" si="35"/>
        <v>#N/A</v>
      </c>
      <c r="AL225" s="20" t="e">
        <f t="shared" si="36"/>
        <v>#N/A</v>
      </c>
      <c r="AM225" s="20" t="e">
        <f t="shared" si="37"/>
        <v>#N/A</v>
      </c>
      <c r="AN225" s="20" t="e">
        <f t="shared" si="38"/>
        <v>#N/A</v>
      </c>
      <c r="AO225" s="20" t="e">
        <f t="shared" si="39"/>
        <v>#N/A</v>
      </c>
      <c r="AP225" s="20" t="e">
        <f t="shared" si="40"/>
        <v>#N/A</v>
      </c>
      <c r="AR225" s="20" t="e">
        <f t="shared" si="41"/>
        <v>#N/A</v>
      </c>
      <c r="AS225" s="20" t="e">
        <f t="shared" si="42"/>
        <v>#N/A</v>
      </c>
      <c r="AT225" s="20" t="e">
        <f t="shared" si="43"/>
        <v>#N/A</v>
      </c>
    </row>
    <row r="226" spans="1:46" x14ac:dyDescent="0.3">
      <c r="A226" s="18"/>
      <c r="B226" s="20" t="e">
        <f>INDEX('01_FASTPPH'!$9:$1048576,MATCH($A226,'01_FASTPPH'!$A$9:$A$1048576,0),MATCH(B$9,'01_FASTPPH'!$8:$8,0))</f>
        <v>#N/A</v>
      </c>
      <c r="C226" s="20" t="e">
        <f>INDEX('01_FASTPPH'!$9:$1048576,MATCH($A226,'01_FASTPPH'!$A$9:$A$1048576,0),MATCH(C$9,'01_FASTPPH'!$8:$8,0))</f>
        <v>#N/A</v>
      </c>
      <c r="D226" s="20" t="e">
        <f>INDEX('01_FASTPPH'!$9:$1048576,MATCH($A226,'01_FASTPPH'!$A$9:$A$1048576,0),MATCH(D$9,'01_FASTPPH'!$8:$8,0))</f>
        <v>#N/A</v>
      </c>
      <c r="E226" s="20" t="e">
        <f>INDEX('01_FASTPPH'!$9:$1048576,MATCH($A226,'01_FASTPPH'!$A$9:$A$1048576,0),MATCH(E$9,'01_FASTPPH'!$8:$8,0))</f>
        <v>#N/A</v>
      </c>
      <c r="F226" s="20" t="e">
        <f>INDEX('01_FASTPPH'!$9:$1048576,MATCH($A226,'01_FASTPPH'!$A$9:$A$1048576,0),MATCH(F$9,'01_FASTPPH'!$8:$8,0))</f>
        <v>#N/A</v>
      </c>
      <c r="G226" s="20" t="e">
        <f>INDEX('01_FASTPPH'!$9:$1048576,MATCH($A226,'01_FASTPPH'!$A$9:$A$1048576,0),MATCH(G$9,'01_FASTPPH'!$8:$8,0))</f>
        <v>#N/A</v>
      </c>
      <c r="H226" s="20" t="e">
        <f>INDEX('01_FASTPPH'!$9:$1048576,MATCH($A226,'01_FASTPPH'!$A$9:$A$1048576,0),MATCH(H$9,'01_FASTPPH'!$8:$8,0))</f>
        <v>#N/A</v>
      </c>
      <c r="I226" s="20" t="e">
        <f>INDEX('01_FASTPPH'!$9:$1048576,MATCH($A226,'01_FASTPPH'!$A$9:$A$1048576,0),MATCH(I$9,'01_FASTPPH'!$8:$8,0))</f>
        <v>#N/A</v>
      </c>
      <c r="J226" s="20" t="e">
        <f>INDEX('01_FASTPPH'!$9:$1048576,MATCH($A226,'01_FASTPPH'!$A$9:$A$1048576,0),MATCH(J$9,'01_FASTPPH'!$8:$8,0))</f>
        <v>#N/A</v>
      </c>
      <c r="K226" s="23" t="e">
        <f>INDEX('01_FASTPPH'!$9:$1048576,MATCH($A226,'01_FASTPPH'!$A$9:$A$1048576,0),MATCH(K$9,'01_FASTPPH'!$8:$8,0))</f>
        <v>#N/A</v>
      </c>
      <c r="L226" s="20" t="e">
        <f>INDEX('01_FASTPPH'!$9:$1048576,MATCH($A226,'01_FASTPPH'!$A$9:$A$1048576,0),MATCH(L$9,'01_FASTPPH'!$8:$8,0))</f>
        <v>#N/A</v>
      </c>
      <c r="M226" s="20" t="e">
        <f>INDEX('01_FASTPPH'!$9:$1048576,MATCH($A226,'01_FASTPPH'!$A$9:$A$1048576,0),MATCH(M$9,'01_FASTPPH'!$8:$8,0))</f>
        <v>#N/A</v>
      </c>
      <c r="N226" s="24" t="e">
        <f>INDEX('01_FASTPPH'!$9:$1048576,MATCH($A226,'01_FASTPPH'!$A$9:$A$1048576,0),MATCH(N$9,'01_FASTPPH'!$8:$8,0))</f>
        <v>#N/A</v>
      </c>
      <c r="O226" s="23" t="e">
        <f>INDEX('01_FASTPPH'!$9:$1048576,MATCH($A226,'01_FASTPPH'!$A$9:$A$1048576,0),MATCH(O$9,'01_FASTPPH'!$8:$8,0))</f>
        <v>#N/A</v>
      </c>
      <c r="P226" s="20" t="e">
        <f>INDEX('01_FASTPPH'!$9:$1048576,MATCH($A226,'01_FASTPPH'!$A$9:$A$1048576,0),MATCH(P$9,'01_FASTPPH'!$8:$8,0))</f>
        <v>#N/A</v>
      </c>
      <c r="Q226" s="20" t="e">
        <f>INDEX('01_FASTPPH'!$9:$1048576,MATCH($A226,'01_FASTPPH'!$A$9:$A$1048576,0),MATCH(Q$9,'01_FASTPPH'!$8:$8,0))</f>
        <v>#N/A</v>
      </c>
      <c r="R226" s="20" t="e">
        <f>INDEX('01_FASTPPH'!$9:$1048576,MATCH($A226,'01_FASTPPH'!$A$9:$A$1048576,0),MATCH(R$9,'01_FASTPPH'!$8:$8,0))</f>
        <v>#N/A</v>
      </c>
      <c r="S226" s="20" t="e">
        <f>INDEX('01_FASTPPH'!$9:$1048576,MATCH($A226,'01_FASTPPH'!$A$9:$A$1048576,0),MATCH(S$9,'01_FASTPPH'!$8:$8,0))</f>
        <v>#N/A</v>
      </c>
      <c r="T226" s="24" t="e">
        <f>INDEX('01_FASTPPH'!$9:$1048576,MATCH($A226,'01_FASTPPH'!$A$9:$A$1048576,0),MATCH(T$9,'01_FASTPPH'!$8:$8,0))</f>
        <v>#N/A</v>
      </c>
      <c r="U226" s="23" t="e">
        <f>INDEX('01_FASTPPH'!$9:$1048576,MATCH($A226,'01_FASTPPH'!$A$9:$A$1048576,0),MATCH(U$9,'01_FASTPPH'!$8:$8,0))</f>
        <v>#N/A</v>
      </c>
      <c r="V226" s="20" t="e">
        <f>INDEX('01_FASTPPH'!$9:$1048576,MATCH($A226,'01_FASTPPH'!$A$9:$A$1048576,0),MATCH(V$9,'01_FASTPPH'!$8:$8,0))</f>
        <v>#N/A</v>
      </c>
      <c r="W226" s="24" t="e">
        <f>INDEX('01_FASTPPH'!$9:$1048576,MATCH($A226,'01_FASTPPH'!$A$9:$A$1048576,0),MATCH(W$9,'01_FASTPPH'!$8:$8,0))</f>
        <v>#N/A</v>
      </c>
      <c r="X226" s="20" t="e">
        <f>INDEX('01_FASTPPH'!$9:$1048576,MATCH($A226,'01_FASTPPH'!$A$9:$A$1048576,0),MATCH(X$9,'01_FASTPPH'!$8:$8,0))</f>
        <v>#N/A</v>
      </c>
      <c r="Y226" s="20" t="e">
        <f>INDEX('01_FASTPPH'!$9:$1048576,MATCH($A226,'01_FASTPPH'!$A$9:$A$1048576,0),MATCH(Y$9,'01_FASTPPH'!$8:$8,0))</f>
        <v>#N/A</v>
      </c>
      <c r="AA226" s="32" t="e">
        <f>INDEX('02_PROPERTIES'!$C$10:$I$1048576,MATCH('03_CALCULATIONS'!$D226,'02_PROPERTIES'!$C$10:$C$1048576,0),MATCH('03_CALCULATIONS'!AA$9,'02_PROPERTIES'!$C$10:$I$10,0))</f>
        <v>#N/A</v>
      </c>
      <c r="AB226" s="20" t="e">
        <f>INDEX('02_PROPERTIES'!$C$10:$I$1048576,MATCH('03_CALCULATIONS'!$D226,'02_PROPERTIES'!$C$10:$C$1048576,0),MATCH('03_CALCULATIONS'!AB$9,'02_PROPERTIES'!$C$10:$I$10,0))</f>
        <v>#N/A</v>
      </c>
      <c r="AC226" s="20" t="e">
        <f>INDEX('02_PROPERTIES'!$C$10:$I$1048576,MATCH('03_CALCULATIONS'!$D226,'02_PROPERTIES'!$C$10:$C$1048576,0),MATCH('03_CALCULATIONS'!AC$9,'02_PROPERTIES'!$C$10:$I$10,0))</f>
        <v>#N/A</v>
      </c>
      <c r="AD226" s="20" t="e">
        <f>INDEX('02_PROPERTIES'!$C$10:$I$1048576,MATCH('03_CALCULATIONS'!$D226,'02_PROPERTIES'!$C$10:$C$1048576,0),MATCH('03_CALCULATIONS'!AD$9,'02_PROPERTIES'!$C$10:$I$10,0))</f>
        <v>#N/A</v>
      </c>
      <c r="AE226" s="32" t="e">
        <f>INDEX('02_PROPERTIES'!$C$10:$I$1048576,MATCH('03_CALCULATIONS'!$D226,'02_PROPERTIES'!$C$10:$C$1048576,0),MATCH('03_CALCULATIONS'!AE$9,'02_PROPERTIES'!$C$10:$I$10,0))</f>
        <v>#N/A</v>
      </c>
      <c r="AF226" s="32" t="e">
        <f>INDEX('02_PROPERTIES'!$C$10:$I$1048576,MATCH('03_CALCULATIONS'!$D226,'02_PROPERTIES'!$C$10:$C$1048576,0),MATCH('03_CALCULATIONS'!AF$9,'02_PROPERTIES'!$C$10:$I$10,0))</f>
        <v>#N/A</v>
      </c>
      <c r="AH226" s="20" t="e">
        <f t="shared" si="33"/>
        <v>#N/A</v>
      </c>
      <c r="AI226" s="20" t="e">
        <f t="shared" si="34"/>
        <v>#N/A</v>
      </c>
      <c r="AJ226" s="20" t="e">
        <f t="shared" si="35"/>
        <v>#N/A</v>
      </c>
      <c r="AL226" s="20" t="e">
        <f t="shared" si="36"/>
        <v>#N/A</v>
      </c>
      <c r="AM226" s="20" t="e">
        <f t="shared" si="37"/>
        <v>#N/A</v>
      </c>
      <c r="AN226" s="20" t="e">
        <f t="shared" si="38"/>
        <v>#N/A</v>
      </c>
      <c r="AO226" s="20" t="e">
        <f t="shared" si="39"/>
        <v>#N/A</v>
      </c>
      <c r="AP226" s="20" t="e">
        <f t="shared" si="40"/>
        <v>#N/A</v>
      </c>
      <c r="AR226" s="20" t="e">
        <f t="shared" si="41"/>
        <v>#N/A</v>
      </c>
      <c r="AS226" s="20" t="e">
        <f t="shared" si="42"/>
        <v>#N/A</v>
      </c>
      <c r="AT226" s="20" t="e">
        <f t="shared" si="43"/>
        <v>#N/A</v>
      </c>
    </row>
    <row r="227" spans="1:46" x14ac:dyDescent="0.3">
      <c r="A227" s="18"/>
      <c r="B227" s="20" t="e">
        <f>INDEX('01_FASTPPH'!$9:$1048576,MATCH($A227,'01_FASTPPH'!$A$9:$A$1048576,0),MATCH(B$9,'01_FASTPPH'!$8:$8,0))</f>
        <v>#N/A</v>
      </c>
      <c r="C227" s="20" t="e">
        <f>INDEX('01_FASTPPH'!$9:$1048576,MATCH($A227,'01_FASTPPH'!$A$9:$A$1048576,0),MATCH(C$9,'01_FASTPPH'!$8:$8,0))</f>
        <v>#N/A</v>
      </c>
      <c r="D227" s="20" t="e">
        <f>INDEX('01_FASTPPH'!$9:$1048576,MATCH($A227,'01_FASTPPH'!$A$9:$A$1048576,0),MATCH(D$9,'01_FASTPPH'!$8:$8,0))</f>
        <v>#N/A</v>
      </c>
      <c r="E227" s="20" t="e">
        <f>INDEX('01_FASTPPH'!$9:$1048576,MATCH($A227,'01_FASTPPH'!$A$9:$A$1048576,0),MATCH(E$9,'01_FASTPPH'!$8:$8,0))</f>
        <v>#N/A</v>
      </c>
      <c r="F227" s="20" t="e">
        <f>INDEX('01_FASTPPH'!$9:$1048576,MATCH($A227,'01_FASTPPH'!$A$9:$A$1048576,0),MATCH(F$9,'01_FASTPPH'!$8:$8,0))</f>
        <v>#N/A</v>
      </c>
      <c r="G227" s="20" t="e">
        <f>INDEX('01_FASTPPH'!$9:$1048576,MATCH($A227,'01_FASTPPH'!$A$9:$A$1048576,0),MATCH(G$9,'01_FASTPPH'!$8:$8,0))</f>
        <v>#N/A</v>
      </c>
      <c r="H227" s="20" t="e">
        <f>INDEX('01_FASTPPH'!$9:$1048576,MATCH($A227,'01_FASTPPH'!$A$9:$A$1048576,0),MATCH(H$9,'01_FASTPPH'!$8:$8,0))</f>
        <v>#N/A</v>
      </c>
      <c r="I227" s="20" t="e">
        <f>INDEX('01_FASTPPH'!$9:$1048576,MATCH($A227,'01_FASTPPH'!$A$9:$A$1048576,0),MATCH(I$9,'01_FASTPPH'!$8:$8,0))</f>
        <v>#N/A</v>
      </c>
      <c r="J227" s="20" t="e">
        <f>INDEX('01_FASTPPH'!$9:$1048576,MATCH($A227,'01_FASTPPH'!$A$9:$A$1048576,0),MATCH(J$9,'01_FASTPPH'!$8:$8,0))</f>
        <v>#N/A</v>
      </c>
      <c r="K227" s="23" t="e">
        <f>INDEX('01_FASTPPH'!$9:$1048576,MATCH($A227,'01_FASTPPH'!$A$9:$A$1048576,0),MATCH(K$9,'01_FASTPPH'!$8:$8,0))</f>
        <v>#N/A</v>
      </c>
      <c r="L227" s="20" t="e">
        <f>INDEX('01_FASTPPH'!$9:$1048576,MATCH($A227,'01_FASTPPH'!$A$9:$A$1048576,0),MATCH(L$9,'01_FASTPPH'!$8:$8,0))</f>
        <v>#N/A</v>
      </c>
      <c r="M227" s="20" t="e">
        <f>INDEX('01_FASTPPH'!$9:$1048576,MATCH($A227,'01_FASTPPH'!$A$9:$A$1048576,0),MATCH(M$9,'01_FASTPPH'!$8:$8,0))</f>
        <v>#N/A</v>
      </c>
      <c r="N227" s="24" t="e">
        <f>INDEX('01_FASTPPH'!$9:$1048576,MATCH($A227,'01_FASTPPH'!$A$9:$A$1048576,0),MATCH(N$9,'01_FASTPPH'!$8:$8,0))</f>
        <v>#N/A</v>
      </c>
      <c r="O227" s="23" t="e">
        <f>INDEX('01_FASTPPH'!$9:$1048576,MATCH($A227,'01_FASTPPH'!$A$9:$A$1048576,0),MATCH(O$9,'01_FASTPPH'!$8:$8,0))</f>
        <v>#N/A</v>
      </c>
      <c r="P227" s="20" t="e">
        <f>INDEX('01_FASTPPH'!$9:$1048576,MATCH($A227,'01_FASTPPH'!$A$9:$A$1048576,0),MATCH(P$9,'01_FASTPPH'!$8:$8,0))</f>
        <v>#N/A</v>
      </c>
      <c r="Q227" s="20" t="e">
        <f>INDEX('01_FASTPPH'!$9:$1048576,MATCH($A227,'01_FASTPPH'!$A$9:$A$1048576,0),MATCH(Q$9,'01_FASTPPH'!$8:$8,0))</f>
        <v>#N/A</v>
      </c>
      <c r="R227" s="20" t="e">
        <f>INDEX('01_FASTPPH'!$9:$1048576,MATCH($A227,'01_FASTPPH'!$A$9:$A$1048576,0),MATCH(R$9,'01_FASTPPH'!$8:$8,0))</f>
        <v>#N/A</v>
      </c>
      <c r="S227" s="20" t="e">
        <f>INDEX('01_FASTPPH'!$9:$1048576,MATCH($A227,'01_FASTPPH'!$A$9:$A$1048576,0),MATCH(S$9,'01_FASTPPH'!$8:$8,0))</f>
        <v>#N/A</v>
      </c>
      <c r="T227" s="24" t="e">
        <f>INDEX('01_FASTPPH'!$9:$1048576,MATCH($A227,'01_FASTPPH'!$A$9:$A$1048576,0),MATCH(T$9,'01_FASTPPH'!$8:$8,0))</f>
        <v>#N/A</v>
      </c>
      <c r="U227" s="23" t="e">
        <f>INDEX('01_FASTPPH'!$9:$1048576,MATCH($A227,'01_FASTPPH'!$A$9:$A$1048576,0),MATCH(U$9,'01_FASTPPH'!$8:$8,0))</f>
        <v>#N/A</v>
      </c>
      <c r="V227" s="20" t="e">
        <f>INDEX('01_FASTPPH'!$9:$1048576,MATCH($A227,'01_FASTPPH'!$A$9:$A$1048576,0),MATCH(V$9,'01_FASTPPH'!$8:$8,0))</f>
        <v>#N/A</v>
      </c>
      <c r="W227" s="24" t="e">
        <f>INDEX('01_FASTPPH'!$9:$1048576,MATCH($A227,'01_FASTPPH'!$A$9:$A$1048576,0),MATCH(W$9,'01_FASTPPH'!$8:$8,0))</f>
        <v>#N/A</v>
      </c>
      <c r="X227" s="20" t="e">
        <f>INDEX('01_FASTPPH'!$9:$1048576,MATCH($A227,'01_FASTPPH'!$A$9:$A$1048576,0),MATCH(X$9,'01_FASTPPH'!$8:$8,0))</f>
        <v>#N/A</v>
      </c>
      <c r="Y227" s="20" t="e">
        <f>INDEX('01_FASTPPH'!$9:$1048576,MATCH($A227,'01_FASTPPH'!$A$9:$A$1048576,0),MATCH(Y$9,'01_FASTPPH'!$8:$8,0))</f>
        <v>#N/A</v>
      </c>
      <c r="AA227" s="32" t="e">
        <f>INDEX('02_PROPERTIES'!$C$10:$I$1048576,MATCH('03_CALCULATIONS'!$D227,'02_PROPERTIES'!$C$10:$C$1048576,0),MATCH('03_CALCULATIONS'!AA$9,'02_PROPERTIES'!$C$10:$I$10,0))</f>
        <v>#N/A</v>
      </c>
      <c r="AB227" s="20" t="e">
        <f>INDEX('02_PROPERTIES'!$C$10:$I$1048576,MATCH('03_CALCULATIONS'!$D227,'02_PROPERTIES'!$C$10:$C$1048576,0),MATCH('03_CALCULATIONS'!AB$9,'02_PROPERTIES'!$C$10:$I$10,0))</f>
        <v>#N/A</v>
      </c>
      <c r="AC227" s="20" t="e">
        <f>INDEX('02_PROPERTIES'!$C$10:$I$1048576,MATCH('03_CALCULATIONS'!$D227,'02_PROPERTIES'!$C$10:$C$1048576,0),MATCH('03_CALCULATIONS'!AC$9,'02_PROPERTIES'!$C$10:$I$10,0))</f>
        <v>#N/A</v>
      </c>
      <c r="AD227" s="20" t="e">
        <f>INDEX('02_PROPERTIES'!$C$10:$I$1048576,MATCH('03_CALCULATIONS'!$D227,'02_PROPERTIES'!$C$10:$C$1048576,0),MATCH('03_CALCULATIONS'!AD$9,'02_PROPERTIES'!$C$10:$I$10,0))</f>
        <v>#N/A</v>
      </c>
      <c r="AE227" s="32" t="e">
        <f>INDEX('02_PROPERTIES'!$C$10:$I$1048576,MATCH('03_CALCULATIONS'!$D227,'02_PROPERTIES'!$C$10:$C$1048576,0),MATCH('03_CALCULATIONS'!AE$9,'02_PROPERTIES'!$C$10:$I$10,0))</f>
        <v>#N/A</v>
      </c>
      <c r="AF227" s="32" t="e">
        <f>INDEX('02_PROPERTIES'!$C$10:$I$1048576,MATCH('03_CALCULATIONS'!$D227,'02_PROPERTIES'!$C$10:$C$1048576,0),MATCH('03_CALCULATIONS'!AF$9,'02_PROPERTIES'!$C$10:$I$10,0))</f>
        <v>#N/A</v>
      </c>
      <c r="AH227" s="20" t="e">
        <f t="shared" si="33"/>
        <v>#N/A</v>
      </c>
      <c r="AI227" s="20" t="e">
        <f t="shared" si="34"/>
        <v>#N/A</v>
      </c>
      <c r="AJ227" s="20" t="e">
        <f t="shared" si="35"/>
        <v>#N/A</v>
      </c>
      <c r="AL227" s="20" t="e">
        <f t="shared" si="36"/>
        <v>#N/A</v>
      </c>
      <c r="AM227" s="20" t="e">
        <f t="shared" si="37"/>
        <v>#N/A</v>
      </c>
      <c r="AN227" s="20" t="e">
        <f t="shared" si="38"/>
        <v>#N/A</v>
      </c>
      <c r="AO227" s="20" t="e">
        <f t="shared" si="39"/>
        <v>#N/A</v>
      </c>
      <c r="AP227" s="20" t="e">
        <f t="shared" si="40"/>
        <v>#N/A</v>
      </c>
      <c r="AR227" s="20" t="e">
        <f t="shared" si="41"/>
        <v>#N/A</v>
      </c>
      <c r="AS227" s="20" t="e">
        <f t="shared" si="42"/>
        <v>#N/A</v>
      </c>
      <c r="AT227" s="20" t="e">
        <f t="shared" si="43"/>
        <v>#N/A</v>
      </c>
    </row>
    <row r="228" spans="1:46" x14ac:dyDescent="0.3">
      <c r="A228" s="18"/>
      <c r="B228" s="20" t="e">
        <f>INDEX('01_FASTPPH'!$9:$1048576,MATCH($A228,'01_FASTPPH'!$A$9:$A$1048576,0),MATCH(B$9,'01_FASTPPH'!$8:$8,0))</f>
        <v>#N/A</v>
      </c>
      <c r="C228" s="20" t="e">
        <f>INDEX('01_FASTPPH'!$9:$1048576,MATCH($A228,'01_FASTPPH'!$A$9:$A$1048576,0),MATCH(C$9,'01_FASTPPH'!$8:$8,0))</f>
        <v>#N/A</v>
      </c>
      <c r="D228" s="20" t="e">
        <f>INDEX('01_FASTPPH'!$9:$1048576,MATCH($A228,'01_FASTPPH'!$A$9:$A$1048576,0),MATCH(D$9,'01_FASTPPH'!$8:$8,0))</f>
        <v>#N/A</v>
      </c>
      <c r="E228" s="20" t="e">
        <f>INDEX('01_FASTPPH'!$9:$1048576,MATCH($A228,'01_FASTPPH'!$A$9:$A$1048576,0),MATCH(E$9,'01_FASTPPH'!$8:$8,0))</f>
        <v>#N/A</v>
      </c>
      <c r="F228" s="20" t="e">
        <f>INDEX('01_FASTPPH'!$9:$1048576,MATCH($A228,'01_FASTPPH'!$A$9:$A$1048576,0),MATCH(F$9,'01_FASTPPH'!$8:$8,0))</f>
        <v>#N/A</v>
      </c>
      <c r="G228" s="20" t="e">
        <f>INDEX('01_FASTPPH'!$9:$1048576,MATCH($A228,'01_FASTPPH'!$A$9:$A$1048576,0),MATCH(G$9,'01_FASTPPH'!$8:$8,0))</f>
        <v>#N/A</v>
      </c>
      <c r="H228" s="20" t="e">
        <f>INDEX('01_FASTPPH'!$9:$1048576,MATCH($A228,'01_FASTPPH'!$A$9:$A$1048576,0),MATCH(H$9,'01_FASTPPH'!$8:$8,0))</f>
        <v>#N/A</v>
      </c>
      <c r="I228" s="20" t="e">
        <f>INDEX('01_FASTPPH'!$9:$1048576,MATCH($A228,'01_FASTPPH'!$A$9:$A$1048576,0),MATCH(I$9,'01_FASTPPH'!$8:$8,0))</f>
        <v>#N/A</v>
      </c>
      <c r="J228" s="20" t="e">
        <f>INDEX('01_FASTPPH'!$9:$1048576,MATCH($A228,'01_FASTPPH'!$A$9:$A$1048576,0),MATCH(J$9,'01_FASTPPH'!$8:$8,0))</f>
        <v>#N/A</v>
      </c>
      <c r="K228" s="23" t="e">
        <f>INDEX('01_FASTPPH'!$9:$1048576,MATCH($A228,'01_FASTPPH'!$A$9:$A$1048576,0),MATCH(K$9,'01_FASTPPH'!$8:$8,0))</f>
        <v>#N/A</v>
      </c>
      <c r="L228" s="20" t="e">
        <f>INDEX('01_FASTPPH'!$9:$1048576,MATCH($A228,'01_FASTPPH'!$A$9:$A$1048576,0),MATCH(L$9,'01_FASTPPH'!$8:$8,0))</f>
        <v>#N/A</v>
      </c>
      <c r="M228" s="20" t="e">
        <f>INDEX('01_FASTPPH'!$9:$1048576,MATCH($A228,'01_FASTPPH'!$A$9:$A$1048576,0),MATCH(M$9,'01_FASTPPH'!$8:$8,0))</f>
        <v>#N/A</v>
      </c>
      <c r="N228" s="24" t="e">
        <f>INDEX('01_FASTPPH'!$9:$1048576,MATCH($A228,'01_FASTPPH'!$A$9:$A$1048576,0),MATCH(N$9,'01_FASTPPH'!$8:$8,0))</f>
        <v>#N/A</v>
      </c>
      <c r="O228" s="23" t="e">
        <f>INDEX('01_FASTPPH'!$9:$1048576,MATCH($A228,'01_FASTPPH'!$A$9:$A$1048576,0),MATCH(O$9,'01_FASTPPH'!$8:$8,0))</f>
        <v>#N/A</v>
      </c>
      <c r="P228" s="20" t="e">
        <f>INDEX('01_FASTPPH'!$9:$1048576,MATCH($A228,'01_FASTPPH'!$A$9:$A$1048576,0),MATCH(P$9,'01_FASTPPH'!$8:$8,0))</f>
        <v>#N/A</v>
      </c>
      <c r="Q228" s="20" t="e">
        <f>INDEX('01_FASTPPH'!$9:$1048576,MATCH($A228,'01_FASTPPH'!$A$9:$A$1048576,0),MATCH(Q$9,'01_FASTPPH'!$8:$8,0))</f>
        <v>#N/A</v>
      </c>
      <c r="R228" s="20" t="e">
        <f>INDEX('01_FASTPPH'!$9:$1048576,MATCH($A228,'01_FASTPPH'!$A$9:$A$1048576,0),MATCH(R$9,'01_FASTPPH'!$8:$8,0))</f>
        <v>#N/A</v>
      </c>
      <c r="S228" s="20" t="e">
        <f>INDEX('01_FASTPPH'!$9:$1048576,MATCH($A228,'01_FASTPPH'!$A$9:$A$1048576,0),MATCH(S$9,'01_FASTPPH'!$8:$8,0))</f>
        <v>#N/A</v>
      </c>
      <c r="T228" s="24" t="e">
        <f>INDEX('01_FASTPPH'!$9:$1048576,MATCH($A228,'01_FASTPPH'!$A$9:$A$1048576,0),MATCH(T$9,'01_FASTPPH'!$8:$8,0))</f>
        <v>#N/A</v>
      </c>
      <c r="U228" s="23" t="e">
        <f>INDEX('01_FASTPPH'!$9:$1048576,MATCH($A228,'01_FASTPPH'!$A$9:$A$1048576,0),MATCH(U$9,'01_FASTPPH'!$8:$8,0))</f>
        <v>#N/A</v>
      </c>
      <c r="V228" s="20" t="e">
        <f>INDEX('01_FASTPPH'!$9:$1048576,MATCH($A228,'01_FASTPPH'!$A$9:$A$1048576,0),MATCH(V$9,'01_FASTPPH'!$8:$8,0))</f>
        <v>#N/A</v>
      </c>
      <c r="W228" s="24" t="e">
        <f>INDEX('01_FASTPPH'!$9:$1048576,MATCH($A228,'01_FASTPPH'!$A$9:$A$1048576,0),MATCH(W$9,'01_FASTPPH'!$8:$8,0))</f>
        <v>#N/A</v>
      </c>
      <c r="X228" s="20" t="e">
        <f>INDEX('01_FASTPPH'!$9:$1048576,MATCH($A228,'01_FASTPPH'!$A$9:$A$1048576,0),MATCH(X$9,'01_FASTPPH'!$8:$8,0))</f>
        <v>#N/A</v>
      </c>
      <c r="Y228" s="20" t="e">
        <f>INDEX('01_FASTPPH'!$9:$1048576,MATCH($A228,'01_FASTPPH'!$A$9:$A$1048576,0),MATCH(Y$9,'01_FASTPPH'!$8:$8,0))</f>
        <v>#N/A</v>
      </c>
      <c r="AA228" s="32" t="e">
        <f>INDEX('02_PROPERTIES'!$C$10:$I$1048576,MATCH('03_CALCULATIONS'!$D228,'02_PROPERTIES'!$C$10:$C$1048576,0),MATCH('03_CALCULATIONS'!AA$9,'02_PROPERTIES'!$C$10:$I$10,0))</f>
        <v>#N/A</v>
      </c>
      <c r="AB228" s="20" t="e">
        <f>INDEX('02_PROPERTIES'!$C$10:$I$1048576,MATCH('03_CALCULATIONS'!$D228,'02_PROPERTIES'!$C$10:$C$1048576,0),MATCH('03_CALCULATIONS'!AB$9,'02_PROPERTIES'!$C$10:$I$10,0))</f>
        <v>#N/A</v>
      </c>
      <c r="AC228" s="20" t="e">
        <f>INDEX('02_PROPERTIES'!$C$10:$I$1048576,MATCH('03_CALCULATIONS'!$D228,'02_PROPERTIES'!$C$10:$C$1048576,0),MATCH('03_CALCULATIONS'!AC$9,'02_PROPERTIES'!$C$10:$I$10,0))</f>
        <v>#N/A</v>
      </c>
      <c r="AD228" s="20" t="e">
        <f>INDEX('02_PROPERTIES'!$C$10:$I$1048576,MATCH('03_CALCULATIONS'!$D228,'02_PROPERTIES'!$C$10:$C$1048576,0),MATCH('03_CALCULATIONS'!AD$9,'02_PROPERTIES'!$C$10:$I$10,0))</f>
        <v>#N/A</v>
      </c>
      <c r="AE228" s="32" t="e">
        <f>INDEX('02_PROPERTIES'!$C$10:$I$1048576,MATCH('03_CALCULATIONS'!$D228,'02_PROPERTIES'!$C$10:$C$1048576,0),MATCH('03_CALCULATIONS'!AE$9,'02_PROPERTIES'!$C$10:$I$10,0))</f>
        <v>#N/A</v>
      </c>
      <c r="AF228" s="32" t="e">
        <f>INDEX('02_PROPERTIES'!$C$10:$I$1048576,MATCH('03_CALCULATIONS'!$D228,'02_PROPERTIES'!$C$10:$C$1048576,0),MATCH('03_CALCULATIONS'!AF$9,'02_PROPERTIES'!$C$10:$I$10,0))</f>
        <v>#N/A</v>
      </c>
      <c r="AH228" s="20" t="e">
        <f t="shared" si="33"/>
        <v>#N/A</v>
      </c>
      <c r="AI228" s="20" t="e">
        <f t="shared" si="34"/>
        <v>#N/A</v>
      </c>
      <c r="AJ228" s="20" t="e">
        <f t="shared" si="35"/>
        <v>#N/A</v>
      </c>
      <c r="AL228" s="20" t="e">
        <f t="shared" si="36"/>
        <v>#N/A</v>
      </c>
      <c r="AM228" s="20" t="e">
        <f t="shared" si="37"/>
        <v>#N/A</v>
      </c>
      <c r="AN228" s="20" t="e">
        <f t="shared" si="38"/>
        <v>#N/A</v>
      </c>
      <c r="AO228" s="20" t="e">
        <f t="shared" si="39"/>
        <v>#N/A</v>
      </c>
      <c r="AP228" s="20" t="e">
        <f t="shared" si="40"/>
        <v>#N/A</v>
      </c>
      <c r="AR228" s="20" t="e">
        <f t="shared" si="41"/>
        <v>#N/A</v>
      </c>
      <c r="AS228" s="20" t="e">
        <f t="shared" si="42"/>
        <v>#N/A</v>
      </c>
      <c r="AT228" s="20" t="e">
        <f t="shared" si="43"/>
        <v>#N/A</v>
      </c>
    </row>
    <row r="229" spans="1:46" x14ac:dyDescent="0.3">
      <c r="A229" s="18"/>
      <c r="B229" s="20" t="e">
        <f>INDEX('01_FASTPPH'!$9:$1048576,MATCH($A229,'01_FASTPPH'!$A$9:$A$1048576,0),MATCH(B$9,'01_FASTPPH'!$8:$8,0))</f>
        <v>#N/A</v>
      </c>
      <c r="C229" s="20" t="e">
        <f>INDEX('01_FASTPPH'!$9:$1048576,MATCH($A229,'01_FASTPPH'!$A$9:$A$1048576,0),MATCH(C$9,'01_FASTPPH'!$8:$8,0))</f>
        <v>#N/A</v>
      </c>
      <c r="D229" s="20" t="e">
        <f>INDEX('01_FASTPPH'!$9:$1048576,MATCH($A229,'01_FASTPPH'!$A$9:$A$1048576,0),MATCH(D$9,'01_FASTPPH'!$8:$8,0))</f>
        <v>#N/A</v>
      </c>
      <c r="E229" s="20" t="e">
        <f>INDEX('01_FASTPPH'!$9:$1048576,MATCH($A229,'01_FASTPPH'!$A$9:$A$1048576,0),MATCH(E$9,'01_FASTPPH'!$8:$8,0))</f>
        <v>#N/A</v>
      </c>
      <c r="F229" s="20" t="e">
        <f>INDEX('01_FASTPPH'!$9:$1048576,MATCH($A229,'01_FASTPPH'!$A$9:$A$1048576,0),MATCH(F$9,'01_FASTPPH'!$8:$8,0))</f>
        <v>#N/A</v>
      </c>
      <c r="G229" s="20" t="e">
        <f>INDEX('01_FASTPPH'!$9:$1048576,MATCH($A229,'01_FASTPPH'!$A$9:$A$1048576,0),MATCH(G$9,'01_FASTPPH'!$8:$8,0))</f>
        <v>#N/A</v>
      </c>
      <c r="H229" s="20" t="e">
        <f>INDEX('01_FASTPPH'!$9:$1048576,MATCH($A229,'01_FASTPPH'!$A$9:$A$1048576,0),MATCH(H$9,'01_FASTPPH'!$8:$8,0))</f>
        <v>#N/A</v>
      </c>
      <c r="I229" s="20" t="e">
        <f>INDEX('01_FASTPPH'!$9:$1048576,MATCH($A229,'01_FASTPPH'!$A$9:$A$1048576,0),MATCH(I$9,'01_FASTPPH'!$8:$8,0))</f>
        <v>#N/A</v>
      </c>
      <c r="J229" s="20" t="e">
        <f>INDEX('01_FASTPPH'!$9:$1048576,MATCH($A229,'01_FASTPPH'!$A$9:$A$1048576,0),MATCH(J$9,'01_FASTPPH'!$8:$8,0))</f>
        <v>#N/A</v>
      </c>
      <c r="K229" s="23" t="e">
        <f>INDEX('01_FASTPPH'!$9:$1048576,MATCH($A229,'01_FASTPPH'!$A$9:$A$1048576,0),MATCH(K$9,'01_FASTPPH'!$8:$8,0))</f>
        <v>#N/A</v>
      </c>
      <c r="L229" s="20" t="e">
        <f>INDEX('01_FASTPPH'!$9:$1048576,MATCH($A229,'01_FASTPPH'!$A$9:$A$1048576,0),MATCH(L$9,'01_FASTPPH'!$8:$8,0))</f>
        <v>#N/A</v>
      </c>
      <c r="M229" s="20" t="e">
        <f>INDEX('01_FASTPPH'!$9:$1048576,MATCH($A229,'01_FASTPPH'!$A$9:$A$1048576,0),MATCH(M$9,'01_FASTPPH'!$8:$8,0))</f>
        <v>#N/A</v>
      </c>
      <c r="N229" s="24" t="e">
        <f>INDEX('01_FASTPPH'!$9:$1048576,MATCH($A229,'01_FASTPPH'!$A$9:$A$1048576,0),MATCH(N$9,'01_FASTPPH'!$8:$8,0))</f>
        <v>#N/A</v>
      </c>
      <c r="O229" s="23" t="e">
        <f>INDEX('01_FASTPPH'!$9:$1048576,MATCH($A229,'01_FASTPPH'!$A$9:$A$1048576,0),MATCH(O$9,'01_FASTPPH'!$8:$8,0))</f>
        <v>#N/A</v>
      </c>
      <c r="P229" s="20" t="e">
        <f>INDEX('01_FASTPPH'!$9:$1048576,MATCH($A229,'01_FASTPPH'!$A$9:$A$1048576,0),MATCH(P$9,'01_FASTPPH'!$8:$8,0))</f>
        <v>#N/A</v>
      </c>
      <c r="Q229" s="20" t="e">
        <f>INDEX('01_FASTPPH'!$9:$1048576,MATCH($A229,'01_FASTPPH'!$A$9:$A$1048576,0),MATCH(Q$9,'01_FASTPPH'!$8:$8,0))</f>
        <v>#N/A</v>
      </c>
      <c r="R229" s="20" t="e">
        <f>INDEX('01_FASTPPH'!$9:$1048576,MATCH($A229,'01_FASTPPH'!$A$9:$A$1048576,0),MATCH(R$9,'01_FASTPPH'!$8:$8,0))</f>
        <v>#N/A</v>
      </c>
      <c r="S229" s="20" t="e">
        <f>INDEX('01_FASTPPH'!$9:$1048576,MATCH($A229,'01_FASTPPH'!$A$9:$A$1048576,0),MATCH(S$9,'01_FASTPPH'!$8:$8,0))</f>
        <v>#N/A</v>
      </c>
      <c r="T229" s="24" t="e">
        <f>INDEX('01_FASTPPH'!$9:$1048576,MATCH($A229,'01_FASTPPH'!$A$9:$A$1048576,0),MATCH(T$9,'01_FASTPPH'!$8:$8,0))</f>
        <v>#N/A</v>
      </c>
      <c r="U229" s="23" t="e">
        <f>INDEX('01_FASTPPH'!$9:$1048576,MATCH($A229,'01_FASTPPH'!$A$9:$A$1048576,0),MATCH(U$9,'01_FASTPPH'!$8:$8,0))</f>
        <v>#N/A</v>
      </c>
      <c r="V229" s="20" t="e">
        <f>INDEX('01_FASTPPH'!$9:$1048576,MATCH($A229,'01_FASTPPH'!$A$9:$A$1048576,0),MATCH(V$9,'01_FASTPPH'!$8:$8,0))</f>
        <v>#N/A</v>
      </c>
      <c r="W229" s="24" t="e">
        <f>INDEX('01_FASTPPH'!$9:$1048576,MATCH($A229,'01_FASTPPH'!$A$9:$A$1048576,0),MATCH(W$9,'01_FASTPPH'!$8:$8,0))</f>
        <v>#N/A</v>
      </c>
      <c r="X229" s="20" t="e">
        <f>INDEX('01_FASTPPH'!$9:$1048576,MATCH($A229,'01_FASTPPH'!$A$9:$A$1048576,0),MATCH(X$9,'01_FASTPPH'!$8:$8,0))</f>
        <v>#N/A</v>
      </c>
      <c r="Y229" s="20" t="e">
        <f>INDEX('01_FASTPPH'!$9:$1048576,MATCH($A229,'01_FASTPPH'!$A$9:$A$1048576,0),MATCH(Y$9,'01_FASTPPH'!$8:$8,0))</f>
        <v>#N/A</v>
      </c>
      <c r="AA229" s="32" t="e">
        <f>INDEX('02_PROPERTIES'!$C$10:$I$1048576,MATCH('03_CALCULATIONS'!$D229,'02_PROPERTIES'!$C$10:$C$1048576,0),MATCH('03_CALCULATIONS'!AA$9,'02_PROPERTIES'!$C$10:$I$10,0))</f>
        <v>#N/A</v>
      </c>
      <c r="AB229" s="20" t="e">
        <f>INDEX('02_PROPERTIES'!$C$10:$I$1048576,MATCH('03_CALCULATIONS'!$D229,'02_PROPERTIES'!$C$10:$C$1048576,0),MATCH('03_CALCULATIONS'!AB$9,'02_PROPERTIES'!$C$10:$I$10,0))</f>
        <v>#N/A</v>
      </c>
      <c r="AC229" s="20" t="e">
        <f>INDEX('02_PROPERTIES'!$C$10:$I$1048576,MATCH('03_CALCULATIONS'!$D229,'02_PROPERTIES'!$C$10:$C$1048576,0),MATCH('03_CALCULATIONS'!AC$9,'02_PROPERTIES'!$C$10:$I$10,0))</f>
        <v>#N/A</v>
      </c>
      <c r="AD229" s="20" t="e">
        <f>INDEX('02_PROPERTIES'!$C$10:$I$1048576,MATCH('03_CALCULATIONS'!$D229,'02_PROPERTIES'!$C$10:$C$1048576,0),MATCH('03_CALCULATIONS'!AD$9,'02_PROPERTIES'!$C$10:$I$10,0))</f>
        <v>#N/A</v>
      </c>
      <c r="AE229" s="32" t="e">
        <f>INDEX('02_PROPERTIES'!$C$10:$I$1048576,MATCH('03_CALCULATIONS'!$D229,'02_PROPERTIES'!$C$10:$C$1048576,0),MATCH('03_CALCULATIONS'!AE$9,'02_PROPERTIES'!$C$10:$I$10,0))</f>
        <v>#N/A</v>
      </c>
      <c r="AF229" s="32" t="e">
        <f>INDEX('02_PROPERTIES'!$C$10:$I$1048576,MATCH('03_CALCULATIONS'!$D229,'02_PROPERTIES'!$C$10:$C$1048576,0),MATCH('03_CALCULATIONS'!AF$9,'02_PROPERTIES'!$C$10:$I$10,0))</f>
        <v>#N/A</v>
      </c>
      <c r="AH229" s="20" t="e">
        <f t="shared" si="33"/>
        <v>#N/A</v>
      </c>
      <c r="AI229" s="20" t="e">
        <f t="shared" si="34"/>
        <v>#N/A</v>
      </c>
      <c r="AJ229" s="20" t="e">
        <f t="shared" si="35"/>
        <v>#N/A</v>
      </c>
      <c r="AL229" s="20" t="e">
        <f t="shared" si="36"/>
        <v>#N/A</v>
      </c>
      <c r="AM229" s="20" t="e">
        <f t="shared" si="37"/>
        <v>#N/A</v>
      </c>
      <c r="AN229" s="20" t="e">
        <f t="shared" si="38"/>
        <v>#N/A</v>
      </c>
      <c r="AO229" s="20" t="e">
        <f t="shared" si="39"/>
        <v>#N/A</v>
      </c>
      <c r="AP229" s="20" t="e">
        <f t="shared" si="40"/>
        <v>#N/A</v>
      </c>
      <c r="AR229" s="20" t="e">
        <f t="shared" si="41"/>
        <v>#N/A</v>
      </c>
      <c r="AS229" s="20" t="e">
        <f t="shared" si="42"/>
        <v>#N/A</v>
      </c>
      <c r="AT229" s="20" t="e">
        <f t="shared" si="43"/>
        <v>#N/A</v>
      </c>
    </row>
    <row r="230" spans="1:46" x14ac:dyDescent="0.3">
      <c r="A230" s="18"/>
      <c r="B230" s="20" t="e">
        <f>INDEX('01_FASTPPH'!$9:$1048576,MATCH($A230,'01_FASTPPH'!$A$9:$A$1048576,0),MATCH(B$9,'01_FASTPPH'!$8:$8,0))</f>
        <v>#N/A</v>
      </c>
      <c r="C230" s="20" t="e">
        <f>INDEX('01_FASTPPH'!$9:$1048576,MATCH($A230,'01_FASTPPH'!$A$9:$A$1048576,0),MATCH(C$9,'01_FASTPPH'!$8:$8,0))</f>
        <v>#N/A</v>
      </c>
      <c r="D230" s="20" t="e">
        <f>INDEX('01_FASTPPH'!$9:$1048576,MATCH($A230,'01_FASTPPH'!$A$9:$A$1048576,0),MATCH(D$9,'01_FASTPPH'!$8:$8,0))</f>
        <v>#N/A</v>
      </c>
      <c r="E230" s="20" t="e">
        <f>INDEX('01_FASTPPH'!$9:$1048576,MATCH($A230,'01_FASTPPH'!$A$9:$A$1048576,0),MATCH(E$9,'01_FASTPPH'!$8:$8,0))</f>
        <v>#N/A</v>
      </c>
      <c r="F230" s="20" t="e">
        <f>INDEX('01_FASTPPH'!$9:$1048576,MATCH($A230,'01_FASTPPH'!$A$9:$A$1048576,0),MATCH(F$9,'01_FASTPPH'!$8:$8,0))</f>
        <v>#N/A</v>
      </c>
      <c r="G230" s="20" t="e">
        <f>INDEX('01_FASTPPH'!$9:$1048576,MATCH($A230,'01_FASTPPH'!$A$9:$A$1048576,0),MATCH(G$9,'01_FASTPPH'!$8:$8,0))</f>
        <v>#N/A</v>
      </c>
      <c r="H230" s="20" t="e">
        <f>INDEX('01_FASTPPH'!$9:$1048576,MATCH($A230,'01_FASTPPH'!$A$9:$A$1048576,0),MATCH(H$9,'01_FASTPPH'!$8:$8,0))</f>
        <v>#N/A</v>
      </c>
      <c r="I230" s="20" t="e">
        <f>INDEX('01_FASTPPH'!$9:$1048576,MATCH($A230,'01_FASTPPH'!$A$9:$A$1048576,0),MATCH(I$9,'01_FASTPPH'!$8:$8,0))</f>
        <v>#N/A</v>
      </c>
      <c r="J230" s="20" t="e">
        <f>INDEX('01_FASTPPH'!$9:$1048576,MATCH($A230,'01_FASTPPH'!$A$9:$A$1048576,0),MATCH(J$9,'01_FASTPPH'!$8:$8,0))</f>
        <v>#N/A</v>
      </c>
      <c r="K230" s="23" t="e">
        <f>INDEX('01_FASTPPH'!$9:$1048576,MATCH($A230,'01_FASTPPH'!$A$9:$A$1048576,0),MATCH(K$9,'01_FASTPPH'!$8:$8,0))</f>
        <v>#N/A</v>
      </c>
      <c r="L230" s="20" t="e">
        <f>INDEX('01_FASTPPH'!$9:$1048576,MATCH($A230,'01_FASTPPH'!$A$9:$A$1048576,0),MATCH(L$9,'01_FASTPPH'!$8:$8,0))</f>
        <v>#N/A</v>
      </c>
      <c r="M230" s="20" t="e">
        <f>INDEX('01_FASTPPH'!$9:$1048576,MATCH($A230,'01_FASTPPH'!$A$9:$A$1048576,0),MATCH(M$9,'01_FASTPPH'!$8:$8,0))</f>
        <v>#N/A</v>
      </c>
      <c r="N230" s="24" t="e">
        <f>INDEX('01_FASTPPH'!$9:$1048576,MATCH($A230,'01_FASTPPH'!$A$9:$A$1048576,0),MATCH(N$9,'01_FASTPPH'!$8:$8,0))</f>
        <v>#N/A</v>
      </c>
      <c r="O230" s="23" t="e">
        <f>INDEX('01_FASTPPH'!$9:$1048576,MATCH($A230,'01_FASTPPH'!$A$9:$A$1048576,0),MATCH(O$9,'01_FASTPPH'!$8:$8,0))</f>
        <v>#N/A</v>
      </c>
      <c r="P230" s="20" t="e">
        <f>INDEX('01_FASTPPH'!$9:$1048576,MATCH($A230,'01_FASTPPH'!$A$9:$A$1048576,0),MATCH(P$9,'01_FASTPPH'!$8:$8,0))</f>
        <v>#N/A</v>
      </c>
      <c r="Q230" s="20" t="e">
        <f>INDEX('01_FASTPPH'!$9:$1048576,MATCH($A230,'01_FASTPPH'!$A$9:$A$1048576,0),MATCH(Q$9,'01_FASTPPH'!$8:$8,0))</f>
        <v>#N/A</v>
      </c>
      <c r="R230" s="20" t="e">
        <f>INDEX('01_FASTPPH'!$9:$1048576,MATCH($A230,'01_FASTPPH'!$A$9:$A$1048576,0),MATCH(R$9,'01_FASTPPH'!$8:$8,0))</f>
        <v>#N/A</v>
      </c>
      <c r="S230" s="20" t="e">
        <f>INDEX('01_FASTPPH'!$9:$1048576,MATCH($A230,'01_FASTPPH'!$A$9:$A$1048576,0),MATCH(S$9,'01_FASTPPH'!$8:$8,0))</f>
        <v>#N/A</v>
      </c>
      <c r="T230" s="24" t="e">
        <f>INDEX('01_FASTPPH'!$9:$1048576,MATCH($A230,'01_FASTPPH'!$A$9:$A$1048576,0),MATCH(T$9,'01_FASTPPH'!$8:$8,0))</f>
        <v>#N/A</v>
      </c>
      <c r="U230" s="23" t="e">
        <f>INDEX('01_FASTPPH'!$9:$1048576,MATCH($A230,'01_FASTPPH'!$A$9:$A$1048576,0),MATCH(U$9,'01_FASTPPH'!$8:$8,0))</f>
        <v>#N/A</v>
      </c>
      <c r="V230" s="20" t="e">
        <f>INDEX('01_FASTPPH'!$9:$1048576,MATCH($A230,'01_FASTPPH'!$A$9:$A$1048576,0),MATCH(V$9,'01_FASTPPH'!$8:$8,0))</f>
        <v>#N/A</v>
      </c>
      <c r="W230" s="24" t="e">
        <f>INDEX('01_FASTPPH'!$9:$1048576,MATCH($A230,'01_FASTPPH'!$A$9:$A$1048576,0),MATCH(W$9,'01_FASTPPH'!$8:$8,0))</f>
        <v>#N/A</v>
      </c>
      <c r="X230" s="20" t="e">
        <f>INDEX('01_FASTPPH'!$9:$1048576,MATCH($A230,'01_FASTPPH'!$A$9:$A$1048576,0),MATCH(X$9,'01_FASTPPH'!$8:$8,0))</f>
        <v>#N/A</v>
      </c>
      <c r="Y230" s="20" t="e">
        <f>INDEX('01_FASTPPH'!$9:$1048576,MATCH($A230,'01_FASTPPH'!$A$9:$A$1048576,0),MATCH(Y$9,'01_FASTPPH'!$8:$8,0))</f>
        <v>#N/A</v>
      </c>
      <c r="AA230" s="32" t="e">
        <f>INDEX('02_PROPERTIES'!$C$10:$I$1048576,MATCH('03_CALCULATIONS'!$D230,'02_PROPERTIES'!$C$10:$C$1048576,0),MATCH('03_CALCULATIONS'!AA$9,'02_PROPERTIES'!$C$10:$I$10,0))</f>
        <v>#N/A</v>
      </c>
      <c r="AB230" s="20" t="e">
        <f>INDEX('02_PROPERTIES'!$C$10:$I$1048576,MATCH('03_CALCULATIONS'!$D230,'02_PROPERTIES'!$C$10:$C$1048576,0),MATCH('03_CALCULATIONS'!AB$9,'02_PROPERTIES'!$C$10:$I$10,0))</f>
        <v>#N/A</v>
      </c>
      <c r="AC230" s="20" t="e">
        <f>INDEX('02_PROPERTIES'!$C$10:$I$1048576,MATCH('03_CALCULATIONS'!$D230,'02_PROPERTIES'!$C$10:$C$1048576,0),MATCH('03_CALCULATIONS'!AC$9,'02_PROPERTIES'!$C$10:$I$10,0))</f>
        <v>#N/A</v>
      </c>
      <c r="AD230" s="20" t="e">
        <f>INDEX('02_PROPERTIES'!$C$10:$I$1048576,MATCH('03_CALCULATIONS'!$D230,'02_PROPERTIES'!$C$10:$C$1048576,0),MATCH('03_CALCULATIONS'!AD$9,'02_PROPERTIES'!$C$10:$I$10,0))</f>
        <v>#N/A</v>
      </c>
      <c r="AE230" s="32" t="e">
        <f>INDEX('02_PROPERTIES'!$C$10:$I$1048576,MATCH('03_CALCULATIONS'!$D230,'02_PROPERTIES'!$C$10:$C$1048576,0),MATCH('03_CALCULATIONS'!AE$9,'02_PROPERTIES'!$C$10:$I$10,0))</f>
        <v>#N/A</v>
      </c>
      <c r="AF230" s="32" t="e">
        <f>INDEX('02_PROPERTIES'!$C$10:$I$1048576,MATCH('03_CALCULATIONS'!$D230,'02_PROPERTIES'!$C$10:$C$1048576,0),MATCH('03_CALCULATIONS'!AF$9,'02_PROPERTIES'!$C$10:$I$10,0))</f>
        <v>#N/A</v>
      </c>
      <c r="AH230" s="20" t="e">
        <f t="shared" si="33"/>
        <v>#N/A</v>
      </c>
      <c r="AI230" s="20" t="e">
        <f t="shared" si="34"/>
        <v>#N/A</v>
      </c>
      <c r="AJ230" s="20" t="e">
        <f t="shared" si="35"/>
        <v>#N/A</v>
      </c>
      <c r="AL230" s="20" t="e">
        <f t="shared" si="36"/>
        <v>#N/A</v>
      </c>
      <c r="AM230" s="20" t="e">
        <f t="shared" si="37"/>
        <v>#N/A</v>
      </c>
      <c r="AN230" s="20" t="e">
        <f t="shared" si="38"/>
        <v>#N/A</v>
      </c>
      <c r="AO230" s="20" t="e">
        <f t="shared" si="39"/>
        <v>#N/A</v>
      </c>
      <c r="AP230" s="20" t="e">
        <f t="shared" si="40"/>
        <v>#N/A</v>
      </c>
      <c r="AR230" s="20" t="e">
        <f t="shared" si="41"/>
        <v>#N/A</v>
      </c>
      <c r="AS230" s="20" t="e">
        <f t="shared" si="42"/>
        <v>#N/A</v>
      </c>
      <c r="AT230" s="20" t="e">
        <f t="shared" si="43"/>
        <v>#N/A</v>
      </c>
    </row>
    <row r="231" spans="1:46" x14ac:dyDescent="0.3">
      <c r="A231" s="18"/>
      <c r="B231" s="20" t="e">
        <f>INDEX('01_FASTPPH'!$9:$1048576,MATCH($A231,'01_FASTPPH'!$A$9:$A$1048576,0),MATCH(B$9,'01_FASTPPH'!$8:$8,0))</f>
        <v>#N/A</v>
      </c>
      <c r="C231" s="20" t="e">
        <f>INDEX('01_FASTPPH'!$9:$1048576,MATCH($A231,'01_FASTPPH'!$A$9:$A$1048576,0),MATCH(C$9,'01_FASTPPH'!$8:$8,0))</f>
        <v>#N/A</v>
      </c>
      <c r="D231" s="20" t="e">
        <f>INDEX('01_FASTPPH'!$9:$1048576,MATCH($A231,'01_FASTPPH'!$A$9:$A$1048576,0),MATCH(D$9,'01_FASTPPH'!$8:$8,0))</f>
        <v>#N/A</v>
      </c>
      <c r="E231" s="20" t="e">
        <f>INDEX('01_FASTPPH'!$9:$1048576,MATCH($A231,'01_FASTPPH'!$A$9:$A$1048576,0),MATCH(E$9,'01_FASTPPH'!$8:$8,0))</f>
        <v>#N/A</v>
      </c>
      <c r="F231" s="20" t="e">
        <f>INDEX('01_FASTPPH'!$9:$1048576,MATCH($A231,'01_FASTPPH'!$A$9:$A$1048576,0),MATCH(F$9,'01_FASTPPH'!$8:$8,0))</f>
        <v>#N/A</v>
      </c>
      <c r="G231" s="20" t="e">
        <f>INDEX('01_FASTPPH'!$9:$1048576,MATCH($A231,'01_FASTPPH'!$A$9:$A$1048576,0),MATCH(G$9,'01_FASTPPH'!$8:$8,0))</f>
        <v>#N/A</v>
      </c>
      <c r="H231" s="20" t="e">
        <f>INDEX('01_FASTPPH'!$9:$1048576,MATCH($A231,'01_FASTPPH'!$A$9:$A$1048576,0),MATCH(H$9,'01_FASTPPH'!$8:$8,0))</f>
        <v>#N/A</v>
      </c>
      <c r="I231" s="20" t="e">
        <f>INDEX('01_FASTPPH'!$9:$1048576,MATCH($A231,'01_FASTPPH'!$A$9:$A$1048576,0),MATCH(I$9,'01_FASTPPH'!$8:$8,0))</f>
        <v>#N/A</v>
      </c>
      <c r="J231" s="20" t="e">
        <f>INDEX('01_FASTPPH'!$9:$1048576,MATCH($A231,'01_FASTPPH'!$A$9:$A$1048576,0),MATCH(J$9,'01_FASTPPH'!$8:$8,0))</f>
        <v>#N/A</v>
      </c>
      <c r="K231" s="23" t="e">
        <f>INDEX('01_FASTPPH'!$9:$1048576,MATCH($A231,'01_FASTPPH'!$A$9:$A$1048576,0),MATCH(K$9,'01_FASTPPH'!$8:$8,0))</f>
        <v>#N/A</v>
      </c>
      <c r="L231" s="20" t="e">
        <f>INDEX('01_FASTPPH'!$9:$1048576,MATCH($A231,'01_FASTPPH'!$A$9:$A$1048576,0),MATCH(L$9,'01_FASTPPH'!$8:$8,0))</f>
        <v>#N/A</v>
      </c>
      <c r="M231" s="20" t="e">
        <f>INDEX('01_FASTPPH'!$9:$1048576,MATCH($A231,'01_FASTPPH'!$A$9:$A$1048576,0),MATCH(M$9,'01_FASTPPH'!$8:$8,0))</f>
        <v>#N/A</v>
      </c>
      <c r="N231" s="24" t="e">
        <f>INDEX('01_FASTPPH'!$9:$1048576,MATCH($A231,'01_FASTPPH'!$A$9:$A$1048576,0),MATCH(N$9,'01_FASTPPH'!$8:$8,0))</f>
        <v>#N/A</v>
      </c>
      <c r="O231" s="23" t="e">
        <f>INDEX('01_FASTPPH'!$9:$1048576,MATCH($A231,'01_FASTPPH'!$A$9:$A$1048576,0),MATCH(O$9,'01_FASTPPH'!$8:$8,0))</f>
        <v>#N/A</v>
      </c>
      <c r="P231" s="20" t="e">
        <f>INDEX('01_FASTPPH'!$9:$1048576,MATCH($A231,'01_FASTPPH'!$A$9:$A$1048576,0),MATCH(P$9,'01_FASTPPH'!$8:$8,0))</f>
        <v>#N/A</v>
      </c>
      <c r="Q231" s="20" t="e">
        <f>INDEX('01_FASTPPH'!$9:$1048576,MATCH($A231,'01_FASTPPH'!$A$9:$A$1048576,0),MATCH(Q$9,'01_FASTPPH'!$8:$8,0))</f>
        <v>#N/A</v>
      </c>
      <c r="R231" s="20" t="e">
        <f>INDEX('01_FASTPPH'!$9:$1048576,MATCH($A231,'01_FASTPPH'!$A$9:$A$1048576,0),MATCH(R$9,'01_FASTPPH'!$8:$8,0))</f>
        <v>#N/A</v>
      </c>
      <c r="S231" s="20" t="e">
        <f>INDEX('01_FASTPPH'!$9:$1048576,MATCH($A231,'01_FASTPPH'!$A$9:$A$1048576,0),MATCH(S$9,'01_FASTPPH'!$8:$8,0))</f>
        <v>#N/A</v>
      </c>
      <c r="T231" s="24" t="e">
        <f>INDEX('01_FASTPPH'!$9:$1048576,MATCH($A231,'01_FASTPPH'!$A$9:$A$1048576,0),MATCH(T$9,'01_FASTPPH'!$8:$8,0))</f>
        <v>#N/A</v>
      </c>
      <c r="U231" s="23" t="e">
        <f>INDEX('01_FASTPPH'!$9:$1048576,MATCH($A231,'01_FASTPPH'!$A$9:$A$1048576,0),MATCH(U$9,'01_FASTPPH'!$8:$8,0))</f>
        <v>#N/A</v>
      </c>
      <c r="V231" s="20" t="e">
        <f>INDEX('01_FASTPPH'!$9:$1048576,MATCH($A231,'01_FASTPPH'!$A$9:$A$1048576,0),MATCH(V$9,'01_FASTPPH'!$8:$8,0))</f>
        <v>#N/A</v>
      </c>
      <c r="W231" s="24" t="e">
        <f>INDEX('01_FASTPPH'!$9:$1048576,MATCH($A231,'01_FASTPPH'!$A$9:$A$1048576,0),MATCH(W$9,'01_FASTPPH'!$8:$8,0))</f>
        <v>#N/A</v>
      </c>
      <c r="X231" s="20" t="e">
        <f>INDEX('01_FASTPPH'!$9:$1048576,MATCH($A231,'01_FASTPPH'!$A$9:$A$1048576,0),MATCH(X$9,'01_FASTPPH'!$8:$8,0))</f>
        <v>#N/A</v>
      </c>
      <c r="Y231" s="20" t="e">
        <f>INDEX('01_FASTPPH'!$9:$1048576,MATCH($A231,'01_FASTPPH'!$A$9:$A$1048576,0),MATCH(Y$9,'01_FASTPPH'!$8:$8,0))</f>
        <v>#N/A</v>
      </c>
      <c r="AA231" s="32" t="e">
        <f>INDEX('02_PROPERTIES'!$C$10:$I$1048576,MATCH('03_CALCULATIONS'!$D231,'02_PROPERTIES'!$C$10:$C$1048576,0),MATCH('03_CALCULATIONS'!AA$9,'02_PROPERTIES'!$C$10:$I$10,0))</f>
        <v>#N/A</v>
      </c>
      <c r="AB231" s="20" t="e">
        <f>INDEX('02_PROPERTIES'!$C$10:$I$1048576,MATCH('03_CALCULATIONS'!$D231,'02_PROPERTIES'!$C$10:$C$1048576,0),MATCH('03_CALCULATIONS'!AB$9,'02_PROPERTIES'!$C$10:$I$10,0))</f>
        <v>#N/A</v>
      </c>
      <c r="AC231" s="20" t="e">
        <f>INDEX('02_PROPERTIES'!$C$10:$I$1048576,MATCH('03_CALCULATIONS'!$D231,'02_PROPERTIES'!$C$10:$C$1048576,0),MATCH('03_CALCULATIONS'!AC$9,'02_PROPERTIES'!$C$10:$I$10,0))</f>
        <v>#N/A</v>
      </c>
      <c r="AD231" s="20" t="e">
        <f>INDEX('02_PROPERTIES'!$C$10:$I$1048576,MATCH('03_CALCULATIONS'!$D231,'02_PROPERTIES'!$C$10:$C$1048576,0),MATCH('03_CALCULATIONS'!AD$9,'02_PROPERTIES'!$C$10:$I$10,0))</f>
        <v>#N/A</v>
      </c>
      <c r="AE231" s="32" t="e">
        <f>INDEX('02_PROPERTIES'!$C$10:$I$1048576,MATCH('03_CALCULATIONS'!$D231,'02_PROPERTIES'!$C$10:$C$1048576,0),MATCH('03_CALCULATIONS'!AE$9,'02_PROPERTIES'!$C$10:$I$10,0))</f>
        <v>#N/A</v>
      </c>
      <c r="AF231" s="32" t="e">
        <f>INDEX('02_PROPERTIES'!$C$10:$I$1048576,MATCH('03_CALCULATIONS'!$D231,'02_PROPERTIES'!$C$10:$C$1048576,0),MATCH('03_CALCULATIONS'!AF$9,'02_PROPERTIES'!$C$10:$I$10,0))</f>
        <v>#N/A</v>
      </c>
      <c r="AH231" s="20" t="e">
        <f t="shared" si="33"/>
        <v>#N/A</v>
      </c>
      <c r="AI231" s="20" t="e">
        <f t="shared" si="34"/>
        <v>#N/A</v>
      </c>
      <c r="AJ231" s="20" t="e">
        <f t="shared" si="35"/>
        <v>#N/A</v>
      </c>
      <c r="AL231" s="20" t="e">
        <f t="shared" si="36"/>
        <v>#N/A</v>
      </c>
      <c r="AM231" s="20" t="e">
        <f t="shared" si="37"/>
        <v>#N/A</v>
      </c>
      <c r="AN231" s="20" t="e">
        <f t="shared" si="38"/>
        <v>#N/A</v>
      </c>
      <c r="AO231" s="20" t="e">
        <f t="shared" si="39"/>
        <v>#N/A</v>
      </c>
      <c r="AP231" s="20" t="e">
        <f t="shared" si="40"/>
        <v>#N/A</v>
      </c>
      <c r="AR231" s="20" t="e">
        <f t="shared" si="41"/>
        <v>#N/A</v>
      </c>
      <c r="AS231" s="20" t="e">
        <f t="shared" si="42"/>
        <v>#N/A</v>
      </c>
      <c r="AT231" s="20" t="e">
        <f t="shared" si="43"/>
        <v>#N/A</v>
      </c>
    </row>
    <row r="232" spans="1:46" x14ac:dyDescent="0.3">
      <c r="A232" s="18"/>
      <c r="B232" s="20" t="e">
        <f>INDEX('01_FASTPPH'!$9:$1048576,MATCH($A232,'01_FASTPPH'!$A$9:$A$1048576,0),MATCH(B$9,'01_FASTPPH'!$8:$8,0))</f>
        <v>#N/A</v>
      </c>
      <c r="C232" s="20" t="e">
        <f>INDEX('01_FASTPPH'!$9:$1048576,MATCH($A232,'01_FASTPPH'!$A$9:$A$1048576,0),MATCH(C$9,'01_FASTPPH'!$8:$8,0))</f>
        <v>#N/A</v>
      </c>
      <c r="D232" s="20" t="e">
        <f>INDEX('01_FASTPPH'!$9:$1048576,MATCH($A232,'01_FASTPPH'!$A$9:$A$1048576,0),MATCH(D$9,'01_FASTPPH'!$8:$8,0))</f>
        <v>#N/A</v>
      </c>
      <c r="E232" s="20" t="e">
        <f>INDEX('01_FASTPPH'!$9:$1048576,MATCH($A232,'01_FASTPPH'!$A$9:$A$1048576,0),MATCH(E$9,'01_FASTPPH'!$8:$8,0))</f>
        <v>#N/A</v>
      </c>
      <c r="F232" s="20" t="e">
        <f>INDEX('01_FASTPPH'!$9:$1048576,MATCH($A232,'01_FASTPPH'!$A$9:$A$1048576,0),MATCH(F$9,'01_FASTPPH'!$8:$8,0))</f>
        <v>#N/A</v>
      </c>
      <c r="G232" s="20" t="e">
        <f>INDEX('01_FASTPPH'!$9:$1048576,MATCH($A232,'01_FASTPPH'!$A$9:$A$1048576,0),MATCH(G$9,'01_FASTPPH'!$8:$8,0))</f>
        <v>#N/A</v>
      </c>
      <c r="H232" s="20" t="e">
        <f>INDEX('01_FASTPPH'!$9:$1048576,MATCH($A232,'01_FASTPPH'!$A$9:$A$1048576,0),MATCH(H$9,'01_FASTPPH'!$8:$8,0))</f>
        <v>#N/A</v>
      </c>
      <c r="I232" s="20" t="e">
        <f>INDEX('01_FASTPPH'!$9:$1048576,MATCH($A232,'01_FASTPPH'!$A$9:$A$1048576,0),MATCH(I$9,'01_FASTPPH'!$8:$8,0))</f>
        <v>#N/A</v>
      </c>
      <c r="J232" s="20" t="e">
        <f>INDEX('01_FASTPPH'!$9:$1048576,MATCH($A232,'01_FASTPPH'!$A$9:$A$1048576,0),MATCH(J$9,'01_FASTPPH'!$8:$8,0))</f>
        <v>#N/A</v>
      </c>
      <c r="K232" s="23" t="e">
        <f>INDEX('01_FASTPPH'!$9:$1048576,MATCH($A232,'01_FASTPPH'!$A$9:$A$1048576,0),MATCH(K$9,'01_FASTPPH'!$8:$8,0))</f>
        <v>#N/A</v>
      </c>
      <c r="L232" s="20" t="e">
        <f>INDEX('01_FASTPPH'!$9:$1048576,MATCH($A232,'01_FASTPPH'!$A$9:$A$1048576,0),MATCH(L$9,'01_FASTPPH'!$8:$8,0))</f>
        <v>#N/A</v>
      </c>
      <c r="M232" s="20" t="e">
        <f>INDEX('01_FASTPPH'!$9:$1048576,MATCH($A232,'01_FASTPPH'!$A$9:$A$1048576,0),MATCH(M$9,'01_FASTPPH'!$8:$8,0))</f>
        <v>#N/A</v>
      </c>
      <c r="N232" s="24" t="e">
        <f>INDEX('01_FASTPPH'!$9:$1048576,MATCH($A232,'01_FASTPPH'!$A$9:$A$1048576,0),MATCH(N$9,'01_FASTPPH'!$8:$8,0))</f>
        <v>#N/A</v>
      </c>
      <c r="O232" s="23" t="e">
        <f>INDEX('01_FASTPPH'!$9:$1048576,MATCH($A232,'01_FASTPPH'!$A$9:$A$1048576,0),MATCH(O$9,'01_FASTPPH'!$8:$8,0))</f>
        <v>#N/A</v>
      </c>
      <c r="P232" s="20" t="e">
        <f>INDEX('01_FASTPPH'!$9:$1048576,MATCH($A232,'01_FASTPPH'!$A$9:$A$1048576,0),MATCH(P$9,'01_FASTPPH'!$8:$8,0))</f>
        <v>#N/A</v>
      </c>
      <c r="Q232" s="20" t="e">
        <f>INDEX('01_FASTPPH'!$9:$1048576,MATCH($A232,'01_FASTPPH'!$A$9:$A$1048576,0),MATCH(Q$9,'01_FASTPPH'!$8:$8,0))</f>
        <v>#N/A</v>
      </c>
      <c r="R232" s="20" t="e">
        <f>INDEX('01_FASTPPH'!$9:$1048576,MATCH($A232,'01_FASTPPH'!$A$9:$A$1048576,0),MATCH(R$9,'01_FASTPPH'!$8:$8,0))</f>
        <v>#N/A</v>
      </c>
      <c r="S232" s="20" t="e">
        <f>INDEX('01_FASTPPH'!$9:$1048576,MATCH($A232,'01_FASTPPH'!$A$9:$A$1048576,0),MATCH(S$9,'01_FASTPPH'!$8:$8,0))</f>
        <v>#N/A</v>
      </c>
      <c r="T232" s="24" t="e">
        <f>INDEX('01_FASTPPH'!$9:$1048576,MATCH($A232,'01_FASTPPH'!$A$9:$A$1048576,0),MATCH(T$9,'01_FASTPPH'!$8:$8,0))</f>
        <v>#N/A</v>
      </c>
      <c r="U232" s="23" t="e">
        <f>INDEX('01_FASTPPH'!$9:$1048576,MATCH($A232,'01_FASTPPH'!$A$9:$A$1048576,0),MATCH(U$9,'01_FASTPPH'!$8:$8,0))</f>
        <v>#N/A</v>
      </c>
      <c r="V232" s="20" t="e">
        <f>INDEX('01_FASTPPH'!$9:$1048576,MATCH($A232,'01_FASTPPH'!$A$9:$A$1048576,0),MATCH(V$9,'01_FASTPPH'!$8:$8,0))</f>
        <v>#N/A</v>
      </c>
      <c r="W232" s="24" t="e">
        <f>INDEX('01_FASTPPH'!$9:$1048576,MATCH($A232,'01_FASTPPH'!$A$9:$A$1048576,0),MATCH(W$9,'01_FASTPPH'!$8:$8,0))</f>
        <v>#N/A</v>
      </c>
      <c r="X232" s="20" t="e">
        <f>INDEX('01_FASTPPH'!$9:$1048576,MATCH($A232,'01_FASTPPH'!$A$9:$A$1048576,0),MATCH(X$9,'01_FASTPPH'!$8:$8,0))</f>
        <v>#N/A</v>
      </c>
      <c r="Y232" s="20" t="e">
        <f>INDEX('01_FASTPPH'!$9:$1048576,MATCH($A232,'01_FASTPPH'!$A$9:$A$1048576,0),MATCH(Y$9,'01_FASTPPH'!$8:$8,0))</f>
        <v>#N/A</v>
      </c>
      <c r="AA232" s="32" t="e">
        <f>INDEX('02_PROPERTIES'!$C$10:$I$1048576,MATCH('03_CALCULATIONS'!$D232,'02_PROPERTIES'!$C$10:$C$1048576,0),MATCH('03_CALCULATIONS'!AA$9,'02_PROPERTIES'!$C$10:$I$10,0))</f>
        <v>#N/A</v>
      </c>
      <c r="AB232" s="20" t="e">
        <f>INDEX('02_PROPERTIES'!$C$10:$I$1048576,MATCH('03_CALCULATIONS'!$D232,'02_PROPERTIES'!$C$10:$C$1048576,0),MATCH('03_CALCULATIONS'!AB$9,'02_PROPERTIES'!$C$10:$I$10,0))</f>
        <v>#N/A</v>
      </c>
      <c r="AC232" s="20" t="e">
        <f>INDEX('02_PROPERTIES'!$C$10:$I$1048576,MATCH('03_CALCULATIONS'!$D232,'02_PROPERTIES'!$C$10:$C$1048576,0),MATCH('03_CALCULATIONS'!AC$9,'02_PROPERTIES'!$C$10:$I$10,0))</f>
        <v>#N/A</v>
      </c>
      <c r="AD232" s="20" t="e">
        <f>INDEX('02_PROPERTIES'!$C$10:$I$1048576,MATCH('03_CALCULATIONS'!$D232,'02_PROPERTIES'!$C$10:$C$1048576,0),MATCH('03_CALCULATIONS'!AD$9,'02_PROPERTIES'!$C$10:$I$10,0))</f>
        <v>#N/A</v>
      </c>
      <c r="AE232" s="32" t="e">
        <f>INDEX('02_PROPERTIES'!$C$10:$I$1048576,MATCH('03_CALCULATIONS'!$D232,'02_PROPERTIES'!$C$10:$C$1048576,0),MATCH('03_CALCULATIONS'!AE$9,'02_PROPERTIES'!$C$10:$I$10,0))</f>
        <v>#N/A</v>
      </c>
      <c r="AF232" s="32" t="e">
        <f>INDEX('02_PROPERTIES'!$C$10:$I$1048576,MATCH('03_CALCULATIONS'!$D232,'02_PROPERTIES'!$C$10:$C$1048576,0),MATCH('03_CALCULATIONS'!AF$9,'02_PROPERTIES'!$C$10:$I$10,0))</f>
        <v>#N/A</v>
      </c>
      <c r="AH232" s="20" t="e">
        <f t="shared" si="33"/>
        <v>#N/A</v>
      </c>
      <c r="AI232" s="20" t="e">
        <f t="shared" si="34"/>
        <v>#N/A</v>
      </c>
      <c r="AJ232" s="20" t="e">
        <f t="shared" si="35"/>
        <v>#N/A</v>
      </c>
      <c r="AL232" s="20" t="e">
        <f t="shared" si="36"/>
        <v>#N/A</v>
      </c>
      <c r="AM232" s="20" t="e">
        <f t="shared" si="37"/>
        <v>#N/A</v>
      </c>
      <c r="AN232" s="20" t="e">
        <f t="shared" si="38"/>
        <v>#N/A</v>
      </c>
      <c r="AO232" s="20" t="e">
        <f t="shared" si="39"/>
        <v>#N/A</v>
      </c>
      <c r="AP232" s="20" t="e">
        <f t="shared" si="40"/>
        <v>#N/A</v>
      </c>
      <c r="AR232" s="20" t="e">
        <f t="shared" si="41"/>
        <v>#N/A</v>
      </c>
      <c r="AS232" s="20" t="e">
        <f t="shared" si="42"/>
        <v>#N/A</v>
      </c>
      <c r="AT232" s="20" t="e">
        <f t="shared" si="43"/>
        <v>#N/A</v>
      </c>
    </row>
    <row r="233" spans="1:46" x14ac:dyDescent="0.3">
      <c r="A233" s="18"/>
      <c r="B233" s="20" t="e">
        <f>INDEX('01_FASTPPH'!$9:$1048576,MATCH($A233,'01_FASTPPH'!$A$9:$A$1048576,0),MATCH(B$9,'01_FASTPPH'!$8:$8,0))</f>
        <v>#N/A</v>
      </c>
      <c r="C233" s="20" t="e">
        <f>INDEX('01_FASTPPH'!$9:$1048576,MATCH($A233,'01_FASTPPH'!$A$9:$A$1048576,0),MATCH(C$9,'01_FASTPPH'!$8:$8,0))</f>
        <v>#N/A</v>
      </c>
      <c r="D233" s="20" t="e">
        <f>INDEX('01_FASTPPH'!$9:$1048576,MATCH($A233,'01_FASTPPH'!$A$9:$A$1048576,0),MATCH(D$9,'01_FASTPPH'!$8:$8,0))</f>
        <v>#N/A</v>
      </c>
      <c r="E233" s="20" t="e">
        <f>INDEX('01_FASTPPH'!$9:$1048576,MATCH($A233,'01_FASTPPH'!$A$9:$A$1048576,0),MATCH(E$9,'01_FASTPPH'!$8:$8,0))</f>
        <v>#N/A</v>
      </c>
      <c r="F233" s="20" t="e">
        <f>INDEX('01_FASTPPH'!$9:$1048576,MATCH($A233,'01_FASTPPH'!$A$9:$A$1048576,0),MATCH(F$9,'01_FASTPPH'!$8:$8,0))</f>
        <v>#N/A</v>
      </c>
      <c r="G233" s="20" t="e">
        <f>INDEX('01_FASTPPH'!$9:$1048576,MATCH($A233,'01_FASTPPH'!$A$9:$A$1048576,0),MATCH(G$9,'01_FASTPPH'!$8:$8,0))</f>
        <v>#N/A</v>
      </c>
      <c r="H233" s="20" t="e">
        <f>INDEX('01_FASTPPH'!$9:$1048576,MATCH($A233,'01_FASTPPH'!$A$9:$A$1048576,0),MATCH(H$9,'01_FASTPPH'!$8:$8,0))</f>
        <v>#N/A</v>
      </c>
      <c r="I233" s="20" t="e">
        <f>INDEX('01_FASTPPH'!$9:$1048576,MATCH($A233,'01_FASTPPH'!$A$9:$A$1048576,0),MATCH(I$9,'01_FASTPPH'!$8:$8,0))</f>
        <v>#N/A</v>
      </c>
      <c r="J233" s="20" t="e">
        <f>INDEX('01_FASTPPH'!$9:$1048576,MATCH($A233,'01_FASTPPH'!$A$9:$A$1048576,0),MATCH(J$9,'01_FASTPPH'!$8:$8,0))</f>
        <v>#N/A</v>
      </c>
      <c r="K233" s="23" t="e">
        <f>INDEX('01_FASTPPH'!$9:$1048576,MATCH($A233,'01_FASTPPH'!$A$9:$A$1048576,0),MATCH(K$9,'01_FASTPPH'!$8:$8,0))</f>
        <v>#N/A</v>
      </c>
      <c r="L233" s="20" t="e">
        <f>INDEX('01_FASTPPH'!$9:$1048576,MATCH($A233,'01_FASTPPH'!$A$9:$A$1048576,0),MATCH(L$9,'01_FASTPPH'!$8:$8,0))</f>
        <v>#N/A</v>
      </c>
      <c r="M233" s="20" t="e">
        <f>INDEX('01_FASTPPH'!$9:$1048576,MATCH($A233,'01_FASTPPH'!$A$9:$A$1048576,0),MATCH(M$9,'01_FASTPPH'!$8:$8,0))</f>
        <v>#N/A</v>
      </c>
      <c r="N233" s="24" t="e">
        <f>INDEX('01_FASTPPH'!$9:$1048576,MATCH($A233,'01_FASTPPH'!$A$9:$A$1048576,0),MATCH(N$9,'01_FASTPPH'!$8:$8,0))</f>
        <v>#N/A</v>
      </c>
      <c r="O233" s="23" t="e">
        <f>INDEX('01_FASTPPH'!$9:$1048576,MATCH($A233,'01_FASTPPH'!$A$9:$A$1048576,0),MATCH(O$9,'01_FASTPPH'!$8:$8,0))</f>
        <v>#N/A</v>
      </c>
      <c r="P233" s="20" t="e">
        <f>INDEX('01_FASTPPH'!$9:$1048576,MATCH($A233,'01_FASTPPH'!$A$9:$A$1048576,0),MATCH(P$9,'01_FASTPPH'!$8:$8,0))</f>
        <v>#N/A</v>
      </c>
      <c r="Q233" s="20" t="e">
        <f>INDEX('01_FASTPPH'!$9:$1048576,MATCH($A233,'01_FASTPPH'!$A$9:$A$1048576,0),MATCH(Q$9,'01_FASTPPH'!$8:$8,0))</f>
        <v>#N/A</v>
      </c>
      <c r="R233" s="20" t="e">
        <f>INDEX('01_FASTPPH'!$9:$1048576,MATCH($A233,'01_FASTPPH'!$A$9:$A$1048576,0),MATCH(R$9,'01_FASTPPH'!$8:$8,0))</f>
        <v>#N/A</v>
      </c>
      <c r="S233" s="20" t="e">
        <f>INDEX('01_FASTPPH'!$9:$1048576,MATCH($A233,'01_FASTPPH'!$A$9:$A$1048576,0),MATCH(S$9,'01_FASTPPH'!$8:$8,0))</f>
        <v>#N/A</v>
      </c>
      <c r="T233" s="24" t="e">
        <f>INDEX('01_FASTPPH'!$9:$1048576,MATCH($A233,'01_FASTPPH'!$A$9:$A$1048576,0),MATCH(T$9,'01_FASTPPH'!$8:$8,0))</f>
        <v>#N/A</v>
      </c>
      <c r="U233" s="23" t="e">
        <f>INDEX('01_FASTPPH'!$9:$1048576,MATCH($A233,'01_FASTPPH'!$A$9:$A$1048576,0),MATCH(U$9,'01_FASTPPH'!$8:$8,0))</f>
        <v>#N/A</v>
      </c>
      <c r="V233" s="20" t="e">
        <f>INDEX('01_FASTPPH'!$9:$1048576,MATCH($A233,'01_FASTPPH'!$A$9:$A$1048576,0),MATCH(V$9,'01_FASTPPH'!$8:$8,0))</f>
        <v>#N/A</v>
      </c>
      <c r="W233" s="24" t="e">
        <f>INDEX('01_FASTPPH'!$9:$1048576,MATCH($A233,'01_FASTPPH'!$A$9:$A$1048576,0),MATCH(W$9,'01_FASTPPH'!$8:$8,0))</f>
        <v>#N/A</v>
      </c>
      <c r="X233" s="20" t="e">
        <f>INDEX('01_FASTPPH'!$9:$1048576,MATCH($A233,'01_FASTPPH'!$A$9:$A$1048576,0),MATCH(X$9,'01_FASTPPH'!$8:$8,0))</f>
        <v>#N/A</v>
      </c>
      <c r="Y233" s="20" t="e">
        <f>INDEX('01_FASTPPH'!$9:$1048576,MATCH($A233,'01_FASTPPH'!$A$9:$A$1048576,0),MATCH(Y$9,'01_FASTPPH'!$8:$8,0))</f>
        <v>#N/A</v>
      </c>
      <c r="AA233" s="32" t="e">
        <f>INDEX('02_PROPERTIES'!$C$10:$I$1048576,MATCH('03_CALCULATIONS'!$D233,'02_PROPERTIES'!$C$10:$C$1048576,0),MATCH('03_CALCULATIONS'!AA$9,'02_PROPERTIES'!$C$10:$I$10,0))</f>
        <v>#N/A</v>
      </c>
      <c r="AB233" s="20" t="e">
        <f>INDEX('02_PROPERTIES'!$C$10:$I$1048576,MATCH('03_CALCULATIONS'!$D233,'02_PROPERTIES'!$C$10:$C$1048576,0),MATCH('03_CALCULATIONS'!AB$9,'02_PROPERTIES'!$C$10:$I$10,0))</f>
        <v>#N/A</v>
      </c>
      <c r="AC233" s="20" t="e">
        <f>INDEX('02_PROPERTIES'!$C$10:$I$1048576,MATCH('03_CALCULATIONS'!$D233,'02_PROPERTIES'!$C$10:$C$1048576,0),MATCH('03_CALCULATIONS'!AC$9,'02_PROPERTIES'!$C$10:$I$10,0))</f>
        <v>#N/A</v>
      </c>
      <c r="AD233" s="20" t="e">
        <f>INDEX('02_PROPERTIES'!$C$10:$I$1048576,MATCH('03_CALCULATIONS'!$D233,'02_PROPERTIES'!$C$10:$C$1048576,0),MATCH('03_CALCULATIONS'!AD$9,'02_PROPERTIES'!$C$10:$I$10,0))</f>
        <v>#N/A</v>
      </c>
      <c r="AE233" s="32" t="e">
        <f>INDEX('02_PROPERTIES'!$C$10:$I$1048576,MATCH('03_CALCULATIONS'!$D233,'02_PROPERTIES'!$C$10:$C$1048576,0),MATCH('03_CALCULATIONS'!AE$9,'02_PROPERTIES'!$C$10:$I$10,0))</f>
        <v>#N/A</v>
      </c>
      <c r="AF233" s="32" t="e">
        <f>INDEX('02_PROPERTIES'!$C$10:$I$1048576,MATCH('03_CALCULATIONS'!$D233,'02_PROPERTIES'!$C$10:$C$1048576,0),MATCH('03_CALCULATIONS'!AF$9,'02_PROPERTIES'!$C$10:$I$10,0))</f>
        <v>#N/A</v>
      </c>
      <c r="AH233" s="20" t="e">
        <f t="shared" si="33"/>
        <v>#N/A</v>
      </c>
      <c r="AI233" s="20" t="e">
        <f t="shared" si="34"/>
        <v>#N/A</v>
      </c>
      <c r="AJ233" s="20" t="e">
        <f t="shared" si="35"/>
        <v>#N/A</v>
      </c>
      <c r="AL233" s="20" t="e">
        <f t="shared" si="36"/>
        <v>#N/A</v>
      </c>
      <c r="AM233" s="20" t="e">
        <f t="shared" si="37"/>
        <v>#N/A</v>
      </c>
      <c r="AN233" s="20" t="e">
        <f t="shared" si="38"/>
        <v>#N/A</v>
      </c>
      <c r="AO233" s="20" t="e">
        <f t="shared" si="39"/>
        <v>#N/A</v>
      </c>
      <c r="AP233" s="20" t="e">
        <f t="shared" si="40"/>
        <v>#N/A</v>
      </c>
      <c r="AR233" s="20" t="e">
        <f t="shared" si="41"/>
        <v>#N/A</v>
      </c>
      <c r="AS233" s="20" t="e">
        <f t="shared" si="42"/>
        <v>#N/A</v>
      </c>
      <c r="AT233" s="20" t="e">
        <f t="shared" si="43"/>
        <v>#N/A</v>
      </c>
    </row>
    <row r="234" spans="1:46" x14ac:dyDescent="0.3">
      <c r="A234" s="18"/>
      <c r="B234" s="20" t="e">
        <f>INDEX('01_FASTPPH'!$9:$1048576,MATCH($A234,'01_FASTPPH'!$A$9:$A$1048576,0),MATCH(B$9,'01_FASTPPH'!$8:$8,0))</f>
        <v>#N/A</v>
      </c>
      <c r="C234" s="20" t="e">
        <f>INDEX('01_FASTPPH'!$9:$1048576,MATCH($A234,'01_FASTPPH'!$A$9:$A$1048576,0),MATCH(C$9,'01_FASTPPH'!$8:$8,0))</f>
        <v>#N/A</v>
      </c>
      <c r="D234" s="20" t="e">
        <f>INDEX('01_FASTPPH'!$9:$1048576,MATCH($A234,'01_FASTPPH'!$A$9:$A$1048576,0),MATCH(D$9,'01_FASTPPH'!$8:$8,0))</f>
        <v>#N/A</v>
      </c>
      <c r="E234" s="20" t="e">
        <f>INDEX('01_FASTPPH'!$9:$1048576,MATCH($A234,'01_FASTPPH'!$A$9:$A$1048576,0),MATCH(E$9,'01_FASTPPH'!$8:$8,0))</f>
        <v>#N/A</v>
      </c>
      <c r="F234" s="20" t="e">
        <f>INDEX('01_FASTPPH'!$9:$1048576,MATCH($A234,'01_FASTPPH'!$A$9:$A$1048576,0),MATCH(F$9,'01_FASTPPH'!$8:$8,0))</f>
        <v>#N/A</v>
      </c>
      <c r="G234" s="20" t="e">
        <f>INDEX('01_FASTPPH'!$9:$1048576,MATCH($A234,'01_FASTPPH'!$A$9:$A$1048576,0),MATCH(G$9,'01_FASTPPH'!$8:$8,0))</f>
        <v>#N/A</v>
      </c>
      <c r="H234" s="20" t="e">
        <f>INDEX('01_FASTPPH'!$9:$1048576,MATCH($A234,'01_FASTPPH'!$A$9:$A$1048576,0),MATCH(H$9,'01_FASTPPH'!$8:$8,0))</f>
        <v>#N/A</v>
      </c>
      <c r="I234" s="20" t="e">
        <f>INDEX('01_FASTPPH'!$9:$1048576,MATCH($A234,'01_FASTPPH'!$A$9:$A$1048576,0),MATCH(I$9,'01_FASTPPH'!$8:$8,0))</f>
        <v>#N/A</v>
      </c>
      <c r="J234" s="20" t="e">
        <f>INDEX('01_FASTPPH'!$9:$1048576,MATCH($A234,'01_FASTPPH'!$A$9:$A$1048576,0),MATCH(J$9,'01_FASTPPH'!$8:$8,0))</f>
        <v>#N/A</v>
      </c>
      <c r="K234" s="23" t="e">
        <f>INDEX('01_FASTPPH'!$9:$1048576,MATCH($A234,'01_FASTPPH'!$A$9:$A$1048576,0),MATCH(K$9,'01_FASTPPH'!$8:$8,0))</f>
        <v>#N/A</v>
      </c>
      <c r="L234" s="20" t="e">
        <f>INDEX('01_FASTPPH'!$9:$1048576,MATCH($A234,'01_FASTPPH'!$A$9:$A$1048576,0),MATCH(L$9,'01_FASTPPH'!$8:$8,0))</f>
        <v>#N/A</v>
      </c>
      <c r="M234" s="20" t="e">
        <f>INDEX('01_FASTPPH'!$9:$1048576,MATCH($A234,'01_FASTPPH'!$A$9:$A$1048576,0),MATCH(M$9,'01_FASTPPH'!$8:$8,0))</f>
        <v>#N/A</v>
      </c>
      <c r="N234" s="24" t="e">
        <f>INDEX('01_FASTPPH'!$9:$1048576,MATCH($A234,'01_FASTPPH'!$A$9:$A$1048576,0),MATCH(N$9,'01_FASTPPH'!$8:$8,0))</f>
        <v>#N/A</v>
      </c>
      <c r="O234" s="23" t="e">
        <f>INDEX('01_FASTPPH'!$9:$1048576,MATCH($A234,'01_FASTPPH'!$A$9:$A$1048576,0),MATCH(O$9,'01_FASTPPH'!$8:$8,0))</f>
        <v>#N/A</v>
      </c>
      <c r="P234" s="20" t="e">
        <f>INDEX('01_FASTPPH'!$9:$1048576,MATCH($A234,'01_FASTPPH'!$A$9:$A$1048576,0),MATCH(P$9,'01_FASTPPH'!$8:$8,0))</f>
        <v>#N/A</v>
      </c>
      <c r="Q234" s="20" t="e">
        <f>INDEX('01_FASTPPH'!$9:$1048576,MATCH($A234,'01_FASTPPH'!$A$9:$A$1048576,0),MATCH(Q$9,'01_FASTPPH'!$8:$8,0))</f>
        <v>#N/A</v>
      </c>
      <c r="R234" s="20" t="e">
        <f>INDEX('01_FASTPPH'!$9:$1048576,MATCH($A234,'01_FASTPPH'!$A$9:$A$1048576,0),MATCH(R$9,'01_FASTPPH'!$8:$8,0))</f>
        <v>#N/A</v>
      </c>
      <c r="S234" s="20" t="e">
        <f>INDEX('01_FASTPPH'!$9:$1048576,MATCH($A234,'01_FASTPPH'!$A$9:$A$1048576,0),MATCH(S$9,'01_FASTPPH'!$8:$8,0))</f>
        <v>#N/A</v>
      </c>
      <c r="T234" s="24" t="e">
        <f>INDEX('01_FASTPPH'!$9:$1048576,MATCH($A234,'01_FASTPPH'!$A$9:$A$1048576,0),MATCH(T$9,'01_FASTPPH'!$8:$8,0))</f>
        <v>#N/A</v>
      </c>
      <c r="U234" s="23" t="e">
        <f>INDEX('01_FASTPPH'!$9:$1048576,MATCH($A234,'01_FASTPPH'!$A$9:$A$1048576,0),MATCH(U$9,'01_FASTPPH'!$8:$8,0))</f>
        <v>#N/A</v>
      </c>
      <c r="V234" s="20" t="e">
        <f>INDEX('01_FASTPPH'!$9:$1048576,MATCH($A234,'01_FASTPPH'!$A$9:$A$1048576,0),MATCH(V$9,'01_FASTPPH'!$8:$8,0))</f>
        <v>#N/A</v>
      </c>
      <c r="W234" s="24" t="e">
        <f>INDEX('01_FASTPPH'!$9:$1048576,MATCH($A234,'01_FASTPPH'!$A$9:$A$1048576,0),MATCH(W$9,'01_FASTPPH'!$8:$8,0))</f>
        <v>#N/A</v>
      </c>
      <c r="X234" s="20" t="e">
        <f>INDEX('01_FASTPPH'!$9:$1048576,MATCH($A234,'01_FASTPPH'!$A$9:$A$1048576,0),MATCH(X$9,'01_FASTPPH'!$8:$8,0))</f>
        <v>#N/A</v>
      </c>
      <c r="Y234" s="20" t="e">
        <f>INDEX('01_FASTPPH'!$9:$1048576,MATCH($A234,'01_FASTPPH'!$A$9:$A$1048576,0),MATCH(Y$9,'01_FASTPPH'!$8:$8,0))</f>
        <v>#N/A</v>
      </c>
      <c r="AA234" s="32" t="e">
        <f>INDEX('02_PROPERTIES'!$C$10:$I$1048576,MATCH('03_CALCULATIONS'!$D234,'02_PROPERTIES'!$C$10:$C$1048576,0),MATCH('03_CALCULATIONS'!AA$9,'02_PROPERTIES'!$C$10:$I$10,0))</f>
        <v>#N/A</v>
      </c>
      <c r="AB234" s="20" t="e">
        <f>INDEX('02_PROPERTIES'!$C$10:$I$1048576,MATCH('03_CALCULATIONS'!$D234,'02_PROPERTIES'!$C$10:$C$1048576,0),MATCH('03_CALCULATIONS'!AB$9,'02_PROPERTIES'!$C$10:$I$10,0))</f>
        <v>#N/A</v>
      </c>
      <c r="AC234" s="20" t="e">
        <f>INDEX('02_PROPERTIES'!$C$10:$I$1048576,MATCH('03_CALCULATIONS'!$D234,'02_PROPERTIES'!$C$10:$C$1048576,0),MATCH('03_CALCULATIONS'!AC$9,'02_PROPERTIES'!$C$10:$I$10,0))</f>
        <v>#N/A</v>
      </c>
      <c r="AD234" s="20" t="e">
        <f>INDEX('02_PROPERTIES'!$C$10:$I$1048576,MATCH('03_CALCULATIONS'!$D234,'02_PROPERTIES'!$C$10:$C$1048576,0),MATCH('03_CALCULATIONS'!AD$9,'02_PROPERTIES'!$C$10:$I$10,0))</f>
        <v>#N/A</v>
      </c>
      <c r="AE234" s="32" t="e">
        <f>INDEX('02_PROPERTIES'!$C$10:$I$1048576,MATCH('03_CALCULATIONS'!$D234,'02_PROPERTIES'!$C$10:$C$1048576,0),MATCH('03_CALCULATIONS'!AE$9,'02_PROPERTIES'!$C$10:$I$10,0))</f>
        <v>#N/A</v>
      </c>
      <c r="AF234" s="32" t="e">
        <f>INDEX('02_PROPERTIES'!$C$10:$I$1048576,MATCH('03_CALCULATIONS'!$D234,'02_PROPERTIES'!$C$10:$C$1048576,0),MATCH('03_CALCULATIONS'!AF$9,'02_PROPERTIES'!$C$10:$I$10,0))</f>
        <v>#N/A</v>
      </c>
      <c r="AH234" s="20" t="e">
        <f t="shared" si="33"/>
        <v>#N/A</v>
      </c>
      <c r="AI234" s="20" t="e">
        <f t="shared" si="34"/>
        <v>#N/A</v>
      </c>
      <c r="AJ234" s="20" t="e">
        <f t="shared" si="35"/>
        <v>#N/A</v>
      </c>
      <c r="AL234" s="20" t="e">
        <f t="shared" si="36"/>
        <v>#N/A</v>
      </c>
      <c r="AM234" s="20" t="e">
        <f t="shared" si="37"/>
        <v>#N/A</v>
      </c>
      <c r="AN234" s="20" t="e">
        <f t="shared" si="38"/>
        <v>#N/A</v>
      </c>
      <c r="AO234" s="20" t="e">
        <f t="shared" si="39"/>
        <v>#N/A</v>
      </c>
      <c r="AP234" s="20" t="e">
        <f t="shared" si="40"/>
        <v>#N/A</v>
      </c>
      <c r="AR234" s="20" t="e">
        <f t="shared" si="41"/>
        <v>#N/A</v>
      </c>
      <c r="AS234" s="20" t="e">
        <f t="shared" si="42"/>
        <v>#N/A</v>
      </c>
      <c r="AT234" s="20" t="e">
        <f t="shared" si="43"/>
        <v>#N/A</v>
      </c>
    </row>
    <row r="235" spans="1:46" x14ac:dyDescent="0.3">
      <c r="A235" s="18"/>
      <c r="B235" s="20" t="e">
        <f>INDEX('01_FASTPPH'!$9:$1048576,MATCH($A235,'01_FASTPPH'!$A$9:$A$1048576,0),MATCH(B$9,'01_FASTPPH'!$8:$8,0))</f>
        <v>#N/A</v>
      </c>
      <c r="C235" s="20" t="e">
        <f>INDEX('01_FASTPPH'!$9:$1048576,MATCH($A235,'01_FASTPPH'!$A$9:$A$1048576,0),MATCH(C$9,'01_FASTPPH'!$8:$8,0))</f>
        <v>#N/A</v>
      </c>
      <c r="D235" s="20" t="e">
        <f>INDEX('01_FASTPPH'!$9:$1048576,MATCH($A235,'01_FASTPPH'!$A$9:$A$1048576,0),MATCH(D$9,'01_FASTPPH'!$8:$8,0))</f>
        <v>#N/A</v>
      </c>
      <c r="E235" s="20" t="e">
        <f>INDEX('01_FASTPPH'!$9:$1048576,MATCH($A235,'01_FASTPPH'!$A$9:$A$1048576,0),MATCH(E$9,'01_FASTPPH'!$8:$8,0))</f>
        <v>#N/A</v>
      </c>
      <c r="F235" s="20" t="e">
        <f>INDEX('01_FASTPPH'!$9:$1048576,MATCH($A235,'01_FASTPPH'!$A$9:$A$1048576,0),MATCH(F$9,'01_FASTPPH'!$8:$8,0))</f>
        <v>#N/A</v>
      </c>
      <c r="G235" s="20" t="e">
        <f>INDEX('01_FASTPPH'!$9:$1048576,MATCH($A235,'01_FASTPPH'!$A$9:$A$1048576,0),MATCH(G$9,'01_FASTPPH'!$8:$8,0))</f>
        <v>#N/A</v>
      </c>
      <c r="H235" s="20" t="e">
        <f>INDEX('01_FASTPPH'!$9:$1048576,MATCH($A235,'01_FASTPPH'!$A$9:$A$1048576,0),MATCH(H$9,'01_FASTPPH'!$8:$8,0))</f>
        <v>#N/A</v>
      </c>
      <c r="I235" s="20" t="e">
        <f>INDEX('01_FASTPPH'!$9:$1048576,MATCH($A235,'01_FASTPPH'!$A$9:$A$1048576,0),MATCH(I$9,'01_FASTPPH'!$8:$8,0))</f>
        <v>#N/A</v>
      </c>
      <c r="J235" s="20" t="e">
        <f>INDEX('01_FASTPPH'!$9:$1048576,MATCH($A235,'01_FASTPPH'!$A$9:$A$1048576,0),MATCH(J$9,'01_FASTPPH'!$8:$8,0))</f>
        <v>#N/A</v>
      </c>
      <c r="K235" s="23" t="e">
        <f>INDEX('01_FASTPPH'!$9:$1048576,MATCH($A235,'01_FASTPPH'!$A$9:$A$1048576,0),MATCH(K$9,'01_FASTPPH'!$8:$8,0))</f>
        <v>#N/A</v>
      </c>
      <c r="L235" s="20" t="e">
        <f>INDEX('01_FASTPPH'!$9:$1048576,MATCH($A235,'01_FASTPPH'!$A$9:$A$1048576,0),MATCH(L$9,'01_FASTPPH'!$8:$8,0))</f>
        <v>#N/A</v>
      </c>
      <c r="M235" s="20" t="e">
        <f>INDEX('01_FASTPPH'!$9:$1048576,MATCH($A235,'01_FASTPPH'!$A$9:$A$1048576,0),MATCH(M$9,'01_FASTPPH'!$8:$8,0))</f>
        <v>#N/A</v>
      </c>
      <c r="N235" s="24" t="e">
        <f>INDEX('01_FASTPPH'!$9:$1048576,MATCH($A235,'01_FASTPPH'!$A$9:$A$1048576,0),MATCH(N$9,'01_FASTPPH'!$8:$8,0))</f>
        <v>#N/A</v>
      </c>
      <c r="O235" s="23" t="e">
        <f>INDEX('01_FASTPPH'!$9:$1048576,MATCH($A235,'01_FASTPPH'!$A$9:$A$1048576,0),MATCH(O$9,'01_FASTPPH'!$8:$8,0))</f>
        <v>#N/A</v>
      </c>
      <c r="P235" s="20" t="e">
        <f>INDEX('01_FASTPPH'!$9:$1048576,MATCH($A235,'01_FASTPPH'!$A$9:$A$1048576,0),MATCH(P$9,'01_FASTPPH'!$8:$8,0))</f>
        <v>#N/A</v>
      </c>
      <c r="Q235" s="20" t="e">
        <f>INDEX('01_FASTPPH'!$9:$1048576,MATCH($A235,'01_FASTPPH'!$A$9:$A$1048576,0),MATCH(Q$9,'01_FASTPPH'!$8:$8,0))</f>
        <v>#N/A</v>
      </c>
      <c r="R235" s="20" t="e">
        <f>INDEX('01_FASTPPH'!$9:$1048576,MATCH($A235,'01_FASTPPH'!$A$9:$A$1048576,0),MATCH(R$9,'01_FASTPPH'!$8:$8,0))</f>
        <v>#N/A</v>
      </c>
      <c r="S235" s="20" t="e">
        <f>INDEX('01_FASTPPH'!$9:$1048576,MATCH($A235,'01_FASTPPH'!$A$9:$A$1048576,0),MATCH(S$9,'01_FASTPPH'!$8:$8,0))</f>
        <v>#N/A</v>
      </c>
      <c r="T235" s="24" t="e">
        <f>INDEX('01_FASTPPH'!$9:$1048576,MATCH($A235,'01_FASTPPH'!$A$9:$A$1048576,0),MATCH(T$9,'01_FASTPPH'!$8:$8,0))</f>
        <v>#N/A</v>
      </c>
      <c r="U235" s="23" t="e">
        <f>INDEX('01_FASTPPH'!$9:$1048576,MATCH($A235,'01_FASTPPH'!$A$9:$A$1048576,0),MATCH(U$9,'01_FASTPPH'!$8:$8,0))</f>
        <v>#N/A</v>
      </c>
      <c r="V235" s="20" t="e">
        <f>INDEX('01_FASTPPH'!$9:$1048576,MATCH($A235,'01_FASTPPH'!$A$9:$A$1048576,0),MATCH(V$9,'01_FASTPPH'!$8:$8,0))</f>
        <v>#N/A</v>
      </c>
      <c r="W235" s="24" t="e">
        <f>INDEX('01_FASTPPH'!$9:$1048576,MATCH($A235,'01_FASTPPH'!$A$9:$A$1048576,0),MATCH(W$9,'01_FASTPPH'!$8:$8,0))</f>
        <v>#N/A</v>
      </c>
      <c r="X235" s="20" t="e">
        <f>INDEX('01_FASTPPH'!$9:$1048576,MATCH($A235,'01_FASTPPH'!$A$9:$A$1048576,0),MATCH(X$9,'01_FASTPPH'!$8:$8,0))</f>
        <v>#N/A</v>
      </c>
      <c r="Y235" s="20" t="e">
        <f>INDEX('01_FASTPPH'!$9:$1048576,MATCH($A235,'01_FASTPPH'!$A$9:$A$1048576,0),MATCH(Y$9,'01_FASTPPH'!$8:$8,0))</f>
        <v>#N/A</v>
      </c>
      <c r="AA235" s="32" t="e">
        <f>INDEX('02_PROPERTIES'!$C$10:$I$1048576,MATCH('03_CALCULATIONS'!$D235,'02_PROPERTIES'!$C$10:$C$1048576,0),MATCH('03_CALCULATIONS'!AA$9,'02_PROPERTIES'!$C$10:$I$10,0))</f>
        <v>#N/A</v>
      </c>
      <c r="AB235" s="20" t="e">
        <f>INDEX('02_PROPERTIES'!$C$10:$I$1048576,MATCH('03_CALCULATIONS'!$D235,'02_PROPERTIES'!$C$10:$C$1048576,0),MATCH('03_CALCULATIONS'!AB$9,'02_PROPERTIES'!$C$10:$I$10,0))</f>
        <v>#N/A</v>
      </c>
      <c r="AC235" s="20" t="e">
        <f>INDEX('02_PROPERTIES'!$C$10:$I$1048576,MATCH('03_CALCULATIONS'!$D235,'02_PROPERTIES'!$C$10:$C$1048576,0),MATCH('03_CALCULATIONS'!AC$9,'02_PROPERTIES'!$C$10:$I$10,0))</f>
        <v>#N/A</v>
      </c>
      <c r="AD235" s="20" t="e">
        <f>INDEX('02_PROPERTIES'!$C$10:$I$1048576,MATCH('03_CALCULATIONS'!$D235,'02_PROPERTIES'!$C$10:$C$1048576,0),MATCH('03_CALCULATIONS'!AD$9,'02_PROPERTIES'!$C$10:$I$10,0))</f>
        <v>#N/A</v>
      </c>
      <c r="AE235" s="32" t="e">
        <f>INDEX('02_PROPERTIES'!$C$10:$I$1048576,MATCH('03_CALCULATIONS'!$D235,'02_PROPERTIES'!$C$10:$C$1048576,0),MATCH('03_CALCULATIONS'!AE$9,'02_PROPERTIES'!$C$10:$I$10,0))</f>
        <v>#N/A</v>
      </c>
      <c r="AF235" s="32" t="e">
        <f>INDEX('02_PROPERTIES'!$C$10:$I$1048576,MATCH('03_CALCULATIONS'!$D235,'02_PROPERTIES'!$C$10:$C$1048576,0),MATCH('03_CALCULATIONS'!AF$9,'02_PROPERTIES'!$C$10:$I$10,0))</f>
        <v>#N/A</v>
      </c>
      <c r="AH235" s="20" t="e">
        <f t="shared" si="33"/>
        <v>#N/A</v>
      </c>
      <c r="AI235" s="20" t="e">
        <f t="shared" si="34"/>
        <v>#N/A</v>
      </c>
      <c r="AJ235" s="20" t="e">
        <f t="shared" si="35"/>
        <v>#N/A</v>
      </c>
      <c r="AL235" s="20" t="e">
        <f t="shared" si="36"/>
        <v>#N/A</v>
      </c>
      <c r="AM235" s="20" t="e">
        <f t="shared" si="37"/>
        <v>#N/A</v>
      </c>
      <c r="AN235" s="20" t="e">
        <f t="shared" si="38"/>
        <v>#N/A</v>
      </c>
      <c r="AO235" s="20" t="e">
        <f t="shared" si="39"/>
        <v>#N/A</v>
      </c>
      <c r="AP235" s="20" t="e">
        <f t="shared" si="40"/>
        <v>#N/A</v>
      </c>
      <c r="AR235" s="20" t="e">
        <f t="shared" si="41"/>
        <v>#N/A</v>
      </c>
      <c r="AS235" s="20" t="e">
        <f t="shared" si="42"/>
        <v>#N/A</v>
      </c>
      <c r="AT235" s="20" t="e">
        <f t="shared" si="43"/>
        <v>#N/A</v>
      </c>
    </row>
    <row r="236" spans="1:46" x14ac:dyDescent="0.3">
      <c r="A236" s="18"/>
      <c r="B236" s="20" t="e">
        <f>INDEX('01_FASTPPH'!$9:$1048576,MATCH($A236,'01_FASTPPH'!$A$9:$A$1048576,0),MATCH(B$9,'01_FASTPPH'!$8:$8,0))</f>
        <v>#N/A</v>
      </c>
      <c r="C236" s="20" t="e">
        <f>INDEX('01_FASTPPH'!$9:$1048576,MATCH($A236,'01_FASTPPH'!$A$9:$A$1048576,0),MATCH(C$9,'01_FASTPPH'!$8:$8,0))</f>
        <v>#N/A</v>
      </c>
      <c r="D236" s="20" t="e">
        <f>INDEX('01_FASTPPH'!$9:$1048576,MATCH($A236,'01_FASTPPH'!$A$9:$A$1048576,0),MATCH(D$9,'01_FASTPPH'!$8:$8,0))</f>
        <v>#N/A</v>
      </c>
      <c r="E236" s="20" t="e">
        <f>INDEX('01_FASTPPH'!$9:$1048576,MATCH($A236,'01_FASTPPH'!$A$9:$A$1048576,0),MATCH(E$9,'01_FASTPPH'!$8:$8,0))</f>
        <v>#N/A</v>
      </c>
      <c r="F236" s="20" t="e">
        <f>INDEX('01_FASTPPH'!$9:$1048576,MATCH($A236,'01_FASTPPH'!$A$9:$A$1048576,0),MATCH(F$9,'01_FASTPPH'!$8:$8,0))</f>
        <v>#N/A</v>
      </c>
      <c r="G236" s="20" t="e">
        <f>INDEX('01_FASTPPH'!$9:$1048576,MATCH($A236,'01_FASTPPH'!$A$9:$A$1048576,0),MATCH(G$9,'01_FASTPPH'!$8:$8,0))</f>
        <v>#N/A</v>
      </c>
      <c r="H236" s="20" t="e">
        <f>INDEX('01_FASTPPH'!$9:$1048576,MATCH($A236,'01_FASTPPH'!$A$9:$A$1048576,0),MATCH(H$9,'01_FASTPPH'!$8:$8,0))</f>
        <v>#N/A</v>
      </c>
      <c r="I236" s="20" t="e">
        <f>INDEX('01_FASTPPH'!$9:$1048576,MATCH($A236,'01_FASTPPH'!$A$9:$A$1048576,0),MATCH(I$9,'01_FASTPPH'!$8:$8,0))</f>
        <v>#N/A</v>
      </c>
      <c r="J236" s="20" t="e">
        <f>INDEX('01_FASTPPH'!$9:$1048576,MATCH($A236,'01_FASTPPH'!$A$9:$A$1048576,0),MATCH(J$9,'01_FASTPPH'!$8:$8,0))</f>
        <v>#N/A</v>
      </c>
      <c r="K236" s="23" t="e">
        <f>INDEX('01_FASTPPH'!$9:$1048576,MATCH($A236,'01_FASTPPH'!$A$9:$A$1048576,0),MATCH(K$9,'01_FASTPPH'!$8:$8,0))</f>
        <v>#N/A</v>
      </c>
      <c r="L236" s="20" t="e">
        <f>INDEX('01_FASTPPH'!$9:$1048576,MATCH($A236,'01_FASTPPH'!$A$9:$A$1048576,0),MATCH(L$9,'01_FASTPPH'!$8:$8,0))</f>
        <v>#N/A</v>
      </c>
      <c r="M236" s="20" t="e">
        <f>INDEX('01_FASTPPH'!$9:$1048576,MATCH($A236,'01_FASTPPH'!$A$9:$A$1048576,0),MATCH(M$9,'01_FASTPPH'!$8:$8,0))</f>
        <v>#N/A</v>
      </c>
      <c r="N236" s="24" t="e">
        <f>INDEX('01_FASTPPH'!$9:$1048576,MATCH($A236,'01_FASTPPH'!$A$9:$A$1048576,0),MATCH(N$9,'01_FASTPPH'!$8:$8,0))</f>
        <v>#N/A</v>
      </c>
      <c r="O236" s="23" t="e">
        <f>INDEX('01_FASTPPH'!$9:$1048576,MATCH($A236,'01_FASTPPH'!$A$9:$A$1048576,0),MATCH(O$9,'01_FASTPPH'!$8:$8,0))</f>
        <v>#N/A</v>
      </c>
      <c r="P236" s="20" t="e">
        <f>INDEX('01_FASTPPH'!$9:$1048576,MATCH($A236,'01_FASTPPH'!$A$9:$A$1048576,0),MATCH(P$9,'01_FASTPPH'!$8:$8,0))</f>
        <v>#N/A</v>
      </c>
      <c r="Q236" s="20" t="e">
        <f>INDEX('01_FASTPPH'!$9:$1048576,MATCH($A236,'01_FASTPPH'!$A$9:$A$1048576,0),MATCH(Q$9,'01_FASTPPH'!$8:$8,0))</f>
        <v>#N/A</v>
      </c>
      <c r="R236" s="20" t="e">
        <f>INDEX('01_FASTPPH'!$9:$1048576,MATCH($A236,'01_FASTPPH'!$A$9:$A$1048576,0),MATCH(R$9,'01_FASTPPH'!$8:$8,0))</f>
        <v>#N/A</v>
      </c>
      <c r="S236" s="20" t="e">
        <f>INDEX('01_FASTPPH'!$9:$1048576,MATCH($A236,'01_FASTPPH'!$A$9:$A$1048576,0),MATCH(S$9,'01_FASTPPH'!$8:$8,0))</f>
        <v>#N/A</v>
      </c>
      <c r="T236" s="24" t="e">
        <f>INDEX('01_FASTPPH'!$9:$1048576,MATCH($A236,'01_FASTPPH'!$A$9:$A$1048576,0),MATCH(T$9,'01_FASTPPH'!$8:$8,0))</f>
        <v>#N/A</v>
      </c>
      <c r="U236" s="23" t="e">
        <f>INDEX('01_FASTPPH'!$9:$1048576,MATCH($A236,'01_FASTPPH'!$A$9:$A$1048576,0),MATCH(U$9,'01_FASTPPH'!$8:$8,0))</f>
        <v>#N/A</v>
      </c>
      <c r="V236" s="20" t="e">
        <f>INDEX('01_FASTPPH'!$9:$1048576,MATCH($A236,'01_FASTPPH'!$A$9:$A$1048576,0),MATCH(V$9,'01_FASTPPH'!$8:$8,0))</f>
        <v>#N/A</v>
      </c>
      <c r="W236" s="24" t="e">
        <f>INDEX('01_FASTPPH'!$9:$1048576,MATCH($A236,'01_FASTPPH'!$A$9:$A$1048576,0),MATCH(W$9,'01_FASTPPH'!$8:$8,0))</f>
        <v>#N/A</v>
      </c>
      <c r="X236" s="20" t="e">
        <f>INDEX('01_FASTPPH'!$9:$1048576,MATCH($A236,'01_FASTPPH'!$A$9:$A$1048576,0),MATCH(X$9,'01_FASTPPH'!$8:$8,0))</f>
        <v>#N/A</v>
      </c>
      <c r="Y236" s="20" t="e">
        <f>INDEX('01_FASTPPH'!$9:$1048576,MATCH($A236,'01_FASTPPH'!$A$9:$A$1048576,0),MATCH(Y$9,'01_FASTPPH'!$8:$8,0))</f>
        <v>#N/A</v>
      </c>
      <c r="AA236" s="32" t="e">
        <f>INDEX('02_PROPERTIES'!$C$10:$I$1048576,MATCH('03_CALCULATIONS'!$D236,'02_PROPERTIES'!$C$10:$C$1048576,0),MATCH('03_CALCULATIONS'!AA$9,'02_PROPERTIES'!$C$10:$I$10,0))</f>
        <v>#N/A</v>
      </c>
      <c r="AB236" s="20" t="e">
        <f>INDEX('02_PROPERTIES'!$C$10:$I$1048576,MATCH('03_CALCULATIONS'!$D236,'02_PROPERTIES'!$C$10:$C$1048576,0),MATCH('03_CALCULATIONS'!AB$9,'02_PROPERTIES'!$C$10:$I$10,0))</f>
        <v>#N/A</v>
      </c>
      <c r="AC236" s="20" t="e">
        <f>INDEX('02_PROPERTIES'!$C$10:$I$1048576,MATCH('03_CALCULATIONS'!$D236,'02_PROPERTIES'!$C$10:$C$1048576,0),MATCH('03_CALCULATIONS'!AC$9,'02_PROPERTIES'!$C$10:$I$10,0))</f>
        <v>#N/A</v>
      </c>
      <c r="AD236" s="20" t="e">
        <f>INDEX('02_PROPERTIES'!$C$10:$I$1048576,MATCH('03_CALCULATIONS'!$D236,'02_PROPERTIES'!$C$10:$C$1048576,0),MATCH('03_CALCULATIONS'!AD$9,'02_PROPERTIES'!$C$10:$I$10,0))</f>
        <v>#N/A</v>
      </c>
      <c r="AE236" s="32" t="e">
        <f>INDEX('02_PROPERTIES'!$C$10:$I$1048576,MATCH('03_CALCULATIONS'!$D236,'02_PROPERTIES'!$C$10:$C$1048576,0),MATCH('03_CALCULATIONS'!AE$9,'02_PROPERTIES'!$C$10:$I$10,0))</f>
        <v>#N/A</v>
      </c>
      <c r="AF236" s="32" t="e">
        <f>INDEX('02_PROPERTIES'!$C$10:$I$1048576,MATCH('03_CALCULATIONS'!$D236,'02_PROPERTIES'!$C$10:$C$1048576,0),MATCH('03_CALCULATIONS'!AF$9,'02_PROPERTIES'!$C$10:$I$10,0))</f>
        <v>#N/A</v>
      </c>
      <c r="AH236" s="20" t="e">
        <f t="shared" si="33"/>
        <v>#N/A</v>
      </c>
      <c r="AI236" s="20" t="e">
        <f t="shared" si="34"/>
        <v>#N/A</v>
      </c>
      <c r="AJ236" s="20" t="e">
        <f t="shared" si="35"/>
        <v>#N/A</v>
      </c>
      <c r="AL236" s="20" t="e">
        <f t="shared" si="36"/>
        <v>#N/A</v>
      </c>
      <c r="AM236" s="20" t="e">
        <f t="shared" si="37"/>
        <v>#N/A</v>
      </c>
      <c r="AN236" s="20" t="e">
        <f t="shared" si="38"/>
        <v>#N/A</v>
      </c>
      <c r="AO236" s="20" t="e">
        <f t="shared" si="39"/>
        <v>#N/A</v>
      </c>
      <c r="AP236" s="20" t="e">
        <f t="shared" si="40"/>
        <v>#N/A</v>
      </c>
      <c r="AR236" s="20" t="e">
        <f t="shared" si="41"/>
        <v>#N/A</v>
      </c>
      <c r="AS236" s="20" t="e">
        <f t="shared" si="42"/>
        <v>#N/A</v>
      </c>
      <c r="AT236" s="20" t="e">
        <f t="shared" si="43"/>
        <v>#N/A</v>
      </c>
    </row>
    <row r="237" spans="1:46" x14ac:dyDescent="0.3">
      <c r="A237" s="18"/>
      <c r="B237" s="20" t="e">
        <f>INDEX('01_FASTPPH'!$9:$1048576,MATCH($A237,'01_FASTPPH'!$A$9:$A$1048576,0),MATCH(B$9,'01_FASTPPH'!$8:$8,0))</f>
        <v>#N/A</v>
      </c>
      <c r="C237" s="20" t="e">
        <f>INDEX('01_FASTPPH'!$9:$1048576,MATCH($A237,'01_FASTPPH'!$A$9:$A$1048576,0),MATCH(C$9,'01_FASTPPH'!$8:$8,0))</f>
        <v>#N/A</v>
      </c>
      <c r="D237" s="20" t="e">
        <f>INDEX('01_FASTPPH'!$9:$1048576,MATCH($A237,'01_FASTPPH'!$A$9:$A$1048576,0),MATCH(D$9,'01_FASTPPH'!$8:$8,0))</f>
        <v>#N/A</v>
      </c>
      <c r="E237" s="20" t="e">
        <f>INDEX('01_FASTPPH'!$9:$1048576,MATCH($A237,'01_FASTPPH'!$A$9:$A$1048576,0),MATCH(E$9,'01_FASTPPH'!$8:$8,0))</f>
        <v>#N/A</v>
      </c>
      <c r="F237" s="20" t="e">
        <f>INDEX('01_FASTPPH'!$9:$1048576,MATCH($A237,'01_FASTPPH'!$A$9:$A$1048576,0),MATCH(F$9,'01_FASTPPH'!$8:$8,0))</f>
        <v>#N/A</v>
      </c>
      <c r="G237" s="20" t="e">
        <f>INDEX('01_FASTPPH'!$9:$1048576,MATCH($A237,'01_FASTPPH'!$A$9:$A$1048576,0),MATCH(G$9,'01_FASTPPH'!$8:$8,0))</f>
        <v>#N/A</v>
      </c>
      <c r="H237" s="20" t="e">
        <f>INDEX('01_FASTPPH'!$9:$1048576,MATCH($A237,'01_FASTPPH'!$A$9:$A$1048576,0),MATCH(H$9,'01_FASTPPH'!$8:$8,0))</f>
        <v>#N/A</v>
      </c>
      <c r="I237" s="20" t="e">
        <f>INDEX('01_FASTPPH'!$9:$1048576,MATCH($A237,'01_FASTPPH'!$A$9:$A$1048576,0),MATCH(I$9,'01_FASTPPH'!$8:$8,0))</f>
        <v>#N/A</v>
      </c>
      <c r="J237" s="20" t="e">
        <f>INDEX('01_FASTPPH'!$9:$1048576,MATCH($A237,'01_FASTPPH'!$A$9:$A$1048576,0),MATCH(J$9,'01_FASTPPH'!$8:$8,0))</f>
        <v>#N/A</v>
      </c>
      <c r="K237" s="23" t="e">
        <f>INDEX('01_FASTPPH'!$9:$1048576,MATCH($A237,'01_FASTPPH'!$A$9:$A$1048576,0),MATCH(K$9,'01_FASTPPH'!$8:$8,0))</f>
        <v>#N/A</v>
      </c>
      <c r="L237" s="20" t="e">
        <f>INDEX('01_FASTPPH'!$9:$1048576,MATCH($A237,'01_FASTPPH'!$A$9:$A$1048576,0),MATCH(L$9,'01_FASTPPH'!$8:$8,0))</f>
        <v>#N/A</v>
      </c>
      <c r="M237" s="20" t="e">
        <f>INDEX('01_FASTPPH'!$9:$1048576,MATCH($A237,'01_FASTPPH'!$A$9:$A$1048576,0),MATCH(M$9,'01_FASTPPH'!$8:$8,0))</f>
        <v>#N/A</v>
      </c>
      <c r="N237" s="24" t="e">
        <f>INDEX('01_FASTPPH'!$9:$1048576,MATCH($A237,'01_FASTPPH'!$A$9:$A$1048576,0),MATCH(N$9,'01_FASTPPH'!$8:$8,0))</f>
        <v>#N/A</v>
      </c>
      <c r="O237" s="23" t="e">
        <f>INDEX('01_FASTPPH'!$9:$1048576,MATCH($A237,'01_FASTPPH'!$A$9:$A$1048576,0),MATCH(O$9,'01_FASTPPH'!$8:$8,0))</f>
        <v>#N/A</v>
      </c>
      <c r="P237" s="20" t="e">
        <f>INDEX('01_FASTPPH'!$9:$1048576,MATCH($A237,'01_FASTPPH'!$A$9:$A$1048576,0),MATCH(P$9,'01_FASTPPH'!$8:$8,0))</f>
        <v>#N/A</v>
      </c>
      <c r="Q237" s="20" t="e">
        <f>INDEX('01_FASTPPH'!$9:$1048576,MATCH($A237,'01_FASTPPH'!$A$9:$A$1048576,0),MATCH(Q$9,'01_FASTPPH'!$8:$8,0))</f>
        <v>#N/A</v>
      </c>
      <c r="R237" s="20" t="e">
        <f>INDEX('01_FASTPPH'!$9:$1048576,MATCH($A237,'01_FASTPPH'!$A$9:$A$1048576,0),MATCH(R$9,'01_FASTPPH'!$8:$8,0))</f>
        <v>#N/A</v>
      </c>
      <c r="S237" s="20" t="e">
        <f>INDEX('01_FASTPPH'!$9:$1048576,MATCH($A237,'01_FASTPPH'!$A$9:$A$1048576,0),MATCH(S$9,'01_FASTPPH'!$8:$8,0))</f>
        <v>#N/A</v>
      </c>
      <c r="T237" s="24" t="e">
        <f>INDEX('01_FASTPPH'!$9:$1048576,MATCH($A237,'01_FASTPPH'!$A$9:$A$1048576,0),MATCH(T$9,'01_FASTPPH'!$8:$8,0))</f>
        <v>#N/A</v>
      </c>
      <c r="U237" s="23" t="e">
        <f>INDEX('01_FASTPPH'!$9:$1048576,MATCH($A237,'01_FASTPPH'!$A$9:$A$1048576,0),MATCH(U$9,'01_FASTPPH'!$8:$8,0))</f>
        <v>#N/A</v>
      </c>
      <c r="V237" s="20" t="e">
        <f>INDEX('01_FASTPPH'!$9:$1048576,MATCH($A237,'01_FASTPPH'!$A$9:$A$1048576,0),MATCH(V$9,'01_FASTPPH'!$8:$8,0))</f>
        <v>#N/A</v>
      </c>
      <c r="W237" s="24" t="e">
        <f>INDEX('01_FASTPPH'!$9:$1048576,MATCH($A237,'01_FASTPPH'!$A$9:$A$1048576,0),MATCH(W$9,'01_FASTPPH'!$8:$8,0))</f>
        <v>#N/A</v>
      </c>
      <c r="X237" s="20" t="e">
        <f>INDEX('01_FASTPPH'!$9:$1048576,MATCH($A237,'01_FASTPPH'!$A$9:$A$1048576,0),MATCH(X$9,'01_FASTPPH'!$8:$8,0))</f>
        <v>#N/A</v>
      </c>
      <c r="Y237" s="20" t="e">
        <f>INDEX('01_FASTPPH'!$9:$1048576,MATCH($A237,'01_FASTPPH'!$A$9:$A$1048576,0),MATCH(Y$9,'01_FASTPPH'!$8:$8,0))</f>
        <v>#N/A</v>
      </c>
      <c r="AA237" s="32" t="e">
        <f>INDEX('02_PROPERTIES'!$C$10:$I$1048576,MATCH('03_CALCULATIONS'!$D237,'02_PROPERTIES'!$C$10:$C$1048576,0),MATCH('03_CALCULATIONS'!AA$9,'02_PROPERTIES'!$C$10:$I$10,0))</f>
        <v>#N/A</v>
      </c>
      <c r="AB237" s="20" t="e">
        <f>INDEX('02_PROPERTIES'!$C$10:$I$1048576,MATCH('03_CALCULATIONS'!$D237,'02_PROPERTIES'!$C$10:$C$1048576,0),MATCH('03_CALCULATIONS'!AB$9,'02_PROPERTIES'!$C$10:$I$10,0))</f>
        <v>#N/A</v>
      </c>
      <c r="AC237" s="20" t="e">
        <f>INDEX('02_PROPERTIES'!$C$10:$I$1048576,MATCH('03_CALCULATIONS'!$D237,'02_PROPERTIES'!$C$10:$C$1048576,0),MATCH('03_CALCULATIONS'!AC$9,'02_PROPERTIES'!$C$10:$I$10,0))</f>
        <v>#N/A</v>
      </c>
      <c r="AD237" s="20" t="e">
        <f>INDEX('02_PROPERTIES'!$C$10:$I$1048576,MATCH('03_CALCULATIONS'!$D237,'02_PROPERTIES'!$C$10:$C$1048576,0),MATCH('03_CALCULATIONS'!AD$9,'02_PROPERTIES'!$C$10:$I$10,0))</f>
        <v>#N/A</v>
      </c>
      <c r="AE237" s="32" t="e">
        <f>INDEX('02_PROPERTIES'!$C$10:$I$1048576,MATCH('03_CALCULATIONS'!$D237,'02_PROPERTIES'!$C$10:$C$1048576,0),MATCH('03_CALCULATIONS'!AE$9,'02_PROPERTIES'!$C$10:$I$10,0))</f>
        <v>#N/A</v>
      </c>
      <c r="AF237" s="32" t="e">
        <f>INDEX('02_PROPERTIES'!$C$10:$I$1048576,MATCH('03_CALCULATIONS'!$D237,'02_PROPERTIES'!$C$10:$C$1048576,0),MATCH('03_CALCULATIONS'!AF$9,'02_PROPERTIES'!$C$10:$I$10,0))</f>
        <v>#N/A</v>
      </c>
      <c r="AH237" s="20" t="e">
        <f t="shared" si="33"/>
        <v>#N/A</v>
      </c>
      <c r="AI237" s="20" t="e">
        <f t="shared" si="34"/>
        <v>#N/A</v>
      </c>
      <c r="AJ237" s="20" t="e">
        <f t="shared" si="35"/>
        <v>#N/A</v>
      </c>
      <c r="AL237" s="20" t="e">
        <f t="shared" si="36"/>
        <v>#N/A</v>
      </c>
      <c r="AM237" s="20" t="e">
        <f t="shared" si="37"/>
        <v>#N/A</v>
      </c>
      <c r="AN237" s="20" t="e">
        <f t="shared" si="38"/>
        <v>#N/A</v>
      </c>
      <c r="AO237" s="20" t="e">
        <f t="shared" si="39"/>
        <v>#N/A</v>
      </c>
      <c r="AP237" s="20" t="e">
        <f t="shared" si="40"/>
        <v>#N/A</v>
      </c>
      <c r="AR237" s="20" t="e">
        <f t="shared" si="41"/>
        <v>#N/A</v>
      </c>
      <c r="AS237" s="20" t="e">
        <f t="shared" si="42"/>
        <v>#N/A</v>
      </c>
      <c r="AT237" s="20" t="e">
        <f t="shared" si="43"/>
        <v>#N/A</v>
      </c>
    </row>
    <row r="238" spans="1:46" x14ac:dyDescent="0.3">
      <c r="A238" s="18"/>
      <c r="B238" s="20" t="e">
        <f>INDEX('01_FASTPPH'!$9:$1048576,MATCH($A238,'01_FASTPPH'!$A$9:$A$1048576,0),MATCH(B$9,'01_FASTPPH'!$8:$8,0))</f>
        <v>#N/A</v>
      </c>
      <c r="C238" s="20" t="e">
        <f>INDEX('01_FASTPPH'!$9:$1048576,MATCH($A238,'01_FASTPPH'!$A$9:$A$1048576,0),MATCH(C$9,'01_FASTPPH'!$8:$8,0))</f>
        <v>#N/A</v>
      </c>
      <c r="D238" s="20" t="e">
        <f>INDEX('01_FASTPPH'!$9:$1048576,MATCH($A238,'01_FASTPPH'!$A$9:$A$1048576,0),MATCH(D$9,'01_FASTPPH'!$8:$8,0))</f>
        <v>#N/A</v>
      </c>
      <c r="E238" s="20" t="e">
        <f>INDEX('01_FASTPPH'!$9:$1048576,MATCH($A238,'01_FASTPPH'!$A$9:$A$1048576,0),MATCH(E$9,'01_FASTPPH'!$8:$8,0))</f>
        <v>#N/A</v>
      </c>
      <c r="F238" s="20" t="e">
        <f>INDEX('01_FASTPPH'!$9:$1048576,MATCH($A238,'01_FASTPPH'!$A$9:$A$1048576,0),MATCH(F$9,'01_FASTPPH'!$8:$8,0))</f>
        <v>#N/A</v>
      </c>
      <c r="G238" s="20" t="e">
        <f>INDEX('01_FASTPPH'!$9:$1048576,MATCH($A238,'01_FASTPPH'!$A$9:$A$1048576,0),MATCH(G$9,'01_FASTPPH'!$8:$8,0))</f>
        <v>#N/A</v>
      </c>
      <c r="H238" s="20" t="e">
        <f>INDEX('01_FASTPPH'!$9:$1048576,MATCH($A238,'01_FASTPPH'!$A$9:$A$1048576,0),MATCH(H$9,'01_FASTPPH'!$8:$8,0))</f>
        <v>#N/A</v>
      </c>
      <c r="I238" s="20" t="e">
        <f>INDEX('01_FASTPPH'!$9:$1048576,MATCH($A238,'01_FASTPPH'!$A$9:$A$1048576,0),MATCH(I$9,'01_FASTPPH'!$8:$8,0))</f>
        <v>#N/A</v>
      </c>
      <c r="J238" s="20" t="e">
        <f>INDEX('01_FASTPPH'!$9:$1048576,MATCH($A238,'01_FASTPPH'!$A$9:$A$1048576,0),MATCH(J$9,'01_FASTPPH'!$8:$8,0))</f>
        <v>#N/A</v>
      </c>
      <c r="K238" s="23" t="e">
        <f>INDEX('01_FASTPPH'!$9:$1048576,MATCH($A238,'01_FASTPPH'!$A$9:$A$1048576,0),MATCH(K$9,'01_FASTPPH'!$8:$8,0))</f>
        <v>#N/A</v>
      </c>
      <c r="L238" s="20" t="e">
        <f>INDEX('01_FASTPPH'!$9:$1048576,MATCH($A238,'01_FASTPPH'!$A$9:$A$1048576,0),MATCH(L$9,'01_FASTPPH'!$8:$8,0))</f>
        <v>#N/A</v>
      </c>
      <c r="M238" s="20" t="e">
        <f>INDEX('01_FASTPPH'!$9:$1048576,MATCH($A238,'01_FASTPPH'!$A$9:$A$1048576,0),MATCH(M$9,'01_FASTPPH'!$8:$8,0))</f>
        <v>#N/A</v>
      </c>
      <c r="N238" s="24" t="e">
        <f>INDEX('01_FASTPPH'!$9:$1048576,MATCH($A238,'01_FASTPPH'!$A$9:$A$1048576,0),MATCH(N$9,'01_FASTPPH'!$8:$8,0))</f>
        <v>#N/A</v>
      </c>
      <c r="O238" s="23" t="e">
        <f>INDEX('01_FASTPPH'!$9:$1048576,MATCH($A238,'01_FASTPPH'!$A$9:$A$1048576,0),MATCH(O$9,'01_FASTPPH'!$8:$8,0))</f>
        <v>#N/A</v>
      </c>
      <c r="P238" s="20" t="e">
        <f>INDEX('01_FASTPPH'!$9:$1048576,MATCH($A238,'01_FASTPPH'!$A$9:$A$1048576,0),MATCH(P$9,'01_FASTPPH'!$8:$8,0))</f>
        <v>#N/A</v>
      </c>
      <c r="Q238" s="20" t="e">
        <f>INDEX('01_FASTPPH'!$9:$1048576,MATCH($A238,'01_FASTPPH'!$A$9:$A$1048576,0),MATCH(Q$9,'01_FASTPPH'!$8:$8,0))</f>
        <v>#N/A</v>
      </c>
      <c r="R238" s="20" t="e">
        <f>INDEX('01_FASTPPH'!$9:$1048576,MATCH($A238,'01_FASTPPH'!$A$9:$A$1048576,0),MATCH(R$9,'01_FASTPPH'!$8:$8,0))</f>
        <v>#N/A</v>
      </c>
      <c r="S238" s="20" t="e">
        <f>INDEX('01_FASTPPH'!$9:$1048576,MATCH($A238,'01_FASTPPH'!$A$9:$A$1048576,0),MATCH(S$9,'01_FASTPPH'!$8:$8,0))</f>
        <v>#N/A</v>
      </c>
      <c r="T238" s="24" t="e">
        <f>INDEX('01_FASTPPH'!$9:$1048576,MATCH($A238,'01_FASTPPH'!$A$9:$A$1048576,0),MATCH(T$9,'01_FASTPPH'!$8:$8,0))</f>
        <v>#N/A</v>
      </c>
      <c r="U238" s="23" t="e">
        <f>INDEX('01_FASTPPH'!$9:$1048576,MATCH($A238,'01_FASTPPH'!$A$9:$A$1048576,0),MATCH(U$9,'01_FASTPPH'!$8:$8,0))</f>
        <v>#N/A</v>
      </c>
      <c r="V238" s="20" t="e">
        <f>INDEX('01_FASTPPH'!$9:$1048576,MATCH($A238,'01_FASTPPH'!$A$9:$A$1048576,0),MATCH(V$9,'01_FASTPPH'!$8:$8,0))</f>
        <v>#N/A</v>
      </c>
      <c r="W238" s="24" t="e">
        <f>INDEX('01_FASTPPH'!$9:$1048576,MATCH($A238,'01_FASTPPH'!$A$9:$A$1048576,0),MATCH(W$9,'01_FASTPPH'!$8:$8,0))</f>
        <v>#N/A</v>
      </c>
      <c r="X238" s="20" t="e">
        <f>INDEX('01_FASTPPH'!$9:$1048576,MATCH($A238,'01_FASTPPH'!$A$9:$A$1048576,0),MATCH(X$9,'01_FASTPPH'!$8:$8,0))</f>
        <v>#N/A</v>
      </c>
      <c r="Y238" s="20" t="e">
        <f>INDEX('01_FASTPPH'!$9:$1048576,MATCH($A238,'01_FASTPPH'!$A$9:$A$1048576,0),MATCH(Y$9,'01_FASTPPH'!$8:$8,0))</f>
        <v>#N/A</v>
      </c>
      <c r="AA238" s="32" t="e">
        <f>INDEX('02_PROPERTIES'!$C$10:$I$1048576,MATCH('03_CALCULATIONS'!$D238,'02_PROPERTIES'!$C$10:$C$1048576,0),MATCH('03_CALCULATIONS'!AA$9,'02_PROPERTIES'!$C$10:$I$10,0))</f>
        <v>#N/A</v>
      </c>
      <c r="AB238" s="20" t="e">
        <f>INDEX('02_PROPERTIES'!$C$10:$I$1048576,MATCH('03_CALCULATIONS'!$D238,'02_PROPERTIES'!$C$10:$C$1048576,0),MATCH('03_CALCULATIONS'!AB$9,'02_PROPERTIES'!$C$10:$I$10,0))</f>
        <v>#N/A</v>
      </c>
      <c r="AC238" s="20" t="e">
        <f>INDEX('02_PROPERTIES'!$C$10:$I$1048576,MATCH('03_CALCULATIONS'!$D238,'02_PROPERTIES'!$C$10:$C$1048576,0),MATCH('03_CALCULATIONS'!AC$9,'02_PROPERTIES'!$C$10:$I$10,0))</f>
        <v>#N/A</v>
      </c>
      <c r="AD238" s="20" t="e">
        <f>INDEX('02_PROPERTIES'!$C$10:$I$1048576,MATCH('03_CALCULATIONS'!$D238,'02_PROPERTIES'!$C$10:$C$1048576,0),MATCH('03_CALCULATIONS'!AD$9,'02_PROPERTIES'!$C$10:$I$10,0))</f>
        <v>#N/A</v>
      </c>
      <c r="AE238" s="32" t="e">
        <f>INDEX('02_PROPERTIES'!$C$10:$I$1048576,MATCH('03_CALCULATIONS'!$D238,'02_PROPERTIES'!$C$10:$C$1048576,0),MATCH('03_CALCULATIONS'!AE$9,'02_PROPERTIES'!$C$10:$I$10,0))</f>
        <v>#N/A</v>
      </c>
      <c r="AF238" s="32" t="e">
        <f>INDEX('02_PROPERTIES'!$C$10:$I$1048576,MATCH('03_CALCULATIONS'!$D238,'02_PROPERTIES'!$C$10:$C$1048576,0),MATCH('03_CALCULATIONS'!AF$9,'02_PROPERTIES'!$C$10:$I$10,0))</f>
        <v>#N/A</v>
      </c>
      <c r="AH238" s="20" t="e">
        <f t="shared" si="33"/>
        <v>#N/A</v>
      </c>
      <c r="AI238" s="20" t="e">
        <f t="shared" si="34"/>
        <v>#N/A</v>
      </c>
      <c r="AJ238" s="20" t="e">
        <f t="shared" si="35"/>
        <v>#N/A</v>
      </c>
      <c r="AL238" s="20" t="e">
        <f t="shared" si="36"/>
        <v>#N/A</v>
      </c>
      <c r="AM238" s="20" t="e">
        <f t="shared" si="37"/>
        <v>#N/A</v>
      </c>
      <c r="AN238" s="20" t="e">
        <f t="shared" si="38"/>
        <v>#N/A</v>
      </c>
      <c r="AO238" s="20" t="e">
        <f t="shared" si="39"/>
        <v>#N/A</v>
      </c>
      <c r="AP238" s="20" t="e">
        <f t="shared" si="40"/>
        <v>#N/A</v>
      </c>
      <c r="AR238" s="20" t="e">
        <f t="shared" si="41"/>
        <v>#N/A</v>
      </c>
      <c r="AS238" s="20" t="e">
        <f t="shared" si="42"/>
        <v>#N/A</v>
      </c>
      <c r="AT238" s="20" t="e">
        <f t="shared" si="43"/>
        <v>#N/A</v>
      </c>
    </row>
    <row r="239" spans="1:46" x14ac:dyDescent="0.3">
      <c r="A239" s="18"/>
      <c r="B239" s="20" t="e">
        <f>INDEX('01_FASTPPH'!$9:$1048576,MATCH($A239,'01_FASTPPH'!$A$9:$A$1048576,0),MATCH(B$9,'01_FASTPPH'!$8:$8,0))</f>
        <v>#N/A</v>
      </c>
      <c r="C239" s="20" t="e">
        <f>INDEX('01_FASTPPH'!$9:$1048576,MATCH($A239,'01_FASTPPH'!$A$9:$A$1048576,0),MATCH(C$9,'01_FASTPPH'!$8:$8,0))</f>
        <v>#N/A</v>
      </c>
      <c r="D239" s="20" t="e">
        <f>INDEX('01_FASTPPH'!$9:$1048576,MATCH($A239,'01_FASTPPH'!$A$9:$A$1048576,0),MATCH(D$9,'01_FASTPPH'!$8:$8,0))</f>
        <v>#N/A</v>
      </c>
      <c r="E239" s="20" t="e">
        <f>INDEX('01_FASTPPH'!$9:$1048576,MATCH($A239,'01_FASTPPH'!$A$9:$A$1048576,0),MATCH(E$9,'01_FASTPPH'!$8:$8,0))</f>
        <v>#N/A</v>
      </c>
      <c r="F239" s="20" t="e">
        <f>INDEX('01_FASTPPH'!$9:$1048576,MATCH($A239,'01_FASTPPH'!$A$9:$A$1048576,0),MATCH(F$9,'01_FASTPPH'!$8:$8,0))</f>
        <v>#N/A</v>
      </c>
      <c r="G239" s="20" t="e">
        <f>INDEX('01_FASTPPH'!$9:$1048576,MATCH($A239,'01_FASTPPH'!$A$9:$A$1048576,0),MATCH(G$9,'01_FASTPPH'!$8:$8,0))</f>
        <v>#N/A</v>
      </c>
      <c r="H239" s="20" t="e">
        <f>INDEX('01_FASTPPH'!$9:$1048576,MATCH($A239,'01_FASTPPH'!$A$9:$A$1048576,0),MATCH(H$9,'01_FASTPPH'!$8:$8,0))</f>
        <v>#N/A</v>
      </c>
      <c r="I239" s="20" t="e">
        <f>INDEX('01_FASTPPH'!$9:$1048576,MATCH($A239,'01_FASTPPH'!$A$9:$A$1048576,0),MATCH(I$9,'01_FASTPPH'!$8:$8,0))</f>
        <v>#N/A</v>
      </c>
      <c r="J239" s="20" t="e">
        <f>INDEX('01_FASTPPH'!$9:$1048576,MATCH($A239,'01_FASTPPH'!$A$9:$A$1048576,0),MATCH(J$9,'01_FASTPPH'!$8:$8,0))</f>
        <v>#N/A</v>
      </c>
      <c r="K239" s="23" t="e">
        <f>INDEX('01_FASTPPH'!$9:$1048576,MATCH($A239,'01_FASTPPH'!$A$9:$A$1048576,0),MATCH(K$9,'01_FASTPPH'!$8:$8,0))</f>
        <v>#N/A</v>
      </c>
      <c r="L239" s="20" t="e">
        <f>INDEX('01_FASTPPH'!$9:$1048576,MATCH($A239,'01_FASTPPH'!$A$9:$A$1048576,0),MATCH(L$9,'01_FASTPPH'!$8:$8,0))</f>
        <v>#N/A</v>
      </c>
      <c r="M239" s="20" t="e">
        <f>INDEX('01_FASTPPH'!$9:$1048576,MATCH($A239,'01_FASTPPH'!$A$9:$A$1048576,0),MATCH(M$9,'01_FASTPPH'!$8:$8,0))</f>
        <v>#N/A</v>
      </c>
      <c r="N239" s="24" t="e">
        <f>INDEX('01_FASTPPH'!$9:$1048576,MATCH($A239,'01_FASTPPH'!$A$9:$A$1048576,0),MATCH(N$9,'01_FASTPPH'!$8:$8,0))</f>
        <v>#N/A</v>
      </c>
      <c r="O239" s="23" t="e">
        <f>INDEX('01_FASTPPH'!$9:$1048576,MATCH($A239,'01_FASTPPH'!$A$9:$A$1048576,0),MATCH(O$9,'01_FASTPPH'!$8:$8,0))</f>
        <v>#N/A</v>
      </c>
      <c r="P239" s="20" t="e">
        <f>INDEX('01_FASTPPH'!$9:$1048576,MATCH($A239,'01_FASTPPH'!$A$9:$A$1048576,0),MATCH(P$9,'01_FASTPPH'!$8:$8,0))</f>
        <v>#N/A</v>
      </c>
      <c r="Q239" s="20" t="e">
        <f>INDEX('01_FASTPPH'!$9:$1048576,MATCH($A239,'01_FASTPPH'!$A$9:$A$1048576,0),MATCH(Q$9,'01_FASTPPH'!$8:$8,0))</f>
        <v>#N/A</v>
      </c>
      <c r="R239" s="20" t="e">
        <f>INDEX('01_FASTPPH'!$9:$1048576,MATCH($A239,'01_FASTPPH'!$A$9:$A$1048576,0),MATCH(R$9,'01_FASTPPH'!$8:$8,0))</f>
        <v>#N/A</v>
      </c>
      <c r="S239" s="20" t="e">
        <f>INDEX('01_FASTPPH'!$9:$1048576,MATCH($A239,'01_FASTPPH'!$A$9:$A$1048576,0),MATCH(S$9,'01_FASTPPH'!$8:$8,0))</f>
        <v>#N/A</v>
      </c>
      <c r="T239" s="24" t="e">
        <f>INDEX('01_FASTPPH'!$9:$1048576,MATCH($A239,'01_FASTPPH'!$A$9:$A$1048576,0),MATCH(T$9,'01_FASTPPH'!$8:$8,0))</f>
        <v>#N/A</v>
      </c>
      <c r="U239" s="23" t="e">
        <f>INDEX('01_FASTPPH'!$9:$1048576,MATCH($A239,'01_FASTPPH'!$A$9:$A$1048576,0),MATCH(U$9,'01_FASTPPH'!$8:$8,0))</f>
        <v>#N/A</v>
      </c>
      <c r="V239" s="20" t="e">
        <f>INDEX('01_FASTPPH'!$9:$1048576,MATCH($A239,'01_FASTPPH'!$A$9:$A$1048576,0),MATCH(V$9,'01_FASTPPH'!$8:$8,0))</f>
        <v>#N/A</v>
      </c>
      <c r="W239" s="24" t="e">
        <f>INDEX('01_FASTPPH'!$9:$1048576,MATCH($A239,'01_FASTPPH'!$A$9:$A$1048576,0),MATCH(W$9,'01_FASTPPH'!$8:$8,0))</f>
        <v>#N/A</v>
      </c>
      <c r="X239" s="20" t="e">
        <f>INDEX('01_FASTPPH'!$9:$1048576,MATCH($A239,'01_FASTPPH'!$A$9:$A$1048576,0),MATCH(X$9,'01_FASTPPH'!$8:$8,0))</f>
        <v>#N/A</v>
      </c>
      <c r="Y239" s="20" t="e">
        <f>INDEX('01_FASTPPH'!$9:$1048576,MATCH($A239,'01_FASTPPH'!$A$9:$A$1048576,0),MATCH(Y$9,'01_FASTPPH'!$8:$8,0))</f>
        <v>#N/A</v>
      </c>
      <c r="AA239" s="32" t="e">
        <f>INDEX('02_PROPERTIES'!$C$10:$I$1048576,MATCH('03_CALCULATIONS'!$D239,'02_PROPERTIES'!$C$10:$C$1048576,0),MATCH('03_CALCULATIONS'!AA$9,'02_PROPERTIES'!$C$10:$I$10,0))</f>
        <v>#N/A</v>
      </c>
      <c r="AB239" s="20" t="e">
        <f>INDEX('02_PROPERTIES'!$C$10:$I$1048576,MATCH('03_CALCULATIONS'!$D239,'02_PROPERTIES'!$C$10:$C$1048576,0),MATCH('03_CALCULATIONS'!AB$9,'02_PROPERTIES'!$C$10:$I$10,0))</f>
        <v>#N/A</v>
      </c>
      <c r="AC239" s="20" t="e">
        <f>INDEX('02_PROPERTIES'!$C$10:$I$1048576,MATCH('03_CALCULATIONS'!$D239,'02_PROPERTIES'!$C$10:$C$1048576,0),MATCH('03_CALCULATIONS'!AC$9,'02_PROPERTIES'!$C$10:$I$10,0))</f>
        <v>#N/A</v>
      </c>
      <c r="AD239" s="20" t="e">
        <f>INDEX('02_PROPERTIES'!$C$10:$I$1048576,MATCH('03_CALCULATIONS'!$D239,'02_PROPERTIES'!$C$10:$C$1048576,0),MATCH('03_CALCULATIONS'!AD$9,'02_PROPERTIES'!$C$10:$I$10,0))</f>
        <v>#N/A</v>
      </c>
      <c r="AE239" s="32" t="e">
        <f>INDEX('02_PROPERTIES'!$C$10:$I$1048576,MATCH('03_CALCULATIONS'!$D239,'02_PROPERTIES'!$C$10:$C$1048576,0),MATCH('03_CALCULATIONS'!AE$9,'02_PROPERTIES'!$C$10:$I$10,0))</f>
        <v>#N/A</v>
      </c>
      <c r="AF239" s="32" t="e">
        <f>INDEX('02_PROPERTIES'!$C$10:$I$1048576,MATCH('03_CALCULATIONS'!$D239,'02_PROPERTIES'!$C$10:$C$1048576,0),MATCH('03_CALCULATIONS'!AF$9,'02_PROPERTIES'!$C$10:$I$10,0))</f>
        <v>#N/A</v>
      </c>
      <c r="AH239" s="20" t="e">
        <f t="shared" si="33"/>
        <v>#N/A</v>
      </c>
      <c r="AI239" s="20" t="e">
        <f t="shared" si="34"/>
        <v>#N/A</v>
      </c>
      <c r="AJ239" s="20" t="e">
        <f t="shared" si="35"/>
        <v>#N/A</v>
      </c>
      <c r="AL239" s="20" t="e">
        <f t="shared" si="36"/>
        <v>#N/A</v>
      </c>
      <c r="AM239" s="20" t="e">
        <f t="shared" si="37"/>
        <v>#N/A</v>
      </c>
      <c r="AN239" s="20" t="e">
        <f t="shared" si="38"/>
        <v>#N/A</v>
      </c>
      <c r="AO239" s="20" t="e">
        <f t="shared" si="39"/>
        <v>#N/A</v>
      </c>
      <c r="AP239" s="20" t="e">
        <f t="shared" si="40"/>
        <v>#N/A</v>
      </c>
      <c r="AR239" s="20" t="e">
        <f t="shared" si="41"/>
        <v>#N/A</v>
      </c>
      <c r="AS239" s="20" t="e">
        <f t="shared" si="42"/>
        <v>#N/A</v>
      </c>
      <c r="AT239" s="20" t="e">
        <f t="shared" si="43"/>
        <v>#N/A</v>
      </c>
    </row>
    <row r="240" spans="1:46" x14ac:dyDescent="0.3">
      <c r="A240" s="18"/>
      <c r="B240" s="20" t="e">
        <f>INDEX('01_FASTPPH'!$9:$1048576,MATCH($A240,'01_FASTPPH'!$A$9:$A$1048576,0),MATCH(B$9,'01_FASTPPH'!$8:$8,0))</f>
        <v>#N/A</v>
      </c>
      <c r="C240" s="20" t="e">
        <f>INDEX('01_FASTPPH'!$9:$1048576,MATCH($A240,'01_FASTPPH'!$A$9:$A$1048576,0),MATCH(C$9,'01_FASTPPH'!$8:$8,0))</f>
        <v>#N/A</v>
      </c>
      <c r="D240" s="20" t="e">
        <f>INDEX('01_FASTPPH'!$9:$1048576,MATCH($A240,'01_FASTPPH'!$A$9:$A$1048576,0),MATCH(D$9,'01_FASTPPH'!$8:$8,0))</f>
        <v>#N/A</v>
      </c>
      <c r="E240" s="20" t="e">
        <f>INDEX('01_FASTPPH'!$9:$1048576,MATCH($A240,'01_FASTPPH'!$A$9:$A$1048576,0),MATCH(E$9,'01_FASTPPH'!$8:$8,0))</f>
        <v>#N/A</v>
      </c>
      <c r="F240" s="20" t="e">
        <f>INDEX('01_FASTPPH'!$9:$1048576,MATCH($A240,'01_FASTPPH'!$A$9:$A$1048576,0),MATCH(F$9,'01_FASTPPH'!$8:$8,0))</f>
        <v>#N/A</v>
      </c>
      <c r="G240" s="20" t="e">
        <f>INDEX('01_FASTPPH'!$9:$1048576,MATCH($A240,'01_FASTPPH'!$A$9:$A$1048576,0),MATCH(G$9,'01_FASTPPH'!$8:$8,0))</f>
        <v>#N/A</v>
      </c>
      <c r="H240" s="20" t="e">
        <f>INDEX('01_FASTPPH'!$9:$1048576,MATCH($A240,'01_FASTPPH'!$A$9:$A$1048576,0),MATCH(H$9,'01_FASTPPH'!$8:$8,0))</f>
        <v>#N/A</v>
      </c>
      <c r="I240" s="20" t="e">
        <f>INDEX('01_FASTPPH'!$9:$1048576,MATCH($A240,'01_FASTPPH'!$A$9:$A$1048576,0),MATCH(I$9,'01_FASTPPH'!$8:$8,0))</f>
        <v>#N/A</v>
      </c>
      <c r="J240" s="20" t="e">
        <f>INDEX('01_FASTPPH'!$9:$1048576,MATCH($A240,'01_FASTPPH'!$A$9:$A$1048576,0),MATCH(J$9,'01_FASTPPH'!$8:$8,0))</f>
        <v>#N/A</v>
      </c>
      <c r="K240" s="23" t="e">
        <f>INDEX('01_FASTPPH'!$9:$1048576,MATCH($A240,'01_FASTPPH'!$A$9:$A$1048576,0),MATCH(K$9,'01_FASTPPH'!$8:$8,0))</f>
        <v>#N/A</v>
      </c>
      <c r="L240" s="20" t="e">
        <f>INDEX('01_FASTPPH'!$9:$1048576,MATCH($A240,'01_FASTPPH'!$A$9:$A$1048576,0),MATCH(L$9,'01_FASTPPH'!$8:$8,0))</f>
        <v>#N/A</v>
      </c>
      <c r="M240" s="20" t="e">
        <f>INDEX('01_FASTPPH'!$9:$1048576,MATCH($A240,'01_FASTPPH'!$A$9:$A$1048576,0),MATCH(M$9,'01_FASTPPH'!$8:$8,0))</f>
        <v>#N/A</v>
      </c>
      <c r="N240" s="24" t="e">
        <f>INDEX('01_FASTPPH'!$9:$1048576,MATCH($A240,'01_FASTPPH'!$A$9:$A$1048576,0),MATCH(N$9,'01_FASTPPH'!$8:$8,0))</f>
        <v>#N/A</v>
      </c>
      <c r="O240" s="23" t="e">
        <f>INDEX('01_FASTPPH'!$9:$1048576,MATCH($A240,'01_FASTPPH'!$A$9:$A$1048576,0),MATCH(O$9,'01_FASTPPH'!$8:$8,0))</f>
        <v>#N/A</v>
      </c>
      <c r="P240" s="20" t="e">
        <f>INDEX('01_FASTPPH'!$9:$1048576,MATCH($A240,'01_FASTPPH'!$A$9:$A$1048576,0),MATCH(P$9,'01_FASTPPH'!$8:$8,0))</f>
        <v>#N/A</v>
      </c>
      <c r="Q240" s="20" t="e">
        <f>INDEX('01_FASTPPH'!$9:$1048576,MATCH($A240,'01_FASTPPH'!$A$9:$A$1048576,0),MATCH(Q$9,'01_FASTPPH'!$8:$8,0))</f>
        <v>#N/A</v>
      </c>
      <c r="R240" s="20" t="e">
        <f>INDEX('01_FASTPPH'!$9:$1048576,MATCH($A240,'01_FASTPPH'!$A$9:$A$1048576,0),MATCH(R$9,'01_FASTPPH'!$8:$8,0))</f>
        <v>#N/A</v>
      </c>
      <c r="S240" s="20" t="e">
        <f>INDEX('01_FASTPPH'!$9:$1048576,MATCH($A240,'01_FASTPPH'!$A$9:$A$1048576,0),MATCH(S$9,'01_FASTPPH'!$8:$8,0))</f>
        <v>#N/A</v>
      </c>
      <c r="T240" s="24" t="e">
        <f>INDEX('01_FASTPPH'!$9:$1048576,MATCH($A240,'01_FASTPPH'!$A$9:$A$1048576,0),MATCH(T$9,'01_FASTPPH'!$8:$8,0))</f>
        <v>#N/A</v>
      </c>
      <c r="U240" s="23" t="e">
        <f>INDEX('01_FASTPPH'!$9:$1048576,MATCH($A240,'01_FASTPPH'!$A$9:$A$1048576,0),MATCH(U$9,'01_FASTPPH'!$8:$8,0))</f>
        <v>#N/A</v>
      </c>
      <c r="V240" s="20" t="e">
        <f>INDEX('01_FASTPPH'!$9:$1048576,MATCH($A240,'01_FASTPPH'!$A$9:$A$1048576,0),MATCH(V$9,'01_FASTPPH'!$8:$8,0))</f>
        <v>#N/A</v>
      </c>
      <c r="W240" s="24" t="e">
        <f>INDEX('01_FASTPPH'!$9:$1048576,MATCH($A240,'01_FASTPPH'!$A$9:$A$1048576,0),MATCH(W$9,'01_FASTPPH'!$8:$8,0))</f>
        <v>#N/A</v>
      </c>
      <c r="X240" s="20" t="e">
        <f>INDEX('01_FASTPPH'!$9:$1048576,MATCH($A240,'01_FASTPPH'!$A$9:$A$1048576,0),MATCH(X$9,'01_FASTPPH'!$8:$8,0))</f>
        <v>#N/A</v>
      </c>
      <c r="Y240" s="20" t="e">
        <f>INDEX('01_FASTPPH'!$9:$1048576,MATCH($A240,'01_FASTPPH'!$A$9:$A$1048576,0),MATCH(Y$9,'01_FASTPPH'!$8:$8,0))</f>
        <v>#N/A</v>
      </c>
      <c r="AA240" s="32" t="e">
        <f>INDEX('02_PROPERTIES'!$C$10:$I$1048576,MATCH('03_CALCULATIONS'!$D240,'02_PROPERTIES'!$C$10:$C$1048576,0),MATCH('03_CALCULATIONS'!AA$9,'02_PROPERTIES'!$C$10:$I$10,0))</f>
        <v>#N/A</v>
      </c>
      <c r="AB240" s="20" t="e">
        <f>INDEX('02_PROPERTIES'!$C$10:$I$1048576,MATCH('03_CALCULATIONS'!$D240,'02_PROPERTIES'!$C$10:$C$1048576,0),MATCH('03_CALCULATIONS'!AB$9,'02_PROPERTIES'!$C$10:$I$10,0))</f>
        <v>#N/A</v>
      </c>
      <c r="AC240" s="20" t="e">
        <f>INDEX('02_PROPERTIES'!$C$10:$I$1048576,MATCH('03_CALCULATIONS'!$D240,'02_PROPERTIES'!$C$10:$C$1048576,0),MATCH('03_CALCULATIONS'!AC$9,'02_PROPERTIES'!$C$10:$I$10,0))</f>
        <v>#N/A</v>
      </c>
      <c r="AD240" s="20" t="e">
        <f>INDEX('02_PROPERTIES'!$C$10:$I$1048576,MATCH('03_CALCULATIONS'!$D240,'02_PROPERTIES'!$C$10:$C$1048576,0),MATCH('03_CALCULATIONS'!AD$9,'02_PROPERTIES'!$C$10:$I$10,0))</f>
        <v>#N/A</v>
      </c>
      <c r="AE240" s="32" t="e">
        <f>INDEX('02_PROPERTIES'!$C$10:$I$1048576,MATCH('03_CALCULATIONS'!$D240,'02_PROPERTIES'!$C$10:$C$1048576,0),MATCH('03_CALCULATIONS'!AE$9,'02_PROPERTIES'!$C$10:$I$10,0))</f>
        <v>#N/A</v>
      </c>
      <c r="AF240" s="32" t="e">
        <f>INDEX('02_PROPERTIES'!$C$10:$I$1048576,MATCH('03_CALCULATIONS'!$D240,'02_PROPERTIES'!$C$10:$C$1048576,0),MATCH('03_CALCULATIONS'!AF$9,'02_PROPERTIES'!$C$10:$I$10,0))</f>
        <v>#N/A</v>
      </c>
      <c r="AH240" s="20" t="e">
        <f t="shared" si="33"/>
        <v>#N/A</v>
      </c>
      <c r="AI240" s="20" t="e">
        <f t="shared" si="34"/>
        <v>#N/A</v>
      </c>
      <c r="AJ240" s="20" t="e">
        <f t="shared" si="35"/>
        <v>#N/A</v>
      </c>
      <c r="AL240" s="20" t="e">
        <f t="shared" si="36"/>
        <v>#N/A</v>
      </c>
      <c r="AM240" s="20" t="e">
        <f t="shared" si="37"/>
        <v>#N/A</v>
      </c>
      <c r="AN240" s="20" t="e">
        <f t="shared" si="38"/>
        <v>#N/A</v>
      </c>
      <c r="AO240" s="20" t="e">
        <f t="shared" si="39"/>
        <v>#N/A</v>
      </c>
      <c r="AP240" s="20" t="e">
        <f t="shared" si="40"/>
        <v>#N/A</v>
      </c>
      <c r="AR240" s="20" t="e">
        <f t="shared" si="41"/>
        <v>#N/A</v>
      </c>
      <c r="AS240" s="20" t="e">
        <f t="shared" si="42"/>
        <v>#N/A</v>
      </c>
      <c r="AT240" s="20" t="e">
        <f t="shared" si="43"/>
        <v>#N/A</v>
      </c>
    </row>
    <row r="241" spans="1:46" x14ac:dyDescent="0.3">
      <c r="A241" s="18"/>
      <c r="B241" s="20" t="e">
        <f>INDEX('01_FASTPPH'!$9:$1048576,MATCH($A241,'01_FASTPPH'!$A$9:$A$1048576,0),MATCH(B$9,'01_FASTPPH'!$8:$8,0))</f>
        <v>#N/A</v>
      </c>
      <c r="C241" s="20" t="e">
        <f>INDEX('01_FASTPPH'!$9:$1048576,MATCH($A241,'01_FASTPPH'!$A$9:$A$1048576,0),MATCH(C$9,'01_FASTPPH'!$8:$8,0))</f>
        <v>#N/A</v>
      </c>
      <c r="D241" s="20" t="e">
        <f>INDEX('01_FASTPPH'!$9:$1048576,MATCH($A241,'01_FASTPPH'!$A$9:$A$1048576,0),MATCH(D$9,'01_FASTPPH'!$8:$8,0))</f>
        <v>#N/A</v>
      </c>
      <c r="E241" s="20" t="e">
        <f>INDEX('01_FASTPPH'!$9:$1048576,MATCH($A241,'01_FASTPPH'!$A$9:$A$1048576,0),MATCH(E$9,'01_FASTPPH'!$8:$8,0))</f>
        <v>#N/A</v>
      </c>
      <c r="F241" s="20" t="e">
        <f>INDEX('01_FASTPPH'!$9:$1048576,MATCH($A241,'01_FASTPPH'!$A$9:$A$1048576,0),MATCH(F$9,'01_FASTPPH'!$8:$8,0))</f>
        <v>#N/A</v>
      </c>
      <c r="G241" s="20" t="e">
        <f>INDEX('01_FASTPPH'!$9:$1048576,MATCH($A241,'01_FASTPPH'!$A$9:$A$1048576,0),MATCH(G$9,'01_FASTPPH'!$8:$8,0))</f>
        <v>#N/A</v>
      </c>
      <c r="H241" s="20" t="e">
        <f>INDEX('01_FASTPPH'!$9:$1048576,MATCH($A241,'01_FASTPPH'!$A$9:$A$1048576,0),MATCH(H$9,'01_FASTPPH'!$8:$8,0))</f>
        <v>#N/A</v>
      </c>
      <c r="I241" s="20" t="e">
        <f>INDEX('01_FASTPPH'!$9:$1048576,MATCH($A241,'01_FASTPPH'!$A$9:$A$1048576,0),MATCH(I$9,'01_FASTPPH'!$8:$8,0))</f>
        <v>#N/A</v>
      </c>
      <c r="J241" s="20" t="e">
        <f>INDEX('01_FASTPPH'!$9:$1048576,MATCH($A241,'01_FASTPPH'!$A$9:$A$1048576,0),MATCH(J$9,'01_FASTPPH'!$8:$8,0))</f>
        <v>#N/A</v>
      </c>
      <c r="K241" s="23" t="e">
        <f>INDEX('01_FASTPPH'!$9:$1048576,MATCH($A241,'01_FASTPPH'!$A$9:$A$1048576,0),MATCH(K$9,'01_FASTPPH'!$8:$8,0))</f>
        <v>#N/A</v>
      </c>
      <c r="L241" s="20" t="e">
        <f>INDEX('01_FASTPPH'!$9:$1048576,MATCH($A241,'01_FASTPPH'!$A$9:$A$1048576,0),MATCH(L$9,'01_FASTPPH'!$8:$8,0))</f>
        <v>#N/A</v>
      </c>
      <c r="M241" s="20" t="e">
        <f>INDEX('01_FASTPPH'!$9:$1048576,MATCH($A241,'01_FASTPPH'!$A$9:$A$1048576,0),MATCH(M$9,'01_FASTPPH'!$8:$8,0))</f>
        <v>#N/A</v>
      </c>
      <c r="N241" s="24" t="e">
        <f>INDEX('01_FASTPPH'!$9:$1048576,MATCH($A241,'01_FASTPPH'!$A$9:$A$1048576,0),MATCH(N$9,'01_FASTPPH'!$8:$8,0))</f>
        <v>#N/A</v>
      </c>
      <c r="O241" s="23" t="e">
        <f>INDEX('01_FASTPPH'!$9:$1048576,MATCH($A241,'01_FASTPPH'!$A$9:$A$1048576,0),MATCH(O$9,'01_FASTPPH'!$8:$8,0))</f>
        <v>#N/A</v>
      </c>
      <c r="P241" s="20" t="e">
        <f>INDEX('01_FASTPPH'!$9:$1048576,MATCH($A241,'01_FASTPPH'!$A$9:$A$1048576,0),MATCH(P$9,'01_FASTPPH'!$8:$8,0))</f>
        <v>#N/A</v>
      </c>
      <c r="Q241" s="20" t="e">
        <f>INDEX('01_FASTPPH'!$9:$1048576,MATCH($A241,'01_FASTPPH'!$A$9:$A$1048576,0),MATCH(Q$9,'01_FASTPPH'!$8:$8,0))</f>
        <v>#N/A</v>
      </c>
      <c r="R241" s="20" t="e">
        <f>INDEX('01_FASTPPH'!$9:$1048576,MATCH($A241,'01_FASTPPH'!$A$9:$A$1048576,0),MATCH(R$9,'01_FASTPPH'!$8:$8,0))</f>
        <v>#N/A</v>
      </c>
      <c r="S241" s="20" t="e">
        <f>INDEX('01_FASTPPH'!$9:$1048576,MATCH($A241,'01_FASTPPH'!$A$9:$A$1048576,0),MATCH(S$9,'01_FASTPPH'!$8:$8,0))</f>
        <v>#N/A</v>
      </c>
      <c r="T241" s="24" t="e">
        <f>INDEX('01_FASTPPH'!$9:$1048576,MATCH($A241,'01_FASTPPH'!$A$9:$A$1048576,0),MATCH(T$9,'01_FASTPPH'!$8:$8,0))</f>
        <v>#N/A</v>
      </c>
      <c r="U241" s="23" t="e">
        <f>INDEX('01_FASTPPH'!$9:$1048576,MATCH($A241,'01_FASTPPH'!$A$9:$A$1048576,0),MATCH(U$9,'01_FASTPPH'!$8:$8,0))</f>
        <v>#N/A</v>
      </c>
      <c r="V241" s="20" t="e">
        <f>INDEX('01_FASTPPH'!$9:$1048576,MATCH($A241,'01_FASTPPH'!$A$9:$A$1048576,0),MATCH(V$9,'01_FASTPPH'!$8:$8,0))</f>
        <v>#N/A</v>
      </c>
      <c r="W241" s="24" t="e">
        <f>INDEX('01_FASTPPH'!$9:$1048576,MATCH($A241,'01_FASTPPH'!$A$9:$A$1048576,0),MATCH(W$9,'01_FASTPPH'!$8:$8,0))</f>
        <v>#N/A</v>
      </c>
      <c r="X241" s="20" t="e">
        <f>INDEX('01_FASTPPH'!$9:$1048576,MATCH($A241,'01_FASTPPH'!$A$9:$A$1048576,0),MATCH(X$9,'01_FASTPPH'!$8:$8,0))</f>
        <v>#N/A</v>
      </c>
      <c r="Y241" s="20" t="e">
        <f>INDEX('01_FASTPPH'!$9:$1048576,MATCH($A241,'01_FASTPPH'!$A$9:$A$1048576,0),MATCH(Y$9,'01_FASTPPH'!$8:$8,0))</f>
        <v>#N/A</v>
      </c>
      <c r="AA241" s="32" t="e">
        <f>INDEX('02_PROPERTIES'!$C$10:$I$1048576,MATCH('03_CALCULATIONS'!$D241,'02_PROPERTIES'!$C$10:$C$1048576,0),MATCH('03_CALCULATIONS'!AA$9,'02_PROPERTIES'!$C$10:$I$10,0))</f>
        <v>#N/A</v>
      </c>
      <c r="AB241" s="20" t="e">
        <f>INDEX('02_PROPERTIES'!$C$10:$I$1048576,MATCH('03_CALCULATIONS'!$D241,'02_PROPERTIES'!$C$10:$C$1048576,0),MATCH('03_CALCULATIONS'!AB$9,'02_PROPERTIES'!$C$10:$I$10,0))</f>
        <v>#N/A</v>
      </c>
      <c r="AC241" s="20" t="e">
        <f>INDEX('02_PROPERTIES'!$C$10:$I$1048576,MATCH('03_CALCULATIONS'!$D241,'02_PROPERTIES'!$C$10:$C$1048576,0),MATCH('03_CALCULATIONS'!AC$9,'02_PROPERTIES'!$C$10:$I$10,0))</f>
        <v>#N/A</v>
      </c>
      <c r="AD241" s="20" t="e">
        <f>INDEX('02_PROPERTIES'!$C$10:$I$1048576,MATCH('03_CALCULATIONS'!$D241,'02_PROPERTIES'!$C$10:$C$1048576,0),MATCH('03_CALCULATIONS'!AD$9,'02_PROPERTIES'!$C$10:$I$10,0))</f>
        <v>#N/A</v>
      </c>
      <c r="AE241" s="32" t="e">
        <f>INDEX('02_PROPERTIES'!$C$10:$I$1048576,MATCH('03_CALCULATIONS'!$D241,'02_PROPERTIES'!$C$10:$C$1048576,0),MATCH('03_CALCULATIONS'!AE$9,'02_PROPERTIES'!$C$10:$I$10,0))</f>
        <v>#N/A</v>
      </c>
      <c r="AF241" s="32" t="e">
        <f>INDEX('02_PROPERTIES'!$C$10:$I$1048576,MATCH('03_CALCULATIONS'!$D241,'02_PROPERTIES'!$C$10:$C$1048576,0),MATCH('03_CALCULATIONS'!AF$9,'02_PROPERTIES'!$C$10:$I$10,0))</f>
        <v>#N/A</v>
      </c>
      <c r="AH241" s="20" t="e">
        <f t="shared" si="33"/>
        <v>#N/A</v>
      </c>
      <c r="AI241" s="20" t="e">
        <f t="shared" si="34"/>
        <v>#N/A</v>
      </c>
      <c r="AJ241" s="20" t="e">
        <f t="shared" si="35"/>
        <v>#N/A</v>
      </c>
      <c r="AL241" s="20" t="e">
        <f t="shared" si="36"/>
        <v>#N/A</v>
      </c>
      <c r="AM241" s="20" t="e">
        <f t="shared" si="37"/>
        <v>#N/A</v>
      </c>
      <c r="AN241" s="20" t="e">
        <f t="shared" si="38"/>
        <v>#N/A</v>
      </c>
      <c r="AO241" s="20" t="e">
        <f t="shared" si="39"/>
        <v>#N/A</v>
      </c>
      <c r="AP241" s="20" t="e">
        <f t="shared" si="40"/>
        <v>#N/A</v>
      </c>
      <c r="AR241" s="20" t="e">
        <f t="shared" si="41"/>
        <v>#N/A</v>
      </c>
      <c r="AS241" s="20" t="e">
        <f t="shared" si="42"/>
        <v>#N/A</v>
      </c>
      <c r="AT241" s="20" t="e">
        <f t="shared" si="43"/>
        <v>#N/A</v>
      </c>
    </row>
    <row r="242" spans="1:46" x14ac:dyDescent="0.3">
      <c r="A242" s="18"/>
      <c r="B242" s="20" t="e">
        <f>INDEX('01_FASTPPH'!$9:$1048576,MATCH($A242,'01_FASTPPH'!$A$9:$A$1048576,0),MATCH(B$9,'01_FASTPPH'!$8:$8,0))</f>
        <v>#N/A</v>
      </c>
      <c r="C242" s="20" t="e">
        <f>INDEX('01_FASTPPH'!$9:$1048576,MATCH($A242,'01_FASTPPH'!$A$9:$A$1048576,0),MATCH(C$9,'01_FASTPPH'!$8:$8,0))</f>
        <v>#N/A</v>
      </c>
      <c r="D242" s="20" t="e">
        <f>INDEX('01_FASTPPH'!$9:$1048576,MATCH($A242,'01_FASTPPH'!$A$9:$A$1048576,0),MATCH(D$9,'01_FASTPPH'!$8:$8,0))</f>
        <v>#N/A</v>
      </c>
      <c r="E242" s="20" t="e">
        <f>INDEX('01_FASTPPH'!$9:$1048576,MATCH($A242,'01_FASTPPH'!$A$9:$A$1048576,0),MATCH(E$9,'01_FASTPPH'!$8:$8,0))</f>
        <v>#N/A</v>
      </c>
      <c r="F242" s="20" t="e">
        <f>INDEX('01_FASTPPH'!$9:$1048576,MATCH($A242,'01_FASTPPH'!$A$9:$A$1048576,0),MATCH(F$9,'01_FASTPPH'!$8:$8,0))</f>
        <v>#N/A</v>
      </c>
      <c r="G242" s="20" t="e">
        <f>INDEX('01_FASTPPH'!$9:$1048576,MATCH($A242,'01_FASTPPH'!$A$9:$A$1048576,0),MATCH(G$9,'01_FASTPPH'!$8:$8,0))</f>
        <v>#N/A</v>
      </c>
      <c r="H242" s="20" t="e">
        <f>INDEX('01_FASTPPH'!$9:$1048576,MATCH($A242,'01_FASTPPH'!$A$9:$A$1048576,0),MATCH(H$9,'01_FASTPPH'!$8:$8,0))</f>
        <v>#N/A</v>
      </c>
      <c r="I242" s="20" t="e">
        <f>INDEX('01_FASTPPH'!$9:$1048576,MATCH($A242,'01_FASTPPH'!$A$9:$A$1048576,0),MATCH(I$9,'01_FASTPPH'!$8:$8,0))</f>
        <v>#N/A</v>
      </c>
      <c r="J242" s="20" t="e">
        <f>INDEX('01_FASTPPH'!$9:$1048576,MATCH($A242,'01_FASTPPH'!$A$9:$A$1048576,0),MATCH(J$9,'01_FASTPPH'!$8:$8,0))</f>
        <v>#N/A</v>
      </c>
      <c r="K242" s="23" t="e">
        <f>INDEX('01_FASTPPH'!$9:$1048576,MATCH($A242,'01_FASTPPH'!$A$9:$A$1048576,0),MATCH(K$9,'01_FASTPPH'!$8:$8,0))</f>
        <v>#N/A</v>
      </c>
      <c r="L242" s="20" t="e">
        <f>INDEX('01_FASTPPH'!$9:$1048576,MATCH($A242,'01_FASTPPH'!$A$9:$A$1048576,0),MATCH(L$9,'01_FASTPPH'!$8:$8,0))</f>
        <v>#N/A</v>
      </c>
      <c r="M242" s="20" t="e">
        <f>INDEX('01_FASTPPH'!$9:$1048576,MATCH($A242,'01_FASTPPH'!$A$9:$A$1048576,0),MATCH(M$9,'01_FASTPPH'!$8:$8,0))</f>
        <v>#N/A</v>
      </c>
      <c r="N242" s="24" t="e">
        <f>INDEX('01_FASTPPH'!$9:$1048576,MATCH($A242,'01_FASTPPH'!$A$9:$A$1048576,0),MATCH(N$9,'01_FASTPPH'!$8:$8,0))</f>
        <v>#N/A</v>
      </c>
      <c r="O242" s="23" t="e">
        <f>INDEX('01_FASTPPH'!$9:$1048576,MATCH($A242,'01_FASTPPH'!$A$9:$A$1048576,0),MATCH(O$9,'01_FASTPPH'!$8:$8,0))</f>
        <v>#N/A</v>
      </c>
      <c r="P242" s="20" t="e">
        <f>INDEX('01_FASTPPH'!$9:$1048576,MATCH($A242,'01_FASTPPH'!$A$9:$A$1048576,0),MATCH(P$9,'01_FASTPPH'!$8:$8,0))</f>
        <v>#N/A</v>
      </c>
      <c r="Q242" s="20" t="e">
        <f>INDEX('01_FASTPPH'!$9:$1048576,MATCH($A242,'01_FASTPPH'!$A$9:$A$1048576,0),MATCH(Q$9,'01_FASTPPH'!$8:$8,0))</f>
        <v>#N/A</v>
      </c>
      <c r="R242" s="20" t="e">
        <f>INDEX('01_FASTPPH'!$9:$1048576,MATCH($A242,'01_FASTPPH'!$A$9:$A$1048576,0),MATCH(R$9,'01_FASTPPH'!$8:$8,0))</f>
        <v>#N/A</v>
      </c>
      <c r="S242" s="20" t="e">
        <f>INDEX('01_FASTPPH'!$9:$1048576,MATCH($A242,'01_FASTPPH'!$A$9:$A$1048576,0),MATCH(S$9,'01_FASTPPH'!$8:$8,0))</f>
        <v>#N/A</v>
      </c>
      <c r="T242" s="24" t="e">
        <f>INDEX('01_FASTPPH'!$9:$1048576,MATCH($A242,'01_FASTPPH'!$A$9:$A$1048576,0),MATCH(T$9,'01_FASTPPH'!$8:$8,0))</f>
        <v>#N/A</v>
      </c>
      <c r="U242" s="23" t="e">
        <f>INDEX('01_FASTPPH'!$9:$1048576,MATCH($A242,'01_FASTPPH'!$A$9:$A$1048576,0),MATCH(U$9,'01_FASTPPH'!$8:$8,0))</f>
        <v>#N/A</v>
      </c>
      <c r="V242" s="20" t="e">
        <f>INDEX('01_FASTPPH'!$9:$1048576,MATCH($A242,'01_FASTPPH'!$A$9:$A$1048576,0),MATCH(V$9,'01_FASTPPH'!$8:$8,0))</f>
        <v>#N/A</v>
      </c>
      <c r="W242" s="24" t="e">
        <f>INDEX('01_FASTPPH'!$9:$1048576,MATCH($A242,'01_FASTPPH'!$A$9:$A$1048576,0),MATCH(W$9,'01_FASTPPH'!$8:$8,0))</f>
        <v>#N/A</v>
      </c>
      <c r="X242" s="20" t="e">
        <f>INDEX('01_FASTPPH'!$9:$1048576,MATCH($A242,'01_FASTPPH'!$A$9:$A$1048576,0),MATCH(X$9,'01_FASTPPH'!$8:$8,0))</f>
        <v>#N/A</v>
      </c>
      <c r="Y242" s="20" t="e">
        <f>INDEX('01_FASTPPH'!$9:$1048576,MATCH($A242,'01_FASTPPH'!$A$9:$A$1048576,0),MATCH(Y$9,'01_FASTPPH'!$8:$8,0))</f>
        <v>#N/A</v>
      </c>
      <c r="AA242" s="32" t="e">
        <f>INDEX('02_PROPERTIES'!$C$10:$I$1048576,MATCH('03_CALCULATIONS'!$D242,'02_PROPERTIES'!$C$10:$C$1048576,0),MATCH('03_CALCULATIONS'!AA$9,'02_PROPERTIES'!$C$10:$I$10,0))</f>
        <v>#N/A</v>
      </c>
      <c r="AB242" s="20" t="e">
        <f>INDEX('02_PROPERTIES'!$C$10:$I$1048576,MATCH('03_CALCULATIONS'!$D242,'02_PROPERTIES'!$C$10:$C$1048576,0),MATCH('03_CALCULATIONS'!AB$9,'02_PROPERTIES'!$C$10:$I$10,0))</f>
        <v>#N/A</v>
      </c>
      <c r="AC242" s="20" t="e">
        <f>INDEX('02_PROPERTIES'!$C$10:$I$1048576,MATCH('03_CALCULATIONS'!$D242,'02_PROPERTIES'!$C$10:$C$1048576,0),MATCH('03_CALCULATIONS'!AC$9,'02_PROPERTIES'!$C$10:$I$10,0))</f>
        <v>#N/A</v>
      </c>
      <c r="AD242" s="20" t="e">
        <f>INDEX('02_PROPERTIES'!$C$10:$I$1048576,MATCH('03_CALCULATIONS'!$D242,'02_PROPERTIES'!$C$10:$C$1048576,0),MATCH('03_CALCULATIONS'!AD$9,'02_PROPERTIES'!$C$10:$I$10,0))</f>
        <v>#N/A</v>
      </c>
      <c r="AE242" s="32" t="e">
        <f>INDEX('02_PROPERTIES'!$C$10:$I$1048576,MATCH('03_CALCULATIONS'!$D242,'02_PROPERTIES'!$C$10:$C$1048576,0),MATCH('03_CALCULATIONS'!AE$9,'02_PROPERTIES'!$C$10:$I$10,0))</f>
        <v>#N/A</v>
      </c>
      <c r="AF242" s="32" t="e">
        <f>INDEX('02_PROPERTIES'!$C$10:$I$1048576,MATCH('03_CALCULATIONS'!$D242,'02_PROPERTIES'!$C$10:$C$1048576,0),MATCH('03_CALCULATIONS'!AF$9,'02_PROPERTIES'!$C$10:$I$10,0))</f>
        <v>#N/A</v>
      </c>
      <c r="AH242" s="20" t="e">
        <f t="shared" si="33"/>
        <v>#N/A</v>
      </c>
      <c r="AI242" s="20" t="e">
        <f t="shared" si="34"/>
        <v>#N/A</v>
      </c>
      <c r="AJ242" s="20" t="e">
        <f t="shared" si="35"/>
        <v>#N/A</v>
      </c>
      <c r="AL242" s="20" t="e">
        <f t="shared" si="36"/>
        <v>#N/A</v>
      </c>
      <c r="AM242" s="20" t="e">
        <f t="shared" si="37"/>
        <v>#N/A</v>
      </c>
      <c r="AN242" s="20" t="e">
        <f t="shared" si="38"/>
        <v>#N/A</v>
      </c>
      <c r="AO242" s="20" t="e">
        <f t="shared" si="39"/>
        <v>#N/A</v>
      </c>
      <c r="AP242" s="20" t="e">
        <f t="shared" si="40"/>
        <v>#N/A</v>
      </c>
      <c r="AR242" s="20" t="e">
        <f t="shared" si="41"/>
        <v>#N/A</v>
      </c>
      <c r="AS242" s="20" t="e">
        <f t="shared" si="42"/>
        <v>#N/A</v>
      </c>
      <c r="AT242" s="20" t="e">
        <f t="shared" si="43"/>
        <v>#N/A</v>
      </c>
    </row>
    <row r="243" spans="1:46" x14ac:dyDescent="0.3">
      <c r="A243" s="18"/>
      <c r="B243" s="20" t="e">
        <f>INDEX('01_FASTPPH'!$9:$1048576,MATCH($A243,'01_FASTPPH'!$A$9:$A$1048576,0),MATCH(B$9,'01_FASTPPH'!$8:$8,0))</f>
        <v>#N/A</v>
      </c>
      <c r="C243" s="20" t="e">
        <f>INDEX('01_FASTPPH'!$9:$1048576,MATCH($A243,'01_FASTPPH'!$A$9:$A$1048576,0),MATCH(C$9,'01_FASTPPH'!$8:$8,0))</f>
        <v>#N/A</v>
      </c>
      <c r="D243" s="20" t="e">
        <f>INDEX('01_FASTPPH'!$9:$1048576,MATCH($A243,'01_FASTPPH'!$A$9:$A$1048576,0),MATCH(D$9,'01_FASTPPH'!$8:$8,0))</f>
        <v>#N/A</v>
      </c>
      <c r="E243" s="20" t="e">
        <f>INDEX('01_FASTPPH'!$9:$1048576,MATCH($A243,'01_FASTPPH'!$A$9:$A$1048576,0),MATCH(E$9,'01_FASTPPH'!$8:$8,0))</f>
        <v>#N/A</v>
      </c>
      <c r="F243" s="20" t="e">
        <f>INDEX('01_FASTPPH'!$9:$1048576,MATCH($A243,'01_FASTPPH'!$A$9:$A$1048576,0),MATCH(F$9,'01_FASTPPH'!$8:$8,0))</f>
        <v>#N/A</v>
      </c>
      <c r="G243" s="20" t="e">
        <f>INDEX('01_FASTPPH'!$9:$1048576,MATCH($A243,'01_FASTPPH'!$A$9:$A$1048576,0),MATCH(G$9,'01_FASTPPH'!$8:$8,0))</f>
        <v>#N/A</v>
      </c>
      <c r="H243" s="20" t="e">
        <f>INDEX('01_FASTPPH'!$9:$1048576,MATCH($A243,'01_FASTPPH'!$A$9:$A$1048576,0),MATCH(H$9,'01_FASTPPH'!$8:$8,0))</f>
        <v>#N/A</v>
      </c>
      <c r="I243" s="20" t="e">
        <f>INDEX('01_FASTPPH'!$9:$1048576,MATCH($A243,'01_FASTPPH'!$A$9:$A$1048576,0),MATCH(I$9,'01_FASTPPH'!$8:$8,0))</f>
        <v>#N/A</v>
      </c>
      <c r="J243" s="20" t="e">
        <f>INDEX('01_FASTPPH'!$9:$1048576,MATCH($A243,'01_FASTPPH'!$A$9:$A$1048576,0),MATCH(J$9,'01_FASTPPH'!$8:$8,0))</f>
        <v>#N/A</v>
      </c>
      <c r="K243" s="23" t="e">
        <f>INDEX('01_FASTPPH'!$9:$1048576,MATCH($A243,'01_FASTPPH'!$A$9:$A$1048576,0),MATCH(K$9,'01_FASTPPH'!$8:$8,0))</f>
        <v>#N/A</v>
      </c>
      <c r="L243" s="20" t="e">
        <f>INDEX('01_FASTPPH'!$9:$1048576,MATCH($A243,'01_FASTPPH'!$A$9:$A$1048576,0),MATCH(L$9,'01_FASTPPH'!$8:$8,0))</f>
        <v>#N/A</v>
      </c>
      <c r="M243" s="20" t="e">
        <f>INDEX('01_FASTPPH'!$9:$1048576,MATCH($A243,'01_FASTPPH'!$A$9:$A$1048576,0),MATCH(M$9,'01_FASTPPH'!$8:$8,0))</f>
        <v>#N/A</v>
      </c>
      <c r="N243" s="24" t="e">
        <f>INDEX('01_FASTPPH'!$9:$1048576,MATCH($A243,'01_FASTPPH'!$A$9:$A$1048576,0),MATCH(N$9,'01_FASTPPH'!$8:$8,0))</f>
        <v>#N/A</v>
      </c>
      <c r="O243" s="23" t="e">
        <f>INDEX('01_FASTPPH'!$9:$1048576,MATCH($A243,'01_FASTPPH'!$A$9:$A$1048576,0),MATCH(O$9,'01_FASTPPH'!$8:$8,0))</f>
        <v>#N/A</v>
      </c>
      <c r="P243" s="20" t="e">
        <f>INDEX('01_FASTPPH'!$9:$1048576,MATCH($A243,'01_FASTPPH'!$A$9:$A$1048576,0),MATCH(P$9,'01_FASTPPH'!$8:$8,0))</f>
        <v>#N/A</v>
      </c>
      <c r="Q243" s="20" t="e">
        <f>INDEX('01_FASTPPH'!$9:$1048576,MATCH($A243,'01_FASTPPH'!$A$9:$A$1048576,0),MATCH(Q$9,'01_FASTPPH'!$8:$8,0))</f>
        <v>#N/A</v>
      </c>
      <c r="R243" s="20" t="e">
        <f>INDEX('01_FASTPPH'!$9:$1048576,MATCH($A243,'01_FASTPPH'!$A$9:$A$1048576,0),MATCH(R$9,'01_FASTPPH'!$8:$8,0))</f>
        <v>#N/A</v>
      </c>
      <c r="S243" s="20" t="e">
        <f>INDEX('01_FASTPPH'!$9:$1048576,MATCH($A243,'01_FASTPPH'!$A$9:$A$1048576,0),MATCH(S$9,'01_FASTPPH'!$8:$8,0))</f>
        <v>#N/A</v>
      </c>
      <c r="T243" s="24" t="e">
        <f>INDEX('01_FASTPPH'!$9:$1048576,MATCH($A243,'01_FASTPPH'!$A$9:$A$1048576,0),MATCH(T$9,'01_FASTPPH'!$8:$8,0))</f>
        <v>#N/A</v>
      </c>
      <c r="U243" s="23" t="e">
        <f>INDEX('01_FASTPPH'!$9:$1048576,MATCH($A243,'01_FASTPPH'!$A$9:$A$1048576,0),MATCH(U$9,'01_FASTPPH'!$8:$8,0))</f>
        <v>#N/A</v>
      </c>
      <c r="V243" s="20" t="e">
        <f>INDEX('01_FASTPPH'!$9:$1048576,MATCH($A243,'01_FASTPPH'!$A$9:$A$1048576,0),MATCH(V$9,'01_FASTPPH'!$8:$8,0))</f>
        <v>#N/A</v>
      </c>
      <c r="W243" s="24" t="e">
        <f>INDEX('01_FASTPPH'!$9:$1048576,MATCH($A243,'01_FASTPPH'!$A$9:$A$1048576,0),MATCH(W$9,'01_FASTPPH'!$8:$8,0))</f>
        <v>#N/A</v>
      </c>
      <c r="X243" s="20" t="e">
        <f>INDEX('01_FASTPPH'!$9:$1048576,MATCH($A243,'01_FASTPPH'!$A$9:$A$1048576,0),MATCH(X$9,'01_FASTPPH'!$8:$8,0))</f>
        <v>#N/A</v>
      </c>
      <c r="Y243" s="20" t="e">
        <f>INDEX('01_FASTPPH'!$9:$1048576,MATCH($A243,'01_FASTPPH'!$A$9:$A$1048576,0),MATCH(Y$9,'01_FASTPPH'!$8:$8,0))</f>
        <v>#N/A</v>
      </c>
      <c r="AA243" s="32" t="e">
        <f>INDEX('02_PROPERTIES'!$C$10:$I$1048576,MATCH('03_CALCULATIONS'!$D243,'02_PROPERTIES'!$C$10:$C$1048576,0),MATCH('03_CALCULATIONS'!AA$9,'02_PROPERTIES'!$C$10:$I$10,0))</f>
        <v>#N/A</v>
      </c>
      <c r="AB243" s="20" t="e">
        <f>INDEX('02_PROPERTIES'!$C$10:$I$1048576,MATCH('03_CALCULATIONS'!$D243,'02_PROPERTIES'!$C$10:$C$1048576,0),MATCH('03_CALCULATIONS'!AB$9,'02_PROPERTIES'!$C$10:$I$10,0))</f>
        <v>#N/A</v>
      </c>
      <c r="AC243" s="20" t="e">
        <f>INDEX('02_PROPERTIES'!$C$10:$I$1048576,MATCH('03_CALCULATIONS'!$D243,'02_PROPERTIES'!$C$10:$C$1048576,0),MATCH('03_CALCULATIONS'!AC$9,'02_PROPERTIES'!$C$10:$I$10,0))</f>
        <v>#N/A</v>
      </c>
      <c r="AD243" s="20" t="e">
        <f>INDEX('02_PROPERTIES'!$C$10:$I$1048576,MATCH('03_CALCULATIONS'!$D243,'02_PROPERTIES'!$C$10:$C$1048576,0),MATCH('03_CALCULATIONS'!AD$9,'02_PROPERTIES'!$C$10:$I$10,0))</f>
        <v>#N/A</v>
      </c>
      <c r="AE243" s="32" t="e">
        <f>INDEX('02_PROPERTIES'!$C$10:$I$1048576,MATCH('03_CALCULATIONS'!$D243,'02_PROPERTIES'!$C$10:$C$1048576,0),MATCH('03_CALCULATIONS'!AE$9,'02_PROPERTIES'!$C$10:$I$10,0))</f>
        <v>#N/A</v>
      </c>
      <c r="AF243" s="32" t="e">
        <f>INDEX('02_PROPERTIES'!$C$10:$I$1048576,MATCH('03_CALCULATIONS'!$D243,'02_PROPERTIES'!$C$10:$C$1048576,0),MATCH('03_CALCULATIONS'!AF$9,'02_PROPERTIES'!$C$10:$I$10,0))</f>
        <v>#N/A</v>
      </c>
      <c r="AH243" s="20" t="e">
        <f t="shared" si="33"/>
        <v>#N/A</v>
      </c>
      <c r="AI243" s="20" t="e">
        <f t="shared" si="34"/>
        <v>#N/A</v>
      </c>
      <c r="AJ243" s="20" t="e">
        <f t="shared" si="35"/>
        <v>#N/A</v>
      </c>
      <c r="AL243" s="20" t="e">
        <f t="shared" si="36"/>
        <v>#N/A</v>
      </c>
      <c r="AM243" s="20" t="e">
        <f t="shared" si="37"/>
        <v>#N/A</v>
      </c>
      <c r="AN243" s="20" t="e">
        <f t="shared" si="38"/>
        <v>#N/A</v>
      </c>
      <c r="AO243" s="20" t="e">
        <f t="shared" si="39"/>
        <v>#N/A</v>
      </c>
      <c r="AP243" s="20" t="e">
        <f t="shared" si="40"/>
        <v>#N/A</v>
      </c>
      <c r="AR243" s="20" t="e">
        <f t="shared" si="41"/>
        <v>#N/A</v>
      </c>
      <c r="AS243" s="20" t="e">
        <f t="shared" si="42"/>
        <v>#N/A</v>
      </c>
      <c r="AT243" s="20" t="e">
        <f t="shared" si="43"/>
        <v>#N/A</v>
      </c>
    </row>
    <row r="244" spans="1:46" x14ac:dyDescent="0.3">
      <c r="A244" s="18"/>
      <c r="B244" s="20" t="e">
        <f>INDEX('01_FASTPPH'!$9:$1048576,MATCH($A244,'01_FASTPPH'!$A$9:$A$1048576,0),MATCH(B$9,'01_FASTPPH'!$8:$8,0))</f>
        <v>#N/A</v>
      </c>
      <c r="C244" s="20" t="e">
        <f>INDEX('01_FASTPPH'!$9:$1048576,MATCH($A244,'01_FASTPPH'!$A$9:$A$1048576,0),MATCH(C$9,'01_FASTPPH'!$8:$8,0))</f>
        <v>#N/A</v>
      </c>
      <c r="D244" s="20" t="e">
        <f>INDEX('01_FASTPPH'!$9:$1048576,MATCH($A244,'01_FASTPPH'!$A$9:$A$1048576,0),MATCH(D$9,'01_FASTPPH'!$8:$8,0))</f>
        <v>#N/A</v>
      </c>
      <c r="E244" s="20" t="e">
        <f>INDEX('01_FASTPPH'!$9:$1048576,MATCH($A244,'01_FASTPPH'!$A$9:$A$1048576,0),MATCH(E$9,'01_FASTPPH'!$8:$8,0))</f>
        <v>#N/A</v>
      </c>
      <c r="F244" s="20" t="e">
        <f>INDEX('01_FASTPPH'!$9:$1048576,MATCH($A244,'01_FASTPPH'!$A$9:$A$1048576,0),MATCH(F$9,'01_FASTPPH'!$8:$8,0))</f>
        <v>#N/A</v>
      </c>
      <c r="G244" s="20" t="e">
        <f>INDEX('01_FASTPPH'!$9:$1048576,MATCH($A244,'01_FASTPPH'!$A$9:$A$1048576,0),MATCH(G$9,'01_FASTPPH'!$8:$8,0))</f>
        <v>#N/A</v>
      </c>
      <c r="H244" s="20" t="e">
        <f>INDEX('01_FASTPPH'!$9:$1048576,MATCH($A244,'01_FASTPPH'!$A$9:$A$1048576,0),MATCH(H$9,'01_FASTPPH'!$8:$8,0))</f>
        <v>#N/A</v>
      </c>
      <c r="I244" s="20" t="e">
        <f>INDEX('01_FASTPPH'!$9:$1048576,MATCH($A244,'01_FASTPPH'!$A$9:$A$1048576,0),MATCH(I$9,'01_FASTPPH'!$8:$8,0))</f>
        <v>#N/A</v>
      </c>
      <c r="J244" s="20" t="e">
        <f>INDEX('01_FASTPPH'!$9:$1048576,MATCH($A244,'01_FASTPPH'!$A$9:$A$1048576,0),MATCH(J$9,'01_FASTPPH'!$8:$8,0))</f>
        <v>#N/A</v>
      </c>
      <c r="K244" s="23" t="e">
        <f>INDEX('01_FASTPPH'!$9:$1048576,MATCH($A244,'01_FASTPPH'!$A$9:$A$1048576,0),MATCH(K$9,'01_FASTPPH'!$8:$8,0))</f>
        <v>#N/A</v>
      </c>
      <c r="L244" s="20" t="e">
        <f>INDEX('01_FASTPPH'!$9:$1048576,MATCH($A244,'01_FASTPPH'!$A$9:$A$1048576,0),MATCH(L$9,'01_FASTPPH'!$8:$8,0))</f>
        <v>#N/A</v>
      </c>
      <c r="M244" s="20" t="e">
        <f>INDEX('01_FASTPPH'!$9:$1048576,MATCH($A244,'01_FASTPPH'!$A$9:$A$1048576,0),MATCH(M$9,'01_FASTPPH'!$8:$8,0))</f>
        <v>#N/A</v>
      </c>
      <c r="N244" s="24" t="e">
        <f>INDEX('01_FASTPPH'!$9:$1048576,MATCH($A244,'01_FASTPPH'!$A$9:$A$1048576,0),MATCH(N$9,'01_FASTPPH'!$8:$8,0))</f>
        <v>#N/A</v>
      </c>
      <c r="O244" s="23" t="e">
        <f>INDEX('01_FASTPPH'!$9:$1048576,MATCH($A244,'01_FASTPPH'!$A$9:$A$1048576,0),MATCH(O$9,'01_FASTPPH'!$8:$8,0))</f>
        <v>#N/A</v>
      </c>
      <c r="P244" s="20" t="e">
        <f>INDEX('01_FASTPPH'!$9:$1048576,MATCH($A244,'01_FASTPPH'!$A$9:$A$1048576,0),MATCH(P$9,'01_FASTPPH'!$8:$8,0))</f>
        <v>#N/A</v>
      </c>
      <c r="Q244" s="20" t="e">
        <f>INDEX('01_FASTPPH'!$9:$1048576,MATCH($A244,'01_FASTPPH'!$A$9:$A$1048576,0),MATCH(Q$9,'01_FASTPPH'!$8:$8,0))</f>
        <v>#N/A</v>
      </c>
      <c r="R244" s="20" t="e">
        <f>INDEX('01_FASTPPH'!$9:$1048576,MATCH($A244,'01_FASTPPH'!$A$9:$A$1048576,0),MATCH(R$9,'01_FASTPPH'!$8:$8,0))</f>
        <v>#N/A</v>
      </c>
      <c r="S244" s="20" t="e">
        <f>INDEX('01_FASTPPH'!$9:$1048576,MATCH($A244,'01_FASTPPH'!$A$9:$A$1048576,0),MATCH(S$9,'01_FASTPPH'!$8:$8,0))</f>
        <v>#N/A</v>
      </c>
      <c r="T244" s="24" t="e">
        <f>INDEX('01_FASTPPH'!$9:$1048576,MATCH($A244,'01_FASTPPH'!$A$9:$A$1048576,0),MATCH(T$9,'01_FASTPPH'!$8:$8,0))</f>
        <v>#N/A</v>
      </c>
      <c r="U244" s="23" t="e">
        <f>INDEX('01_FASTPPH'!$9:$1048576,MATCH($A244,'01_FASTPPH'!$A$9:$A$1048576,0),MATCH(U$9,'01_FASTPPH'!$8:$8,0))</f>
        <v>#N/A</v>
      </c>
      <c r="V244" s="20" t="e">
        <f>INDEX('01_FASTPPH'!$9:$1048576,MATCH($A244,'01_FASTPPH'!$A$9:$A$1048576,0),MATCH(V$9,'01_FASTPPH'!$8:$8,0))</f>
        <v>#N/A</v>
      </c>
      <c r="W244" s="24" t="e">
        <f>INDEX('01_FASTPPH'!$9:$1048576,MATCH($A244,'01_FASTPPH'!$A$9:$A$1048576,0),MATCH(W$9,'01_FASTPPH'!$8:$8,0))</f>
        <v>#N/A</v>
      </c>
      <c r="X244" s="20" t="e">
        <f>INDEX('01_FASTPPH'!$9:$1048576,MATCH($A244,'01_FASTPPH'!$A$9:$A$1048576,0),MATCH(X$9,'01_FASTPPH'!$8:$8,0))</f>
        <v>#N/A</v>
      </c>
      <c r="Y244" s="20" t="e">
        <f>INDEX('01_FASTPPH'!$9:$1048576,MATCH($A244,'01_FASTPPH'!$A$9:$A$1048576,0),MATCH(Y$9,'01_FASTPPH'!$8:$8,0))</f>
        <v>#N/A</v>
      </c>
      <c r="AA244" s="32" t="e">
        <f>INDEX('02_PROPERTIES'!$C$10:$I$1048576,MATCH('03_CALCULATIONS'!$D244,'02_PROPERTIES'!$C$10:$C$1048576,0),MATCH('03_CALCULATIONS'!AA$9,'02_PROPERTIES'!$C$10:$I$10,0))</f>
        <v>#N/A</v>
      </c>
      <c r="AB244" s="20" t="e">
        <f>INDEX('02_PROPERTIES'!$C$10:$I$1048576,MATCH('03_CALCULATIONS'!$D244,'02_PROPERTIES'!$C$10:$C$1048576,0),MATCH('03_CALCULATIONS'!AB$9,'02_PROPERTIES'!$C$10:$I$10,0))</f>
        <v>#N/A</v>
      </c>
      <c r="AC244" s="20" t="e">
        <f>INDEX('02_PROPERTIES'!$C$10:$I$1048576,MATCH('03_CALCULATIONS'!$D244,'02_PROPERTIES'!$C$10:$C$1048576,0),MATCH('03_CALCULATIONS'!AC$9,'02_PROPERTIES'!$C$10:$I$10,0))</f>
        <v>#N/A</v>
      </c>
      <c r="AD244" s="20" t="e">
        <f>INDEX('02_PROPERTIES'!$C$10:$I$1048576,MATCH('03_CALCULATIONS'!$D244,'02_PROPERTIES'!$C$10:$C$1048576,0),MATCH('03_CALCULATIONS'!AD$9,'02_PROPERTIES'!$C$10:$I$10,0))</f>
        <v>#N/A</v>
      </c>
      <c r="AE244" s="32" t="e">
        <f>INDEX('02_PROPERTIES'!$C$10:$I$1048576,MATCH('03_CALCULATIONS'!$D244,'02_PROPERTIES'!$C$10:$C$1048576,0),MATCH('03_CALCULATIONS'!AE$9,'02_PROPERTIES'!$C$10:$I$10,0))</f>
        <v>#N/A</v>
      </c>
      <c r="AF244" s="32" t="e">
        <f>INDEX('02_PROPERTIES'!$C$10:$I$1048576,MATCH('03_CALCULATIONS'!$D244,'02_PROPERTIES'!$C$10:$C$1048576,0),MATCH('03_CALCULATIONS'!AF$9,'02_PROPERTIES'!$C$10:$I$10,0))</f>
        <v>#N/A</v>
      </c>
      <c r="AH244" s="20" t="e">
        <f t="shared" si="33"/>
        <v>#N/A</v>
      </c>
      <c r="AI244" s="20" t="e">
        <f t="shared" si="34"/>
        <v>#N/A</v>
      </c>
      <c r="AJ244" s="20" t="e">
        <f t="shared" si="35"/>
        <v>#N/A</v>
      </c>
      <c r="AL244" s="20" t="e">
        <f t="shared" si="36"/>
        <v>#N/A</v>
      </c>
      <c r="AM244" s="20" t="e">
        <f t="shared" si="37"/>
        <v>#N/A</v>
      </c>
      <c r="AN244" s="20" t="e">
        <f t="shared" si="38"/>
        <v>#N/A</v>
      </c>
      <c r="AO244" s="20" t="e">
        <f t="shared" si="39"/>
        <v>#N/A</v>
      </c>
      <c r="AP244" s="20" t="e">
        <f t="shared" si="40"/>
        <v>#N/A</v>
      </c>
      <c r="AR244" s="20" t="e">
        <f t="shared" si="41"/>
        <v>#N/A</v>
      </c>
      <c r="AS244" s="20" t="e">
        <f t="shared" si="42"/>
        <v>#N/A</v>
      </c>
      <c r="AT244" s="20" t="e">
        <f t="shared" si="43"/>
        <v>#N/A</v>
      </c>
    </row>
    <row r="245" spans="1:46" x14ac:dyDescent="0.3">
      <c r="A245" s="18"/>
      <c r="B245" s="20" t="e">
        <f>INDEX('01_FASTPPH'!$9:$1048576,MATCH($A245,'01_FASTPPH'!$A$9:$A$1048576,0),MATCH(B$9,'01_FASTPPH'!$8:$8,0))</f>
        <v>#N/A</v>
      </c>
      <c r="C245" s="20" t="e">
        <f>INDEX('01_FASTPPH'!$9:$1048576,MATCH($A245,'01_FASTPPH'!$A$9:$A$1048576,0),MATCH(C$9,'01_FASTPPH'!$8:$8,0))</f>
        <v>#N/A</v>
      </c>
      <c r="D245" s="20" t="e">
        <f>INDEX('01_FASTPPH'!$9:$1048576,MATCH($A245,'01_FASTPPH'!$A$9:$A$1048576,0),MATCH(D$9,'01_FASTPPH'!$8:$8,0))</f>
        <v>#N/A</v>
      </c>
      <c r="E245" s="20" t="e">
        <f>INDEX('01_FASTPPH'!$9:$1048576,MATCH($A245,'01_FASTPPH'!$A$9:$A$1048576,0),MATCH(E$9,'01_FASTPPH'!$8:$8,0))</f>
        <v>#N/A</v>
      </c>
      <c r="F245" s="20" t="e">
        <f>INDEX('01_FASTPPH'!$9:$1048576,MATCH($A245,'01_FASTPPH'!$A$9:$A$1048576,0),MATCH(F$9,'01_FASTPPH'!$8:$8,0))</f>
        <v>#N/A</v>
      </c>
      <c r="G245" s="20" t="e">
        <f>INDEX('01_FASTPPH'!$9:$1048576,MATCH($A245,'01_FASTPPH'!$A$9:$A$1048576,0),MATCH(G$9,'01_FASTPPH'!$8:$8,0))</f>
        <v>#N/A</v>
      </c>
      <c r="H245" s="20" t="e">
        <f>INDEX('01_FASTPPH'!$9:$1048576,MATCH($A245,'01_FASTPPH'!$A$9:$A$1048576,0),MATCH(H$9,'01_FASTPPH'!$8:$8,0))</f>
        <v>#N/A</v>
      </c>
      <c r="I245" s="20" t="e">
        <f>INDEX('01_FASTPPH'!$9:$1048576,MATCH($A245,'01_FASTPPH'!$A$9:$A$1048576,0),MATCH(I$9,'01_FASTPPH'!$8:$8,0))</f>
        <v>#N/A</v>
      </c>
      <c r="J245" s="20" t="e">
        <f>INDEX('01_FASTPPH'!$9:$1048576,MATCH($A245,'01_FASTPPH'!$A$9:$A$1048576,0),MATCH(J$9,'01_FASTPPH'!$8:$8,0))</f>
        <v>#N/A</v>
      </c>
      <c r="K245" s="23" t="e">
        <f>INDEX('01_FASTPPH'!$9:$1048576,MATCH($A245,'01_FASTPPH'!$A$9:$A$1048576,0),MATCH(K$9,'01_FASTPPH'!$8:$8,0))</f>
        <v>#N/A</v>
      </c>
      <c r="L245" s="20" t="e">
        <f>INDEX('01_FASTPPH'!$9:$1048576,MATCH($A245,'01_FASTPPH'!$A$9:$A$1048576,0),MATCH(L$9,'01_FASTPPH'!$8:$8,0))</f>
        <v>#N/A</v>
      </c>
      <c r="M245" s="20" t="e">
        <f>INDEX('01_FASTPPH'!$9:$1048576,MATCH($A245,'01_FASTPPH'!$A$9:$A$1048576,0),MATCH(M$9,'01_FASTPPH'!$8:$8,0))</f>
        <v>#N/A</v>
      </c>
      <c r="N245" s="24" t="e">
        <f>INDEX('01_FASTPPH'!$9:$1048576,MATCH($A245,'01_FASTPPH'!$A$9:$A$1048576,0),MATCH(N$9,'01_FASTPPH'!$8:$8,0))</f>
        <v>#N/A</v>
      </c>
      <c r="O245" s="23" t="e">
        <f>INDEX('01_FASTPPH'!$9:$1048576,MATCH($A245,'01_FASTPPH'!$A$9:$A$1048576,0),MATCH(O$9,'01_FASTPPH'!$8:$8,0))</f>
        <v>#N/A</v>
      </c>
      <c r="P245" s="20" t="e">
        <f>INDEX('01_FASTPPH'!$9:$1048576,MATCH($A245,'01_FASTPPH'!$A$9:$A$1048576,0),MATCH(P$9,'01_FASTPPH'!$8:$8,0))</f>
        <v>#N/A</v>
      </c>
      <c r="Q245" s="20" t="e">
        <f>INDEX('01_FASTPPH'!$9:$1048576,MATCH($A245,'01_FASTPPH'!$A$9:$A$1048576,0),MATCH(Q$9,'01_FASTPPH'!$8:$8,0))</f>
        <v>#N/A</v>
      </c>
      <c r="R245" s="20" t="e">
        <f>INDEX('01_FASTPPH'!$9:$1048576,MATCH($A245,'01_FASTPPH'!$A$9:$A$1048576,0),MATCH(R$9,'01_FASTPPH'!$8:$8,0))</f>
        <v>#N/A</v>
      </c>
      <c r="S245" s="20" t="e">
        <f>INDEX('01_FASTPPH'!$9:$1048576,MATCH($A245,'01_FASTPPH'!$A$9:$A$1048576,0),MATCH(S$9,'01_FASTPPH'!$8:$8,0))</f>
        <v>#N/A</v>
      </c>
      <c r="T245" s="24" t="e">
        <f>INDEX('01_FASTPPH'!$9:$1048576,MATCH($A245,'01_FASTPPH'!$A$9:$A$1048576,0),MATCH(T$9,'01_FASTPPH'!$8:$8,0))</f>
        <v>#N/A</v>
      </c>
      <c r="U245" s="23" t="e">
        <f>INDEX('01_FASTPPH'!$9:$1048576,MATCH($A245,'01_FASTPPH'!$A$9:$A$1048576,0),MATCH(U$9,'01_FASTPPH'!$8:$8,0))</f>
        <v>#N/A</v>
      </c>
      <c r="V245" s="20" t="e">
        <f>INDEX('01_FASTPPH'!$9:$1048576,MATCH($A245,'01_FASTPPH'!$A$9:$A$1048576,0),MATCH(V$9,'01_FASTPPH'!$8:$8,0))</f>
        <v>#N/A</v>
      </c>
      <c r="W245" s="24" t="e">
        <f>INDEX('01_FASTPPH'!$9:$1048576,MATCH($A245,'01_FASTPPH'!$A$9:$A$1048576,0),MATCH(W$9,'01_FASTPPH'!$8:$8,0))</f>
        <v>#N/A</v>
      </c>
      <c r="X245" s="20" t="e">
        <f>INDEX('01_FASTPPH'!$9:$1048576,MATCH($A245,'01_FASTPPH'!$A$9:$A$1048576,0),MATCH(X$9,'01_FASTPPH'!$8:$8,0))</f>
        <v>#N/A</v>
      </c>
      <c r="Y245" s="20" t="e">
        <f>INDEX('01_FASTPPH'!$9:$1048576,MATCH($A245,'01_FASTPPH'!$A$9:$A$1048576,0),MATCH(Y$9,'01_FASTPPH'!$8:$8,0))</f>
        <v>#N/A</v>
      </c>
      <c r="AA245" s="32" t="e">
        <f>INDEX('02_PROPERTIES'!$C$10:$I$1048576,MATCH('03_CALCULATIONS'!$D245,'02_PROPERTIES'!$C$10:$C$1048576,0),MATCH('03_CALCULATIONS'!AA$9,'02_PROPERTIES'!$C$10:$I$10,0))</f>
        <v>#N/A</v>
      </c>
      <c r="AB245" s="20" t="e">
        <f>INDEX('02_PROPERTIES'!$C$10:$I$1048576,MATCH('03_CALCULATIONS'!$D245,'02_PROPERTIES'!$C$10:$C$1048576,0),MATCH('03_CALCULATIONS'!AB$9,'02_PROPERTIES'!$C$10:$I$10,0))</f>
        <v>#N/A</v>
      </c>
      <c r="AC245" s="20" t="e">
        <f>INDEX('02_PROPERTIES'!$C$10:$I$1048576,MATCH('03_CALCULATIONS'!$D245,'02_PROPERTIES'!$C$10:$C$1048576,0),MATCH('03_CALCULATIONS'!AC$9,'02_PROPERTIES'!$C$10:$I$10,0))</f>
        <v>#N/A</v>
      </c>
      <c r="AD245" s="20" t="e">
        <f>INDEX('02_PROPERTIES'!$C$10:$I$1048576,MATCH('03_CALCULATIONS'!$D245,'02_PROPERTIES'!$C$10:$C$1048576,0),MATCH('03_CALCULATIONS'!AD$9,'02_PROPERTIES'!$C$10:$I$10,0))</f>
        <v>#N/A</v>
      </c>
      <c r="AE245" s="32" t="e">
        <f>INDEX('02_PROPERTIES'!$C$10:$I$1048576,MATCH('03_CALCULATIONS'!$D245,'02_PROPERTIES'!$C$10:$C$1048576,0),MATCH('03_CALCULATIONS'!AE$9,'02_PROPERTIES'!$C$10:$I$10,0))</f>
        <v>#N/A</v>
      </c>
      <c r="AF245" s="32" t="e">
        <f>INDEX('02_PROPERTIES'!$C$10:$I$1048576,MATCH('03_CALCULATIONS'!$D245,'02_PROPERTIES'!$C$10:$C$1048576,0),MATCH('03_CALCULATIONS'!AF$9,'02_PROPERTIES'!$C$10:$I$10,0))</f>
        <v>#N/A</v>
      </c>
      <c r="AH245" s="20" t="e">
        <f t="shared" si="33"/>
        <v>#N/A</v>
      </c>
      <c r="AI245" s="20" t="e">
        <f t="shared" si="34"/>
        <v>#N/A</v>
      </c>
      <c r="AJ245" s="20" t="e">
        <f t="shared" si="35"/>
        <v>#N/A</v>
      </c>
      <c r="AL245" s="20" t="e">
        <f t="shared" si="36"/>
        <v>#N/A</v>
      </c>
      <c r="AM245" s="20" t="e">
        <f t="shared" si="37"/>
        <v>#N/A</v>
      </c>
      <c r="AN245" s="20" t="e">
        <f t="shared" si="38"/>
        <v>#N/A</v>
      </c>
      <c r="AO245" s="20" t="e">
        <f t="shared" si="39"/>
        <v>#N/A</v>
      </c>
      <c r="AP245" s="20" t="e">
        <f t="shared" si="40"/>
        <v>#N/A</v>
      </c>
      <c r="AR245" s="20" t="e">
        <f t="shared" si="41"/>
        <v>#N/A</v>
      </c>
      <c r="AS245" s="20" t="e">
        <f t="shared" si="42"/>
        <v>#N/A</v>
      </c>
      <c r="AT245" s="20" t="e">
        <f t="shared" si="43"/>
        <v>#N/A</v>
      </c>
    </row>
    <row r="246" spans="1:46" x14ac:dyDescent="0.3">
      <c r="A246" s="18"/>
      <c r="B246" s="20" t="e">
        <f>INDEX('01_FASTPPH'!$9:$1048576,MATCH($A246,'01_FASTPPH'!$A$9:$A$1048576,0),MATCH(B$9,'01_FASTPPH'!$8:$8,0))</f>
        <v>#N/A</v>
      </c>
      <c r="C246" s="20" t="e">
        <f>INDEX('01_FASTPPH'!$9:$1048576,MATCH($A246,'01_FASTPPH'!$A$9:$A$1048576,0),MATCH(C$9,'01_FASTPPH'!$8:$8,0))</f>
        <v>#N/A</v>
      </c>
      <c r="D246" s="20" t="e">
        <f>INDEX('01_FASTPPH'!$9:$1048576,MATCH($A246,'01_FASTPPH'!$A$9:$A$1048576,0),MATCH(D$9,'01_FASTPPH'!$8:$8,0))</f>
        <v>#N/A</v>
      </c>
      <c r="E246" s="20" t="e">
        <f>INDEX('01_FASTPPH'!$9:$1048576,MATCH($A246,'01_FASTPPH'!$A$9:$A$1048576,0),MATCH(E$9,'01_FASTPPH'!$8:$8,0))</f>
        <v>#N/A</v>
      </c>
      <c r="F246" s="20" t="e">
        <f>INDEX('01_FASTPPH'!$9:$1048576,MATCH($A246,'01_FASTPPH'!$A$9:$A$1048576,0),MATCH(F$9,'01_FASTPPH'!$8:$8,0))</f>
        <v>#N/A</v>
      </c>
      <c r="G246" s="20" t="e">
        <f>INDEX('01_FASTPPH'!$9:$1048576,MATCH($A246,'01_FASTPPH'!$A$9:$A$1048576,0),MATCH(G$9,'01_FASTPPH'!$8:$8,0))</f>
        <v>#N/A</v>
      </c>
      <c r="H246" s="20" t="e">
        <f>INDEX('01_FASTPPH'!$9:$1048576,MATCH($A246,'01_FASTPPH'!$A$9:$A$1048576,0),MATCH(H$9,'01_FASTPPH'!$8:$8,0))</f>
        <v>#N/A</v>
      </c>
      <c r="I246" s="20" t="e">
        <f>INDEX('01_FASTPPH'!$9:$1048576,MATCH($A246,'01_FASTPPH'!$A$9:$A$1048576,0),MATCH(I$9,'01_FASTPPH'!$8:$8,0))</f>
        <v>#N/A</v>
      </c>
      <c r="J246" s="20" t="e">
        <f>INDEX('01_FASTPPH'!$9:$1048576,MATCH($A246,'01_FASTPPH'!$A$9:$A$1048576,0),MATCH(J$9,'01_FASTPPH'!$8:$8,0))</f>
        <v>#N/A</v>
      </c>
      <c r="K246" s="23" t="e">
        <f>INDEX('01_FASTPPH'!$9:$1048576,MATCH($A246,'01_FASTPPH'!$A$9:$A$1048576,0),MATCH(K$9,'01_FASTPPH'!$8:$8,0))</f>
        <v>#N/A</v>
      </c>
      <c r="L246" s="20" t="e">
        <f>INDEX('01_FASTPPH'!$9:$1048576,MATCH($A246,'01_FASTPPH'!$A$9:$A$1048576,0),MATCH(L$9,'01_FASTPPH'!$8:$8,0))</f>
        <v>#N/A</v>
      </c>
      <c r="M246" s="20" t="e">
        <f>INDEX('01_FASTPPH'!$9:$1048576,MATCH($A246,'01_FASTPPH'!$A$9:$A$1048576,0),MATCH(M$9,'01_FASTPPH'!$8:$8,0))</f>
        <v>#N/A</v>
      </c>
      <c r="N246" s="24" t="e">
        <f>INDEX('01_FASTPPH'!$9:$1048576,MATCH($A246,'01_FASTPPH'!$A$9:$A$1048576,0),MATCH(N$9,'01_FASTPPH'!$8:$8,0))</f>
        <v>#N/A</v>
      </c>
      <c r="O246" s="23" t="e">
        <f>INDEX('01_FASTPPH'!$9:$1048576,MATCH($A246,'01_FASTPPH'!$A$9:$A$1048576,0),MATCH(O$9,'01_FASTPPH'!$8:$8,0))</f>
        <v>#N/A</v>
      </c>
      <c r="P246" s="20" t="e">
        <f>INDEX('01_FASTPPH'!$9:$1048576,MATCH($A246,'01_FASTPPH'!$A$9:$A$1048576,0),MATCH(P$9,'01_FASTPPH'!$8:$8,0))</f>
        <v>#N/A</v>
      </c>
      <c r="Q246" s="20" t="e">
        <f>INDEX('01_FASTPPH'!$9:$1048576,MATCH($A246,'01_FASTPPH'!$A$9:$A$1048576,0),MATCH(Q$9,'01_FASTPPH'!$8:$8,0))</f>
        <v>#N/A</v>
      </c>
      <c r="R246" s="20" t="e">
        <f>INDEX('01_FASTPPH'!$9:$1048576,MATCH($A246,'01_FASTPPH'!$A$9:$A$1048576,0),MATCH(R$9,'01_FASTPPH'!$8:$8,0))</f>
        <v>#N/A</v>
      </c>
      <c r="S246" s="20" t="e">
        <f>INDEX('01_FASTPPH'!$9:$1048576,MATCH($A246,'01_FASTPPH'!$A$9:$A$1048576,0),MATCH(S$9,'01_FASTPPH'!$8:$8,0))</f>
        <v>#N/A</v>
      </c>
      <c r="T246" s="24" t="e">
        <f>INDEX('01_FASTPPH'!$9:$1048576,MATCH($A246,'01_FASTPPH'!$A$9:$A$1048576,0),MATCH(T$9,'01_FASTPPH'!$8:$8,0))</f>
        <v>#N/A</v>
      </c>
      <c r="U246" s="23" t="e">
        <f>INDEX('01_FASTPPH'!$9:$1048576,MATCH($A246,'01_FASTPPH'!$A$9:$A$1048576,0),MATCH(U$9,'01_FASTPPH'!$8:$8,0))</f>
        <v>#N/A</v>
      </c>
      <c r="V246" s="20" t="e">
        <f>INDEX('01_FASTPPH'!$9:$1048576,MATCH($A246,'01_FASTPPH'!$A$9:$A$1048576,0),MATCH(V$9,'01_FASTPPH'!$8:$8,0))</f>
        <v>#N/A</v>
      </c>
      <c r="W246" s="24" t="e">
        <f>INDEX('01_FASTPPH'!$9:$1048576,MATCH($A246,'01_FASTPPH'!$A$9:$A$1048576,0),MATCH(W$9,'01_FASTPPH'!$8:$8,0))</f>
        <v>#N/A</v>
      </c>
      <c r="X246" s="20" t="e">
        <f>INDEX('01_FASTPPH'!$9:$1048576,MATCH($A246,'01_FASTPPH'!$A$9:$A$1048576,0),MATCH(X$9,'01_FASTPPH'!$8:$8,0))</f>
        <v>#N/A</v>
      </c>
      <c r="Y246" s="20" t="e">
        <f>INDEX('01_FASTPPH'!$9:$1048576,MATCH($A246,'01_FASTPPH'!$A$9:$A$1048576,0),MATCH(Y$9,'01_FASTPPH'!$8:$8,0))</f>
        <v>#N/A</v>
      </c>
      <c r="AA246" s="32" t="e">
        <f>INDEX('02_PROPERTIES'!$C$10:$I$1048576,MATCH('03_CALCULATIONS'!$D246,'02_PROPERTIES'!$C$10:$C$1048576,0),MATCH('03_CALCULATIONS'!AA$9,'02_PROPERTIES'!$C$10:$I$10,0))</f>
        <v>#N/A</v>
      </c>
      <c r="AB246" s="20" t="e">
        <f>INDEX('02_PROPERTIES'!$C$10:$I$1048576,MATCH('03_CALCULATIONS'!$D246,'02_PROPERTIES'!$C$10:$C$1048576,0),MATCH('03_CALCULATIONS'!AB$9,'02_PROPERTIES'!$C$10:$I$10,0))</f>
        <v>#N/A</v>
      </c>
      <c r="AC246" s="20" t="e">
        <f>INDEX('02_PROPERTIES'!$C$10:$I$1048576,MATCH('03_CALCULATIONS'!$D246,'02_PROPERTIES'!$C$10:$C$1048576,0),MATCH('03_CALCULATIONS'!AC$9,'02_PROPERTIES'!$C$10:$I$10,0))</f>
        <v>#N/A</v>
      </c>
      <c r="AD246" s="20" t="e">
        <f>INDEX('02_PROPERTIES'!$C$10:$I$1048576,MATCH('03_CALCULATIONS'!$D246,'02_PROPERTIES'!$C$10:$C$1048576,0),MATCH('03_CALCULATIONS'!AD$9,'02_PROPERTIES'!$C$10:$I$10,0))</f>
        <v>#N/A</v>
      </c>
      <c r="AE246" s="32" t="e">
        <f>INDEX('02_PROPERTIES'!$C$10:$I$1048576,MATCH('03_CALCULATIONS'!$D246,'02_PROPERTIES'!$C$10:$C$1048576,0),MATCH('03_CALCULATIONS'!AE$9,'02_PROPERTIES'!$C$10:$I$10,0))</f>
        <v>#N/A</v>
      </c>
      <c r="AF246" s="32" t="e">
        <f>INDEX('02_PROPERTIES'!$C$10:$I$1048576,MATCH('03_CALCULATIONS'!$D246,'02_PROPERTIES'!$C$10:$C$1048576,0),MATCH('03_CALCULATIONS'!AF$9,'02_PROPERTIES'!$C$10:$I$10,0))</f>
        <v>#N/A</v>
      </c>
      <c r="AH246" s="20" t="e">
        <f t="shared" si="33"/>
        <v>#N/A</v>
      </c>
      <c r="AI246" s="20" t="e">
        <f t="shared" si="34"/>
        <v>#N/A</v>
      </c>
      <c r="AJ246" s="20" t="e">
        <f t="shared" si="35"/>
        <v>#N/A</v>
      </c>
      <c r="AL246" s="20" t="e">
        <f t="shared" si="36"/>
        <v>#N/A</v>
      </c>
      <c r="AM246" s="20" t="e">
        <f t="shared" si="37"/>
        <v>#N/A</v>
      </c>
      <c r="AN246" s="20" t="e">
        <f t="shared" si="38"/>
        <v>#N/A</v>
      </c>
      <c r="AO246" s="20" t="e">
        <f t="shared" si="39"/>
        <v>#N/A</v>
      </c>
      <c r="AP246" s="20" t="e">
        <f t="shared" si="40"/>
        <v>#N/A</v>
      </c>
      <c r="AR246" s="20" t="e">
        <f t="shared" si="41"/>
        <v>#N/A</v>
      </c>
      <c r="AS246" s="20" t="e">
        <f t="shared" si="42"/>
        <v>#N/A</v>
      </c>
      <c r="AT246" s="20" t="e">
        <f t="shared" si="43"/>
        <v>#N/A</v>
      </c>
    </row>
    <row r="247" spans="1:46" x14ac:dyDescent="0.3">
      <c r="A247" s="18"/>
      <c r="B247" s="20" t="e">
        <f>INDEX('01_FASTPPH'!$9:$1048576,MATCH($A247,'01_FASTPPH'!$A$9:$A$1048576,0),MATCH(B$9,'01_FASTPPH'!$8:$8,0))</f>
        <v>#N/A</v>
      </c>
      <c r="C247" s="20" t="e">
        <f>INDEX('01_FASTPPH'!$9:$1048576,MATCH($A247,'01_FASTPPH'!$A$9:$A$1048576,0),MATCH(C$9,'01_FASTPPH'!$8:$8,0))</f>
        <v>#N/A</v>
      </c>
      <c r="D247" s="20" t="e">
        <f>INDEX('01_FASTPPH'!$9:$1048576,MATCH($A247,'01_FASTPPH'!$A$9:$A$1048576,0),MATCH(D$9,'01_FASTPPH'!$8:$8,0))</f>
        <v>#N/A</v>
      </c>
      <c r="E247" s="20" t="e">
        <f>INDEX('01_FASTPPH'!$9:$1048576,MATCH($A247,'01_FASTPPH'!$A$9:$A$1048576,0),MATCH(E$9,'01_FASTPPH'!$8:$8,0))</f>
        <v>#N/A</v>
      </c>
      <c r="F247" s="20" t="e">
        <f>INDEX('01_FASTPPH'!$9:$1048576,MATCH($A247,'01_FASTPPH'!$A$9:$A$1048576,0),MATCH(F$9,'01_FASTPPH'!$8:$8,0))</f>
        <v>#N/A</v>
      </c>
      <c r="G247" s="20" t="e">
        <f>INDEX('01_FASTPPH'!$9:$1048576,MATCH($A247,'01_FASTPPH'!$A$9:$A$1048576,0),MATCH(G$9,'01_FASTPPH'!$8:$8,0))</f>
        <v>#N/A</v>
      </c>
      <c r="H247" s="20" t="e">
        <f>INDEX('01_FASTPPH'!$9:$1048576,MATCH($A247,'01_FASTPPH'!$A$9:$A$1048576,0),MATCH(H$9,'01_FASTPPH'!$8:$8,0))</f>
        <v>#N/A</v>
      </c>
      <c r="I247" s="20" t="e">
        <f>INDEX('01_FASTPPH'!$9:$1048576,MATCH($A247,'01_FASTPPH'!$A$9:$A$1048576,0),MATCH(I$9,'01_FASTPPH'!$8:$8,0))</f>
        <v>#N/A</v>
      </c>
      <c r="J247" s="20" t="e">
        <f>INDEX('01_FASTPPH'!$9:$1048576,MATCH($A247,'01_FASTPPH'!$A$9:$A$1048576,0),MATCH(J$9,'01_FASTPPH'!$8:$8,0))</f>
        <v>#N/A</v>
      </c>
      <c r="K247" s="23" t="e">
        <f>INDEX('01_FASTPPH'!$9:$1048576,MATCH($A247,'01_FASTPPH'!$A$9:$A$1048576,0),MATCH(K$9,'01_FASTPPH'!$8:$8,0))</f>
        <v>#N/A</v>
      </c>
      <c r="L247" s="20" t="e">
        <f>INDEX('01_FASTPPH'!$9:$1048576,MATCH($A247,'01_FASTPPH'!$A$9:$A$1048576,0),MATCH(L$9,'01_FASTPPH'!$8:$8,0))</f>
        <v>#N/A</v>
      </c>
      <c r="M247" s="20" t="e">
        <f>INDEX('01_FASTPPH'!$9:$1048576,MATCH($A247,'01_FASTPPH'!$A$9:$A$1048576,0),MATCH(M$9,'01_FASTPPH'!$8:$8,0))</f>
        <v>#N/A</v>
      </c>
      <c r="N247" s="24" t="e">
        <f>INDEX('01_FASTPPH'!$9:$1048576,MATCH($A247,'01_FASTPPH'!$A$9:$A$1048576,0),MATCH(N$9,'01_FASTPPH'!$8:$8,0))</f>
        <v>#N/A</v>
      </c>
      <c r="O247" s="23" t="e">
        <f>INDEX('01_FASTPPH'!$9:$1048576,MATCH($A247,'01_FASTPPH'!$A$9:$A$1048576,0),MATCH(O$9,'01_FASTPPH'!$8:$8,0))</f>
        <v>#N/A</v>
      </c>
      <c r="P247" s="20" t="e">
        <f>INDEX('01_FASTPPH'!$9:$1048576,MATCH($A247,'01_FASTPPH'!$A$9:$A$1048576,0),MATCH(P$9,'01_FASTPPH'!$8:$8,0))</f>
        <v>#N/A</v>
      </c>
      <c r="Q247" s="20" t="e">
        <f>INDEX('01_FASTPPH'!$9:$1048576,MATCH($A247,'01_FASTPPH'!$A$9:$A$1048576,0),MATCH(Q$9,'01_FASTPPH'!$8:$8,0))</f>
        <v>#N/A</v>
      </c>
      <c r="R247" s="20" t="e">
        <f>INDEX('01_FASTPPH'!$9:$1048576,MATCH($A247,'01_FASTPPH'!$A$9:$A$1048576,0),MATCH(R$9,'01_FASTPPH'!$8:$8,0))</f>
        <v>#N/A</v>
      </c>
      <c r="S247" s="20" t="e">
        <f>INDEX('01_FASTPPH'!$9:$1048576,MATCH($A247,'01_FASTPPH'!$A$9:$A$1048576,0),MATCH(S$9,'01_FASTPPH'!$8:$8,0))</f>
        <v>#N/A</v>
      </c>
      <c r="T247" s="24" t="e">
        <f>INDEX('01_FASTPPH'!$9:$1048576,MATCH($A247,'01_FASTPPH'!$A$9:$A$1048576,0),MATCH(T$9,'01_FASTPPH'!$8:$8,0))</f>
        <v>#N/A</v>
      </c>
      <c r="U247" s="23" t="e">
        <f>INDEX('01_FASTPPH'!$9:$1048576,MATCH($A247,'01_FASTPPH'!$A$9:$A$1048576,0),MATCH(U$9,'01_FASTPPH'!$8:$8,0))</f>
        <v>#N/A</v>
      </c>
      <c r="V247" s="20" t="e">
        <f>INDEX('01_FASTPPH'!$9:$1048576,MATCH($A247,'01_FASTPPH'!$A$9:$A$1048576,0),MATCH(V$9,'01_FASTPPH'!$8:$8,0))</f>
        <v>#N/A</v>
      </c>
      <c r="W247" s="24" t="e">
        <f>INDEX('01_FASTPPH'!$9:$1048576,MATCH($A247,'01_FASTPPH'!$A$9:$A$1048576,0),MATCH(W$9,'01_FASTPPH'!$8:$8,0))</f>
        <v>#N/A</v>
      </c>
      <c r="X247" s="20" t="e">
        <f>INDEX('01_FASTPPH'!$9:$1048576,MATCH($A247,'01_FASTPPH'!$A$9:$A$1048576,0),MATCH(X$9,'01_FASTPPH'!$8:$8,0))</f>
        <v>#N/A</v>
      </c>
      <c r="Y247" s="20" t="e">
        <f>INDEX('01_FASTPPH'!$9:$1048576,MATCH($A247,'01_FASTPPH'!$A$9:$A$1048576,0),MATCH(Y$9,'01_FASTPPH'!$8:$8,0))</f>
        <v>#N/A</v>
      </c>
      <c r="AA247" s="32" t="e">
        <f>INDEX('02_PROPERTIES'!$C$10:$I$1048576,MATCH('03_CALCULATIONS'!$D247,'02_PROPERTIES'!$C$10:$C$1048576,0),MATCH('03_CALCULATIONS'!AA$9,'02_PROPERTIES'!$C$10:$I$10,0))</f>
        <v>#N/A</v>
      </c>
      <c r="AB247" s="20" t="e">
        <f>INDEX('02_PROPERTIES'!$C$10:$I$1048576,MATCH('03_CALCULATIONS'!$D247,'02_PROPERTIES'!$C$10:$C$1048576,0),MATCH('03_CALCULATIONS'!AB$9,'02_PROPERTIES'!$C$10:$I$10,0))</f>
        <v>#N/A</v>
      </c>
      <c r="AC247" s="20" t="e">
        <f>INDEX('02_PROPERTIES'!$C$10:$I$1048576,MATCH('03_CALCULATIONS'!$D247,'02_PROPERTIES'!$C$10:$C$1048576,0),MATCH('03_CALCULATIONS'!AC$9,'02_PROPERTIES'!$C$10:$I$10,0))</f>
        <v>#N/A</v>
      </c>
      <c r="AD247" s="20" t="e">
        <f>INDEX('02_PROPERTIES'!$C$10:$I$1048576,MATCH('03_CALCULATIONS'!$D247,'02_PROPERTIES'!$C$10:$C$1048576,0),MATCH('03_CALCULATIONS'!AD$9,'02_PROPERTIES'!$C$10:$I$10,0))</f>
        <v>#N/A</v>
      </c>
      <c r="AE247" s="32" t="e">
        <f>INDEX('02_PROPERTIES'!$C$10:$I$1048576,MATCH('03_CALCULATIONS'!$D247,'02_PROPERTIES'!$C$10:$C$1048576,0),MATCH('03_CALCULATIONS'!AE$9,'02_PROPERTIES'!$C$10:$I$10,0))</f>
        <v>#N/A</v>
      </c>
      <c r="AF247" s="32" t="e">
        <f>INDEX('02_PROPERTIES'!$C$10:$I$1048576,MATCH('03_CALCULATIONS'!$D247,'02_PROPERTIES'!$C$10:$C$1048576,0),MATCH('03_CALCULATIONS'!AF$9,'02_PROPERTIES'!$C$10:$I$10,0))</f>
        <v>#N/A</v>
      </c>
      <c r="AH247" s="20" t="e">
        <f t="shared" si="33"/>
        <v>#N/A</v>
      </c>
      <c r="AI247" s="20" t="e">
        <f t="shared" si="34"/>
        <v>#N/A</v>
      </c>
      <c r="AJ247" s="20" t="e">
        <f t="shared" si="35"/>
        <v>#N/A</v>
      </c>
      <c r="AL247" s="20" t="e">
        <f t="shared" si="36"/>
        <v>#N/A</v>
      </c>
      <c r="AM247" s="20" t="e">
        <f t="shared" si="37"/>
        <v>#N/A</v>
      </c>
      <c r="AN247" s="20" t="e">
        <f t="shared" si="38"/>
        <v>#N/A</v>
      </c>
      <c r="AO247" s="20" t="e">
        <f t="shared" si="39"/>
        <v>#N/A</v>
      </c>
      <c r="AP247" s="20" t="e">
        <f t="shared" si="40"/>
        <v>#N/A</v>
      </c>
      <c r="AR247" s="20" t="e">
        <f t="shared" si="41"/>
        <v>#N/A</v>
      </c>
      <c r="AS247" s="20" t="e">
        <f t="shared" si="42"/>
        <v>#N/A</v>
      </c>
      <c r="AT247" s="20" t="e">
        <f t="shared" si="43"/>
        <v>#N/A</v>
      </c>
    </row>
    <row r="248" spans="1:46" x14ac:dyDescent="0.3">
      <c r="A248" s="18"/>
      <c r="B248" s="20" t="e">
        <f>INDEX('01_FASTPPH'!$9:$1048576,MATCH($A248,'01_FASTPPH'!$A$9:$A$1048576,0),MATCH(B$9,'01_FASTPPH'!$8:$8,0))</f>
        <v>#N/A</v>
      </c>
      <c r="C248" s="20" t="e">
        <f>INDEX('01_FASTPPH'!$9:$1048576,MATCH($A248,'01_FASTPPH'!$A$9:$A$1048576,0),MATCH(C$9,'01_FASTPPH'!$8:$8,0))</f>
        <v>#N/A</v>
      </c>
      <c r="D248" s="20" t="e">
        <f>INDEX('01_FASTPPH'!$9:$1048576,MATCH($A248,'01_FASTPPH'!$A$9:$A$1048576,0),MATCH(D$9,'01_FASTPPH'!$8:$8,0))</f>
        <v>#N/A</v>
      </c>
      <c r="E248" s="20" t="e">
        <f>INDEX('01_FASTPPH'!$9:$1048576,MATCH($A248,'01_FASTPPH'!$A$9:$A$1048576,0),MATCH(E$9,'01_FASTPPH'!$8:$8,0))</f>
        <v>#N/A</v>
      </c>
      <c r="F248" s="20" t="e">
        <f>INDEX('01_FASTPPH'!$9:$1048576,MATCH($A248,'01_FASTPPH'!$A$9:$A$1048576,0),MATCH(F$9,'01_FASTPPH'!$8:$8,0))</f>
        <v>#N/A</v>
      </c>
      <c r="G248" s="20" t="e">
        <f>INDEX('01_FASTPPH'!$9:$1048576,MATCH($A248,'01_FASTPPH'!$A$9:$A$1048576,0),MATCH(G$9,'01_FASTPPH'!$8:$8,0))</f>
        <v>#N/A</v>
      </c>
      <c r="H248" s="20" t="e">
        <f>INDEX('01_FASTPPH'!$9:$1048576,MATCH($A248,'01_FASTPPH'!$A$9:$A$1048576,0),MATCH(H$9,'01_FASTPPH'!$8:$8,0))</f>
        <v>#N/A</v>
      </c>
      <c r="I248" s="20" t="e">
        <f>INDEX('01_FASTPPH'!$9:$1048576,MATCH($A248,'01_FASTPPH'!$A$9:$A$1048576,0),MATCH(I$9,'01_FASTPPH'!$8:$8,0))</f>
        <v>#N/A</v>
      </c>
      <c r="J248" s="20" t="e">
        <f>INDEX('01_FASTPPH'!$9:$1048576,MATCH($A248,'01_FASTPPH'!$A$9:$A$1048576,0),MATCH(J$9,'01_FASTPPH'!$8:$8,0))</f>
        <v>#N/A</v>
      </c>
      <c r="K248" s="23" t="e">
        <f>INDEX('01_FASTPPH'!$9:$1048576,MATCH($A248,'01_FASTPPH'!$A$9:$A$1048576,0),MATCH(K$9,'01_FASTPPH'!$8:$8,0))</f>
        <v>#N/A</v>
      </c>
      <c r="L248" s="20" t="e">
        <f>INDEX('01_FASTPPH'!$9:$1048576,MATCH($A248,'01_FASTPPH'!$A$9:$A$1048576,0),MATCH(L$9,'01_FASTPPH'!$8:$8,0))</f>
        <v>#N/A</v>
      </c>
      <c r="M248" s="20" t="e">
        <f>INDEX('01_FASTPPH'!$9:$1048576,MATCH($A248,'01_FASTPPH'!$A$9:$A$1048576,0),MATCH(M$9,'01_FASTPPH'!$8:$8,0))</f>
        <v>#N/A</v>
      </c>
      <c r="N248" s="24" t="e">
        <f>INDEX('01_FASTPPH'!$9:$1048576,MATCH($A248,'01_FASTPPH'!$A$9:$A$1048576,0),MATCH(N$9,'01_FASTPPH'!$8:$8,0))</f>
        <v>#N/A</v>
      </c>
      <c r="O248" s="23" t="e">
        <f>INDEX('01_FASTPPH'!$9:$1048576,MATCH($A248,'01_FASTPPH'!$A$9:$A$1048576,0),MATCH(O$9,'01_FASTPPH'!$8:$8,0))</f>
        <v>#N/A</v>
      </c>
      <c r="P248" s="20" t="e">
        <f>INDEX('01_FASTPPH'!$9:$1048576,MATCH($A248,'01_FASTPPH'!$A$9:$A$1048576,0),MATCH(P$9,'01_FASTPPH'!$8:$8,0))</f>
        <v>#N/A</v>
      </c>
      <c r="Q248" s="20" t="e">
        <f>INDEX('01_FASTPPH'!$9:$1048576,MATCH($A248,'01_FASTPPH'!$A$9:$A$1048576,0),MATCH(Q$9,'01_FASTPPH'!$8:$8,0))</f>
        <v>#N/A</v>
      </c>
      <c r="R248" s="20" t="e">
        <f>INDEX('01_FASTPPH'!$9:$1048576,MATCH($A248,'01_FASTPPH'!$A$9:$A$1048576,0),MATCH(R$9,'01_FASTPPH'!$8:$8,0))</f>
        <v>#N/A</v>
      </c>
      <c r="S248" s="20" t="e">
        <f>INDEX('01_FASTPPH'!$9:$1048576,MATCH($A248,'01_FASTPPH'!$A$9:$A$1048576,0),MATCH(S$9,'01_FASTPPH'!$8:$8,0))</f>
        <v>#N/A</v>
      </c>
      <c r="T248" s="24" t="e">
        <f>INDEX('01_FASTPPH'!$9:$1048576,MATCH($A248,'01_FASTPPH'!$A$9:$A$1048576,0),MATCH(T$9,'01_FASTPPH'!$8:$8,0))</f>
        <v>#N/A</v>
      </c>
      <c r="U248" s="23" t="e">
        <f>INDEX('01_FASTPPH'!$9:$1048576,MATCH($A248,'01_FASTPPH'!$A$9:$A$1048576,0),MATCH(U$9,'01_FASTPPH'!$8:$8,0))</f>
        <v>#N/A</v>
      </c>
      <c r="V248" s="20" t="e">
        <f>INDEX('01_FASTPPH'!$9:$1048576,MATCH($A248,'01_FASTPPH'!$A$9:$A$1048576,0),MATCH(V$9,'01_FASTPPH'!$8:$8,0))</f>
        <v>#N/A</v>
      </c>
      <c r="W248" s="24" t="e">
        <f>INDEX('01_FASTPPH'!$9:$1048576,MATCH($A248,'01_FASTPPH'!$A$9:$A$1048576,0),MATCH(W$9,'01_FASTPPH'!$8:$8,0))</f>
        <v>#N/A</v>
      </c>
      <c r="X248" s="20" t="e">
        <f>INDEX('01_FASTPPH'!$9:$1048576,MATCH($A248,'01_FASTPPH'!$A$9:$A$1048576,0),MATCH(X$9,'01_FASTPPH'!$8:$8,0))</f>
        <v>#N/A</v>
      </c>
      <c r="Y248" s="20" t="e">
        <f>INDEX('01_FASTPPH'!$9:$1048576,MATCH($A248,'01_FASTPPH'!$A$9:$A$1048576,0),MATCH(Y$9,'01_FASTPPH'!$8:$8,0))</f>
        <v>#N/A</v>
      </c>
      <c r="AA248" s="32" t="e">
        <f>INDEX('02_PROPERTIES'!$C$10:$I$1048576,MATCH('03_CALCULATIONS'!$D248,'02_PROPERTIES'!$C$10:$C$1048576,0),MATCH('03_CALCULATIONS'!AA$9,'02_PROPERTIES'!$C$10:$I$10,0))</f>
        <v>#N/A</v>
      </c>
      <c r="AB248" s="20" t="e">
        <f>INDEX('02_PROPERTIES'!$C$10:$I$1048576,MATCH('03_CALCULATIONS'!$D248,'02_PROPERTIES'!$C$10:$C$1048576,0),MATCH('03_CALCULATIONS'!AB$9,'02_PROPERTIES'!$C$10:$I$10,0))</f>
        <v>#N/A</v>
      </c>
      <c r="AC248" s="20" t="e">
        <f>INDEX('02_PROPERTIES'!$C$10:$I$1048576,MATCH('03_CALCULATIONS'!$D248,'02_PROPERTIES'!$C$10:$C$1048576,0),MATCH('03_CALCULATIONS'!AC$9,'02_PROPERTIES'!$C$10:$I$10,0))</f>
        <v>#N/A</v>
      </c>
      <c r="AD248" s="20" t="e">
        <f>INDEX('02_PROPERTIES'!$C$10:$I$1048576,MATCH('03_CALCULATIONS'!$D248,'02_PROPERTIES'!$C$10:$C$1048576,0),MATCH('03_CALCULATIONS'!AD$9,'02_PROPERTIES'!$C$10:$I$10,0))</f>
        <v>#N/A</v>
      </c>
      <c r="AE248" s="32" t="e">
        <f>INDEX('02_PROPERTIES'!$C$10:$I$1048576,MATCH('03_CALCULATIONS'!$D248,'02_PROPERTIES'!$C$10:$C$1048576,0),MATCH('03_CALCULATIONS'!AE$9,'02_PROPERTIES'!$C$10:$I$10,0))</f>
        <v>#N/A</v>
      </c>
      <c r="AF248" s="32" t="e">
        <f>INDEX('02_PROPERTIES'!$C$10:$I$1048576,MATCH('03_CALCULATIONS'!$D248,'02_PROPERTIES'!$C$10:$C$1048576,0),MATCH('03_CALCULATIONS'!AF$9,'02_PROPERTIES'!$C$10:$I$10,0))</f>
        <v>#N/A</v>
      </c>
      <c r="AH248" s="20" t="e">
        <f t="shared" si="33"/>
        <v>#N/A</v>
      </c>
      <c r="AI248" s="20" t="e">
        <f t="shared" si="34"/>
        <v>#N/A</v>
      </c>
      <c r="AJ248" s="20" t="e">
        <f t="shared" si="35"/>
        <v>#N/A</v>
      </c>
      <c r="AL248" s="20" t="e">
        <f t="shared" si="36"/>
        <v>#N/A</v>
      </c>
      <c r="AM248" s="20" t="e">
        <f t="shared" si="37"/>
        <v>#N/A</v>
      </c>
      <c r="AN248" s="20" t="e">
        <f t="shared" si="38"/>
        <v>#N/A</v>
      </c>
      <c r="AO248" s="20" t="e">
        <f t="shared" si="39"/>
        <v>#N/A</v>
      </c>
      <c r="AP248" s="20" t="e">
        <f t="shared" si="40"/>
        <v>#N/A</v>
      </c>
      <c r="AR248" s="20" t="e">
        <f t="shared" si="41"/>
        <v>#N/A</v>
      </c>
      <c r="AS248" s="20" t="e">
        <f t="shared" si="42"/>
        <v>#N/A</v>
      </c>
      <c r="AT248" s="20" t="e">
        <f t="shared" si="43"/>
        <v>#N/A</v>
      </c>
    </row>
    <row r="249" spans="1:46" x14ac:dyDescent="0.3">
      <c r="A249" s="18"/>
      <c r="B249" s="20" t="e">
        <f>INDEX('01_FASTPPH'!$9:$1048576,MATCH($A249,'01_FASTPPH'!$A$9:$A$1048576,0),MATCH(B$9,'01_FASTPPH'!$8:$8,0))</f>
        <v>#N/A</v>
      </c>
      <c r="C249" s="20" t="e">
        <f>INDEX('01_FASTPPH'!$9:$1048576,MATCH($A249,'01_FASTPPH'!$A$9:$A$1048576,0),MATCH(C$9,'01_FASTPPH'!$8:$8,0))</f>
        <v>#N/A</v>
      </c>
      <c r="D249" s="20" t="e">
        <f>INDEX('01_FASTPPH'!$9:$1048576,MATCH($A249,'01_FASTPPH'!$A$9:$A$1048576,0),MATCH(D$9,'01_FASTPPH'!$8:$8,0))</f>
        <v>#N/A</v>
      </c>
      <c r="E249" s="20" t="e">
        <f>INDEX('01_FASTPPH'!$9:$1048576,MATCH($A249,'01_FASTPPH'!$A$9:$A$1048576,0),MATCH(E$9,'01_FASTPPH'!$8:$8,0))</f>
        <v>#N/A</v>
      </c>
      <c r="F249" s="20" t="e">
        <f>INDEX('01_FASTPPH'!$9:$1048576,MATCH($A249,'01_FASTPPH'!$A$9:$A$1048576,0),MATCH(F$9,'01_FASTPPH'!$8:$8,0))</f>
        <v>#N/A</v>
      </c>
      <c r="G249" s="20" t="e">
        <f>INDEX('01_FASTPPH'!$9:$1048576,MATCH($A249,'01_FASTPPH'!$A$9:$A$1048576,0),MATCH(G$9,'01_FASTPPH'!$8:$8,0))</f>
        <v>#N/A</v>
      </c>
      <c r="H249" s="20" t="e">
        <f>INDEX('01_FASTPPH'!$9:$1048576,MATCH($A249,'01_FASTPPH'!$A$9:$A$1048576,0),MATCH(H$9,'01_FASTPPH'!$8:$8,0))</f>
        <v>#N/A</v>
      </c>
      <c r="I249" s="20" t="e">
        <f>INDEX('01_FASTPPH'!$9:$1048576,MATCH($A249,'01_FASTPPH'!$A$9:$A$1048576,0),MATCH(I$9,'01_FASTPPH'!$8:$8,0))</f>
        <v>#N/A</v>
      </c>
      <c r="J249" s="20" t="e">
        <f>INDEX('01_FASTPPH'!$9:$1048576,MATCH($A249,'01_FASTPPH'!$A$9:$A$1048576,0),MATCH(J$9,'01_FASTPPH'!$8:$8,0))</f>
        <v>#N/A</v>
      </c>
      <c r="K249" s="23" t="e">
        <f>INDEX('01_FASTPPH'!$9:$1048576,MATCH($A249,'01_FASTPPH'!$A$9:$A$1048576,0),MATCH(K$9,'01_FASTPPH'!$8:$8,0))</f>
        <v>#N/A</v>
      </c>
      <c r="L249" s="20" t="e">
        <f>INDEX('01_FASTPPH'!$9:$1048576,MATCH($A249,'01_FASTPPH'!$A$9:$A$1048576,0),MATCH(L$9,'01_FASTPPH'!$8:$8,0))</f>
        <v>#N/A</v>
      </c>
      <c r="M249" s="20" t="e">
        <f>INDEX('01_FASTPPH'!$9:$1048576,MATCH($A249,'01_FASTPPH'!$A$9:$A$1048576,0),MATCH(M$9,'01_FASTPPH'!$8:$8,0))</f>
        <v>#N/A</v>
      </c>
      <c r="N249" s="24" t="e">
        <f>INDEX('01_FASTPPH'!$9:$1048576,MATCH($A249,'01_FASTPPH'!$A$9:$A$1048576,0),MATCH(N$9,'01_FASTPPH'!$8:$8,0))</f>
        <v>#N/A</v>
      </c>
      <c r="O249" s="23" t="e">
        <f>INDEX('01_FASTPPH'!$9:$1048576,MATCH($A249,'01_FASTPPH'!$A$9:$A$1048576,0),MATCH(O$9,'01_FASTPPH'!$8:$8,0))</f>
        <v>#N/A</v>
      </c>
      <c r="P249" s="20" t="e">
        <f>INDEX('01_FASTPPH'!$9:$1048576,MATCH($A249,'01_FASTPPH'!$A$9:$A$1048576,0),MATCH(P$9,'01_FASTPPH'!$8:$8,0))</f>
        <v>#N/A</v>
      </c>
      <c r="Q249" s="20" t="e">
        <f>INDEX('01_FASTPPH'!$9:$1048576,MATCH($A249,'01_FASTPPH'!$A$9:$A$1048576,0),MATCH(Q$9,'01_FASTPPH'!$8:$8,0))</f>
        <v>#N/A</v>
      </c>
      <c r="R249" s="20" t="e">
        <f>INDEX('01_FASTPPH'!$9:$1048576,MATCH($A249,'01_FASTPPH'!$A$9:$A$1048576,0),MATCH(R$9,'01_FASTPPH'!$8:$8,0))</f>
        <v>#N/A</v>
      </c>
      <c r="S249" s="20" t="e">
        <f>INDEX('01_FASTPPH'!$9:$1048576,MATCH($A249,'01_FASTPPH'!$A$9:$A$1048576,0),MATCH(S$9,'01_FASTPPH'!$8:$8,0))</f>
        <v>#N/A</v>
      </c>
      <c r="T249" s="24" t="e">
        <f>INDEX('01_FASTPPH'!$9:$1048576,MATCH($A249,'01_FASTPPH'!$A$9:$A$1048576,0),MATCH(T$9,'01_FASTPPH'!$8:$8,0))</f>
        <v>#N/A</v>
      </c>
      <c r="U249" s="23" t="e">
        <f>INDEX('01_FASTPPH'!$9:$1048576,MATCH($A249,'01_FASTPPH'!$A$9:$A$1048576,0),MATCH(U$9,'01_FASTPPH'!$8:$8,0))</f>
        <v>#N/A</v>
      </c>
      <c r="V249" s="20" t="e">
        <f>INDEX('01_FASTPPH'!$9:$1048576,MATCH($A249,'01_FASTPPH'!$A$9:$A$1048576,0),MATCH(V$9,'01_FASTPPH'!$8:$8,0))</f>
        <v>#N/A</v>
      </c>
      <c r="W249" s="24" t="e">
        <f>INDEX('01_FASTPPH'!$9:$1048576,MATCH($A249,'01_FASTPPH'!$A$9:$A$1048576,0),MATCH(W$9,'01_FASTPPH'!$8:$8,0))</f>
        <v>#N/A</v>
      </c>
      <c r="X249" s="20" t="e">
        <f>INDEX('01_FASTPPH'!$9:$1048576,MATCH($A249,'01_FASTPPH'!$A$9:$A$1048576,0),MATCH(X$9,'01_FASTPPH'!$8:$8,0))</f>
        <v>#N/A</v>
      </c>
      <c r="Y249" s="20" t="e">
        <f>INDEX('01_FASTPPH'!$9:$1048576,MATCH($A249,'01_FASTPPH'!$A$9:$A$1048576,0),MATCH(Y$9,'01_FASTPPH'!$8:$8,0))</f>
        <v>#N/A</v>
      </c>
      <c r="AA249" s="32" t="e">
        <f>INDEX('02_PROPERTIES'!$C$10:$I$1048576,MATCH('03_CALCULATIONS'!$D249,'02_PROPERTIES'!$C$10:$C$1048576,0),MATCH('03_CALCULATIONS'!AA$9,'02_PROPERTIES'!$C$10:$I$10,0))</f>
        <v>#N/A</v>
      </c>
      <c r="AB249" s="20" t="e">
        <f>INDEX('02_PROPERTIES'!$C$10:$I$1048576,MATCH('03_CALCULATIONS'!$D249,'02_PROPERTIES'!$C$10:$C$1048576,0),MATCH('03_CALCULATIONS'!AB$9,'02_PROPERTIES'!$C$10:$I$10,0))</f>
        <v>#N/A</v>
      </c>
      <c r="AC249" s="20" t="e">
        <f>INDEX('02_PROPERTIES'!$C$10:$I$1048576,MATCH('03_CALCULATIONS'!$D249,'02_PROPERTIES'!$C$10:$C$1048576,0),MATCH('03_CALCULATIONS'!AC$9,'02_PROPERTIES'!$C$10:$I$10,0))</f>
        <v>#N/A</v>
      </c>
      <c r="AD249" s="20" t="e">
        <f>INDEX('02_PROPERTIES'!$C$10:$I$1048576,MATCH('03_CALCULATIONS'!$D249,'02_PROPERTIES'!$C$10:$C$1048576,0),MATCH('03_CALCULATIONS'!AD$9,'02_PROPERTIES'!$C$10:$I$10,0))</f>
        <v>#N/A</v>
      </c>
      <c r="AE249" s="32" t="e">
        <f>INDEX('02_PROPERTIES'!$C$10:$I$1048576,MATCH('03_CALCULATIONS'!$D249,'02_PROPERTIES'!$C$10:$C$1048576,0),MATCH('03_CALCULATIONS'!AE$9,'02_PROPERTIES'!$C$10:$I$10,0))</f>
        <v>#N/A</v>
      </c>
      <c r="AF249" s="32" t="e">
        <f>INDEX('02_PROPERTIES'!$C$10:$I$1048576,MATCH('03_CALCULATIONS'!$D249,'02_PROPERTIES'!$C$10:$C$1048576,0),MATCH('03_CALCULATIONS'!AF$9,'02_PROPERTIES'!$C$10:$I$10,0))</f>
        <v>#N/A</v>
      </c>
      <c r="AH249" s="20" t="e">
        <f t="shared" si="33"/>
        <v>#N/A</v>
      </c>
      <c r="AI249" s="20" t="e">
        <f t="shared" si="34"/>
        <v>#N/A</v>
      </c>
      <c r="AJ249" s="20" t="e">
        <f t="shared" si="35"/>
        <v>#N/A</v>
      </c>
      <c r="AL249" s="20" t="e">
        <f t="shared" si="36"/>
        <v>#N/A</v>
      </c>
      <c r="AM249" s="20" t="e">
        <f t="shared" si="37"/>
        <v>#N/A</v>
      </c>
      <c r="AN249" s="20" t="e">
        <f t="shared" si="38"/>
        <v>#N/A</v>
      </c>
      <c r="AO249" s="20" t="e">
        <f t="shared" si="39"/>
        <v>#N/A</v>
      </c>
      <c r="AP249" s="20" t="e">
        <f t="shared" si="40"/>
        <v>#N/A</v>
      </c>
      <c r="AR249" s="20" t="e">
        <f t="shared" si="41"/>
        <v>#N/A</v>
      </c>
      <c r="AS249" s="20" t="e">
        <f t="shared" si="42"/>
        <v>#N/A</v>
      </c>
      <c r="AT249" s="20" t="e">
        <f t="shared" si="43"/>
        <v>#N/A</v>
      </c>
    </row>
    <row r="250" spans="1:46" x14ac:dyDescent="0.3">
      <c r="A250" s="18"/>
      <c r="B250" s="20" t="e">
        <f>INDEX('01_FASTPPH'!$9:$1048576,MATCH($A250,'01_FASTPPH'!$A$9:$A$1048576,0),MATCH(B$9,'01_FASTPPH'!$8:$8,0))</f>
        <v>#N/A</v>
      </c>
      <c r="C250" s="20" t="e">
        <f>INDEX('01_FASTPPH'!$9:$1048576,MATCH($A250,'01_FASTPPH'!$A$9:$A$1048576,0),MATCH(C$9,'01_FASTPPH'!$8:$8,0))</f>
        <v>#N/A</v>
      </c>
      <c r="D250" s="20" t="e">
        <f>INDEX('01_FASTPPH'!$9:$1048576,MATCH($A250,'01_FASTPPH'!$A$9:$A$1048576,0),MATCH(D$9,'01_FASTPPH'!$8:$8,0))</f>
        <v>#N/A</v>
      </c>
      <c r="E250" s="20" t="e">
        <f>INDEX('01_FASTPPH'!$9:$1048576,MATCH($A250,'01_FASTPPH'!$A$9:$A$1048576,0),MATCH(E$9,'01_FASTPPH'!$8:$8,0))</f>
        <v>#N/A</v>
      </c>
      <c r="F250" s="20" t="e">
        <f>INDEX('01_FASTPPH'!$9:$1048576,MATCH($A250,'01_FASTPPH'!$A$9:$A$1048576,0),MATCH(F$9,'01_FASTPPH'!$8:$8,0))</f>
        <v>#N/A</v>
      </c>
      <c r="G250" s="20" t="e">
        <f>INDEX('01_FASTPPH'!$9:$1048576,MATCH($A250,'01_FASTPPH'!$A$9:$A$1048576,0),MATCH(G$9,'01_FASTPPH'!$8:$8,0))</f>
        <v>#N/A</v>
      </c>
      <c r="H250" s="20" t="e">
        <f>INDEX('01_FASTPPH'!$9:$1048576,MATCH($A250,'01_FASTPPH'!$A$9:$A$1048576,0),MATCH(H$9,'01_FASTPPH'!$8:$8,0))</f>
        <v>#N/A</v>
      </c>
      <c r="I250" s="20" t="e">
        <f>INDEX('01_FASTPPH'!$9:$1048576,MATCH($A250,'01_FASTPPH'!$A$9:$A$1048576,0),MATCH(I$9,'01_FASTPPH'!$8:$8,0))</f>
        <v>#N/A</v>
      </c>
      <c r="J250" s="20" t="e">
        <f>INDEX('01_FASTPPH'!$9:$1048576,MATCH($A250,'01_FASTPPH'!$A$9:$A$1048576,0),MATCH(J$9,'01_FASTPPH'!$8:$8,0))</f>
        <v>#N/A</v>
      </c>
      <c r="K250" s="23" t="e">
        <f>INDEX('01_FASTPPH'!$9:$1048576,MATCH($A250,'01_FASTPPH'!$A$9:$A$1048576,0),MATCH(K$9,'01_FASTPPH'!$8:$8,0))</f>
        <v>#N/A</v>
      </c>
      <c r="L250" s="20" t="e">
        <f>INDEX('01_FASTPPH'!$9:$1048576,MATCH($A250,'01_FASTPPH'!$A$9:$A$1048576,0),MATCH(L$9,'01_FASTPPH'!$8:$8,0))</f>
        <v>#N/A</v>
      </c>
      <c r="M250" s="20" t="e">
        <f>INDEX('01_FASTPPH'!$9:$1048576,MATCH($A250,'01_FASTPPH'!$A$9:$A$1048576,0),MATCH(M$9,'01_FASTPPH'!$8:$8,0))</f>
        <v>#N/A</v>
      </c>
      <c r="N250" s="24" t="e">
        <f>INDEX('01_FASTPPH'!$9:$1048576,MATCH($A250,'01_FASTPPH'!$A$9:$A$1048576,0),MATCH(N$9,'01_FASTPPH'!$8:$8,0))</f>
        <v>#N/A</v>
      </c>
      <c r="O250" s="23" t="e">
        <f>INDEX('01_FASTPPH'!$9:$1048576,MATCH($A250,'01_FASTPPH'!$A$9:$A$1048576,0),MATCH(O$9,'01_FASTPPH'!$8:$8,0))</f>
        <v>#N/A</v>
      </c>
      <c r="P250" s="20" t="e">
        <f>INDEX('01_FASTPPH'!$9:$1048576,MATCH($A250,'01_FASTPPH'!$A$9:$A$1048576,0),MATCH(P$9,'01_FASTPPH'!$8:$8,0))</f>
        <v>#N/A</v>
      </c>
      <c r="Q250" s="20" t="e">
        <f>INDEX('01_FASTPPH'!$9:$1048576,MATCH($A250,'01_FASTPPH'!$A$9:$A$1048576,0),MATCH(Q$9,'01_FASTPPH'!$8:$8,0))</f>
        <v>#N/A</v>
      </c>
      <c r="R250" s="20" t="e">
        <f>INDEX('01_FASTPPH'!$9:$1048576,MATCH($A250,'01_FASTPPH'!$A$9:$A$1048576,0),MATCH(R$9,'01_FASTPPH'!$8:$8,0))</f>
        <v>#N/A</v>
      </c>
      <c r="S250" s="20" t="e">
        <f>INDEX('01_FASTPPH'!$9:$1048576,MATCH($A250,'01_FASTPPH'!$A$9:$A$1048576,0),MATCH(S$9,'01_FASTPPH'!$8:$8,0))</f>
        <v>#N/A</v>
      </c>
      <c r="T250" s="24" t="e">
        <f>INDEX('01_FASTPPH'!$9:$1048576,MATCH($A250,'01_FASTPPH'!$A$9:$A$1048576,0),MATCH(T$9,'01_FASTPPH'!$8:$8,0))</f>
        <v>#N/A</v>
      </c>
      <c r="U250" s="23" t="e">
        <f>INDEX('01_FASTPPH'!$9:$1048576,MATCH($A250,'01_FASTPPH'!$A$9:$A$1048576,0),MATCH(U$9,'01_FASTPPH'!$8:$8,0))</f>
        <v>#N/A</v>
      </c>
      <c r="V250" s="20" t="e">
        <f>INDEX('01_FASTPPH'!$9:$1048576,MATCH($A250,'01_FASTPPH'!$A$9:$A$1048576,0),MATCH(V$9,'01_FASTPPH'!$8:$8,0))</f>
        <v>#N/A</v>
      </c>
      <c r="W250" s="24" t="e">
        <f>INDEX('01_FASTPPH'!$9:$1048576,MATCH($A250,'01_FASTPPH'!$A$9:$A$1048576,0),MATCH(W$9,'01_FASTPPH'!$8:$8,0))</f>
        <v>#N/A</v>
      </c>
      <c r="X250" s="20" t="e">
        <f>INDEX('01_FASTPPH'!$9:$1048576,MATCH($A250,'01_FASTPPH'!$A$9:$A$1048576,0),MATCH(X$9,'01_FASTPPH'!$8:$8,0))</f>
        <v>#N/A</v>
      </c>
      <c r="Y250" s="20" t="e">
        <f>INDEX('01_FASTPPH'!$9:$1048576,MATCH($A250,'01_FASTPPH'!$A$9:$A$1048576,0),MATCH(Y$9,'01_FASTPPH'!$8:$8,0))</f>
        <v>#N/A</v>
      </c>
      <c r="AA250" s="32" t="e">
        <f>INDEX('02_PROPERTIES'!$C$10:$I$1048576,MATCH('03_CALCULATIONS'!$D250,'02_PROPERTIES'!$C$10:$C$1048576,0),MATCH('03_CALCULATIONS'!AA$9,'02_PROPERTIES'!$C$10:$I$10,0))</f>
        <v>#N/A</v>
      </c>
      <c r="AB250" s="20" t="e">
        <f>INDEX('02_PROPERTIES'!$C$10:$I$1048576,MATCH('03_CALCULATIONS'!$D250,'02_PROPERTIES'!$C$10:$C$1048576,0),MATCH('03_CALCULATIONS'!AB$9,'02_PROPERTIES'!$C$10:$I$10,0))</f>
        <v>#N/A</v>
      </c>
      <c r="AC250" s="20" t="e">
        <f>INDEX('02_PROPERTIES'!$C$10:$I$1048576,MATCH('03_CALCULATIONS'!$D250,'02_PROPERTIES'!$C$10:$C$1048576,0),MATCH('03_CALCULATIONS'!AC$9,'02_PROPERTIES'!$C$10:$I$10,0))</f>
        <v>#N/A</v>
      </c>
      <c r="AD250" s="20" t="e">
        <f>INDEX('02_PROPERTIES'!$C$10:$I$1048576,MATCH('03_CALCULATIONS'!$D250,'02_PROPERTIES'!$C$10:$C$1048576,0),MATCH('03_CALCULATIONS'!AD$9,'02_PROPERTIES'!$C$10:$I$10,0))</f>
        <v>#N/A</v>
      </c>
      <c r="AE250" s="32" t="e">
        <f>INDEX('02_PROPERTIES'!$C$10:$I$1048576,MATCH('03_CALCULATIONS'!$D250,'02_PROPERTIES'!$C$10:$C$1048576,0),MATCH('03_CALCULATIONS'!AE$9,'02_PROPERTIES'!$C$10:$I$10,0))</f>
        <v>#N/A</v>
      </c>
      <c r="AF250" s="32" t="e">
        <f>INDEX('02_PROPERTIES'!$C$10:$I$1048576,MATCH('03_CALCULATIONS'!$D250,'02_PROPERTIES'!$C$10:$C$1048576,0),MATCH('03_CALCULATIONS'!AF$9,'02_PROPERTIES'!$C$10:$I$10,0))</f>
        <v>#N/A</v>
      </c>
      <c r="AH250" s="20" t="e">
        <f t="shared" si="33"/>
        <v>#N/A</v>
      </c>
      <c r="AI250" s="20" t="e">
        <f t="shared" si="34"/>
        <v>#N/A</v>
      </c>
      <c r="AJ250" s="20" t="e">
        <f t="shared" si="35"/>
        <v>#N/A</v>
      </c>
      <c r="AL250" s="20" t="e">
        <f t="shared" si="36"/>
        <v>#N/A</v>
      </c>
      <c r="AM250" s="20" t="e">
        <f t="shared" si="37"/>
        <v>#N/A</v>
      </c>
      <c r="AN250" s="20" t="e">
        <f t="shared" si="38"/>
        <v>#N/A</v>
      </c>
      <c r="AO250" s="20" t="e">
        <f t="shared" si="39"/>
        <v>#N/A</v>
      </c>
      <c r="AP250" s="20" t="e">
        <f t="shared" si="40"/>
        <v>#N/A</v>
      </c>
      <c r="AR250" s="20" t="e">
        <f t="shared" si="41"/>
        <v>#N/A</v>
      </c>
      <c r="AS250" s="20" t="e">
        <f t="shared" si="42"/>
        <v>#N/A</v>
      </c>
      <c r="AT250" s="20" t="e">
        <f t="shared" si="43"/>
        <v>#N/A</v>
      </c>
    </row>
    <row r="251" spans="1:46" x14ac:dyDescent="0.3">
      <c r="A251" s="18"/>
      <c r="B251" s="20" t="e">
        <f>INDEX('01_FASTPPH'!$9:$1048576,MATCH($A251,'01_FASTPPH'!$A$9:$A$1048576,0),MATCH(B$9,'01_FASTPPH'!$8:$8,0))</f>
        <v>#N/A</v>
      </c>
      <c r="C251" s="20" t="e">
        <f>INDEX('01_FASTPPH'!$9:$1048576,MATCH($A251,'01_FASTPPH'!$A$9:$A$1048576,0),MATCH(C$9,'01_FASTPPH'!$8:$8,0))</f>
        <v>#N/A</v>
      </c>
      <c r="D251" s="20" t="e">
        <f>INDEX('01_FASTPPH'!$9:$1048576,MATCH($A251,'01_FASTPPH'!$A$9:$A$1048576,0),MATCH(D$9,'01_FASTPPH'!$8:$8,0))</f>
        <v>#N/A</v>
      </c>
      <c r="E251" s="20" t="e">
        <f>INDEX('01_FASTPPH'!$9:$1048576,MATCH($A251,'01_FASTPPH'!$A$9:$A$1048576,0),MATCH(E$9,'01_FASTPPH'!$8:$8,0))</f>
        <v>#N/A</v>
      </c>
      <c r="F251" s="20" t="e">
        <f>INDEX('01_FASTPPH'!$9:$1048576,MATCH($A251,'01_FASTPPH'!$A$9:$A$1048576,0),MATCH(F$9,'01_FASTPPH'!$8:$8,0))</f>
        <v>#N/A</v>
      </c>
      <c r="G251" s="20" t="e">
        <f>INDEX('01_FASTPPH'!$9:$1048576,MATCH($A251,'01_FASTPPH'!$A$9:$A$1048576,0),MATCH(G$9,'01_FASTPPH'!$8:$8,0))</f>
        <v>#N/A</v>
      </c>
      <c r="H251" s="20" t="e">
        <f>INDEX('01_FASTPPH'!$9:$1048576,MATCH($A251,'01_FASTPPH'!$A$9:$A$1048576,0),MATCH(H$9,'01_FASTPPH'!$8:$8,0))</f>
        <v>#N/A</v>
      </c>
      <c r="I251" s="20" t="e">
        <f>INDEX('01_FASTPPH'!$9:$1048576,MATCH($A251,'01_FASTPPH'!$A$9:$A$1048576,0),MATCH(I$9,'01_FASTPPH'!$8:$8,0))</f>
        <v>#N/A</v>
      </c>
      <c r="J251" s="20" t="e">
        <f>INDEX('01_FASTPPH'!$9:$1048576,MATCH($A251,'01_FASTPPH'!$A$9:$A$1048576,0),MATCH(J$9,'01_FASTPPH'!$8:$8,0))</f>
        <v>#N/A</v>
      </c>
      <c r="K251" s="23" t="e">
        <f>INDEX('01_FASTPPH'!$9:$1048576,MATCH($A251,'01_FASTPPH'!$A$9:$A$1048576,0),MATCH(K$9,'01_FASTPPH'!$8:$8,0))</f>
        <v>#N/A</v>
      </c>
      <c r="L251" s="20" t="e">
        <f>INDEX('01_FASTPPH'!$9:$1048576,MATCH($A251,'01_FASTPPH'!$A$9:$A$1048576,0),MATCH(L$9,'01_FASTPPH'!$8:$8,0))</f>
        <v>#N/A</v>
      </c>
      <c r="M251" s="20" t="e">
        <f>INDEX('01_FASTPPH'!$9:$1048576,MATCH($A251,'01_FASTPPH'!$A$9:$A$1048576,0),MATCH(M$9,'01_FASTPPH'!$8:$8,0))</f>
        <v>#N/A</v>
      </c>
      <c r="N251" s="24" t="e">
        <f>INDEX('01_FASTPPH'!$9:$1048576,MATCH($A251,'01_FASTPPH'!$A$9:$A$1048576,0),MATCH(N$9,'01_FASTPPH'!$8:$8,0))</f>
        <v>#N/A</v>
      </c>
      <c r="O251" s="23" t="e">
        <f>INDEX('01_FASTPPH'!$9:$1048576,MATCH($A251,'01_FASTPPH'!$A$9:$A$1048576,0),MATCH(O$9,'01_FASTPPH'!$8:$8,0))</f>
        <v>#N/A</v>
      </c>
      <c r="P251" s="20" t="e">
        <f>INDEX('01_FASTPPH'!$9:$1048576,MATCH($A251,'01_FASTPPH'!$A$9:$A$1048576,0),MATCH(P$9,'01_FASTPPH'!$8:$8,0))</f>
        <v>#N/A</v>
      </c>
      <c r="Q251" s="20" t="e">
        <f>INDEX('01_FASTPPH'!$9:$1048576,MATCH($A251,'01_FASTPPH'!$A$9:$A$1048576,0),MATCH(Q$9,'01_FASTPPH'!$8:$8,0))</f>
        <v>#N/A</v>
      </c>
      <c r="R251" s="20" t="e">
        <f>INDEX('01_FASTPPH'!$9:$1048576,MATCH($A251,'01_FASTPPH'!$A$9:$A$1048576,0),MATCH(R$9,'01_FASTPPH'!$8:$8,0))</f>
        <v>#N/A</v>
      </c>
      <c r="S251" s="20" t="e">
        <f>INDEX('01_FASTPPH'!$9:$1048576,MATCH($A251,'01_FASTPPH'!$A$9:$A$1048576,0),MATCH(S$9,'01_FASTPPH'!$8:$8,0))</f>
        <v>#N/A</v>
      </c>
      <c r="T251" s="24" t="e">
        <f>INDEX('01_FASTPPH'!$9:$1048576,MATCH($A251,'01_FASTPPH'!$A$9:$A$1048576,0),MATCH(T$9,'01_FASTPPH'!$8:$8,0))</f>
        <v>#N/A</v>
      </c>
      <c r="U251" s="23" t="e">
        <f>INDEX('01_FASTPPH'!$9:$1048576,MATCH($A251,'01_FASTPPH'!$A$9:$A$1048576,0),MATCH(U$9,'01_FASTPPH'!$8:$8,0))</f>
        <v>#N/A</v>
      </c>
      <c r="V251" s="20" t="e">
        <f>INDEX('01_FASTPPH'!$9:$1048576,MATCH($A251,'01_FASTPPH'!$A$9:$A$1048576,0),MATCH(V$9,'01_FASTPPH'!$8:$8,0))</f>
        <v>#N/A</v>
      </c>
      <c r="W251" s="24" t="e">
        <f>INDEX('01_FASTPPH'!$9:$1048576,MATCH($A251,'01_FASTPPH'!$A$9:$A$1048576,0),MATCH(W$9,'01_FASTPPH'!$8:$8,0))</f>
        <v>#N/A</v>
      </c>
      <c r="X251" s="20" t="e">
        <f>INDEX('01_FASTPPH'!$9:$1048576,MATCH($A251,'01_FASTPPH'!$A$9:$A$1048576,0),MATCH(X$9,'01_FASTPPH'!$8:$8,0))</f>
        <v>#N/A</v>
      </c>
      <c r="Y251" s="20" t="e">
        <f>INDEX('01_FASTPPH'!$9:$1048576,MATCH($A251,'01_FASTPPH'!$A$9:$A$1048576,0),MATCH(Y$9,'01_FASTPPH'!$8:$8,0))</f>
        <v>#N/A</v>
      </c>
      <c r="AA251" s="32" t="e">
        <f>INDEX('02_PROPERTIES'!$C$10:$I$1048576,MATCH('03_CALCULATIONS'!$D251,'02_PROPERTIES'!$C$10:$C$1048576,0),MATCH('03_CALCULATIONS'!AA$9,'02_PROPERTIES'!$C$10:$I$10,0))</f>
        <v>#N/A</v>
      </c>
      <c r="AB251" s="20" t="e">
        <f>INDEX('02_PROPERTIES'!$C$10:$I$1048576,MATCH('03_CALCULATIONS'!$D251,'02_PROPERTIES'!$C$10:$C$1048576,0),MATCH('03_CALCULATIONS'!AB$9,'02_PROPERTIES'!$C$10:$I$10,0))</f>
        <v>#N/A</v>
      </c>
      <c r="AC251" s="20" t="e">
        <f>INDEX('02_PROPERTIES'!$C$10:$I$1048576,MATCH('03_CALCULATIONS'!$D251,'02_PROPERTIES'!$C$10:$C$1048576,0),MATCH('03_CALCULATIONS'!AC$9,'02_PROPERTIES'!$C$10:$I$10,0))</f>
        <v>#N/A</v>
      </c>
      <c r="AD251" s="20" t="e">
        <f>INDEX('02_PROPERTIES'!$C$10:$I$1048576,MATCH('03_CALCULATIONS'!$D251,'02_PROPERTIES'!$C$10:$C$1048576,0),MATCH('03_CALCULATIONS'!AD$9,'02_PROPERTIES'!$C$10:$I$10,0))</f>
        <v>#N/A</v>
      </c>
      <c r="AE251" s="32" t="e">
        <f>INDEX('02_PROPERTIES'!$C$10:$I$1048576,MATCH('03_CALCULATIONS'!$D251,'02_PROPERTIES'!$C$10:$C$1048576,0),MATCH('03_CALCULATIONS'!AE$9,'02_PROPERTIES'!$C$10:$I$10,0))</f>
        <v>#N/A</v>
      </c>
      <c r="AF251" s="32" t="e">
        <f>INDEX('02_PROPERTIES'!$C$10:$I$1048576,MATCH('03_CALCULATIONS'!$D251,'02_PROPERTIES'!$C$10:$C$1048576,0),MATCH('03_CALCULATIONS'!AF$9,'02_PROPERTIES'!$C$10:$I$10,0))</f>
        <v>#N/A</v>
      </c>
      <c r="AH251" s="20" t="e">
        <f t="shared" si="33"/>
        <v>#N/A</v>
      </c>
      <c r="AI251" s="20" t="e">
        <f t="shared" si="34"/>
        <v>#N/A</v>
      </c>
      <c r="AJ251" s="20" t="e">
        <f t="shared" si="35"/>
        <v>#N/A</v>
      </c>
      <c r="AL251" s="20" t="e">
        <f t="shared" si="36"/>
        <v>#N/A</v>
      </c>
      <c r="AM251" s="20" t="e">
        <f t="shared" si="37"/>
        <v>#N/A</v>
      </c>
      <c r="AN251" s="20" t="e">
        <f t="shared" si="38"/>
        <v>#N/A</v>
      </c>
      <c r="AO251" s="20" t="e">
        <f t="shared" si="39"/>
        <v>#N/A</v>
      </c>
      <c r="AP251" s="20" t="e">
        <f t="shared" si="40"/>
        <v>#N/A</v>
      </c>
      <c r="AR251" s="20" t="e">
        <f t="shared" si="41"/>
        <v>#N/A</v>
      </c>
      <c r="AS251" s="20" t="e">
        <f t="shared" si="42"/>
        <v>#N/A</v>
      </c>
      <c r="AT251" s="20" t="e">
        <f t="shared" si="43"/>
        <v>#N/A</v>
      </c>
    </row>
    <row r="252" spans="1:46" x14ac:dyDescent="0.3">
      <c r="A252" s="18"/>
      <c r="B252" s="20" t="e">
        <f>INDEX('01_FASTPPH'!$9:$1048576,MATCH($A252,'01_FASTPPH'!$A$9:$A$1048576,0),MATCH(B$9,'01_FASTPPH'!$8:$8,0))</f>
        <v>#N/A</v>
      </c>
      <c r="C252" s="20" t="e">
        <f>INDEX('01_FASTPPH'!$9:$1048576,MATCH($A252,'01_FASTPPH'!$A$9:$A$1048576,0),MATCH(C$9,'01_FASTPPH'!$8:$8,0))</f>
        <v>#N/A</v>
      </c>
      <c r="D252" s="20" t="e">
        <f>INDEX('01_FASTPPH'!$9:$1048576,MATCH($A252,'01_FASTPPH'!$A$9:$A$1048576,0),MATCH(D$9,'01_FASTPPH'!$8:$8,0))</f>
        <v>#N/A</v>
      </c>
      <c r="E252" s="20" t="e">
        <f>INDEX('01_FASTPPH'!$9:$1048576,MATCH($A252,'01_FASTPPH'!$A$9:$A$1048576,0),MATCH(E$9,'01_FASTPPH'!$8:$8,0))</f>
        <v>#N/A</v>
      </c>
      <c r="F252" s="20" t="e">
        <f>INDEX('01_FASTPPH'!$9:$1048576,MATCH($A252,'01_FASTPPH'!$A$9:$A$1048576,0),MATCH(F$9,'01_FASTPPH'!$8:$8,0))</f>
        <v>#N/A</v>
      </c>
      <c r="G252" s="20" t="e">
        <f>INDEX('01_FASTPPH'!$9:$1048576,MATCH($A252,'01_FASTPPH'!$A$9:$A$1048576,0),MATCH(G$9,'01_FASTPPH'!$8:$8,0))</f>
        <v>#N/A</v>
      </c>
      <c r="H252" s="20" t="e">
        <f>INDEX('01_FASTPPH'!$9:$1048576,MATCH($A252,'01_FASTPPH'!$A$9:$A$1048576,0),MATCH(H$9,'01_FASTPPH'!$8:$8,0))</f>
        <v>#N/A</v>
      </c>
      <c r="I252" s="20" t="e">
        <f>INDEX('01_FASTPPH'!$9:$1048576,MATCH($A252,'01_FASTPPH'!$A$9:$A$1048576,0),MATCH(I$9,'01_FASTPPH'!$8:$8,0))</f>
        <v>#N/A</v>
      </c>
      <c r="J252" s="20" t="e">
        <f>INDEX('01_FASTPPH'!$9:$1048576,MATCH($A252,'01_FASTPPH'!$A$9:$A$1048576,0),MATCH(J$9,'01_FASTPPH'!$8:$8,0))</f>
        <v>#N/A</v>
      </c>
      <c r="K252" s="23" t="e">
        <f>INDEX('01_FASTPPH'!$9:$1048576,MATCH($A252,'01_FASTPPH'!$A$9:$A$1048576,0),MATCH(K$9,'01_FASTPPH'!$8:$8,0))</f>
        <v>#N/A</v>
      </c>
      <c r="L252" s="20" t="e">
        <f>INDEX('01_FASTPPH'!$9:$1048576,MATCH($A252,'01_FASTPPH'!$A$9:$A$1048576,0),MATCH(L$9,'01_FASTPPH'!$8:$8,0))</f>
        <v>#N/A</v>
      </c>
      <c r="M252" s="20" t="e">
        <f>INDEX('01_FASTPPH'!$9:$1048576,MATCH($A252,'01_FASTPPH'!$A$9:$A$1048576,0),MATCH(M$9,'01_FASTPPH'!$8:$8,0))</f>
        <v>#N/A</v>
      </c>
      <c r="N252" s="24" t="e">
        <f>INDEX('01_FASTPPH'!$9:$1048576,MATCH($A252,'01_FASTPPH'!$A$9:$A$1048576,0),MATCH(N$9,'01_FASTPPH'!$8:$8,0))</f>
        <v>#N/A</v>
      </c>
      <c r="O252" s="23" t="e">
        <f>INDEX('01_FASTPPH'!$9:$1048576,MATCH($A252,'01_FASTPPH'!$A$9:$A$1048576,0),MATCH(O$9,'01_FASTPPH'!$8:$8,0))</f>
        <v>#N/A</v>
      </c>
      <c r="P252" s="20" t="e">
        <f>INDEX('01_FASTPPH'!$9:$1048576,MATCH($A252,'01_FASTPPH'!$A$9:$A$1048576,0),MATCH(P$9,'01_FASTPPH'!$8:$8,0))</f>
        <v>#N/A</v>
      </c>
      <c r="Q252" s="20" t="e">
        <f>INDEX('01_FASTPPH'!$9:$1048576,MATCH($A252,'01_FASTPPH'!$A$9:$A$1048576,0),MATCH(Q$9,'01_FASTPPH'!$8:$8,0))</f>
        <v>#N/A</v>
      </c>
      <c r="R252" s="20" t="e">
        <f>INDEX('01_FASTPPH'!$9:$1048576,MATCH($A252,'01_FASTPPH'!$A$9:$A$1048576,0),MATCH(R$9,'01_FASTPPH'!$8:$8,0))</f>
        <v>#N/A</v>
      </c>
      <c r="S252" s="20" t="e">
        <f>INDEX('01_FASTPPH'!$9:$1048576,MATCH($A252,'01_FASTPPH'!$A$9:$A$1048576,0),MATCH(S$9,'01_FASTPPH'!$8:$8,0))</f>
        <v>#N/A</v>
      </c>
      <c r="T252" s="24" t="e">
        <f>INDEX('01_FASTPPH'!$9:$1048576,MATCH($A252,'01_FASTPPH'!$A$9:$A$1048576,0),MATCH(T$9,'01_FASTPPH'!$8:$8,0))</f>
        <v>#N/A</v>
      </c>
      <c r="U252" s="23" t="e">
        <f>INDEX('01_FASTPPH'!$9:$1048576,MATCH($A252,'01_FASTPPH'!$A$9:$A$1048576,0),MATCH(U$9,'01_FASTPPH'!$8:$8,0))</f>
        <v>#N/A</v>
      </c>
      <c r="V252" s="20" t="e">
        <f>INDEX('01_FASTPPH'!$9:$1048576,MATCH($A252,'01_FASTPPH'!$A$9:$A$1048576,0),MATCH(V$9,'01_FASTPPH'!$8:$8,0))</f>
        <v>#N/A</v>
      </c>
      <c r="W252" s="24" t="e">
        <f>INDEX('01_FASTPPH'!$9:$1048576,MATCH($A252,'01_FASTPPH'!$A$9:$A$1048576,0),MATCH(W$9,'01_FASTPPH'!$8:$8,0))</f>
        <v>#N/A</v>
      </c>
      <c r="X252" s="20" t="e">
        <f>INDEX('01_FASTPPH'!$9:$1048576,MATCH($A252,'01_FASTPPH'!$A$9:$A$1048576,0),MATCH(X$9,'01_FASTPPH'!$8:$8,0))</f>
        <v>#N/A</v>
      </c>
      <c r="Y252" s="20" t="e">
        <f>INDEX('01_FASTPPH'!$9:$1048576,MATCH($A252,'01_FASTPPH'!$A$9:$A$1048576,0),MATCH(Y$9,'01_FASTPPH'!$8:$8,0))</f>
        <v>#N/A</v>
      </c>
      <c r="AA252" s="32" t="e">
        <f>INDEX('02_PROPERTIES'!$C$10:$I$1048576,MATCH('03_CALCULATIONS'!$D252,'02_PROPERTIES'!$C$10:$C$1048576,0),MATCH('03_CALCULATIONS'!AA$9,'02_PROPERTIES'!$C$10:$I$10,0))</f>
        <v>#N/A</v>
      </c>
      <c r="AB252" s="20" t="e">
        <f>INDEX('02_PROPERTIES'!$C$10:$I$1048576,MATCH('03_CALCULATIONS'!$D252,'02_PROPERTIES'!$C$10:$C$1048576,0),MATCH('03_CALCULATIONS'!AB$9,'02_PROPERTIES'!$C$10:$I$10,0))</f>
        <v>#N/A</v>
      </c>
      <c r="AC252" s="20" t="e">
        <f>INDEX('02_PROPERTIES'!$C$10:$I$1048576,MATCH('03_CALCULATIONS'!$D252,'02_PROPERTIES'!$C$10:$C$1048576,0),MATCH('03_CALCULATIONS'!AC$9,'02_PROPERTIES'!$C$10:$I$10,0))</f>
        <v>#N/A</v>
      </c>
      <c r="AD252" s="20" t="e">
        <f>INDEX('02_PROPERTIES'!$C$10:$I$1048576,MATCH('03_CALCULATIONS'!$D252,'02_PROPERTIES'!$C$10:$C$1048576,0),MATCH('03_CALCULATIONS'!AD$9,'02_PROPERTIES'!$C$10:$I$10,0))</f>
        <v>#N/A</v>
      </c>
      <c r="AE252" s="32" t="e">
        <f>INDEX('02_PROPERTIES'!$C$10:$I$1048576,MATCH('03_CALCULATIONS'!$D252,'02_PROPERTIES'!$C$10:$C$1048576,0),MATCH('03_CALCULATIONS'!AE$9,'02_PROPERTIES'!$C$10:$I$10,0))</f>
        <v>#N/A</v>
      </c>
      <c r="AF252" s="32" t="e">
        <f>INDEX('02_PROPERTIES'!$C$10:$I$1048576,MATCH('03_CALCULATIONS'!$D252,'02_PROPERTIES'!$C$10:$C$1048576,0),MATCH('03_CALCULATIONS'!AF$9,'02_PROPERTIES'!$C$10:$I$10,0))</f>
        <v>#N/A</v>
      </c>
      <c r="AH252" s="20" t="e">
        <f t="shared" si="33"/>
        <v>#N/A</v>
      </c>
      <c r="AI252" s="20" t="e">
        <f t="shared" si="34"/>
        <v>#N/A</v>
      </c>
      <c r="AJ252" s="20" t="e">
        <f t="shared" si="35"/>
        <v>#N/A</v>
      </c>
      <c r="AL252" s="20" t="e">
        <f t="shared" si="36"/>
        <v>#N/A</v>
      </c>
      <c r="AM252" s="20" t="e">
        <f t="shared" si="37"/>
        <v>#N/A</v>
      </c>
      <c r="AN252" s="20" t="e">
        <f t="shared" si="38"/>
        <v>#N/A</v>
      </c>
      <c r="AO252" s="20" t="e">
        <f t="shared" si="39"/>
        <v>#N/A</v>
      </c>
      <c r="AP252" s="20" t="e">
        <f t="shared" si="40"/>
        <v>#N/A</v>
      </c>
      <c r="AR252" s="20" t="e">
        <f t="shared" si="41"/>
        <v>#N/A</v>
      </c>
      <c r="AS252" s="20" t="e">
        <f t="shared" si="42"/>
        <v>#N/A</v>
      </c>
      <c r="AT252" s="20" t="e">
        <f t="shared" si="43"/>
        <v>#N/A</v>
      </c>
    </row>
    <row r="253" spans="1:46" x14ac:dyDescent="0.3">
      <c r="A253" s="18"/>
      <c r="B253" s="20" t="e">
        <f>INDEX('01_FASTPPH'!$9:$1048576,MATCH($A253,'01_FASTPPH'!$A$9:$A$1048576,0),MATCH(B$9,'01_FASTPPH'!$8:$8,0))</f>
        <v>#N/A</v>
      </c>
      <c r="C253" s="20" t="e">
        <f>INDEX('01_FASTPPH'!$9:$1048576,MATCH($A253,'01_FASTPPH'!$A$9:$A$1048576,0),MATCH(C$9,'01_FASTPPH'!$8:$8,0))</f>
        <v>#N/A</v>
      </c>
      <c r="D253" s="20" t="e">
        <f>INDEX('01_FASTPPH'!$9:$1048576,MATCH($A253,'01_FASTPPH'!$A$9:$A$1048576,0),MATCH(D$9,'01_FASTPPH'!$8:$8,0))</f>
        <v>#N/A</v>
      </c>
      <c r="E253" s="20" t="e">
        <f>INDEX('01_FASTPPH'!$9:$1048576,MATCH($A253,'01_FASTPPH'!$A$9:$A$1048576,0),MATCH(E$9,'01_FASTPPH'!$8:$8,0))</f>
        <v>#N/A</v>
      </c>
      <c r="F253" s="20" t="e">
        <f>INDEX('01_FASTPPH'!$9:$1048576,MATCH($A253,'01_FASTPPH'!$A$9:$A$1048576,0),MATCH(F$9,'01_FASTPPH'!$8:$8,0))</f>
        <v>#N/A</v>
      </c>
      <c r="G253" s="20" t="e">
        <f>INDEX('01_FASTPPH'!$9:$1048576,MATCH($A253,'01_FASTPPH'!$A$9:$A$1048576,0),MATCH(G$9,'01_FASTPPH'!$8:$8,0))</f>
        <v>#N/A</v>
      </c>
      <c r="H253" s="20" t="e">
        <f>INDEX('01_FASTPPH'!$9:$1048576,MATCH($A253,'01_FASTPPH'!$A$9:$A$1048576,0),MATCH(H$9,'01_FASTPPH'!$8:$8,0))</f>
        <v>#N/A</v>
      </c>
      <c r="I253" s="20" t="e">
        <f>INDEX('01_FASTPPH'!$9:$1048576,MATCH($A253,'01_FASTPPH'!$A$9:$A$1048576,0),MATCH(I$9,'01_FASTPPH'!$8:$8,0))</f>
        <v>#N/A</v>
      </c>
      <c r="J253" s="20" t="e">
        <f>INDEX('01_FASTPPH'!$9:$1048576,MATCH($A253,'01_FASTPPH'!$A$9:$A$1048576,0),MATCH(J$9,'01_FASTPPH'!$8:$8,0))</f>
        <v>#N/A</v>
      </c>
      <c r="K253" s="23" t="e">
        <f>INDEX('01_FASTPPH'!$9:$1048576,MATCH($A253,'01_FASTPPH'!$A$9:$A$1048576,0),MATCH(K$9,'01_FASTPPH'!$8:$8,0))</f>
        <v>#N/A</v>
      </c>
      <c r="L253" s="20" t="e">
        <f>INDEX('01_FASTPPH'!$9:$1048576,MATCH($A253,'01_FASTPPH'!$A$9:$A$1048576,0),MATCH(L$9,'01_FASTPPH'!$8:$8,0))</f>
        <v>#N/A</v>
      </c>
      <c r="M253" s="20" t="e">
        <f>INDEX('01_FASTPPH'!$9:$1048576,MATCH($A253,'01_FASTPPH'!$A$9:$A$1048576,0),MATCH(M$9,'01_FASTPPH'!$8:$8,0))</f>
        <v>#N/A</v>
      </c>
      <c r="N253" s="24" t="e">
        <f>INDEX('01_FASTPPH'!$9:$1048576,MATCH($A253,'01_FASTPPH'!$A$9:$A$1048576,0),MATCH(N$9,'01_FASTPPH'!$8:$8,0))</f>
        <v>#N/A</v>
      </c>
      <c r="O253" s="23" t="e">
        <f>INDEX('01_FASTPPH'!$9:$1048576,MATCH($A253,'01_FASTPPH'!$A$9:$A$1048576,0),MATCH(O$9,'01_FASTPPH'!$8:$8,0))</f>
        <v>#N/A</v>
      </c>
      <c r="P253" s="20" t="e">
        <f>INDEX('01_FASTPPH'!$9:$1048576,MATCH($A253,'01_FASTPPH'!$A$9:$A$1048576,0),MATCH(P$9,'01_FASTPPH'!$8:$8,0))</f>
        <v>#N/A</v>
      </c>
      <c r="Q253" s="20" t="e">
        <f>INDEX('01_FASTPPH'!$9:$1048576,MATCH($A253,'01_FASTPPH'!$A$9:$A$1048576,0),MATCH(Q$9,'01_FASTPPH'!$8:$8,0))</f>
        <v>#N/A</v>
      </c>
      <c r="R253" s="20" t="e">
        <f>INDEX('01_FASTPPH'!$9:$1048576,MATCH($A253,'01_FASTPPH'!$A$9:$A$1048576,0),MATCH(R$9,'01_FASTPPH'!$8:$8,0))</f>
        <v>#N/A</v>
      </c>
      <c r="S253" s="20" t="e">
        <f>INDEX('01_FASTPPH'!$9:$1048576,MATCH($A253,'01_FASTPPH'!$A$9:$A$1048576,0),MATCH(S$9,'01_FASTPPH'!$8:$8,0))</f>
        <v>#N/A</v>
      </c>
      <c r="T253" s="24" t="e">
        <f>INDEX('01_FASTPPH'!$9:$1048576,MATCH($A253,'01_FASTPPH'!$A$9:$A$1048576,0),MATCH(T$9,'01_FASTPPH'!$8:$8,0))</f>
        <v>#N/A</v>
      </c>
      <c r="U253" s="23" t="e">
        <f>INDEX('01_FASTPPH'!$9:$1048576,MATCH($A253,'01_FASTPPH'!$A$9:$A$1048576,0),MATCH(U$9,'01_FASTPPH'!$8:$8,0))</f>
        <v>#N/A</v>
      </c>
      <c r="V253" s="20" t="e">
        <f>INDEX('01_FASTPPH'!$9:$1048576,MATCH($A253,'01_FASTPPH'!$A$9:$A$1048576,0),MATCH(V$9,'01_FASTPPH'!$8:$8,0))</f>
        <v>#N/A</v>
      </c>
      <c r="W253" s="24" t="e">
        <f>INDEX('01_FASTPPH'!$9:$1048576,MATCH($A253,'01_FASTPPH'!$A$9:$A$1048576,0),MATCH(W$9,'01_FASTPPH'!$8:$8,0))</f>
        <v>#N/A</v>
      </c>
      <c r="X253" s="20" t="e">
        <f>INDEX('01_FASTPPH'!$9:$1048576,MATCH($A253,'01_FASTPPH'!$A$9:$A$1048576,0),MATCH(X$9,'01_FASTPPH'!$8:$8,0))</f>
        <v>#N/A</v>
      </c>
      <c r="Y253" s="20" t="e">
        <f>INDEX('01_FASTPPH'!$9:$1048576,MATCH($A253,'01_FASTPPH'!$A$9:$A$1048576,0),MATCH(Y$9,'01_FASTPPH'!$8:$8,0))</f>
        <v>#N/A</v>
      </c>
      <c r="AA253" s="32" t="e">
        <f>INDEX('02_PROPERTIES'!$C$10:$I$1048576,MATCH('03_CALCULATIONS'!$D253,'02_PROPERTIES'!$C$10:$C$1048576,0),MATCH('03_CALCULATIONS'!AA$9,'02_PROPERTIES'!$C$10:$I$10,0))</f>
        <v>#N/A</v>
      </c>
      <c r="AB253" s="20" t="e">
        <f>INDEX('02_PROPERTIES'!$C$10:$I$1048576,MATCH('03_CALCULATIONS'!$D253,'02_PROPERTIES'!$C$10:$C$1048576,0),MATCH('03_CALCULATIONS'!AB$9,'02_PROPERTIES'!$C$10:$I$10,0))</f>
        <v>#N/A</v>
      </c>
      <c r="AC253" s="20" t="e">
        <f>INDEX('02_PROPERTIES'!$C$10:$I$1048576,MATCH('03_CALCULATIONS'!$D253,'02_PROPERTIES'!$C$10:$C$1048576,0),MATCH('03_CALCULATIONS'!AC$9,'02_PROPERTIES'!$C$10:$I$10,0))</f>
        <v>#N/A</v>
      </c>
      <c r="AD253" s="20" t="e">
        <f>INDEX('02_PROPERTIES'!$C$10:$I$1048576,MATCH('03_CALCULATIONS'!$D253,'02_PROPERTIES'!$C$10:$C$1048576,0),MATCH('03_CALCULATIONS'!AD$9,'02_PROPERTIES'!$C$10:$I$10,0))</f>
        <v>#N/A</v>
      </c>
      <c r="AE253" s="32" t="e">
        <f>INDEX('02_PROPERTIES'!$C$10:$I$1048576,MATCH('03_CALCULATIONS'!$D253,'02_PROPERTIES'!$C$10:$C$1048576,0),MATCH('03_CALCULATIONS'!AE$9,'02_PROPERTIES'!$C$10:$I$10,0))</f>
        <v>#N/A</v>
      </c>
      <c r="AF253" s="32" t="e">
        <f>INDEX('02_PROPERTIES'!$C$10:$I$1048576,MATCH('03_CALCULATIONS'!$D253,'02_PROPERTIES'!$C$10:$C$1048576,0),MATCH('03_CALCULATIONS'!AF$9,'02_PROPERTIES'!$C$10:$I$10,0))</f>
        <v>#N/A</v>
      </c>
      <c r="AH253" s="20" t="e">
        <f t="shared" si="33"/>
        <v>#N/A</v>
      </c>
      <c r="AI253" s="20" t="e">
        <f t="shared" si="34"/>
        <v>#N/A</v>
      </c>
      <c r="AJ253" s="20" t="e">
        <f t="shared" si="35"/>
        <v>#N/A</v>
      </c>
      <c r="AL253" s="20" t="e">
        <f t="shared" si="36"/>
        <v>#N/A</v>
      </c>
      <c r="AM253" s="20" t="e">
        <f t="shared" si="37"/>
        <v>#N/A</v>
      </c>
      <c r="AN253" s="20" t="e">
        <f t="shared" si="38"/>
        <v>#N/A</v>
      </c>
      <c r="AO253" s="20" t="e">
        <f t="shared" si="39"/>
        <v>#N/A</v>
      </c>
      <c r="AP253" s="20" t="e">
        <f t="shared" si="40"/>
        <v>#N/A</v>
      </c>
      <c r="AR253" s="20" t="e">
        <f t="shared" si="41"/>
        <v>#N/A</v>
      </c>
      <c r="AS253" s="20" t="e">
        <f t="shared" si="42"/>
        <v>#N/A</v>
      </c>
      <c r="AT253" s="20" t="e">
        <f t="shared" si="43"/>
        <v>#N/A</v>
      </c>
    </row>
    <row r="254" spans="1:46" x14ac:dyDescent="0.3">
      <c r="A254" s="18"/>
      <c r="B254" s="20" t="e">
        <f>INDEX('01_FASTPPH'!$9:$1048576,MATCH($A254,'01_FASTPPH'!$A$9:$A$1048576,0),MATCH(B$9,'01_FASTPPH'!$8:$8,0))</f>
        <v>#N/A</v>
      </c>
      <c r="C254" s="20" t="e">
        <f>INDEX('01_FASTPPH'!$9:$1048576,MATCH($A254,'01_FASTPPH'!$A$9:$A$1048576,0),MATCH(C$9,'01_FASTPPH'!$8:$8,0))</f>
        <v>#N/A</v>
      </c>
      <c r="D254" s="20" t="e">
        <f>INDEX('01_FASTPPH'!$9:$1048576,MATCH($A254,'01_FASTPPH'!$A$9:$A$1048576,0),MATCH(D$9,'01_FASTPPH'!$8:$8,0))</f>
        <v>#N/A</v>
      </c>
      <c r="E254" s="20" t="e">
        <f>INDEX('01_FASTPPH'!$9:$1048576,MATCH($A254,'01_FASTPPH'!$A$9:$A$1048576,0),MATCH(E$9,'01_FASTPPH'!$8:$8,0))</f>
        <v>#N/A</v>
      </c>
      <c r="F254" s="20" t="e">
        <f>INDEX('01_FASTPPH'!$9:$1048576,MATCH($A254,'01_FASTPPH'!$A$9:$A$1048576,0),MATCH(F$9,'01_FASTPPH'!$8:$8,0))</f>
        <v>#N/A</v>
      </c>
      <c r="G254" s="20" t="e">
        <f>INDEX('01_FASTPPH'!$9:$1048576,MATCH($A254,'01_FASTPPH'!$A$9:$A$1048576,0),MATCH(G$9,'01_FASTPPH'!$8:$8,0))</f>
        <v>#N/A</v>
      </c>
      <c r="H254" s="20" t="e">
        <f>INDEX('01_FASTPPH'!$9:$1048576,MATCH($A254,'01_FASTPPH'!$A$9:$A$1048576,0),MATCH(H$9,'01_FASTPPH'!$8:$8,0))</f>
        <v>#N/A</v>
      </c>
      <c r="I254" s="20" t="e">
        <f>INDEX('01_FASTPPH'!$9:$1048576,MATCH($A254,'01_FASTPPH'!$A$9:$A$1048576,0),MATCH(I$9,'01_FASTPPH'!$8:$8,0))</f>
        <v>#N/A</v>
      </c>
      <c r="J254" s="20" t="e">
        <f>INDEX('01_FASTPPH'!$9:$1048576,MATCH($A254,'01_FASTPPH'!$A$9:$A$1048576,0),MATCH(J$9,'01_FASTPPH'!$8:$8,0))</f>
        <v>#N/A</v>
      </c>
      <c r="K254" s="23" t="e">
        <f>INDEX('01_FASTPPH'!$9:$1048576,MATCH($A254,'01_FASTPPH'!$A$9:$A$1048576,0),MATCH(K$9,'01_FASTPPH'!$8:$8,0))</f>
        <v>#N/A</v>
      </c>
      <c r="L254" s="20" t="e">
        <f>INDEX('01_FASTPPH'!$9:$1048576,MATCH($A254,'01_FASTPPH'!$A$9:$A$1048576,0),MATCH(L$9,'01_FASTPPH'!$8:$8,0))</f>
        <v>#N/A</v>
      </c>
      <c r="M254" s="20" t="e">
        <f>INDEX('01_FASTPPH'!$9:$1048576,MATCH($A254,'01_FASTPPH'!$A$9:$A$1048576,0),MATCH(M$9,'01_FASTPPH'!$8:$8,0))</f>
        <v>#N/A</v>
      </c>
      <c r="N254" s="24" t="e">
        <f>INDEX('01_FASTPPH'!$9:$1048576,MATCH($A254,'01_FASTPPH'!$A$9:$A$1048576,0),MATCH(N$9,'01_FASTPPH'!$8:$8,0))</f>
        <v>#N/A</v>
      </c>
      <c r="O254" s="23" t="e">
        <f>INDEX('01_FASTPPH'!$9:$1048576,MATCH($A254,'01_FASTPPH'!$A$9:$A$1048576,0),MATCH(O$9,'01_FASTPPH'!$8:$8,0))</f>
        <v>#N/A</v>
      </c>
      <c r="P254" s="20" t="e">
        <f>INDEX('01_FASTPPH'!$9:$1048576,MATCH($A254,'01_FASTPPH'!$A$9:$A$1048576,0),MATCH(P$9,'01_FASTPPH'!$8:$8,0))</f>
        <v>#N/A</v>
      </c>
      <c r="Q254" s="20" t="e">
        <f>INDEX('01_FASTPPH'!$9:$1048576,MATCH($A254,'01_FASTPPH'!$A$9:$A$1048576,0),MATCH(Q$9,'01_FASTPPH'!$8:$8,0))</f>
        <v>#N/A</v>
      </c>
      <c r="R254" s="20" t="e">
        <f>INDEX('01_FASTPPH'!$9:$1048576,MATCH($A254,'01_FASTPPH'!$A$9:$A$1048576,0),MATCH(R$9,'01_FASTPPH'!$8:$8,0))</f>
        <v>#N/A</v>
      </c>
      <c r="S254" s="20" t="e">
        <f>INDEX('01_FASTPPH'!$9:$1048576,MATCH($A254,'01_FASTPPH'!$A$9:$A$1048576,0),MATCH(S$9,'01_FASTPPH'!$8:$8,0))</f>
        <v>#N/A</v>
      </c>
      <c r="T254" s="24" t="e">
        <f>INDEX('01_FASTPPH'!$9:$1048576,MATCH($A254,'01_FASTPPH'!$A$9:$A$1048576,0),MATCH(T$9,'01_FASTPPH'!$8:$8,0))</f>
        <v>#N/A</v>
      </c>
      <c r="U254" s="23" t="e">
        <f>INDEX('01_FASTPPH'!$9:$1048576,MATCH($A254,'01_FASTPPH'!$A$9:$A$1048576,0),MATCH(U$9,'01_FASTPPH'!$8:$8,0))</f>
        <v>#N/A</v>
      </c>
      <c r="V254" s="20" t="e">
        <f>INDEX('01_FASTPPH'!$9:$1048576,MATCH($A254,'01_FASTPPH'!$A$9:$A$1048576,0),MATCH(V$9,'01_FASTPPH'!$8:$8,0))</f>
        <v>#N/A</v>
      </c>
      <c r="W254" s="24" t="e">
        <f>INDEX('01_FASTPPH'!$9:$1048576,MATCH($A254,'01_FASTPPH'!$A$9:$A$1048576,0),MATCH(W$9,'01_FASTPPH'!$8:$8,0))</f>
        <v>#N/A</v>
      </c>
      <c r="X254" s="20" t="e">
        <f>INDEX('01_FASTPPH'!$9:$1048576,MATCH($A254,'01_FASTPPH'!$A$9:$A$1048576,0),MATCH(X$9,'01_FASTPPH'!$8:$8,0))</f>
        <v>#N/A</v>
      </c>
      <c r="Y254" s="20" t="e">
        <f>INDEX('01_FASTPPH'!$9:$1048576,MATCH($A254,'01_FASTPPH'!$A$9:$A$1048576,0),MATCH(Y$9,'01_FASTPPH'!$8:$8,0))</f>
        <v>#N/A</v>
      </c>
      <c r="AA254" s="32" t="e">
        <f>INDEX('02_PROPERTIES'!$C$10:$I$1048576,MATCH('03_CALCULATIONS'!$D254,'02_PROPERTIES'!$C$10:$C$1048576,0),MATCH('03_CALCULATIONS'!AA$9,'02_PROPERTIES'!$C$10:$I$10,0))</f>
        <v>#N/A</v>
      </c>
      <c r="AB254" s="20" t="e">
        <f>INDEX('02_PROPERTIES'!$C$10:$I$1048576,MATCH('03_CALCULATIONS'!$D254,'02_PROPERTIES'!$C$10:$C$1048576,0),MATCH('03_CALCULATIONS'!AB$9,'02_PROPERTIES'!$C$10:$I$10,0))</f>
        <v>#N/A</v>
      </c>
      <c r="AC254" s="20" t="e">
        <f>INDEX('02_PROPERTIES'!$C$10:$I$1048576,MATCH('03_CALCULATIONS'!$D254,'02_PROPERTIES'!$C$10:$C$1048576,0),MATCH('03_CALCULATIONS'!AC$9,'02_PROPERTIES'!$C$10:$I$10,0))</f>
        <v>#N/A</v>
      </c>
      <c r="AD254" s="20" t="e">
        <f>INDEX('02_PROPERTIES'!$C$10:$I$1048576,MATCH('03_CALCULATIONS'!$D254,'02_PROPERTIES'!$C$10:$C$1048576,0),MATCH('03_CALCULATIONS'!AD$9,'02_PROPERTIES'!$C$10:$I$10,0))</f>
        <v>#N/A</v>
      </c>
      <c r="AE254" s="32" t="e">
        <f>INDEX('02_PROPERTIES'!$C$10:$I$1048576,MATCH('03_CALCULATIONS'!$D254,'02_PROPERTIES'!$C$10:$C$1048576,0),MATCH('03_CALCULATIONS'!AE$9,'02_PROPERTIES'!$C$10:$I$10,0))</f>
        <v>#N/A</v>
      </c>
      <c r="AF254" s="32" t="e">
        <f>INDEX('02_PROPERTIES'!$C$10:$I$1048576,MATCH('03_CALCULATIONS'!$D254,'02_PROPERTIES'!$C$10:$C$1048576,0),MATCH('03_CALCULATIONS'!AF$9,'02_PROPERTIES'!$C$10:$I$10,0))</f>
        <v>#N/A</v>
      </c>
      <c r="AH254" s="20" t="e">
        <f t="shared" si="33"/>
        <v>#N/A</v>
      </c>
      <c r="AI254" s="20" t="e">
        <f t="shared" si="34"/>
        <v>#N/A</v>
      </c>
      <c r="AJ254" s="20" t="e">
        <f t="shared" si="35"/>
        <v>#N/A</v>
      </c>
      <c r="AL254" s="20" t="e">
        <f t="shared" si="36"/>
        <v>#N/A</v>
      </c>
      <c r="AM254" s="20" t="e">
        <f t="shared" si="37"/>
        <v>#N/A</v>
      </c>
      <c r="AN254" s="20" t="e">
        <f t="shared" si="38"/>
        <v>#N/A</v>
      </c>
      <c r="AO254" s="20" t="e">
        <f t="shared" si="39"/>
        <v>#N/A</v>
      </c>
      <c r="AP254" s="20" t="e">
        <f t="shared" si="40"/>
        <v>#N/A</v>
      </c>
      <c r="AR254" s="20" t="e">
        <f t="shared" si="41"/>
        <v>#N/A</v>
      </c>
      <c r="AS254" s="20" t="e">
        <f t="shared" si="42"/>
        <v>#N/A</v>
      </c>
      <c r="AT254" s="20" t="e">
        <f t="shared" si="43"/>
        <v>#N/A</v>
      </c>
    </row>
    <row r="255" spans="1:46" x14ac:dyDescent="0.3">
      <c r="A255" s="18"/>
      <c r="B255" s="20" t="e">
        <f>INDEX('01_FASTPPH'!$9:$1048576,MATCH($A255,'01_FASTPPH'!$A$9:$A$1048576,0),MATCH(B$9,'01_FASTPPH'!$8:$8,0))</f>
        <v>#N/A</v>
      </c>
      <c r="C255" s="20" t="e">
        <f>INDEX('01_FASTPPH'!$9:$1048576,MATCH($A255,'01_FASTPPH'!$A$9:$A$1048576,0),MATCH(C$9,'01_FASTPPH'!$8:$8,0))</f>
        <v>#N/A</v>
      </c>
      <c r="D255" s="20" t="e">
        <f>INDEX('01_FASTPPH'!$9:$1048576,MATCH($A255,'01_FASTPPH'!$A$9:$A$1048576,0),MATCH(D$9,'01_FASTPPH'!$8:$8,0))</f>
        <v>#N/A</v>
      </c>
      <c r="E255" s="20" t="e">
        <f>INDEX('01_FASTPPH'!$9:$1048576,MATCH($A255,'01_FASTPPH'!$A$9:$A$1048576,0),MATCH(E$9,'01_FASTPPH'!$8:$8,0))</f>
        <v>#N/A</v>
      </c>
      <c r="F255" s="20" t="e">
        <f>INDEX('01_FASTPPH'!$9:$1048576,MATCH($A255,'01_FASTPPH'!$A$9:$A$1048576,0),MATCH(F$9,'01_FASTPPH'!$8:$8,0))</f>
        <v>#N/A</v>
      </c>
      <c r="G255" s="20" t="e">
        <f>INDEX('01_FASTPPH'!$9:$1048576,MATCH($A255,'01_FASTPPH'!$A$9:$A$1048576,0),MATCH(G$9,'01_FASTPPH'!$8:$8,0))</f>
        <v>#N/A</v>
      </c>
      <c r="H255" s="20" t="e">
        <f>INDEX('01_FASTPPH'!$9:$1048576,MATCH($A255,'01_FASTPPH'!$A$9:$A$1048576,0),MATCH(H$9,'01_FASTPPH'!$8:$8,0))</f>
        <v>#N/A</v>
      </c>
      <c r="I255" s="20" t="e">
        <f>INDEX('01_FASTPPH'!$9:$1048576,MATCH($A255,'01_FASTPPH'!$A$9:$A$1048576,0),MATCH(I$9,'01_FASTPPH'!$8:$8,0))</f>
        <v>#N/A</v>
      </c>
      <c r="J255" s="20" t="e">
        <f>INDEX('01_FASTPPH'!$9:$1048576,MATCH($A255,'01_FASTPPH'!$A$9:$A$1048576,0),MATCH(J$9,'01_FASTPPH'!$8:$8,0))</f>
        <v>#N/A</v>
      </c>
      <c r="K255" s="23" t="e">
        <f>INDEX('01_FASTPPH'!$9:$1048576,MATCH($A255,'01_FASTPPH'!$A$9:$A$1048576,0),MATCH(K$9,'01_FASTPPH'!$8:$8,0))</f>
        <v>#N/A</v>
      </c>
      <c r="L255" s="20" t="e">
        <f>INDEX('01_FASTPPH'!$9:$1048576,MATCH($A255,'01_FASTPPH'!$A$9:$A$1048576,0),MATCH(L$9,'01_FASTPPH'!$8:$8,0))</f>
        <v>#N/A</v>
      </c>
      <c r="M255" s="20" t="e">
        <f>INDEX('01_FASTPPH'!$9:$1048576,MATCH($A255,'01_FASTPPH'!$A$9:$A$1048576,0),MATCH(M$9,'01_FASTPPH'!$8:$8,0))</f>
        <v>#N/A</v>
      </c>
      <c r="N255" s="24" t="e">
        <f>INDEX('01_FASTPPH'!$9:$1048576,MATCH($A255,'01_FASTPPH'!$A$9:$A$1048576,0),MATCH(N$9,'01_FASTPPH'!$8:$8,0))</f>
        <v>#N/A</v>
      </c>
      <c r="O255" s="23" t="e">
        <f>INDEX('01_FASTPPH'!$9:$1048576,MATCH($A255,'01_FASTPPH'!$A$9:$A$1048576,0),MATCH(O$9,'01_FASTPPH'!$8:$8,0))</f>
        <v>#N/A</v>
      </c>
      <c r="P255" s="20" t="e">
        <f>INDEX('01_FASTPPH'!$9:$1048576,MATCH($A255,'01_FASTPPH'!$A$9:$A$1048576,0),MATCH(P$9,'01_FASTPPH'!$8:$8,0))</f>
        <v>#N/A</v>
      </c>
      <c r="Q255" s="20" t="e">
        <f>INDEX('01_FASTPPH'!$9:$1048576,MATCH($A255,'01_FASTPPH'!$A$9:$A$1048576,0),MATCH(Q$9,'01_FASTPPH'!$8:$8,0))</f>
        <v>#N/A</v>
      </c>
      <c r="R255" s="20" t="e">
        <f>INDEX('01_FASTPPH'!$9:$1048576,MATCH($A255,'01_FASTPPH'!$A$9:$A$1048576,0),MATCH(R$9,'01_FASTPPH'!$8:$8,0))</f>
        <v>#N/A</v>
      </c>
      <c r="S255" s="20" t="e">
        <f>INDEX('01_FASTPPH'!$9:$1048576,MATCH($A255,'01_FASTPPH'!$A$9:$A$1048576,0),MATCH(S$9,'01_FASTPPH'!$8:$8,0))</f>
        <v>#N/A</v>
      </c>
      <c r="T255" s="24" t="e">
        <f>INDEX('01_FASTPPH'!$9:$1048576,MATCH($A255,'01_FASTPPH'!$A$9:$A$1048576,0),MATCH(T$9,'01_FASTPPH'!$8:$8,0))</f>
        <v>#N/A</v>
      </c>
      <c r="U255" s="23" t="e">
        <f>INDEX('01_FASTPPH'!$9:$1048576,MATCH($A255,'01_FASTPPH'!$A$9:$A$1048576,0),MATCH(U$9,'01_FASTPPH'!$8:$8,0))</f>
        <v>#N/A</v>
      </c>
      <c r="V255" s="20" t="e">
        <f>INDEX('01_FASTPPH'!$9:$1048576,MATCH($A255,'01_FASTPPH'!$A$9:$A$1048576,0),MATCH(V$9,'01_FASTPPH'!$8:$8,0))</f>
        <v>#N/A</v>
      </c>
      <c r="W255" s="24" t="e">
        <f>INDEX('01_FASTPPH'!$9:$1048576,MATCH($A255,'01_FASTPPH'!$A$9:$A$1048576,0),MATCH(W$9,'01_FASTPPH'!$8:$8,0))</f>
        <v>#N/A</v>
      </c>
      <c r="X255" s="20" t="e">
        <f>INDEX('01_FASTPPH'!$9:$1048576,MATCH($A255,'01_FASTPPH'!$A$9:$A$1048576,0),MATCH(X$9,'01_FASTPPH'!$8:$8,0))</f>
        <v>#N/A</v>
      </c>
      <c r="Y255" s="20" t="e">
        <f>INDEX('01_FASTPPH'!$9:$1048576,MATCH($A255,'01_FASTPPH'!$A$9:$A$1048576,0),MATCH(Y$9,'01_FASTPPH'!$8:$8,0))</f>
        <v>#N/A</v>
      </c>
      <c r="AA255" s="32" t="e">
        <f>INDEX('02_PROPERTIES'!$C$10:$I$1048576,MATCH('03_CALCULATIONS'!$D255,'02_PROPERTIES'!$C$10:$C$1048576,0),MATCH('03_CALCULATIONS'!AA$9,'02_PROPERTIES'!$C$10:$I$10,0))</f>
        <v>#N/A</v>
      </c>
      <c r="AB255" s="20" t="e">
        <f>INDEX('02_PROPERTIES'!$C$10:$I$1048576,MATCH('03_CALCULATIONS'!$D255,'02_PROPERTIES'!$C$10:$C$1048576,0),MATCH('03_CALCULATIONS'!AB$9,'02_PROPERTIES'!$C$10:$I$10,0))</f>
        <v>#N/A</v>
      </c>
      <c r="AC255" s="20" t="e">
        <f>INDEX('02_PROPERTIES'!$C$10:$I$1048576,MATCH('03_CALCULATIONS'!$D255,'02_PROPERTIES'!$C$10:$C$1048576,0),MATCH('03_CALCULATIONS'!AC$9,'02_PROPERTIES'!$C$10:$I$10,0))</f>
        <v>#N/A</v>
      </c>
      <c r="AD255" s="20" t="e">
        <f>INDEX('02_PROPERTIES'!$C$10:$I$1048576,MATCH('03_CALCULATIONS'!$D255,'02_PROPERTIES'!$C$10:$C$1048576,0),MATCH('03_CALCULATIONS'!AD$9,'02_PROPERTIES'!$C$10:$I$10,0))</f>
        <v>#N/A</v>
      </c>
      <c r="AE255" s="32" t="e">
        <f>INDEX('02_PROPERTIES'!$C$10:$I$1048576,MATCH('03_CALCULATIONS'!$D255,'02_PROPERTIES'!$C$10:$C$1048576,0),MATCH('03_CALCULATIONS'!AE$9,'02_PROPERTIES'!$C$10:$I$10,0))</f>
        <v>#N/A</v>
      </c>
      <c r="AF255" s="32" t="e">
        <f>INDEX('02_PROPERTIES'!$C$10:$I$1048576,MATCH('03_CALCULATIONS'!$D255,'02_PROPERTIES'!$C$10:$C$1048576,0),MATCH('03_CALCULATIONS'!AF$9,'02_PROPERTIES'!$C$10:$I$10,0))</f>
        <v>#N/A</v>
      </c>
      <c r="AH255" s="20" t="e">
        <f t="shared" si="33"/>
        <v>#N/A</v>
      </c>
      <c r="AI255" s="20" t="e">
        <f t="shared" si="34"/>
        <v>#N/A</v>
      </c>
      <c r="AJ255" s="20" t="e">
        <f t="shared" si="35"/>
        <v>#N/A</v>
      </c>
      <c r="AL255" s="20" t="e">
        <f t="shared" si="36"/>
        <v>#N/A</v>
      </c>
      <c r="AM255" s="20" t="e">
        <f t="shared" si="37"/>
        <v>#N/A</v>
      </c>
      <c r="AN255" s="20" t="e">
        <f t="shared" si="38"/>
        <v>#N/A</v>
      </c>
      <c r="AO255" s="20" t="e">
        <f t="shared" si="39"/>
        <v>#N/A</v>
      </c>
      <c r="AP255" s="20" t="e">
        <f t="shared" si="40"/>
        <v>#N/A</v>
      </c>
      <c r="AR255" s="20" t="e">
        <f t="shared" si="41"/>
        <v>#N/A</v>
      </c>
      <c r="AS255" s="20" t="e">
        <f t="shared" si="42"/>
        <v>#N/A</v>
      </c>
      <c r="AT255" s="20" t="e">
        <f t="shared" si="43"/>
        <v>#N/A</v>
      </c>
    </row>
    <row r="256" spans="1:46" x14ac:dyDescent="0.3">
      <c r="A256" s="18"/>
      <c r="B256" s="20" t="e">
        <f>INDEX('01_FASTPPH'!$9:$1048576,MATCH($A256,'01_FASTPPH'!$A$9:$A$1048576,0),MATCH(B$9,'01_FASTPPH'!$8:$8,0))</f>
        <v>#N/A</v>
      </c>
      <c r="C256" s="20" t="e">
        <f>INDEX('01_FASTPPH'!$9:$1048576,MATCH($A256,'01_FASTPPH'!$A$9:$A$1048576,0),MATCH(C$9,'01_FASTPPH'!$8:$8,0))</f>
        <v>#N/A</v>
      </c>
      <c r="D256" s="20" t="e">
        <f>INDEX('01_FASTPPH'!$9:$1048576,MATCH($A256,'01_FASTPPH'!$A$9:$A$1048576,0),MATCH(D$9,'01_FASTPPH'!$8:$8,0))</f>
        <v>#N/A</v>
      </c>
      <c r="E256" s="20" t="e">
        <f>INDEX('01_FASTPPH'!$9:$1048576,MATCH($A256,'01_FASTPPH'!$A$9:$A$1048576,0),MATCH(E$9,'01_FASTPPH'!$8:$8,0))</f>
        <v>#N/A</v>
      </c>
      <c r="F256" s="20" t="e">
        <f>INDEX('01_FASTPPH'!$9:$1048576,MATCH($A256,'01_FASTPPH'!$A$9:$A$1048576,0),MATCH(F$9,'01_FASTPPH'!$8:$8,0))</f>
        <v>#N/A</v>
      </c>
      <c r="G256" s="20" t="e">
        <f>INDEX('01_FASTPPH'!$9:$1048576,MATCH($A256,'01_FASTPPH'!$A$9:$A$1048576,0),MATCH(G$9,'01_FASTPPH'!$8:$8,0))</f>
        <v>#N/A</v>
      </c>
      <c r="H256" s="20" t="e">
        <f>INDEX('01_FASTPPH'!$9:$1048576,MATCH($A256,'01_FASTPPH'!$A$9:$A$1048576,0),MATCH(H$9,'01_FASTPPH'!$8:$8,0))</f>
        <v>#N/A</v>
      </c>
      <c r="I256" s="20" t="e">
        <f>INDEX('01_FASTPPH'!$9:$1048576,MATCH($A256,'01_FASTPPH'!$A$9:$A$1048576,0),MATCH(I$9,'01_FASTPPH'!$8:$8,0))</f>
        <v>#N/A</v>
      </c>
      <c r="J256" s="20" t="e">
        <f>INDEX('01_FASTPPH'!$9:$1048576,MATCH($A256,'01_FASTPPH'!$A$9:$A$1048576,0),MATCH(J$9,'01_FASTPPH'!$8:$8,0))</f>
        <v>#N/A</v>
      </c>
      <c r="K256" s="23" t="e">
        <f>INDEX('01_FASTPPH'!$9:$1048576,MATCH($A256,'01_FASTPPH'!$A$9:$A$1048576,0),MATCH(K$9,'01_FASTPPH'!$8:$8,0))</f>
        <v>#N/A</v>
      </c>
      <c r="L256" s="20" t="e">
        <f>INDEX('01_FASTPPH'!$9:$1048576,MATCH($A256,'01_FASTPPH'!$A$9:$A$1048576,0),MATCH(L$9,'01_FASTPPH'!$8:$8,0))</f>
        <v>#N/A</v>
      </c>
      <c r="M256" s="20" t="e">
        <f>INDEX('01_FASTPPH'!$9:$1048576,MATCH($A256,'01_FASTPPH'!$A$9:$A$1048576,0),MATCH(M$9,'01_FASTPPH'!$8:$8,0))</f>
        <v>#N/A</v>
      </c>
      <c r="N256" s="24" t="e">
        <f>INDEX('01_FASTPPH'!$9:$1048576,MATCH($A256,'01_FASTPPH'!$A$9:$A$1048576,0),MATCH(N$9,'01_FASTPPH'!$8:$8,0))</f>
        <v>#N/A</v>
      </c>
      <c r="O256" s="23" t="e">
        <f>INDEX('01_FASTPPH'!$9:$1048576,MATCH($A256,'01_FASTPPH'!$A$9:$A$1048576,0),MATCH(O$9,'01_FASTPPH'!$8:$8,0))</f>
        <v>#N/A</v>
      </c>
      <c r="P256" s="20" t="e">
        <f>INDEX('01_FASTPPH'!$9:$1048576,MATCH($A256,'01_FASTPPH'!$A$9:$A$1048576,0),MATCH(P$9,'01_FASTPPH'!$8:$8,0))</f>
        <v>#N/A</v>
      </c>
      <c r="Q256" s="20" t="e">
        <f>INDEX('01_FASTPPH'!$9:$1048576,MATCH($A256,'01_FASTPPH'!$A$9:$A$1048576,0),MATCH(Q$9,'01_FASTPPH'!$8:$8,0))</f>
        <v>#N/A</v>
      </c>
      <c r="R256" s="20" t="e">
        <f>INDEX('01_FASTPPH'!$9:$1048576,MATCH($A256,'01_FASTPPH'!$A$9:$A$1048576,0),MATCH(R$9,'01_FASTPPH'!$8:$8,0))</f>
        <v>#N/A</v>
      </c>
      <c r="S256" s="20" t="e">
        <f>INDEX('01_FASTPPH'!$9:$1048576,MATCH($A256,'01_FASTPPH'!$A$9:$A$1048576,0),MATCH(S$9,'01_FASTPPH'!$8:$8,0))</f>
        <v>#N/A</v>
      </c>
      <c r="T256" s="24" t="e">
        <f>INDEX('01_FASTPPH'!$9:$1048576,MATCH($A256,'01_FASTPPH'!$A$9:$A$1048576,0),MATCH(T$9,'01_FASTPPH'!$8:$8,0))</f>
        <v>#N/A</v>
      </c>
      <c r="U256" s="23" t="e">
        <f>INDEX('01_FASTPPH'!$9:$1048576,MATCH($A256,'01_FASTPPH'!$A$9:$A$1048576,0),MATCH(U$9,'01_FASTPPH'!$8:$8,0))</f>
        <v>#N/A</v>
      </c>
      <c r="V256" s="20" t="e">
        <f>INDEX('01_FASTPPH'!$9:$1048576,MATCH($A256,'01_FASTPPH'!$A$9:$A$1048576,0),MATCH(V$9,'01_FASTPPH'!$8:$8,0))</f>
        <v>#N/A</v>
      </c>
      <c r="W256" s="24" t="e">
        <f>INDEX('01_FASTPPH'!$9:$1048576,MATCH($A256,'01_FASTPPH'!$A$9:$A$1048576,0),MATCH(W$9,'01_FASTPPH'!$8:$8,0))</f>
        <v>#N/A</v>
      </c>
      <c r="X256" s="20" t="e">
        <f>INDEX('01_FASTPPH'!$9:$1048576,MATCH($A256,'01_FASTPPH'!$A$9:$A$1048576,0),MATCH(X$9,'01_FASTPPH'!$8:$8,0))</f>
        <v>#N/A</v>
      </c>
      <c r="Y256" s="20" t="e">
        <f>INDEX('01_FASTPPH'!$9:$1048576,MATCH($A256,'01_FASTPPH'!$A$9:$A$1048576,0),MATCH(Y$9,'01_FASTPPH'!$8:$8,0))</f>
        <v>#N/A</v>
      </c>
      <c r="AA256" s="32" t="e">
        <f>INDEX('02_PROPERTIES'!$C$10:$I$1048576,MATCH('03_CALCULATIONS'!$D256,'02_PROPERTIES'!$C$10:$C$1048576,0),MATCH('03_CALCULATIONS'!AA$9,'02_PROPERTIES'!$C$10:$I$10,0))</f>
        <v>#N/A</v>
      </c>
      <c r="AB256" s="20" t="e">
        <f>INDEX('02_PROPERTIES'!$C$10:$I$1048576,MATCH('03_CALCULATIONS'!$D256,'02_PROPERTIES'!$C$10:$C$1048576,0),MATCH('03_CALCULATIONS'!AB$9,'02_PROPERTIES'!$C$10:$I$10,0))</f>
        <v>#N/A</v>
      </c>
      <c r="AC256" s="20" t="e">
        <f>INDEX('02_PROPERTIES'!$C$10:$I$1048576,MATCH('03_CALCULATIONS'!$D256,'02_PROPERTIES'!$C$10:$C$1048576,0),MATCH('03_CALCULATIONS'!AC$9,'02_PROPERTIES'!$C$10:$I$10,0))</f>
        <v>#N/A</v>
      </c>
      <c r="AD256" s="20" t="e">
        <f>INDEX('02_PROPERTIES'!$C$10:$I$1048576,MATCH('03_CALCULATIONS'!$D256,'02_PROPERTIES'!$C$10:$C$1048576,0),MATCH('03_CALCULATIONS'!AD$9,'02_PROPERTIES'!$C$10:$I$10,0))</f>
        <v>#N/A</v>
      </c>
      <c r="AE256" s="32" t="e">
        <f>INDEX('02_PROPERTIES'!$C$10:$I$1048576,MATCH('03_CALCULATIONS'!$D256,'02_PROPERTIES'!$C$10:$C$1048576,0),MATCH('03_CALCULATIONS'!AE$9,'02_PROPERTIES'!$C$10:$I$10,0))</f>
        <v>#N/A</v>
      </c>
      <c r="AF256" s="32" t="e">
        <f>INDEX('02_PROPERTIES'!$C$10:$I$1048576,MATCH('03_CALCULATIONS'!$D256,'02_PROPERTIES'!$C$10:$C$1048576,0),MATCH('03_CALCULATIONS'!AF$9,'02_PROPERTIES'!$C$10:$I$10,0))</f>
        <v>#N/A</v>
      </c>
      <c r="AH256" s="20" t="e">
        <f t="shared" si="33"/>
        <v>#N/A</v>
      </c>
      <c r="AI256" s="20" t="e">
        <f t="shared" si="34"/>
        <v>#N/A</v>
      </c>
      <c r="AJ256" s="20" t="e">
        <f t="shared" si="35"/>
        <v>#N/A</v>
      </c>
      <c r="AL256" s="20" t="e">
        <f t="shared" si="36"/>
        <v>#N/A</v>
      </c>
      <c r="AM256" s="20" t="e">
        <f t="shared" si="37"/>
        <v>#N/A</v>
      </c>
      <c r="AN256" s="20" t="e">
        <f t="shared" si="38"/>
        <v>#N/A</v>
      </c>
      <c r="AO256" s="20" t="e">
        <f t="shared" si="39"/>
        <v>#N/A</v>
      </c>
      <c r="AP256" s="20" t="e">
        <f t="shared" si="40"/>
        <v>#N/A</v>
      </c>
      <c r="AR256" s="20" t="e">
        <f t="shared" si="41"/>
        <v>#N/A</v>
      </c>
      <c r="AS256" s="20" t="e">
        <f t="shared" si="42"/>
        <v>#N/A</v>
      </c>
      <c r="AT256" s="20" t="e">
        <f t="shared" si="43"/>
        <v>#N/A</v>
      </c>
    </row>
    <row r="257" spans="1:46" x14ac:dyDescent="0.3">
      <c r="A257" s="18"/>
      <c r="B257" s="20" t="e">
        <f>INDEX('01_FASTPPH'!$9:$1048576,MATCH($A257,'01_FASTPPH'!$A$9:$A$1048576,0),MATCH(B$9,'01_FASTPPH'!$8:$8,0))</f>
        <v>#N/A</v>
      </c>
      <c r="C257" s="20" t="e">
        <f>INDEX('01_FASTPPH'!$9:$1048576,MATCH($A257,'01_FASTPPH'!$A$9:$A$1048576,0),MATCH(C$9,'01_FASTPPH'!$8:$8,0))</f>
        <v>#N/A</v>
      </c>
      <c r="D257" s="20" t="e">
        <f>INDEX('01_FASTPPH'!$9:$1048576,MATCH($A257,'01_FASTPPH'!$A$9:$A$1048576,0),MATCH(D$9,'01_FASTPPH'!$8:$8,0))</f>
        <v>#N/A</v>
      </c>
      <c r="E257" s="20" t="e">
        <f>INDEX('01_FASTPPH'!$9:$1048576,MATCH($A257,'01_FASTPPH'!$A$9:$A$1048576,0),MATCH(E$9,'01_FASTPPH'!$8:$8,0))</f>
        <v>#N/A</v>
      </c>
      <c r="F257" s="20" t="e">
        <f>INDEX('01_FASTPPH'!$9:$1048576,MATCH($A257,'01_FASTPPH'!$A$9:$A$1048576,0),MATCH(F$9,'01_FASTPPH'!$8:$8,0))</f>
        <v>#N/A</v>
      </c>
      <c r="G257" s="20" t="e">
        <f>INDEX('01_FASTPPH'!$9:$1048576,MATCH($A257,'01_FASTPPH'!$A$9:$A$1048576,0),MATCH(G$9,'01_FASTPPH'!$8:$8,0))</f>
        <v>#N/A</v>
      </c>
      <c r="H257" s="20" t="e">
        <f>INDEX('01_FASTPPH'!$9:$1048576,MATCH($A257,'01_FASTPPH'!$A$9:$A$1048576,0),MATCH(H$9,'01_FASTPPH'!$8:$8,0))</f>
        <v>#N/A</v>
      </c>
      <c r="I257" s="20" t="e">
        <f>INDEX('01_FASTPPH'!$9:$1048576,MATCH($A257,'01_FASTPPH'!$A$9:$A$1048576,0),MATCH(I$9,'01_FASTPPH'!$8:$8,0))</f>
        <v>#N/A</v>
      </c>
      <c r="J257" s="20" t="e">
        <f>INDEX('01_FASTPPH'!$9:$1048576,MATCH($A257,'01_FASTPPH'!$A$9:$A$1048576,0),MATCH(J$9,'01_FASTPPH'!$8:$8,0))</f>
        <v>#N/A</v>
      </c>
      <c r="K257" s="23" t="e">
        <f>INDEX('01_FASTPPH'!$9:$1048576,MATCH($A257,'01_FASTPPH'!$A$9:$A$1048576,0),MATCH(K$9,'01_FASTPPH'!$8:$8,0))</f>
        <v>#N/A</v>
      </c>
      <c r="L257" s="20" t="e">
        <f>INDEX('01_FASTPPH'!$9:$1048576,MATCH($A257,'01_FASTPPH'!$A$9:$A$1048576,0),MATCH(L$9,'01_FASTPPH'!$8:$8,0))</f>
        <v>#N/A</v>
      </c>
      <c r="M257" s="20" t="e">
        <f>INDEX('01_FASTPPH'!$9:$1048576,MATCH($A257,'01_FASTPPH'!$A$9:$A$1048576,0),MATCH(M$9,'01_FASTPPH'!$8:$8,0))</f>
        <v>#N/A</v>
      </c>
      <c r="N257" s="24" t="e">
        <f>INDEX('01_FASTPPH'!$9:$1048576,MATCH($A257,'01_FASTPPH'!$A$9:$A$1048576,0),MATCH(N$9,'01_FASTPPH'!$8:$8,0))</f>
        <v>#N/A</v>
      </c>
      <c r="O257" s="23" t="e">
        <f>INDEX('01_FASTPPH'!$9:$1048576,MATCH($A257,'01_FASTPPH'!$A$9:$A$1048576,0),MATCH(O$9,'01_FASTPPH'!$8:$8,0))</f>
        <v>#N/A</v>
      </c>
      <c r="P257" s="20" t="e">
        <f>INDEX('01_FASTPPH'!$9:$1048576,MATCH($A257,'01_FASTPPH'!$A$9:$A$1048576,0),MATCH(P$9,'01_FASTPPH'!$8:$8,0))</f>
        <v>#N/A</v>
      </c>
      <c r="Q257" s="20" t="e">
        <f>INDEX('01_FASTPPH'!$9:$1048576,MATCH($A257,'01_FASTPPH'!$A$9:$A$1048576,0),MATCH(Q$9,'01_FASTPPH'!$8:$8,0))</f>
        <v>#N/A</v>
      </c>
      <c r="R257" s="20" t="e">
        <f>INDEX('01_FASTPPH'!$9:$1048576,MATCH($A257,'01_FASTPPH'!$A$9:$A$1048576,0),MATCH(R$9,'01_FASTPPH'!$8:$8,0))</f>
        <v>#N/A</v>
      </c>
      <c r="S257" s="20" t="e">
        <f>INDEX('01_FASTPPH'!$9:$1048576,MATCH($A257,'01_FASTPPH'!$A$9:$A$1048576,0),MATCH(S$9,'01_FASTPPH'!$8:$8,0))</f>
        <v>#N/A</v>
      </c>
      <c r="T257" s="24" t="e">
        <f>INDEX('01_FASTPPH'!$9:$1048576,MATCH($A257,'01_FASTPPH'!$A$9:$A$1048576,0),MATCH(T$9,'01_FASTPPH'!$8:$8,0))</f>
        <v>#N/A</v>
      </c>
      <c r="U257" s="23" t="e">
        <f>INDEX('01_FASTPPH'!$9:$1048576,MATCH($A257,'01_FASTPPH'!$A$9:$A$1048576,0),MATCH(U$9,'01_FASTPPH'!$8:$8,0))</f>
        <v>#N/A</v>
      </c>
      <c r="V257" s="20" t="e">
        <f>INDEX('01_FASTPPH'!$9:$1048576,MATCH($A257,'01_FASTPPH'!$A$9:$A$1048576,0),MATCH(V$9,'01_FASTPPH'!$8:$8,0))</f>
        <v>#N/A</v>
      </c>
      <c r="W257" s="24" t="e">
        <f>INDEX('01_FASTPPH'!$9:$1048576,MATCH($A257,'01_FASTPPH'!$A$9:$A$1048576,0),MATCH(W$9,'01_FASTPPH'!$8:$8,0))</f>
        <v>#N/A</v>
      </c>
      <c r="X257" s="20" t="e">
        <f>INDEX('01_FASTPPH'!$9:$1048576,MATCH($A257,'01_FASTPPH'!$A$9:$A$1048576,0),MATCH(X$9,'01_FASTPPH'!$8:$8,0))</f>
        <v>#N/A</v>
      </c>
      <c r="Y257" s="20" t="e">
        <f>INDEX('01_FASTPPH'!$9:$1048576,MATCH($A257,'01_FASTPPH'!$A$9:$A$1048576,0),MATCH(Y$9,'01_FASTPPH'!$8:$8,0))</f>
        <v>#N/A</v>
      </c>
      <c r="AA257" s="32" t="e">
        <f>INDEX('02_PROPERTIES'!$C$10:$I$1048576,MATCH('03_CALCULATIONS'!$D257,'02_PROPERTIES'!$C$10:$C$1048576,0),MATCH('03_CALCULATIONS'!AA$9,'02_PROPERTIES'!$C$10:$I$10,0))</f>
        <v>#N/A</v>
      </c>
      <c r="AB257" s="20" t="e">
        <f>INDEX('02_PROPERTIES'!$C$10:$I$1048576,MATCH('03_CALCULATIONS'!$D257,'02_PROPERTIES'!$C$10:$C$1048576,0),MATCH('03_CALCULATIONS'!AB$9,'02_PROPERTIES'!$C$10:$I$10,0))</f>
        <v>#N/A</v>
      </c>
      <c r="AC257" s="20" t="e">
        <f>INDEX('02_PROPERTIES'!$C$10:$I$1048576,MATCH('03_CALCULATIONS'!$D257,'02_PROPERTIES'!$C$10:$C$1048576,0),MATCH('03_CALCULATIONS'!AC$9,'02_PROPERTIES'!$C$10:$I$10,0))</f>
        <v>#N/A</v>
      </c>
      <c r="AD257" s="20" t="e">
        <f>INDEX('02_PROPERTIES'!$C$10:$I$1048576,MATCH('03_CALCULATIONS'!$D257,'02_PROPERTIES'!$C$10:$C$1048576,0),MATCH('03_CALCULATIONS'!AD$9,'02_PROPERTIES'!$C$10:$I$10,0))</f>
        <v>#N/A</v>
      </c>
      <c r="AE257" s="32" t="e">
        <f>INDEX('02_PROPERTIES'!$C$10:$I$1048576,MATCH('03_CALCULATIONS'!$D257,'02_PROPERTIES'!$C$10:$C$1048576,0),MATCH('03_CALCULATIONS'!AE$9,'02_PROPERTIES'!$C$10:$I$10,0))</f>
        <v>#N/A</v>
      </c>
      <c r="AF257" s="32" t="e">
        <f>INDEX('02_PROPERTIES'!$C$10:$I$1048576,MATCH('03_CALCULATIONS'!$D257,'02_PROPERTIES'!$C$10:$C$1048576,0),MATCH('03_CALCULATIONS'!AF$9,'02_PROPERTIES'!$C$10:$I$10,0))</f>
        <v>#N/A</v>
      </c>
      <c r="AH257" s="20" t="e">
        <f t="shared" si="33"/>
        <v>#N/A</v>
      </c>
      <c r="AI257" s="20" t="e">
        <f t="shared" si="34"/>
        <v>#N/A</v>
      </c>
      <c r="AJ257" s="20" t="e">
        <f t="shared" si="35"/>
        <v>#N/A</v>
      </c>
      <c r="AL257" s="20" t="e">
        <f t="shared" si="36"/>
        <v>#N/A</v>
      </c>
      <c r="AM257" s="20" t="e">
        <f t="shared" si="37"/>
        <v>#N/A</v>
      </c>
      <c r="AN257" s="20" t="e">
        <f t="shared" si="38"/>
        <v>#N/A</v>
      </c>
      <c r="AO257" s="20" t="e">
        <f t="shared" si="39"/>
        <v>#N/A</v>
      </c>
      <c r="AP257" s="20" t="e">
        <f t="shared" si="40"/>
        <v>#N/A</v>
      </c>
      <c r="AR257" s="20" t="e">
        <f t="shared" si="41"/>
        <v>#N/A</v>
      </c>
      <c r="AS257" s="20" t="e">
        <f t="shared" si="42"/>
        <v>#N/A</v>
      </c>
      <c r="AT257" s="20" t="e">
        <f t="shared" si="43"/>
        <v>#N/A</v>
      </c>
    </row>
    <row r="258" spans="1:46" x14ac:dyDescent="0.3">
      <c r="A258" s="18"/>
      <c r="B258" s="20" t="e">
        <f>INDEX('01_FASTPPH'!$9:$1048576,MATCH($A258,'01_FASTPPH'!$A$9:$A$1048576,0),MATCH(B$9,'01_FASTPPH'!$8:$8,0))</f>
        <v>#N/A</v>
      </c>
      <c r="C258" s="20" t="e">
        <f>INDEX('01_FASTPPH'!$9:$1048576,MATCH($A258,'01_FASTPPH'!$A$9:$A$1048576,0),MATCH(C$9,'01_FASTPPH'!$8:$8,0))</f>
        <v>#N/A</v>
      </c>
      <c r="D258" s="20" t="e">
        <f>INDEX('01_FASTPPH'!$9:$1048576,MATCH($A258,'01_FASTPPH'!$A$9:$A$1048576,0),MATCH(D$9,'01_FASTPPH'!$8:$8,0))</f>
        <v>#N/A</v>
      </c>
      <c r="E258" s="20" t="e">
        <f>INDEX('01_FASTPPH'!$9:$1048576,MATCH($A258,'01_FASTPPH'!$A$9:$A$1048576,0),MATCH(E$9,'01_FASTPPH'!$8:$8,0))</f>
        <v>#N/A</v>
      </c>
      <c r="F258" s="20" t="e">
        <f>INDEX('01_FASTPPH'!$9:$1048576,MATCH($A258,'01_FASTPPH'!$A$9:$A$1048576,0),MATCH(F$9,'01_FASTPPH'!$8:$8,0))</f>
        <v>#N/A</v>
      </c>
      <c r="G258" s="20" t="e">
        <f>INDEX('01_FASTPPH'!$9:$1048576,MATCH($A258,'01_FASTPPH'!$A$9:$A$1048576,0),MATCH(G$9,'01_FASTPPH'!$8:$8,0))</f>
        <v>#N/A</v>
      </c>
      <c r="H258" s="20" t="e">
        <f>INDEX('01_FASTPPH'!$9:$1048576,MATCH($A258,'01_FASTPPH'!$A$9:$A$1048576,0),MATCH(H$9,'01_FASTPPH'!$8:$8,0))</f>
        <v>#N/A</v>
      </c>
      <c r="I258" s="20" t="e">
        <f>INDEX('01_FASTPPH'!$9:$1048576,MATCH($A258,'01_FASTPPH'!$A$9:$A$1048576,0),MATCH(I$9,'01_FASTPPH'!$8:$8,0))</f>
        <v>#N/A</v>
      </c>
      <c r="J258" s="20" t="e">
        <f>INDEX('01_FASTPPH'!$9:$1048576,MATCH($A258,'01_FASTPPH'!$A$9:$A$1048576,0),MATCH(J$9,'01_FASTPPH'!$8:$8,0))</f>
        <v>#N/A</v>
      </c>
      <c r="K258" s="23" t="e">
        <f>INDEX('01_FASTPPH'!$9:$1048576,MATCH($A258,'01_FASTPPH'!$A$9:$A$1048576,0),MATCH(K$9,'01_FASTPPH'!$8:$8,0))</f>
        <v>#N/A</v>
      </c>
      <c r="L258" s="20" t="e">
        <f>INDEX('01_FASTPPH'!$9:$1048576,MATCH($A258,'01_FASTPPH'!$A$9:$A$1048576,0),MATCH(L$9,'01_FASTPPH'!$8:$8,0))</f>
        <v>#N/A</v>
      </c>
      <c r="M258" s="20" t="e">
        <f>INDEX('01_FASTPPH'!$9:$1048576,MATCH($A258,'01_FASTPPH'!$A$9:$A$1048576,0),MATCH(M$9,'01_FASTPPH'!$8:$8,0))</f>
        <v>#N/A</v>
      </c>
      <c r="N258" s="24" t="e">
        <f>INDEX('01_FASTPPH'!$9:$1048576,MATCH($A258,'01_FASTPPH'!$A$9:$A$1048576,0),MATCH(N$9,'01_FASTPPH'!$8:$8,0))</f>
        <v>#N/A</v>
      </c>
      <c r="O258" s="23" t="e">
        <f>INDEX('01_FASTPPH'!$9:$1048576,MATCH($A258,'01_FASTPPH'!$A$9:$A$1048576,0),MATCH(O$9,'01_FASTPPH'!$8:$8,0))</f>
        <v>#N/A</v>
      </c>
      <c r="P258" s="20" t="e">
        <f>INDEX('01_FASTPPH'!$9:$1048576,MATCH($A258,'01_FASTPPH'!$A$9:$A$1048576,0),MATCH(P$9,'01_FASTPPH'!$8:$8,0))</f>
        <v>#N/A</v>
      </c>
      <c r="Q258" s="20" t="e">
        <f>INDEX('01_FASTPPH'!$9:$1048576,MATCH($A258,'01_FASTPPH'!$A$9:$A$1048576,0),MATCH(Q$9,'01_FASTPPH'!$8:$8,0))</f>
        <v>#N/A</v>
      </c>
      <c r="R258" s="20" t="e">
        <f>INDEX('01_FASTPPH'!$9:$1048576,MATCH($A258,'01_FASTPPH'!$A$9:$A$1048576,0),MATCH(R$9,'01_FASTPPH'!$8:$8,0))</f>
        <v>#N/A</v>
      </c>
      <c r="S258" s="20" t="e">
        <f>INDEX('01_FASTPPH'!$9:$1048576,MATCH($A258,'01_FASTPPH'!$A$9:$A$1048576,0),MATCH(S$9,'01_FASTPPH'!$8:$8,0))</f>
        <v>#N/A</v>
      </c>
      <c r="T258" s="24" t="e">
        <f>INDEX('01_FASTPPH'!$9:$1048576,MATCH($A258,'01_FASTPPH'!$A$9:$A$1048576,0),MATCH(T$9,'01_FASTPPH'!$8:$8,0))</f>
        <v>#N/A</v>
      </c>
      <c r="U258" s="23" t="e">
        <f>INDEX('01_FASTPPH'!$9:$1048576,MATCH($A258,'01_FASTPPH'!$A$9:$A$1048576,0),MATCH(U$9,'01_FASTPPH'!$8:$8,0))</f>
        <v>#N/A</v>
      </c>
      <c r="V258" s="20" t="e">
        <f>INDEX('01_FASTPPH'!$9:$1048576,MATCH($A258,'01_FASTPPH'!$A$9:$A$1048576,0),MATCH(V$9,'01_FASTPPH'!$8:$8,0))</f>
        <v>#N/A</v>
      </c>
      <c r="W258" s="24" t="e">
        <f>INDEX('01_FASTPPH'!$9:$1048576,MATCH($A258,'01_FASTPPH'!$A$9:$A$1048576,0),MATCH(W$9,'01_FASTPPH'!$8:$8,0))</f>
        <v>#N/A</v>
      </c>
      <c r="X258" s="20" t="e">
        <f>INDEX('01_FASTPPH'!$9:$1048576,MATCH($A258,'01_FASTPPH'!$A$9:$A$1048576,0),MATCH(X$9,'01_FASTPPH'!$8:$8,0))</f>
        <v>#N/A</v>
      </c>
      <c r="Y258" s="20" t="e">
        <f>INDEX('01_FASTPPH'!$9:$1048576,MATCH($A258,'01_FASTPPH'!$A$9:$A$1048576,0),MATCH(Y$9,'01_FASTPPH'!$8:$8,0))</f>
        <v>#N/A</v>
      </c>
      <c r="AA258" s="32" t="e">
        <f>INDEX('02_PROPERTIES'!$C$10:$I$1048576,MATCH('03_CALCULATIONS'!$D258,'02_PROPERTIES'!$C$10:$C$1048576,0),MATCH('03_CALCULATIONS'!AA$9,'02_PROPERTIES'!$C$10:$I$10,0))</f>
        <v>#N/A</v>
      </c>
      <c r="AB258" s="20" t="e">
        <f>INDEX('02_PROPERTIES'!$C$10:$I$1048576,MATCH('03_CALCULATIONS'!$D258,'02_PROPERTIES'!$C$10:$C$1048576,0),MATCH('03_CALCULATIONS'!AB$9,'02_PROPERTIES'!$C$10:$I$10,0))</f>
        <v>#N/A</v>
      </c>
      <c r="AC258" s="20" t="e">
        <f>INDEX('02_PROPERTIES'!$C$10:$I$1048576,MATCH('03_CALCULATIONS'!$D258,'02_PROPERTIES'!$C$10:$C$1048576,0),MATCH('03_CALCULATIONS'!AC$9,'02_PROPERTIES'!$C$10:$I$10,0))</f>
        <v>#N/A</v>
      </c>
      <c r="AD258" s="20" t="e">
        <f>INDEX('02_PROPERTIES'!$C$10:$I$1048576,MATCH('03_CALCULATIONS'!$D258,'02_PROPERTIES'!$C$10:$C$1048576,0),MATCH('03_CALCULATIONS'!AD$9,'02_PROPERTIES'!$C$10:$I$10,0))</f>
        <v>#N/A</v>
      </c>
      <c r="AE258" s="32" t="e">
        <f>INDEX('02_PROPERTIES'!$C$10:$I$1048576,MATCH('03_CALCULATIONS'!$D258,'02_PROPERTIES'!$C$10:$C$1048576,0),MATCH('03_CALCULATIONS'!AE$9,'02_PROPERTIES'!$C$10:$I$10,0))</f>
        <v>#N/A</v>
      </c>
      <c r="AF258" s="32" t="e">
        <f>INDEX('02_PROPERTIES'!$C$10:$I$1048576,MATCH('03_CALCULATIONS'!$D258,'02_PROPERTIES'!$C$10:$C$1048576,0),MATCH('03_CALCULATIONS'!AF$9,'02_PROPERTIES'!$C$10:$I$10,0))</f>
        <v>#N/A</v>
      </c>
      <c r="AH258" s="20" t="e">
        <f t="shared" si="33"/>
        <v>#N/A</v>
      </c>
      <c r="AI258" s="20" t="e">
        <f t="shared" si="34"/>
        <v>#N/A</v>
      </c>
      <c r="AJ258" s="20" t="e">
        <f t="shared" si="35"/>
        <v>#N/A</v>
      </c>
      <c r="AL258" s="20" t="e">
        <f t="shared" si="36"/>
        <v>#N/A</v>
      </c>
      <c r="AM258" s="20" t="e">
        <f t="shared" si="37"/>
        <v>#N/A</v>
      </c>
      <c r="AN258" s="20" t="e">
        <f t="shared" si="38"/>
        <v>#N/A</v>
      </c>
      <c r="AO258" s="20" t="e">
        <f t="shared" si="39"/>
        <v>#N/A</v>
      </c>
      <c r="AP258" s="20" t="e">
        <f t="shared" si="40"/>
        <v>#N/A</v>
      </c>
      <c r="AR258" s="20" t="e">
        <f t="shared" si="41"/>
        <v>#N/A</v>
      </c>
      <c r="AS258" s="20" t="e">
        <f t="shared" si="42"/>
        <v>#N/A</v>
      </c>
      <c r="AT258" s="20" t="e">
        <f t="shared" si="43"/>
        <v>#N/A</v>
      </c>
    </row>
    <row r="259" spans="1:46" x14ac:dyDescent="0.3">
      <c r="A259" s="18"/>
      <c r="B259" s="20" t="e">
        <f>INDEX('01_FASTPPH'!$9:$1048576,MATCH($A259,'01_FASTPPH'!$A$9:$A$1048576,0),MATCH(B$9,'01_FASTPPH'!$8:$8,0))</f>
        <v>#N/A</v>
      </c>
      <c r="C259" s="20" t="e">
        <f>INDEX('01_FASTPPH'!$9:$1048576,MATCH($A259,'01_FASTPPH'!$A$9:$A$1048576,0),MATCH(C$9,'01_FASTPPH'!$8:$8,0))</f>
        <v>#N/A</v>
      </c>
      <c r="D259" s="20" t="e">
        <f>INDEX('01_FASTPPH'!$9:$1048576,MATCH($A259,'01_FASTPPH'!$A$9:$A$1048576,0),MATCH(D$9,'01_FASTPPH'!$8:$8,0))</f>
        <v>#N/A</v>
      </c>
      <c r="E259" s="20" t="e">
        <f>INDEX('01_FASTPPH'!$9:$1048576,MATCH($A259,'01_FASTPPH'!$A$9:$A$1048576,0),MATCH(E$9,'01_FASTPPH'!$8:$8,0))</f>
        <v>#N/A</v>
      </c>
      <c r="F259" s="20" t="e">
        <f>INDEX('01_FASTPPH'!$9:$1048576,MATCH($A259,'01_FASTPPH'!$A$9:$A$1048576,0),MATCH(F$9,'01_FASTPPH'!$8:$8,0))</f>
        <v>#N/A</v>
      </c>
      <c r="G259" s="20" t="e">
        <f>INDEX('01_FASTPPH'!$9:$1048576,MATCH($A259,'01_FASTPPH'!$A$9:$A$1048576,0),MATCH(G$9,'01_FASTPPH'!$8:$8,0))</f>
        <v>#N/A</v>
      </c>
      <c r="H259" s="20" t="e">
        <f>INDEX('01_FASTPPH'!$9:$1048576,MATCH($A259,'01_FASTPPH'!$A$9:$A$1048576,0),MATCH(H$9,'01_FASTPPH'!$8:$8,0))</f>
        <v>#N/A</v>
      </c>
      <c r="I259" s="20" t="e">
        <f>INDEX('01_FASTPPH'!$9:$1048576,MATCH($A259,'01_FASTPPH'!$A$9:$A$1048576,0),MATCH(I$9,'01_FASTPPH'!$8:$8,0))</f>
        <v>#N/A</v>
      </c>
      <c r="J259" s="20" t="e">
        <f>INDEX('01_FASTPPH'!$9:$1048576,MATCH($A259,'01_FASTPPH'!$A$9:$A$1048576,0),MATCH(J$9,'01_FASTPPH'!$8:$8,0))</f>
        <v>#N/A</v>
      </c>
      <c r="K259" s="23" t="e">
        <f>INDEX('01_FASTPPH'!$9:$1048576,MATCH($A259,'01_FASTPPH'!$A$9:$A$1048576,0),MATCH(K$9,'01_FASTPPH'!$8:$8,0))</f>
        <v>#N/A</v>
      </c>
      <c r="L259" s="20" t="e">
        <f>INDEX('01_FASTPPH'!$9:$1048576,MATCH($A259,'01_FASTPPH'!$A$9:$A$1048576,0),MATCH(L$9,'01_FASTPPH'!$8:$8,0))</f>
        <v>#N/A</v>
      </c>
      <c r="M259" s="20" t="e">
        <f>INDEX('01_FASTPPH'!$9:$1048576,MATCH($A259,'01_FASTPPH'!$A$9:$A$1048576,0),MATCH(M$9,'01_FASTPPH'!$8:$8,0))</f>
        <v>#N/A</v>
      </c>
      <c r="N259" s="24" t="e">
        <f>INDEX('01_FASTPPH'!$9:$1048576,MATCH($A259,'01_FASTPPH'!$A$9:$A$1048576,0),MATCH(N$9,'01_FASTPPH'!$8:$8,0))</f>
        <v>#N/A</v>
      </c>
      <c r="O259" s="23" t="e">
        <f>INDEX('01_FASTPPH'!$9:$1048576,MATCH($A259,'01_FASTPPH'!$A$9:$A$1048576,0),MATCH(O$9,'01_FASTPPH'!$8:$8,0))</f>
        <v>#N/A</v>
      </c>
      <c r="P259" s="20" t="e">
        <f>INDEX('01_FASTPPH'!$9:$1048576,MATCH($A259,'01_FASTPPH'!$A$9:$A$1048576,0),MATCH(P$9,'01_FASTPPH'!$8:$8,0))</f>
        <v>#N/A</v>
      </c>
      <c r="Q259" s="20" t="e">
        <f>INDEX('01_FASTPPH'!$9:$1048576,MATCH($A259,'01_FASTPPH'!$A$9:$A$1048576,0),MATCH(Q$9,'01_FASTPPH'!$8:$8,0))</f>
        <v>#N/A</v>
      </c>
      <c r="R259" s="20" t="e">
        <f>INDEX('01_FASTPPH'!$9:$1048576,MATCH($A259,'01_FASTPPH'!$A$9:$A$1048576,0),MATCH(R$9,'01_FASTPPH'!$8:$8,0))</f>
        <v>#N/A</v>
      </c>
      <c r="S259" s="20" t="e">
        <f>INDEX('01_FASTPPH'!$9:$1048576,MATCH($A259,'01_FASTPPH'!$A$9:$A$1048576,0),MATCH(S$9,'01_FASTPPH'!$8:$8,0))</f>
        <v>#N/A</v>
      </c>
      <c r="T259" s="24" t="e">
        <f>INDEX('01_FASTPPH'!$9:$1048576,MATCH($A259,'01_FASTPPH'!$A$9:$A$1048576,0),MATCH(T$9,'01_FASTPPH'!$8:$8,0))</f>
        <v>#N/A</v>
      </c>
      <c r="U259" s="23" t="e">
        <f>INDEX('01_FASTPPH'!$9:$1048576,MATCH($A259,'01_FASTPPH'!$A$9:$A$1048576,0),MATCH(U$9,'01_FASTPPH'!$8:$8,0))</f>
        <v>#N/A</v>
      </c>
      <c r="V259" s="20" t="e">
        <f>INDEX('01_FASTPPH'!$9:$1048576,MATCH($A259,'01_FASTPPH'!$A$9:$A$1048576,0),MATCH(V$9,'01_FASTPPH'!$8:$8,0))</f>
        <v>#N/A</v>
      </c>
      <c r="W259" s="24" t="e">
        <f>INDEX('01_FASTPPH'!$9:$1048576,MATCH($A259,'01_FASTPPH'!$A$9:$A$1048576,0),MATCH(W$9,'01_FASTPPH'!$8:$8,0))</f>
        <v>#N/A</v>
      </c>
      <c r="X259" s="20" t="e">
        <f>INDEX('01_FASTPPH'!$9:$1048576,MATCH($A259,'01_FASTPPH'!$A$9:$A$1048576,0),MATCH(X$9,'01_FASTPPH'!$8:$8,0))</f>
        <v>#N/A</v>
      </c>
      <c r="Y259" s="20" t="e">
        <f>INDEX('01_FASTPPH'!$9:$1048576,MATCH($A259,'01_FASTPPH'!$A$9:$A$1048576,0),MATCH(Y$9,'01_FASTPPH'!$8:$8,0))</f>
        <v>#N/A</v>
      </c>
      <c r="AA259" s="32" t="e">
        <f>INDEX('02_PROPERTIES'!$C$10:$I$1048576,MATCH('03_CALCULATIONS'!$D259,'02_PROPERTIES'!$C$10:$C$1048576,0),MATCH('03_CALCULATIONS'!AA$9,'02_PROPERTIES'!$C$10:$I$10,0))</f>
        <v>#N/A</v>
      </c>
      <c r="AB259" s="20" t="e">
        <f>INDEX('02_PROPERTIES'!$C$10:$I$1048576,MATCH('03_CALCULATIONS'!$D259,'02_PROPERTIES'!$C$10:$C$1048576,0),MATCH('03_CALCULATIONS'!AB$9,'02_PROPERTIES'!$C$10:$I$10,0))</f>
        <v>#N/A</v>
      </c>
      <c r="AC259" s="20" t="e">
        <f>INDEX('02_PROPERTIES'!$C$10:$I$1048576,MATCH('03_CALCULATIONS'!$D259,'02_PROPERTIES'!$C$10:$C$1048576,0),MATCH('03_CALCULATIONS'!AC$9,'02_PROPERTIES'!$C$10:$I$10,0))</f>
        <v>#N/A</v>
      </c>
      <c r="AD259" s="20" t="e">
        <f>INDEX('02_PROPERTIES'!$C$10:$I$1048576,MATCH('03_CALCULATIONS'!$D259,'02_PROPERTIES'!$C$10:$C$1048576,0),MATCH('03_CALCULATIONS'!AD$9,'02_PROPERTIES'!$C$10:$I$10,0))</f>
        <v>#N/A</v>
      </c>
      <c r="AE259" s="32" t="e">
        <f>INDEX('02_PROPERTIES'!$C$10:$I$1048576,MATCH('03_CALCULATIONS'!$D259,'02_PROPERTIES'!$C$10:$C$1048576,0),MATCH('03_CALCULATIONS'!AE$9,'02_PROPERTIES'!$C$10:$I$10,0))</f>
        <v>#N/A</v>
      </c>
      <c r="AF259" s="32" t="e">
        <f>INDEX('02_PROPERTIES'!$C$10:$I$1048576,MATCH('03_CALCULATIONS'!$D259,'02_PROPERTIES'!$C$10:$C$1048576,0),MATCH('03_CALCULATIONS'!AF$9,'02_PROPERTIES'!$C$10:$I$10,0))</f>
        <v>#N/A</v>
      </c>
      <c r="AH259" s="20" t="e">
        <f t="shared" si="33"/>
        <v>#N/A</v>
      </c>
      <c r="AI259" s="20" t="e">
        <f t="shared" si="34"/>
        <v>#N/A</v>
      </c>
      <c r="AJ259" s="20" t="e">
        <f t="shared" si="35"/>
        <v>#N/A</v>
      </c>
      <c r="AL259" s="20" t="e">
        <f t="shared" si="36"/>
        <v>#N/A</v>
      </c>
      <c r="AM259" s="20" t="e">
        <f t="shared" si="37"/>
        <v>#N/A</v>
      </c>
      <c r="AN259" s="20" t="e">
        <f t="shared" si="38"/>
        <v>#N/A</v>
      </c>
      <c r="AO259" s="20" t="e">
        <f t="shared" si="39"/>
        <v>#N/A</v>
      </c>
      <c r="AP259" s="20" t="e">
        <f t="shared" si="40"/>
        <v>#N/A</v>
      </c>
      <c r="AR259" s="20" t="e">
        <f t="shared" si="41"/>
        <v>#N/A</v>
      </c>
      <c r="AS259" s="20" t="e">
        <f t="shared" si="42"/>
        <v>#N/A</v>
      </c>
      <c r="AT259" s="20" t="e">
        <f t="shared" si="43"/>
        <v>#N/A</v>
      </c>
    </row>
    <row r="260" spans="1:46" x14ac:dyDescent="0.3">
      <c r="A260" s="18"/>
      <c r="B260" s="20" t="e">
        <f>INDEX('01_FASTPPH'!$9:$1048576,MATCH($A260,'01_FASTPPH'!$A$9:$A$1048576,0),MATCH(B$9,'01_FASTPPH'!$8:$8,0))</f>
        <v>#N/A</v>
      </c>
      <c r="C260" s="20" t="e">
        <f>INDEX('01_FASTPPH'!$9:$1048576,MATCH($A260,'01_FASTPPH'!$A$9:$A$1048576,0),MATCH(C$9,'01_FASTPPH'!$8:$8,0))</f>
        <v>#N/A</v>
      </c>
      <c r="D260" s="20" t="e">
        <f>INDEX('01_FASTPPH'!$9:$1048576,MATCH($A260,'01_FASTPPH'!$A$9:$A$1048576,0),MATCH(D$9,'01_FASTPPH'!$8:$8,0))</f>
        <v>#N/A</v>
      </c>
      <c r="E260" s="20" t="e">
        <f>INDEX('01_FASTPPH'!$9:$1048576,MATCH($A260,'01_FASTPPH'!$A$9:$A$1048576,0),MATCH(E$9,'01_FASTPPH'!$8:$8,0))</f>
        <v>#N/A</v>
      </c>
      <c r="F260" s="20" t="e">
        <f>INDEX('01_FASTPPH'!$9:$1048576,MATCH($A260,'01_FASTPPH'!$A$9:$A$1048576,0),MATCH(F$9,'01_FASTPPH'!$8:$8,0))</f>
        <v>#N/A</v>
      </c>
      <c r="G260" s="20" t="e">
        <f>INDEX('01_FASTPPH'!$9:$1048576,MATCH($A260,'01_FASTPPH'!$A$9:$A$1048576,0),MATCH(G$9,'01_FASTPPH'!$8:$8,0))</f>
        <v>#N/A</v>
      </c>
      <c r="H260" s="20" t="e">
        <f>INDEX('01_FASTPPH'!$9:$1048576,MATCH($A260,'01_FASTPPH'!$A$9:$A$1048576,0),MATCH(H$9,'01_FASTPPH'!$8:$8,0))</f>
        <v>#N/A</v>
      </c>
      <c r="I260" s="20" t="e">
        <f>INDEX('01_FASTPPH'!$9:$1048576,MATCH($A260,'01_FASTPPH'!$A$9:$A$1048576,0),MATCH(I$9,'01_FASTPPH'!$8:$8,0))</f>
        <v>#N/A</v>
      </c>
      <c r="J260" s="20" t="e">
        <f>INDEX('01_FASTPPH'!$9:$1048576,MATCH($A260,'01_FASTPPH'!$A$9:$A$1048576,0),MATCH(J$9,'01_FASTPPH'!$8:$8,0))</f>
        <v>#N/A</v>
      </c>
      <c r="K260" s="23" t="e">
        <f>INDEX('01_FASTPPH'!$9:$1048576,MATCH($A260,'01_FASTPPH'!$A$9:$A$1048576,0),MATCH(K$9,'01_FASTPPH'!$8:$8,0))</f>
        <v>#N/A</v>
      </c>
      <c r="L260" s="20" t="e">
        <f>INDEX('01_FASTPPH'!$9:$1048576,MATCH($A260,'01_FASTPPH'!$A$9:$A$1048576,0),MATCH(L$9,'01_FASTPPH'!$8:$8,0))</f>
        <v>#N/A</v>
      </c>
      <c r="M260" s="20" t="e">
        <f>INDEX('01_FASTPPH'!$9:$1048576,MATCH($A260,'01_FASTPPH'!$A$9:$A$1048576,0),MATCH(M$9,'01_FASTPPH'!$8:$8,0))</f>
        <v>#N/A</v>
      </c>
      <c r="N260" s="24" t="e">
        <f>INDEX('01_FASTPPH'!$9:$1048576,MATCH($A260,'01_FASTPPH'!$A$9:$A$1048576,0),MATCH(N$9,'01_FASTPPH'!$8:$8,0))</f>
        <v>#N/A</v>
      </c>
      <c r="O260" s="23" t="e">
        <f>INDEX('01_FASTPPH'!$9:$1048576,MATCH($A260,'01_FASTPPH'!$A$9:$A$1048576,0),MATCH(O$9,'01_FASTPPH'!$8:$8,0))</f>
        <v>#N/A</v>
      </c>
      <c r="P260" s="20" t="e">
        <f>INDEX('01_FASTPPH'!$9:$1048576,MATCH($A260,'01_FASTPPH'!$A$9:$A$1048576,0),MATCH(P$9,'01_FASTPPH'!$8:$8,0))</f>
        <v>#N/A</v>
      </c>
      <c r="Q260" s="20" t="e">
        <f>INDEX('01_FASTPPH'!$9:$1048576,MATCH($A260,'01_FASTPPH'!$A$9:$A$1048576,0),MATCH(Q$9,'01_FASTPPH'!$8:$8,0))</f>
        <v>#N/A</v>
      </c>
      <c r="R260" s="20" t="e">
        <f>INDEX('01_FASTPPH'!$9:$1048576,MATCH($A260,'01_FASTPPH'!$A$9:$A$1048576,0),MATCH(R$9,'01_FASTPPH'!$8:$8,0))</f>
        <v>#N/A</v>
      </c>
      <c r="S260" s="20" t="e">
        <f>INDEX('01_FASTPPH'!$9:$1048576,MATCH($A260,'01_FASTPPH'!$A$9:$A$1048576,0),MATCH(S$9,'01_FASTPPH'!$8:$8,0))</f>
        <v>#N/A</v>
      </c>
      <c r="T260" s="24" t="e">
        <f>INDEX('01_FASTPPH'!$9:$1048576,MATCH($A260,'01_FASTPPH'!$A$9:$A$1048576,0),MATCH(T$9,'01_FASTPPH'!$8:$8,0))</f>
        <v>#N/A</v>
      </c>
      <c r="U260" s="23" t="e">
        <f>INDEX('01_FASTPPH'!$9:$1048576,MATCH($A260,'01_FASTPPH'!$A$9:$A$1048576,0),MATCH(U$9,'01_FASTPPH'!$8:$8,0))</f>
        <v>#N/A</v>
      </c>
      <c r="V260" s="20" t="e">
        <f>INDEX('01_FASTPPH'!$9:$1048576,MATCH($A260,'01_FASTPPH'!$A$9:$A$1048576,0),MATCH(V$9,'01_FASTPPH'!$8:$8,0))</f>
        <v>#N/A</v>
      </c>
      <c r="W260" s="24" t="e">
        <f>INDEX('01_FASTPPH'!$9:$1048576,MATCH($A260,'01_FASTPPH'!$A$9:$A$1048576,0),MATCH(W$9,'01_FASTPPH'!$8:$8,0))</f>
        <v>#N/A</v>
      </c>
      <c r="X260" s="20" t="e">
        <f>INDEX('01_FASTPPH'!$9:$1048576,MATCH($A260,'01_FASTPPH'!$A$9:$A$1048576,0),MATCH(X$9,'01_FASTPPH'!$8:$8,0))</f>
        <v>#N/A</v>
      </c>
      <c r="Y260" s="20" t="e">
        <f>INDEX('01_FASTPPH'!$9:$1048576,MATCH($A260,'01_FASTPPH'!$A$9:$A$1048576,0),MATCH(Y$9,'01_FASTPPH'!$8:$8,0))</f>
        <v>#N/A</v>
      </c>
      <c r="AA260" s="32" t="e">
        <f>INDEX('02_PROPERTIES'!$C$10:$I$1048576,MATCH('03_CALCULATIONS'!$D260,'02_PROPERTIES'!$C$10:$C$1048576,0),MATCH('03_CALCULATIONS'!AA$9,'02_PROPERTIES'!$C$10:$I$10,0))</f>
        <v>#N/A</v>
      </c>
      <c r="AB260" s="20" t="e">
        <f>INDEX('02_PROPERTIES'!$C$10:$I$1048576,MATCH('03_CALCULATIONS'!$D260,'02_PROPERTIES'!$C$10:$C$1048576,0),MATCH('03_CALCULATIONS'!AB$9,'02_PROPERTIES'!$C$10:$I$10,0))</f>
        <v>#N/A</v>
      </c>
      <c r="AC260" s="20" t="e">
        <f>INDEX('02_PROPERTIES'!$C$10:$I$1048576,MATCH('03_CALCULATIONS'!$D260,'02_PROPERTIES'!$C$10:$C$1048576,0),MATCH('03_CALCULATIONS'!AC$9,'02_PROPERTIES'!$C$10:$I$10,0))</f>
        <v>#N/A</v>
      </c>
      <c r="AD260" s="20" t="e">
        <f>INDEX('02_PROPERTIES'!$C$10:$I$1048576,MATCH('03_CALCULATIONS'!$D260,'02_PROPERTIES'!$C$10:$C$1048576,0),MATCH('03_CALCULATIONS'!AD$9,'02_PROPERTIES'!$C$10:$I$10,0))</f>
        <v>#N/A</v>
      </c>
      <c r="AE260" s="32" t="e">
        <f>INDEX('02_PROPERTIES'!$C$10:$I$1048576,MATCH('03_CALCULATIONS'!$D260,'02_PROPERTIES'!$C$10:$C$1048576,0),MATCH('03_CALCULATIONS'!AE$9,'02_PROPERTIES'!$C$10:$I$10,0))</f>
        <v>#N/A</v>
      </c>
      <c r="AF260" s="32" t="e">
        <f>INDEX('02_PROPERTIES'!$C$10:$I$1048576,MATCH('03_CALCULATIONS'!$D260,'02_PROPERTIES'!$C$10:$C$1048576,0),MATCH('03_CALCULATIONS'!AF$9,'02_PROPERTIES'!$C$10:$I$10,0))</f>
        <v>#N/A</v>
      </c>
      <c r="AH260" s="20" t="e">
        <f t="shared" si="33"/>
        <v>#N/A</v>
      </c>
      <c r="AI260" s="20" t="e">
        <f t="shared" si="34"/>
        <v>#N/A</v>
      </c>
      <c r="AJ260" s="20" t="e">
        <f t="shared" si="35"/>
        <v>#N/A</v>
      </c>
      <c r="AL260" s="20" t="e">
        <f t="shared" si="36"/>
        <v>#N/A</v>
      </c>
      <c r="AM260" s="20" t="e">
        <f t="shared" si="37"/>
        <v>#N/A</v>
      </c>
      <c r="AN260" s="20" t="e">
        <f t="shared" si="38"/>
        <v>#N/A</v>
      </c>
      <c r="AO260" s="20" t="e">
        <f t="shared" si="39"/>
        <v>#N/A</v>
      </c>
      <c r="AP260" s="20" t="e">
        <f t="shared" si="40"/>
        <v>#N/A</v>
      </c>
      <c r="AR260" s="20" t="e">
        <f t="shared" si="41"/>
        <v>#N/A</v>
      </c>
      <c r="AS260" s="20" t="e">
        <f t="shared" si="42"/>
        <v>#N/A</v>
      </c>
      <c r="AT260" s="20" t="e">
        <f t="shared" si="43"/>
        <v>#N/A</v>
      </c>
    </row>
    <row r="261" spans="1:46" x14ac:dyDescent="0.3">
      <c r="A261" s="18"/>
      <c r="B261" s="20" t="e">
        <f>INDEX('01_FASTPPH'!$9:$1048576,MATCH($A261,'01_FASTPPH'!$A$9:$A$1048576,0),MATCH(B$9,'01_FASTPPH'!$8:$8,0))</f>
        <v>#N/A</v>
      </c>
      <c r="C261" s="20" t="e">
        <f>INDEX('01_FASTPPH'!$9:$1048576,MATCH($A261,'01_FASTPPH'!$A$9:$A$1048576,0),MATCH(C$9,'01_FASTPPH'!$8:$8,0))</f>
        <v>#N/A</v>
      </c>
      <c r="D261" s="20" t="e">
        <f>INDEX('01_FASTPPH'!$9:$1048576,MATCH($A261,'01_FASTPPH'!$A$9:$A$1048576,0),MATCH(D$9,'01_FASTPPH'!$8:$8,0))</f>
        <v>#N/A</v>
      </c>
      <c r="E261" s="20" t="e">
        <f>INDEX('01_FASTPPH'!$9:$1048576,MATCH($A261,'01_FASTPPH'!$A$9:$A$1048576,0),MATCH(E$9,'01_FASTPPH'!$8:$8,0))</f>
        <v>#N/A</v>
      </c>
      <c r="F261" s="20" t="e">
        <f>INDEX('01_FASTPPH'!$9:$1048576,MATCH($A261,'01_FASTPPH'!$A$9:$A$1048576,0),MATCH(F$9,'01_FASTPPH'!$8:$8,0))</f>
        <v>#N/A</v>
      </c>
      <c r="G261" s="20" t="e">
        <f>INDEX('01_FASTPPH'!$9:$1048576,MATCH($A261,'01_FASTPPH'!$A$9:$A$1048576,0),MATCH(G$9,'01_FASTPPH'!$8:$8,0))</f>
        <v>#N/A</v>
      </c>
      <c r="H261" s="20" t="e">
        <f>INDEX('01_FASTPPH'!$9:$1048576,MATCH($A261,'01_FASTPPH'!$A$9:$A$1048576,0),MATCH(H$9,'01_FASTPPH'!$8:$8,0))</f>
        <v>#N/A</v>
      </c>
      <c r="I261" s="20" t="e">
        <f>INDEX('01_FASTPPH'!$9:$1048576,MATCH($A261,'01_FASTPPH'!$A$9:$A$1048576,0),MATCH(I$9,'01_FASTPPH'!$8:$8,0))</f>
        <v>#N/A</v>
      </c>
      <c r="J261" s="20" t="e">
        <f>INDEX('01_FASTPPH'!$9:$1048576,MATCH($A261,'01_FASTPPH'!$A$9:$A$1048576,0),MATCH(J$9,'01_FASTPPH'!$8:$8,0))</f>
        <v>#N/A</v>
      </c>
      <c r="K261" s="23" t="e">
        <f>INDEX('01_FASTPPH'!$9:$1048576,MATCH($A261,'01_FASTPPH'!$A$9:$A$1048576,0),MATCH(K$9,'01_FASTPPH'!$8:$8,0))</f>
        <v>#N/A</v>
      </c>
      <c r="L261" s="20" t="e">
        <f>INDEX('01_FASTPPH'!$9:$1048576,MATCH($A261,'01_FASTPPH'!$A$9:$A$1048576,0),MATCH(L$9,'01_FASTPPH'!$8:$8,0))</f>
        <v>#N/A</v>
      </c>
      <c r="M261" s="20" t="e">
        <f>INDEX('01_FASTPPH'!$9:$1048576,MATCH($A261,'01_FASTPPH'!$A$9:$A$1048576,0),MATCH(M$9,'01_FASTPPH'!$8:$8,0))</f>
        <v>#N/A</v>
      </c>
      <c r="N261" s="24" t="e">
        <f>INDEX('01_FASTPPH'!$9:$1048576,MATCH($A261,'01_FASTPPH'!$A$9:$A$1048576,0),MATCH(N$9,'01_FASTPPH'!$8:$8,0))</f>
        <v>#N/A</v>
      </c>
      <c r="O261" s="23" t="e">
        <f>INDEX('01_FASTPPH'!$9:$1048576,MATCH($A261,'01_FASTPPH'!$A$9:$A$1048576,0),MATCH(O$9,'01_FASTPPH'!$8:$8,0))</f>
        <v>#N/A</v>
      </c>
      <c r="P261" s="20" t="e">
        <f>INDEX('01_FASTPPH'!$9:$1048576,MATCH($A261,'01_FASTPPH'!$A$9:$A$1048576,0),MATCH(P$9,'01_FASTPPH'!$8:$8,0))</f>
        <v>#N/A</v>
      </c>
      <c r="Q261" s="20" t="e">
        <f>INDEX('01_FASTPPH'!$9:$1048576,MATCH($A261,'01_FASTPPH'!$A$9:$A$1048576,0),MATCH(Q$9,'01_FASTPPH'!$8:$8,0))</f>
        <v>#N/A</v>
      </c>
      <c r="R261" s="20" t="e">
        <f>INDEX('01_FASTPPH'!$9:$1048576,MATCH($A261,'01_FASTPPH'!$A$9:$A$1048576,0),MATCH(R$9,'01_FASTPPH'!$8:$8,0))</f>
        <v>#N/A</v>
      </c>
      <c r="S261" s="20" t="e">
        <f>INDEX('01_FASTPPH'!$9:$1048576,MATCH($A261,'01_FASTPPH'!$A$9:$A$1048576,0),MATCH(S$9,'01_FASTPPH'!$8:$8,0))</f>
        <v>#N/A</v>
      </c>
      <c r="T261" s="24" t="e">
        <f>INDEX('01_FASTPPH'!$9:$1048576,MATCH($A261,'01_FASTPPH'!$A$9:$A$1048576,0),MATCH(T$9,'01_FASTPPH'!$8:$8,0))</f>
        <v>#N/A</v>
      </c>
      <c r="U261" s="23" t="e">
        <f>INDEX('01_FASTPPH'!$9:$1048576,MATCH($A261,'01_FASTPPH'!$A$9:$A$1048576,0),MATCH(U$9,'01_FASTPPH'!$8:$8,0))</f>
        <v>#N/A</v>
      </c>
      <c r="V261" s="20" t="e">
        <f>INDEX('01_FASTPPH'!$9:$1048576,MATCH($A261,'01_FASTPPH'!$A$9:$A$1048576,0),MATCH(V$9,'01_FASTPPH'!$8:$8,0))</f>
        <v>#N/A</v>
      </c>
      <c r="W261" s="24" t="e">
        <f>INDEX('01_FASTPPH'!$9:$1048576,MATCH($A261,'01_FASTPPH'!$A$9:$A$1048576,0),MATCH(W$9,'01_FASTPPH'!$8:$8,0))</f>
        <v>#N/A</v>
      </c>
      <c r="X261" s="20" t="e">
        <f>INDEX('01_FASTPPH'!$9:$1048576,MATCH($A261,'01_FASTPPH'!$A$9:$A$1048576,0),MATCH(X$9,'01_FASTPPH'!$8:$8,0))</f>
        <v>#N/A</v>
      </c>
      <c r="Y261" s="20" t="e">
        <f>INDEX('01_FASTPPH'!$9:$1048576,MATCH($A261,'01_FASTPPH'!$A$9:$A$1048576,0),MATCH(Y$9,'01_FASTPPH'!$8:$8,0))</f>
        <v>#N/A</v>
      </c>
      <c r="AA261" s="32" t="e">
        <f>INDEX('02_PROPERTIES'!$C$10:$I$1048576,MATCH('03_CALCULATIONS'!$D261,'02_PROPERTIES'!$C$10:$C$1048576,0),MATCH('03_CALCULATIONS'!AA$9,'02_PROPERTIES'!$C$10:$I$10,0))</f>
        <v>#N/A</v>
      </c>
      <c r="AB261" s="20" t="e">
        <f>INDEX('02_PROPERTIES'!$C$10:$I$1048576,MATCH('03_CALCULATIONS'!$D261,'02_PROPERTIES'!$C$10:$C$1048576,0),MATCH('03_CALCULATIONS'!AB$9,'02_PROPERTIES'!$C$10:$I$10,0))</f>
        <v>#N/A</v>
      </c>
      <c r="AC261" s="20" t="e">
        <f>INDEX('02_PROPERTIES'!$C$10:$I$1048576,MATCH('03_CALCULATIONS'!$D261,'02_PROPERTIES'!$C$10:$C$1048576,0),MATCH('03_CALCULATIONS'!AC$9,'02_PROPERTIES'!$C$10:$I$10,0))</f>
        <v>#N/A</v>
      </c>
      <c r="AD261" s="20" t="e">
        <f>INDEX('02_PROPERTIES'!$C$10:$I$1048576,MATCH('03_CALCULATIONS'!$D261,'02_PROPERTIES'!$C$10:$C$1048576,0),MATCH('03_CALCULATIONS'!AD$9,'02_PROPERTIES'!$C$10:$I$10,0))</f>
        <v>#N/A</v>
      </c>
      <c r="AE261" s="32" t="e">
        <f>INDEX('02_PROPERTIES'!$C$10:$I$1048576,MATCH('03_CALCULATIONS'!$D261,'02_PROPERTIES'!$C$10:$C$1048576,0),MATCH('03_CALCULATIONS'!AE$9,'02_PROPERTIES'!$C$10:$I$10,0))</f>
        <v>#N/A</v>
      </c>
      <c r="AF261" s="32" t="e">
        <f>INDEX('02_PROPERTIES'!$C$10:$I$1048576,MATCH('03_CALCULATIONS'!$D261,'02_PROPERTIES'!$C$10:$C$1048576,0),MATCH('03_CALCULATIONS'!AF$9,'02_PROPERTIES'!$C$10:$I$10,0))</f>
        <v>#N/A</v>
      </c>
      <c r="AH261" s="20" t="e">
        <f t="shared" si="33"/>
        <v>#N/A</v>
      </c>
      <c r="AI261" s="20" t="e">
        <f t="shared" si="34"/>
        <v>#N/A</v>
      </c>
      <c r="AJ261" s="20" t="e">
        <f t="shared" si="35"/>
        <v>#N/A</v>
      </c>
      <c r="AL261" s="20" t="e">
        <f t="shared" si="36"/>
        <v>#N/A</v>
      </c>
      <c r="AM261" s="20" t="e">
        <f t="shared" si="37"/>
        <v>#N/A</v>
      </c>
      <c r="AN261" s="20" t="e">
        <f t="shared" si="38"/>
        <v>#N/A</v>
      </c>
      <c r="AO261" s="20" t="e">
        <f t="shared" si="39"/>
        <v>#N/A</v>
      </c>
      <c r="AP261" s="20" t="e">
        <f t="shared" si="40"/>
        <v>#N/A</v>
      </c>
      <c r="AR261" s="20" t="e">
        <f t="shared" si="41"/>
        <v>#N/A</v>
      </c>
      <c r="AS261" s="20" t="e">
        <f t="shared" si="42"/>
        <v>#N/A</v>
      </c>
      <c r="AT261" s="20" t="e">
        <f t="shared" si="43"/>
        <v>#N/A</v>
      </c>
    </row>
    <row r="262" spans="1:46" x14ac:dyDescent="0.3">
      <c r="A262" s="18"/>
      <c r="B262" s="20" t="e">
        <f>INDEX('01_FASTPPH'!$9:$1048576,MATCH($A262,'01_FASTPPH'!$A$9:$A$1048576,0),MATCH(B$9,'01_FASTPPH'!$8:$8,0))</f>
        <v>#N/A</v>
      </c>
      <c r="C262" s="20" t="e">
        <f>INDEX('01_FASTPPH'!$9:$1048576,MATCH($A262,'01_FASTPPH'!$A$9:$A$1048576,0),MATCH(C$9,'01_FASTPPH'!$8:$8,0))</f>
        <v>#N/A</v>
      </c>
      <c r="D262" s="20" t="e">
        <f>INDEX('01_FASTPPH'!$9:$1048576,MATCH($A262,'01_FASTPPH'!$A$9:$A$1048576,0),MATCH(D$9,'01_FASTPPH'!$8:$8,0))</f>
        <v>#N/A</v>
      </c>
      <c r="E262" s="20" t="e">
        <f>INDEX('01_FASTPPH'!$9:$1048576,MATCH($A262,'01_FASTPPH'!$A$9:$A$1048576,0),MATCH(E$9,'01_FASTPPH'!$8:$8,0))</f>
        <v>#N/A</v>
      </c>
      <c r="F262" s="20" t="e">
        <f>INDEX('01_FASTPPH'!$9:$1048576,MATCH($A262,'01_FASTPPH'!$A$9:$A$1048576,0),MATCH(F$9,'01_FASTPPH'!$8:$8,0))</f>
        <v>#N/A</v>
      </c>
      <c r="G262" s="20" t="e">
        <f>INDEX('01_FASTPPH'!$9:$1048576,MATCH($A262,'01_FASTPPH'!$A$9:$A$1048576,0),MATCH(G$9,'01_FASTPPH'!$8:$8,0))</f>
        <v>#N/A</v>
      </c>
      <c r="H262" s="20" t="e">
        <f>INDEX('01_FASTPPH'!$9:$1048576,MATCH($A262,'01_FASTPPH'!$A$9:$A$1048576,0),MATCH(H$9,'01_FASTPPH'!$8:$8,0))</f>
        <v>#N/A</v>
      </c>
      <c r="I262" s="20" t="e">
        <f>INDEX('01_FASTPPH'!$9:$1048576,MATCH($A262,'01_FASTPPH'!$A$9:$A$1048576,0),MATCH(I$9,'01_FASTPPH'!$8:$8,0))</f>
        <v>#N/A</v>
      </c>
      <c r="J262" s="20" t="e">
        <f>INDEX('01_FASTPPH'!$9:$1048576,MATCH($A262,'01_FASTPPH'!$A$9:$A$1048576,0),MATCH(J$9,'01_FASTPPH'!$8:$8,0))</f>
        <v>#N/A</v>
      </c>
      <c r="K262" s="23" t="e">
        <f>INDEX('01_FASTPPH'!$9:$1048576,MATCH($A262,'01_FASTPPH'!$A$9:$A$1048576,0),MATCH(K$9,'01_FASTPPH'!$8:$8,0))</f>
        <v>#N/A</v>
      </c>
      <c r="L262" s="20" t="e">
        <f>INDEX('01_FASTPPH'!$9:$1048576,MATCH($A262,'01_FASTPPH'!$A$9:$A$1048576,0),MATCH(L$9,'01_FASTPPH'!$8:$8,0))</f>
        <v>#N/A</v>
      </c>
      <c r="M262" s="20" t="e">
        <f>INDEX('01_FASTPPH'!$9:$1048576,MATCH($A262,'01_FASTPPH'!$A$9:$A$1048576,0),MATCH(M$9,'01_FASTPPH'!$8:$8,0))</f>
        <v>#N/A</v>
      </c>
      <c r="N262" s="24" t="e">
        <f>INDEX('01_FASTPPH'!$9:$1048576,MATCH($A262,'01_FASTPPH'!$A$9:$A$1048576,0),MATCH(N$9,'01_FASTPPH'!$8:$8,0))</f>
        <v>#N/A</v>
      </c>
      <c r="O262" s="23" t="e">
        <f>INDEX('01_FASTPPH'!$9:$1048576,MATCH($A262,'01_FASTPPH'!$A$9:$A$1048576,0),MATCH(O$9,'01_FASTPPH'!$8:$8,0))</f>
        <v>#N/A</v>
      </c>
      <c r="P262" s="20" t="e">
        <f>INDEX('01_FASTPPH'!$9:$1048576,MATCH($A262,'01_FASTPPH'!$A$9:$A$1048576,0),MATCH(P$9,'01_FASTPPH'!$8:$8,0))</f>
        <v>#N/A</v>
      </c>
      <c r="Q262" s="20" t="e">
        <f>INDEX('01_FASTPPH'!$9:$1048576,MATCH($A262,'01_FASTPPH'!$A$9:$A$1048576,0),MATCH(Q$9,'01_FASTPPH'!$8:$8,0))</f>
        <v>#N/A</v>
      </c>
      <c r="R262" s="20" t="e">
        <f>INDEX('01_FASTPPH'!$9:$1048576,MATCH($A262,'01_FASTPPH'!$A$9:$A$1048576,0),MATCH(R$9,'01_FASTPPH'!$8:$8,0))</f>
        <v>#N/A</v>
      </c>
      <c r="S262" s="20" t="e">
        <f>INDEX('01_FASTPPH'!$9:$1048576,MATCH($A262,'01_FASTPPH'!$A$9:$A$1048576,0),MATCH(S$9,'01_FASTPPH'!$8:$8,0))</f>
        <v>#N/A</v>
      </c>
      <c r="T262" s="24" t="e">
        <f>INDEX('01_FASTPPH'!$9:$1048576,MATCH($A262,'01_FASTPPH'!$A$9:$A$1048576,0),MATCH(T$9,'01_FASTPPH'!$8:$8,0))</f>
        <v>#N/A</v>
      </c>
      <c r="U262" s="23" t="e">
        <f>INDEX('01_FASTPPH'!$9:$1048576,MATCH($A262,'01_FASTPPH'!$A$9:$A$1048576,0),MATCH(U$9,'01_FASTPPH'!$8:$8,0))</f>
        <v>#N/A</v>
      </c>
      <c r="V262" s="20" t="e">
        <f>INDEX('01_FASTPPH'!$9:$1048576,MATCH($A262,'01_FASTPPH'!$A$9:$A$1048576,0),MATCH(V$9,'01_FASTPPH'!$8:$8,0))</f>
        <v>#N/A</v>
      </c>
      <c r="W262" s="24" t="e">
        <f>INDEX('01_FASTPPH'!$9:$1048576,MATCH($A262,'01_FASTPPH'!$A$9:$A$1048576,0),MATCH(W$9,'01_FASTPPH'!$8:$8,0))</f>
        <v>#N/A</v>
      </c>
      <c r="X262" s="20" t="e">
        <f>INDEX('01_FASTPPH'!$9:$1048576,MATCH($A262,'01_FASTPPH'!$A$9:$A$1048576,0),MATCH(X$9,'01_FASTPPH'!$8:$8,0))</f>
        <v>#N/A</v>
      </c>
      <c r="Y262" s="20" t="e">
        <f>INDEX('01_FASTPPH'!$9:$1048576,MATCH($A262,'01_FASTPPH'!$A$9:$A$1048576,0),MATCH(Y$9,'01_FASTPPH'!$8:$8,0))</f>
        <v>#N/A</v>
      </c>
      <c r="AA262" s="32" t="e">
        <f>INDEX('02_PROPERTIES'!$C$10:$I$1048576,MATCH('03_CALCULATIONS'!$D262,'02_PROPERTIES'!$C$10:$C$1048576,0),MATCH('03_CALCULATIONS'!AA$9,'02_PROPERTIES'!$C$10:$I$10,0))</f>
        <v>#N/A</v>
      </c>
      <c r="AB262" s="20" t="e">
        <f>INDEX('02_PROPERTIES'!$C$10:$I$1048576,MATCH('03_CALCULATIONS'!$D262,'02_PROPERTIES'!$C$10:$C$1048576,0),MATCH('03_CALCULATIONS'!AB$9,'02_PROPERTIES'!$C$10:$I$10,0))</f>
        <v>#N/A</v>
      </c>
      <c r="AC262" s="20" t="e">
        <f>INDEX('02_PROPERTIES'!$C$10:$I$1048576,MATCH('03_CALCULATIONS'!$D262,'02_PROPERTIES'!$C$10:$C$1048576,0),MATCH('03_CALCULATIONS'!AC$9,'02_PROPERTIES'!$C$10:$I$10,0))</f>
        <v>#N/A</v>
      </c>
      <c r="AD262" s="20" t="e">
        <f>INDEX('02_PROPERTIES'!$C$10:$I$1048576,MATCH('03_CALCULATIONS'!$D262,'02_PROPERTIES'!$C$10:$C$1048576,0),MATCH('03_CALCULATIONS'!AD$9,'02_PROPERTIES'!$C$10:$I$10,0))</f>
        <v>#N/A</v>
      </c>
      <c r="AE262" s="32" t="e">
        <f>INDEX('02_PROPERTIES'!$C$10:$I$1048576,MATCH('03_CALCULATIONS'!$D262,'02_PROPERTIES'!$C$10:$C$1048576,0),MATCH('03_CALCULATIONS'!AE$9,'02_PROPERTIES'!$C$10:$I$10,0))</f>
        <v>#N/A</v>
      </c>
      <c r="AF262" s="32" t="e">
        <f>INDEX('02_PROPERTIES'!$C$10:$I$1048576,MATCH('03_CALCULATIONS'!$D262,'02_PROPERTIES'!$C$10:$C$1048576,0),MATCH('03_CALCULATIONS'!AF$9,'02_PROPERTIES'!$C$10:$I$10,0))</f>
        <v>#N/A</v>
      </c>
      <c r="AH262" s="20" t="e">
        <f t="shared" si="33"/>
        <v>#N/A</v>
      </c>
      <c r="AI262" s="20" t="e">
        <f t="shared" si="34"/>
        <v>#N/A</v>
      </c>
      <c r="AJ262" s="20" t="e">
        <f t="shared" si="35"/>
        <v>#N/A</v>
      </c>
      <c r="AL262" s="20" t="e">
        <f t="shared" si="36"/>
        <v>#N/A</v>
      </c>
      <c r="AM262" s="20" t="e">
        <f t="shared" si="37"/>
        <v>#N/A</v>
      </c>
      <c r="AN262" s="20" t="e">
        <f t="shared" si="38"/>
        <v>#N/A</v>
      </c>
      <c r="AO262" s="20" t="e">
        <f t="shared" si="39"/>
        <v>#N/A</v>
      </c>
      <c r="AP262" s="20" t="e">
        <f t="shared" si="40"/>
        <v>#N/A</v>
      </c>
      <c r="AR262" s="20" t="e">
        <f t="shared" si="41"/>
        <v>#N/A</v>
      </c>
      <c r="AS262" s="20" t="e">
        <f t="shared" si="42"/>
        <v>#N/A</v>
      </c>
      <c r="AT262" s="20" t="e">
        <f t="shared" si="43"/>
        <v>#N/A</v>
      </c>
    </row>
    <row r="263" spans="1:46" x14ac:dyDescent="0.3">
      <c r="A263" s="18"/>
      <c r="B263" s="20" t="e">
        <f>INDEX('01_FASTPPH'!$9:$1048576,MATCH($A263,'01_FASTPPH'!$A$9:$A$1048576,0),MATCH(B$9,'01_FASTPPH'!$8:$8,0))</f>
        <v>#N/A</v>
      </c>
      <c r="C263" s="20" t="e">
        <f>INDEX('01_FASTPPH'!$9:$1048576,MATCH($A263,'01_FASTPPH'!$A$9:$A$1048576,0),MATCH(C$9,'01_FASTPPH'!$8:$8,0))</f>
        <v>#N/A</v>
      </c>
      <c r="D263" s="20" t="e">
        <f>INDEX('01_FASTPPH'!$9:$1048576,MATCH($A263,'01_FASTPPH'!$A$9:$A$1048576,0),MATCH(D$9,'01_FASTPPH'!$8:$8,0))</f>
        <v>#N/A</v>
      </c>
      <c r="E263" s="20" t="e">
        <f>INDEX('01_FASTPPH'!$9:$1048576,MATCH($A263,'01_FASTPPH'!$A$9:$A$1048576,0),MATCH(E$9,'01_FASTPPH'!$8:$8,0))</f>
        <v>#N/A</v>
      </c>
      <c r="F263" s="20" t="e">
        <f>INDEX('01_FASTPPH'!$9:$1048576,MATCH($A263,'01_FASTPPH'!$A$9:$A$1048576,0),MATCH(F$9,'01_FASTPPH'!$8:$8,0))</f>
        <v>#N/A</v>
      </c>
      <c r="G263" s="20" t="e">
        <f>INDEX('01_FASTPPH'!$9:$1048576,MATCH($A263,'01_FASTPPH'!$A$9:$A$1048576,0),MATCH(G$9,'01_FASTPPH'!$8:$8,0))</f>
        <v>#N/A</v>
      </c>
      <c r="H263" s="20" t="e">
        <f>INDEX('01_FASTPPH'!$9:$1048576,MATCH($A263,'01_FASTPPH'!$A$9:$A$1048576,0),MATCH(H$9,'01_FASTPPH'!$8:$8,0))</f>
        <v>#N/A</v>
      </c>
      <c r="I263" s="20" t="e">
        <f>INDEX('01_FASTPPH'!$9:$1048576,MATCH($A263,'01_FASTPPH'!$A$9:$A$1048576,0),MATCH(I$9,'01_FASTPPH'!$8:$8,0))</f>
        <v>#N/A</v>
      </c>
      <c r="J263" s="20" t="e">
        <f>INDEX('01_FASTPPH'!$9:$1048576,MATCH($A263,'01_FASTPPH'!$A$9:$A$1048576,0),MATCH(J$9,'01_FASTPPH'!$8:$8,0))</f>
        <v>#N/A</v>
      </c>
      <c r="K263" s="23" t="e">
        <f>INDEX('01_FASTPPH'!$9:$1048576,MATCH($A263,'01_FASTPPH'!$A$9:$A$1048576,0),MATCH(K$9,'01_FASTPPH'!$8:$8,0))</f>
        <v>#N/A</v>
      </c>
      <c r="L263" s="20" t="e">
        <f>INDEX('01_FASTPPH'!$9:$1048576,MATCH($A263,'01_FASTPPH'!$A$9:$A$1048576,0),MATCH(L$9,'01_FASTPPH'!$8:$8,0))</f>
        <v>#N/A</v>
      </c>
      <c r="M263" s="20" t="e">
        <f>INDEX('01_FASTPPH'!$9:$1048576,MATCH($A263,'01_FASTPPH'!$A$9:$A$1048576,0),MATCH(M$9,'01_FASTPPH'!$8:$8,0))</f>
        <v>#N/A</v>
      </c>
      <c r="N263" s="24" t="e">
        <f>INDEX('01_FASTPPH'!$9:$1048576,MATCH($A263,'01_FASTPPH'!$A$9:$A$1048576,0),MATCH(N$9,'01_FASTPPH'!$8:$8,0))</f>
        <v>#N/A</v>
      </c>
      <c r="O263" s="23" t="e">
        <f>INDEX('01_FASTPPH'!$9:$1048576,MATCH($A263,'01_FASTPPH'!$A$9:$A$1048576,0),MATCH(O$9,'01_FASTPPH'!$8:$8,0))</f>
        <v>#N/A</v>
      </c>
      <c r="P263" s="20" t="e">
        <f>INDEX('01_FASTPPH'!$9:$1048576,MATCH($A263,'01_FASTPPH'!$A$9:$A$1048576,0),MATCH(P$9,'01_FASTPPH'!$8:$8,0))</f>
        <v>#N/A</v>
      </c>
      <c r="Q263" s="20" t="e">
        <f>INDEX('01_FASTPPH'!$9:$1048576,MATCH($A263,'01_FASTPPH'!$A$9:$A$1048576,0),MATCH(Q$9,'01_FASTPPH'!$8:$8,0))</f>
        <v>#N/A</v>
      </c>
      <c r="R263" s="20" t="e">
        <f>INDEX('01_FASTPPH'!$9:$1048576,MATCH($A263,'01_FASTPPH'!$A$9:$A$1048576,0),MATCH(R$9,'01_FASTPPH'!$8:$8,0))</f>
        <v>#N/A</v>
      </c>
      <c r="S263" s="20" t="e">
        <f>INDEX('01_FASTPPH'!$9:$1048576,MATCH($A263,'01_FASTPPH'!$A$9:$A$1048576,0),MATCH(S$9,'01_FASTPPH'!$8:$8,0))</f>
        <v>#N/A</v>
      </c>
      <c r="T263" s="24" t="e">
        <f>INDEX('01_FASTPPH'!$9:$1048576,MATCH($A263,'01_FASTPPH'!$A$9:$A$1048576,0),MATCH(T$9,'01_FASTPPH'!$8:$8,0))</f>
        <v>#N/A</v>
      </c>
      <c r="U263" s="23" t="e">
        <f>INDEX('01_FASTPPH'!$9:$1048576,MATCH($A263,'01_FASTPPH'!$A$9:$A$1048576,0),MATCH(U$9,'01_FASTPPH'!$8:$8,0))</f>
        <v>#N/A</v>
      </c>
      <c r="V263" s="20" t="e">
        <f>INDEX('01_FASTPPH'!$9:$1048576,MATCH($A263,'01_FASTPPH'!$A$9:$A$1048576,0),MATCH(V$9,'01_FASTPPH'!$8:$8,0))</f>
        <v>#N/A</v>
      </c>
      <c r="W263" s="24" t="e">
        <f>INDEX('01_FASTPPH'!$9:$1048576,MATCH($A263,'01_FASTPPH'!$A$9:$A$1048576,0),MATCH(W$9,'01_FASTPPH'!$8:$8,0))</f>
        <v>#N/A</v>
      </c>
      <c r="X263" s="20" t="e">
        <f>INDEX('01_FASTPPH'!$9:$1048576,MATCH($A263,'01_FASTPPH'!$A$9:$A$1048576,0),MATCH(X$9,'01_FASTPPH'!$8:$8,0))</f>
        <v>#N/A</v>
      </c>
      <c r="Y263" s="20" t="e">
        <f>INDEX('01_FASTPPH'!$9:$1048576,MATCH($A263,'01_FASTPPH'!$A$9:$A$1048576,0),MATCH(Y$9,'01_FASTPPH'!$8:$8,0))</f>
        <v>#N/A</v>
      </c>
      <c r="AA263" s="32" t="e">
        <f>INDEX('02_PROPERTIES'!$C$10:$I$1048576,MATCH('03_CALCULATIONS'!$D263,'02_PROPERTIES'!$C$10:$C$1048576,0),MATCH('03_CALCULATIONS'!AA$9,'02_PROPERTIES'!$C$10:$I$10,0))</f>
        <v>#N/A</v>
      </c>
      <c r="AB263" s="20" t="e">
        <f>INDEX('02_PROPERTIES'!$C$10:$I$1048576,MATCH('03_CALCULATIONS'!$D263,'02_PROPERTIES'!$C$10:$C$1048576,0),MATCH('03_CALCULATIONS'!AB$9,'02_PROPERTIES'!$C$10:$I$10,0))</f>
        <v>#N/A</v>
      </c>
      <c r="AC263" s="20" t="e">
        <f>INDEX('02_PROPERTIES'!$C$10:$I$1048576,MATCH('03_CALCULATIONS'!$D263,'02_PROPERTIES'!$C$10:$C$1048576,0),MATCH('03_CALCULATIONS'!AC$9,'02_PROPERTIES'!$C$10:$I$10,0))</f>
        <v>#N/A</v>
      </c>
      <c r="AD263" s="20" t="e">
        <f>INDEX('02_PROPERTIES'!$C$10:$I$1048576,MATCH('03_CALCULATIONS'!$D263,'02_PROPERTIES'!$C$10:$C$1048576,0),MATCH('03_CALCULATIONS'!AD$9,'02_PROPERTIES'!$C$10:$I$10,0))</f>
        <v>#N/A</v>
      </c>
      <c r="AE263" s="32" t="e">
        <f>INDEX('02_PROPERTIES'!$C$10:$I$1048576,MATCH('03_CALCULATIONS'!$D263,'02_PROPERTIES'!$C$10:$C$1048576,0),MATCH('03_CALCULATIONS'!AE$9,'02_PROPERTIES'!$C$10:$I$10,0))</f>
        <v>#N/A</v>
      </c>
      <c r="AF263" s="32" t="e">
        <f>INDEX('02_PROPERTIES'!$C$10:$I$1048576,MATCH('03_CALCULATIONS'!$D263,'02_PROPERTIES'!$C$10:$C$1048576,0),MATCH('03_CALCULATIONS'!AF$9,'02_PROPERTIES'!$C$10:$I$10,0))</f>
        <v>#N/A</v>
      </c>
      <c r="AH263" s="20" t="e">
        <f t="shared" si="33"/>
        <v>#N/A</v>
      </c>
      <c r="AI263" s="20" t="e">
        <f t="shared" si="34"/>
        <v>#N/A</v>
      </c>
      <c r="AJ263" s="20" t="e">
        <f t="shared" si="35"/>
        <v>#N/A</v>
      </c>
      <c r="AL263" s="20" t="e">
        <f t="shared" si="36"/>
        <v>#N/A</v>
      </c>
      <c r="AM263" s="20" t="e">
        <f t="shared" si="37"/>
        <v>#N/A</v>
      </c>
      <c r="AN263" s="20" t="e">
        <f t="shared" si="38"/>
        <v>#N/A</v>
      </c>
      <c r="AO263" s="20" t="e">
        <f t="shared" si="39"/>
        <v>#N/A</v>
      </c>
      <c r="AP263" s="20" t="e">
        <f t="shared" si="40"/>
        <v>#N/A</v>
      </c>
      <c r="AR263" s="20" t="e">
        <f t="shared" si="41"/>
        <v>#N/A</v>
      </c>
      <c r="AS263" s="20" t="e">
        <f t="shared" si="42"/>
        <v>#N/A</v>
      </c>
      <c r="AT263" s="20" t="e">
        <f t="shared" si="43"/>
        <v>#N/A</v>
      </c>
    </row>
    <row r="264" spans="1:46" x14ac:dyDescent="0.3">
      <c r="A264" s="18"/>
      <c r="B264" s="20" t="e">
        <f>INDEX('01_FASTPPH'!$9:$1048576,MATCH($A264,'01_FASTPPH'!$A$9:$A$1048576,0),MATCH(B$9,'01_FASTPPH'!$8:$8,0))</f>
        <v>#N/A</v>
      </c>
      <c r="C264" s="20" t="e">
        <f>INDEX('01_FASTPPH'!$9:$1048576,MATCH($A264,'01_FASTPPH'!$A$9:$A$1048576,0),MATCH(C$9,'01_FASTPPH'!$8:$8,0))</f>
        <v>#N/A</v>
      </c>
      <c r="D264" s="20" t="e">
        <f>INDEX('01_FASTPPH'!$9:$1048576,MATCH($A264,'01_FASTPPH'!$A$9:$A$1048576,0),MATCH(D$9,'01_FASTPPH'!$8:$8,0))</f>
        <v>#N/A</v>
      </c>
      <c r="E264" s="20" t="e">
        <f>INDEX('01_FASTPPH'!$9:$1048576,MATCH($A264,'01_FASTPPH'!$A$9:$A$1048576,0),MATCH(E$9,'01_FASTPPH'!$8:$8,0))</f>
        <v>#N/A</v>
      </c>
      <c r="F264" s="20" t="e">
        <f>INDEX('01_FASTPPH'!$9:$1048576,MATCH($A264,'01_FASTPPH'!$A$9:$A$1048576,0),MATCH(F$9,'01_FASTPPH'!$8:$8,0))</f>
        <v>#N/A</v>
      </c>
      <c r="G264" s="20" t="e">
        <f>INDEX('01_FASTPPH'!$9:$1048576,MATCH($A264,'01_FASTPPH'!$A$9:$A$1048576,0),MATCH(G$9,'01_FASTPPH'!$8:$8,0))</f>
        <v>#N/A</v>
      </c>
      <c r="H264" s="20" t="e">
        <f>INDEX('01_FASTPPH'!$9:$1048576,MATCH($A264,'01_FASTPPH'!$A$9:$A$1048576,0),MATCH(H$9,'01_FASTPPH'!$8:$8,0))</f>
        <v>#N/A</v>
      </c>
      <c r="I264" s="20" t="e">
        <f>INDEX('01_FASTPPH'!$9:$1048576,MATCH($A264,'01_FASTPPH'!$A$9:$A$1048576,0),MATCH(I$9,'01_FASTPPH'!$8:$8,0))</f>
        <v>#N/A</v>
      </c>
      <c r="J264" s="20" t="e">
        <f>INDEX('01_FASTPPH'!$9:$1048576,MATCH($A264,'01_FASTPPH'!$A$9:$A$1048576,0),MATCH(J$9,'01_FASTPPH'!$8:$8,0))</f>
        <v>#N/A</v>
      </c>
      <c r="K264" s="23" t="e">
        <f>INDEX('01_FASTPPH'!$9:$1048576,MATCH($A264,'01_FASTPPH'!$A$9:$A$1048576,0),MATCH(K$9,'01_FASTPPH'!$8:$8,0))</f>
        <v>#N/A</v>
      </c>
      <c r="L264" s="20" t="e">
        <f>INDEX('01_FASTPPH'!$9:$1048576,MATCH($A264,'01_FASTPPH'!$A$9:$A$1048576,0),MATCH(L$9,'01_FASTPPH'!$8:$8,0))</f>
        <v>#N/A</v>
      </c>
      <c r="M264" s="20" t="e">
        <f>INDEX('01_FASTPPH'!$9:$1048576,MATCH($A264,'01_FASTPPH'!$A$9:$A$1048576,0),MATCH(M$9,'01_FASTPPH'!$8:$8,0))</f>
        <v>#N/A</v>
      </c>
      <c r="N264" s="24" t="e">
        <f>INDEX('01_FASTPPH'!$9:$1048576,MATCH($A264,'01_FASTPPH'!$A$9:$A$1048576,0),MATCH(N$9,'01_FASTPPH'!$8:$8,0))</f>
        <v>#N/A</v>
      </c>
      <c r="O264" s="23" t="e">
        <f>INDEX('01_FASTPPH'!$9:$1048576,MATCH($A264,'01_FASTPPH'!$A$9:$A$1048576,0),MATCH(O$9,'01_FASTPPH'!$8:$8,0))</f>
        <v>#N/A</v>
      </c>
      <c r="P264" s="20" t="e">
        <f>INDEX('01_FASTPPH'!$9:$1048576,MATCH($A264,'01_FASTPPH'!$A$9:$A$1048576,0),MATCH(P$9,'01_FASTPPH'!$8:$8,0))</f>
        <v>#N/A</v>
      </c>
      <c r="Q264" s="20" t="e">
        <f>INDEX('01_FASTPPH'!$9:$1048576,MATCH($A264,'01_FASTPPH'!$A$9:$A$1048576,0),MATCH(Q$9,'01_FASTPPH'!$8:$8,0))</f>
        <v>#N/A</v>
      </c>
      <c r="R264" s="20" t="e">
        <f>INDEX('01_FASTPPH'!$9:$1048576,MATCH($A264,'01_FASTPPH'!$A$9:$A$1048576,0),MATCH(R$9,'01_FASTPPH'!$8:$8,0))</f>
        <v>#N/A</v>
      </c>
      <c r="S264" s="20" t="e">
        <f>INDEX('01_FASTPPH'!$9:$1048576,MATCH($A264,'01_FASTPPH'!$A$9:$A$1048576,0),MATCH(S$9,'01_FASTPPH'!$8:$8,0))</f>
        <v>#N/A</v>
      </c>
      <c r="T264" s="24" t="e">
        <f>INDEX('01_FASTPPH'!$9:$1048576,MATCH($A264,'01_FASTPPH'!$A$9:$A$1048576,0),MATCH(T$9,'01_FASTPPH'!$8:$8,0))</f>
        <v>#N/A</v>
      </c>
      <c r="U264" s="23" t="e">
        <f>INDEX('01_FASTPPH'!$9:$1048576,MATCH($A264,'01_FASTPPH'!$A$9:$A$1048576,0),MATCH(U$9,'01_FASTPPH'!$8:$8,0))</f>
        <v>#N/A</v>
      </c>
      <c r="V264" s="20" t="e">
        <f>INDEX('01_FASTPPH'!$9:$1048576,MATCH($A264,'01_FASTPPH'!$A$9:$A$1048576,0),MATCH(V$9,'01_FASTPPH'!$8:$8,0))</f>
        <v>#N/A</v>
      </c>
      <c r="W264" s="24" t="e">
        <f>INDEX('01_FASTPPH'!$9:$1048576,MATCH($A264,'01_FASTPPH'!$A$9:$A$1048576,0),MATCH(W$9,'01_FASTPPH'!$8:$8,0))</f>
        <v>#N/A</v>
      </c>
      <c r="X264" s="20" t="e">
        <f>INDEX('01_FASTPPH'!$9:$1048576,MATCH($A264,'01_FASTPPH'!$A$9:$A$1048576,0),MATCH(X$9,'01_FASTPPH'!$8:$8,0))</f>
        <v>#N/A</v>
      </c>
      <c r="Y264" s="20" t="e">
        <f>INDEX('01_FASTPPH'!$9:$1048576,MATCH($A264,'01_FASTPPH'!$A$9:$A$1048576,0),MATCH(Y$9,'01_FASTPPH'!$8:$8,0))</f>
        <v>#N/A</v>
      </c>
      <c r="AA264" s="32" t="e">
        <f>INDEX('02_PROPERTIES'!$C$10:$I$1048576,MATCH('03_CALCULATIONS'!$D264,'02_PROPERTIES'!$C$10:$C$1048576,0),MATCH('03_CALCULATIONS'!AA$9,'02_PROPERTIES'!$C$10:$I$10,0))</f>
        <v>#N/A</v>
      </c>
      <c r="AB264" s="20" t="e">
        <f>INDEX('02_PROPERTIES'!$C$10:$I$1048576,MATCH('03_CALCULATIONS'!$D264,'02_PROPERTIES'!$C$10:$C$1048576,0),MATCH('03_CALCULATIONS'!AB$9,'02_PROPERTIES'!$C$10:$I$10,0))</f>
        <v>#N/A</v>
      </c>
      <c r="AC264" s="20" t="e">
        <f>INDEX('02_PROPERTIES'!$C$10:$I$1048576,MATCH('03_CALCULATIONS'!$D264,'02_PROPERTIES'!$C$10:$C$1048576,0),MATCH('03_CALCULATIONS'!AC$9,'02_PROPERTIES'!$C$10:$I$10,0))</f>
        <v>#N/A</v>
      </c>
      <c r="AD264" s="20" t="e">
        <f>INDEX('02_PROPERTIES'!$C$10:$I$1048576,MATCH('03_CALCULATIONS'!$D264,'02_PROPERTIES'!$C$10:$C$1048576,0),MATCH('03_CALCULATIONS'!AD$9,'02_PROPERTIES'!$C$10:$I$10,0))</f>
        <v>#N/A</v>
      </c>
      <c r="AE264" s="32" t="e">
        <f>INDEX('02_PROPERTIES'!$C$10:$I$1048576,MATCH('03_CALCULATIONS'!$D264,'02_PROPERTIES'!$C$10:$C$1048576,0),MATCH('03_CALCULATIONS'!AE$9,'02_PROPERTIES'!$C$10:$I$10,0))</f>
        <v>#N/A</v>
      </c>
      <c r="AF264" s="32" t="e">
        <f>INDEX('02_PROPERTIES'!$C$10:$I$1048576,MATCH('03_CALCULATIONS'!$D264,'02_PROPERTIES'!$C$10:$C$1048576,0),MATCH('03_CALCULATIONS'!AF$9,'02_PROPERTIES'!$C$10:$I$10,0))</f>
        <v>#N/A</v>
      </c>
      <c r="AH264" s="20" t="e">
        <f t="shared" si="33"/>
        <v>#N/A</v>
      </c>
      <c r="AI264" s="20" t="e">
        <f t="shared" si="34"/>
        <v>#N/A</v>
      </c>
      <c r="AJ264" s="20" t="e">
        <f t="shared" si="35"/>
        <v>#N/A</v>
      </c>
      <c r="AL264" s="20" t="e">
        <f t="shared" si="36"/>
        <v>#N/A</v>
      </c>
      <c r="AM264" s="20" t="e">
        <f t="shared" si="37"/>
        <v>#N/A</v>
      </c>
      <c r="AN264" s="20" t="e">
        <f t="shared" si="38"/>
        <v>#N/A</v>
      </c>
      <c r="AO264" s="20" t="e">
        <f t="shared" si="39"/>
        <v>#N/A</v>
      </c>
      <c r="AP264" s="20" t="e">
        <f t="shared" si="40"/>
        <v>#N/A</v>
      </c>
      <c r="AR264" s="20" t="e">
        <f t="shared" si="41"/>
        <v>#N/A</v>
      </c>
      <c r="AS264" s="20" t="e">
        <f t="shared" si="42"/>
        <v>#N/A</v>
      </c>
      <c r="AT264" s="20" t="e">
        <f t="shared" si="43"/>
        <v>#N/A</v>
      </c>
    </row>
    <row r="265" spans="1:46" x14ac:dyDescent="0.3">
      <c r="A265" s="18"/>
      <c r="B265" s="20" t="e">
        <f>INDEX('01_FASTPPH'!$9:$1048576,MATCH($A265,'01_FASTPPH'!$A$9:$A$1048576,0),MATCH(B$9,'01_FASTPPH'!$8:$8,0))</f>
        <v>#N/A</v>
      </c>
      <c r="C265" s="20" t="e">
        <f>INDEX('01_FASTPPH'!$9:$1048576,MATCH($A265,'01_FASTPPH'!$A$9:$A$1048576,0),MATCH(C$9,'01_FASTPPH'!$8:$8,0))</f>
        <v>#N/A</v>
      </c>
      <c r="D265" s="20" t="e">
        <f>INDEX('01_FASTPPH'!$9:$1048576,MATCH($A265,'01_FASTPPH'!$A$9:$A$1048576,0),MATCH(D$9,'01_FASTPPH'!$8:$8,0))</f>
        <v>#N/A</v>
      </c>
      <c r="E265" s="20" t="e">
        <f>INDEX('01_FASTPPH'!$9:$1048576,MATCH($A265,'01_FASTPPH'!$A$9:$A$1048576,0),MATCH(E$9,'01_FASTPPH'!$8:$8,0))</f>
        <v>#N/A</v>
      </c>
      <c r="F265" s="20" t="e">
        <f>INDEX('01_FASTPPH'!$9:$1048576,MATCH($A265,'01_FASTPPH'!$A$9:$A$1048576,0),MATCH(F$9,'01_FASTPPH'!$8:$8,0))</f>
        <v>#N/A</v>
      </c>
      <c r="G265" s="20" t="e">
        <f>INDEX('01_FASTPPH'!$9:$1048576,MATCH($A265,'01_FASTPPH'!$A$9:$A$1048576,0),MATCH(G$9,'01_FASTPPH'!$8:$8,0))</f>
        <v>#N/A</v>
      </c>
      <c r="H265" s="20" t="e">
        <f>INDEX('01_FASTPPH'!$9:$1048576,MATCH($A265,'01_FASTPPH'!$A$9:$A$1048576,0),MATCH(H$9,'01_FASTPPH'!$8:$8,0))</f>
        <v>#N/A</v>
      </c>
      <c r="I265" s="20" t="e">
        <f>INDEX('01_FASTPPH'!$9:$1048576,MATCH($A265,'01_FASTPPH'!$A$9:$A$1048576,0),MATCH(I$9,'01_FASTPPH'!$8:$8,0))</f>
        <v>#N/A</v>
      </c>
      <c r="J265" s="20" t="e">
        <f>INDEX('01_FASTPPH'!$9:$1048576,MATCH($A265,'01_FASTPPH'!$A$9:$A$1048576,0),MATCH(J$9,'01_FASTPPH'!$8:$8,0))</f>
        <v>#N/A</v>
      </c>
      <c r="K265" s="23" t="e">
        <f>INDEX('01_FASTPPH'!$9:$1048576,MATCH($A265,'01_FASTPPH'!$A$9:$A$1048576,0),MATCH(K$9,'01_FASTPPH'!$8:$8,0))</f>
        <v>#N/A</v>
      </c>
      <c r="L265" s="20" t="e">
        <f>INDEX('01_FASTPPH'!$9:$1048576,MATCH($A265,'01_FASTPPH'!$A$9:$A$1048576,0),MATCH(L$9,'01_FASTPPH'!$8:$8,0))</f>
        <v>#N/A</v>
      </c>
      <c r="M265" s="20" t="e">
        <f>INDEX('01_FASTPPH'!$9:$1048576,MATCH($A265,'01_FASTPPH'!$A$9:$A$1048576,0),MATCH(M$9,'01_FASTPPH'!$8:$8,0))</f>
        <v>#N/A</v>
      </c>
      <c r="N265" s="24" t="e">
        <f>INDEX('01_FASTPPH'!$9:$1048576,MATCH($A265,'01_FASTPPH'!$A$9:$A$1048576,0),MATCH(N$9,'01_FASTPPH'!$8:$8,0))</f>
        <v>#N/A</v>
      </c>
      <c r="O265" s="23" t="e">
        <f>INDEX('01_FASTPPH'!$9:$1048576,MATCH($A265,'01_FASTPPH'!$A$9:$A$1048576,0),MATCH(O$9,'01_FASTPPH'!$8:$8,0))</f>
        <v>#N/A</v>
      </c>
      <c r="P265" s="20" t="e">
        <f>INDEX('01_FASTPPH'!$9:$1048576,MATCH($A265,'01_FASTPPH'!$A$9:$A$1048576,0),MATCH(P$9,'01_FASTPPH'!$8:$8,0))</f>
        <v>#N/A</v>
      </c>
      <c r="Q265" s="20" t="e">
        <f>INDEX('01_FASTPPH'!$9:$1048576,MATCH($A265,'01_FASTPPH'!$A$9:$A$1048576,0),MATCH(Q$9,'01_FASTPPH'!$8:$8,0))</f>
        <v>#N/A</v>
      </c>
      <c r="R265" s="20" t="e">
        <f>INDEX('01_FASTPPH'!$9:$1048576,MATCH($A265,'01_FASTPPH'!$A$9:$A$1048576,0),MATCH(R$9,'01_FASTPPH'!$8:$8,0))</f>
        <v>#N/A</v>
      </c>
      <c r="S265" s="20" t="e">
        <f>INDEX('01_FASTPPH'!$9:$1048576,MATCH($A265,'01_FASTPPH'!$A$9:$A$1048576,0),MATCH(S$9,'01_FASTPPH'!$8:$8,0))</f>
        <v>#N/A</v>
      </c>
      <c r="T265" s="24" t="e">
        <f>INDEX('01_FASTPPH'!$9:$1048576,MATCH($A265,'01_FASTPPH'!$A$9:$A$1048576,0),MATCH(T$9,'01_FASTPPH'!$8:$8,0))</f>
        <v>#N/A</v>
      </c>
      <c r="U265" s="23" t="e">
        <f>INDEX('01_FASTPPH'!$9:$1048576,MATCH($A265,'01_FASTPPH'!$A$9:$A$1048576,0),MATCH(U$9,'01_FASTPPH'!$8:$8,0))</f>
        <v>#N/A</v>
      </c>
      <c r="V265" s="20" t="e">
        <f>INDEX('01_FASTPPH'!$9:$1048576,MATCH($A265,'01_FASTPPH'!$A$9:$A$1048576,0),MATCH(V$9,'01_FASTPPH'!$8:$8,0))</f>
        <v>#N/A</v>
      </c>
      <c r="W265" s="24" t="e">
        <f>INDEX('01_FASTPPH'!$9:$1048576,MATCH($A265,'01_FASTPPH'!$A$9:$A$1048576,0),MATCH(W$9,'01_FASTPPH'!$8:$8,0))</f>
        <v>#N/A</v>
      </c>
      <c r="X265" s="20" t="e">
        <f>INDEX('01_FASTPPH'!$9:$1048576,MATCH($A265,'01_FASTPPH'!$A$9:$A$1048576,0),MATCH(X$9,'01_FASTPPH'!$8:$8,0))</f>
        <v>#N/A</v>
      </c>
      <c r="Y265" s="20" t="e">
        <f>INDEX('01_FASTPPH'!$9:$1048576,MATCH($A265,'01_FASTPPH'!$A$9:$A$1048576,0),MATCH(Y$9,'01_FASTPPH'!$8:$8,0))</f>
        <v>#N/A</v>
      </c>
      <c r="AA265" s="32" t="e">
        <f>INDEX('02_PROPERTIES'!$C$10:$I$1048576,MATCH('03_CALCULATIONS'!$D265,'02_PROPERTIES'!$C$10:$C$1048576,0),MATCH('03_CALCULATIONS'!AA$9,'02_PROPERTIES'!$C$10:$I$10,0))</f>
        <v>#N/A</v>
      </c>
      <c r="AB265" s="20" t="e">
        <f>INDEX('02_PROPERTIES'!$C$10:$I$1048576,MATCH('03_CALCULATIONS'!$D265,'02_PROPERTIES'!$C$10:$C$1048576,0),MATCH('03_CALCULATIONS'!AB$9,'02_PROPERTIES'!$C$10:$I$10,0))</f>
        <v>#N/A</v>
      </c>
      <c r="AC265" s="20" t="e">
        <f>INDEX('02_PROPERTIES'!$C$10:$I$1048576,MATCH('03_CALCULATIONS'!$D265,'02_PROPERTIES'!$C$10:$C$1048576,0),MATCH('03_CALCULATIONS'!AC$9,'02_PROPERTIES'!$C$10:$I$10,0))</f>
        <v>#N/A</v>
      </c>
      <c r="AD265" s="20" t="e">
        <f>INDEX('02_PROPERTIES'!$C$10:$I$1048576,MATCH('03_CALCULATIONS'!$D265,'02_PROPERTIES'!$C$10:$C$1048576,0),MATCH('03_CALCULATIONS'!AD$9,'02_PROPERTIES'!$C$10:$I$10,0))</f>
        <v>#N/A</v>
      </c>
      <c r="AE265" s="32" t="e">
        <f>INDEX('02_PROPERTIES'!$C$10:$I$1048576,MATCH('03_CALCULATIONS'!$D265,'02_PROPERTIES'!$C$10:$C$1048576,0),MATCH('03_CALCULATIONS'!AE$9,'02_PROPERTIES'!$C$10:$I$10,0))</f>
        <v>#N/A</v>
      </c>
      <c r="AF265" s="32" t="e">
        <f>INDEX('02_PROPERTIES'!$C$10:$I$1048576,MATCH('03_CALCULATIONS'!$D265,'02_PROPERTIES'!$C$10:$C$1048576,0),MATCH('03_CALCULATIONS'!AF$9,'02_PROPERTIES'!$C$10:$I$10,0))</f>
        <v>#N/A</v>
      </c>
      <c r="AH265" s="20" t="e">
        <f t="shared" si="33"/>
        <v>#N/A</v>
      </c>
      <c r="AI265" s="20" t="e">
        <f t="shared" si="34"/>
        <v>#N/A</v>
      </c>
      <c r="AJ265" s="20" t="e">
        <f t="shared" si="35"/>
        <v>#N/A</v>
      </c>
      <c r="AL265" s="20" t="e">
        <f t="shared" si="36"/>
        <v>#N/A</v>
      </c>
      <c r="AM265" s="20" t="e">
        <f t="shared" si="37"/>
        <v>#N/A</v>
      </c>
      <c r="AN265" s="20" t="e">
        <f t="shared" si="38"/>
        <v>#N/A</v>
      </c>
      <c r="AO265" s="20" t="e">
        <f t="shared" si="39"/>
        <v>#N/A</v>
      </c>
      <c r="AP265" s="20" t="e">
        <f t="shared" si="40"/>
        <v>#N/A</v>
      </c>
      <c r="AR265" s="20" t="e">
        <f t="shared" si="41"/>
        <v>#N/A</v>
      </c>
      <c r="AS265" s="20" t="e">
        <f t="shared" si="42"/>
        <v>#N/A</v>
      </c>
      <c r="AT265" s="20" t="e">
        <f t="shared" si="43"/>
        <v>#N/A</v>
      </c>
    </row>
    <row r="266" spans="1:46" x14ac:dyDescent="0.3">
      <c r="A266" s="18"/>
      <c r="B266" s="20" t="e">
        <f>INDEX('01_FASTPPH'!$9:$1048576,MATCH($A266,'01_FASTPPH'!$A$9:$A$1048576,0),MATCH(B$9,'01_FASTPPH'!$8:$8,0))</f>
        <v>#N/A</v>
      </c>
      <c r="C266" s="20" t="e">
        <f>INDEX('01_FASTPPH'!$9:$1048576,MATCH($A266,'01_FASTPPH'!$A$9:$A$1048576,0),MATCH(C$9,'01_FASTPPH'!$8:$8,0))</f>
        <v>#N/A</v>
      </c>
      <c r="D266" s="20" t="e">
        <f>INDEX('01_FASTPPH'!$9:$1048576,MATCH($A266,'01_FASTPPH'!$A$9:$A$1048576,0),MATCH(D$9,'01_FASTPPH'!$8:$8,0))</f>
        <v>#N/A</v>
      </c>
      <c r="E266" s="20" t="e">
        <f>INDEX('01_FASTPPH'!$9:$1048576,MATCH($A266,'01_FASTPPH'!$A$9:$A$1048576,0),MATCH(E$9,'01_FASTPPH'!$8:$8,0))</f>
        <v>#N/A</v>
      </c>
      <c r="F266" s="20" t="e">
        <f>INDEX('01_FASTPPH'!$9:$1048576,MATCH($A266,'01_FASTPPH'!$A$9:$A$1048576,0),MATCH(F$9,'01_FASTPPH'!$8:$8,0))</f>
        <v>#N/A</v>
      </c>
      <c r="G266" s="20" t="e">
        <f>INDEX('01_FASTPPH'!$9:$1048576,MATCH($A266,'01_FASTPPH'!$A$9:$A$1048576,0),MATCH(G$9,'01_FASTPPH'!$8:$8,0))</f>
        <v>#N/A</v>
      </c>
      <c r="H266" s="20" t="e">
        <f>INDEX('01_FASTPPH'!$9:$1048576,MATCH($A266,'01_FASTPPH'!$A$9:$A$1048576,0),MATCH(H$9,'01_FASTPPH'!$8:$8,0))</f>
        <v>#N/A</v>
      </c>
      <c r="I266" s="20" t="e">
        <f>INDEX('01_FASTPPH'!$9:$1048576,MATCH($A266,'01_FASTPPH'!$A$9:$A$1048576,0),MATCH(I$9,'01_FASTPPH'!$8:$8,0))</f>
        <v>#N/A</v>
      </c>
      <c r="J266" s="20" t="e">
        <f>INDEX('01_FASTPPH'!$9:$1048576,MATCH($A266,'01_FASTPPH'!$A$9:$A$1048576,0),MATCH(J$9,'01_FASTPPH'!$8:$8,0))</f>
        <v>#N/A</v>
      </c>
      <c r="K266" s="23" t="e">
        <f>INDEX('01_FASTPPH'!$9:$1048576,MATCH($A266,'01_FASTPPH'!$A$9:$A$1048576,0),MATCH(K$9,'01_FASTPPH'!$8:$8,0))</f>
        <v>#N/A</v>
      </c>
      <c r="L266" s="20" t="e">
        <f>INDEX('01_FASTPPH'!$9:$1048576,MATCH($A266,'01_FASTPPH'!$A$9:$A$1048576,0),MATCH(L$9,'01_FASTPPH'!$8:$8,0))</f>
        <v>#N/A</v>
      </c>
      <c r="M266" s="20" t="e">
        <f>INDEX('01_FASTPPH'!$9:$1048576,MATCH($A266,'01_FASTPPH'!$A$9:$A$1048576,0),MATCH(M$9,'01_FASTPPH'!$8:$8,0))</f>
        <v>#N/A</v>
      </c>
      <c r="N266" s="24" t="e">
        <f>INDEX('01_FASTPPH'!$9:$1048576,MATCH($A266,'01_FASTPPH'!$A$9:$A$1048576,0),MATCH(N$9,'01_FASTPPH'!$8:$8,0))</f>
        <v>#N/A</v>
      </c>
      <c r="O266" s="23" t="e">
        <f>INDEX('01_FASTPPH'!$9:$1048576,MATCH($A266,'01_FASTPPH'!$A$9:$A$1048576,0),MATCH(O$9,'01_FASTPPH'!$8:$8,0))</f>
        <v>#N/A</v>
      </c>
      <c r="P266" s="20" t="e">
        <f>INDEX('01_FASTPPH'!$9:$1048576,MATCH($A266,'01_FASTPPH'!$A$9:$A$1048576,0),MATCH(P$9,'01_FASTPPH'!$8:$8,0))</f>
        <v>#N/A</v>
      </c>
      <c r="Q266" s="20" t="e">
        <f>INDEX('01_FASTPPH'!$9:$1048576,MATCH($A266,'01_FASTPPH'!$A$9:$A$1048576,0),MATCH(Q$9,'01_FASTPPH'!$8:$8,0))</f>
        <v>#N/A</v>
      </c>
      <c r="R266" s="20" t="e">
        <f>INDEX('01_FASTPPH'!$9:$1048576,MATCH($A266,'01_FASTPPH'!$A$9:$A$1048576,0),MATCH(R$9,'01_FASTPPH'!$8:$8,0))</f>
        <v>#N/A</v>
      </c>
      <c r="S266" s="20" t="e">
        <f>INDEX('01_FASTPPH'!$9:$1048576,MATCH($A266,'01_FASTPPH'!$A$9:$A$1048576,0),MATCH(S$9,'01_FASTPPH'!$8:$8,0))</f>
        <v>#N/A</v>
      </c>
      <c r="T266" s="24" t="e">
        <f>INDEX('01_FASTPPH'!$9:$1048576,MATCH($A266,'01_FASTPPH'!$A$9:$A$1048576,0),MATCH(T$9,'01_FASTPPH'!$8:$8,0))</f>
        <v>#N/A</v>
      </c>
      <c r="U266" s="23" t="e">
        <f>INDEX('01_FASTPPH'!$9:$1048576,MATCH($A266,'01_FASTPPH'!$A$9:$A$1048576,0),MATCH(U$9,'01_FASTPPH'!$8:$8,0))</f>
        <v>#N/A</v>
      </c>
      <c r="V266" s="20" t="e">
        <f>INDEX('01_FASTPPH'!$9:$1048576,MATCH($A266,'01_FASTPPH'!$A$9:$A$1048576,0),MATCH(V$9,'01_FASTPPH'!$8:$8,0))</f>
        <v>#N/A</v>
      </c>
      <c r="W266" s="24" t="e">
        <f>INDEX('01_FASTPPH'!$9:$1048576,MATCH($A266,'01_FASTPPH'!$A$9:$A$1048576,0),MATCH(W$9,'01_FASTPPH'!$8:$8,0))</f>
        <v>#N/A</v>
      </c>
      <c r="X266" s="20" t="e">
        <f>INDEX('01_FASTPPH'!$9:$1048576,MATCH($A266,'01_FASTPPH'!$A$9:$A$1048576,0),MATCH(X$9,'01_FASTPPH'!$8:$8,0))</f>
        <v>#N/A</v>
      </c>
      <c r="Y266" s="20" t="e">
        <f>INDEX('01_FASTPPH'!$9:$1048576,MATCH($A266,'01_FASTPPH'!$A$9:$A$1048576,0),MATCH(Y$9,'01_FASTPPH'!$8:$8,0))</f>
        <v>#N/A</v>
      </c>
      <c r="AA266" s="32" t="e">
        <f>INDEX('02_PROPERTIES'!$C$10:$I$1048576,MATCH('03_CALCULATIONS'!$D266,'02_PROPERTIES'!$C$10:$C$1048576,0),MATCH('03_CALCULATIONS'!AA$9,'02_PROPERTIES'!$C$10:$I$10,0))</f>
        <v>#N/A</v>
      </c>
      <c r="AB266" s="20" t="e">
        <f>INDEX('02_PROPERTIES'!$C$10:$I$1048576,MATCH('03_CALCULATIONS'!$D266,'02_PROPERTIES'!$C$10:$C$1048576,0),MATCH('03_CALCULATIONS'!AB$9,'02_PROPERTIES'!$C$10:$I$10,0))</f>
        <v>#N/A</v>
      </c>
      <c r="AC266" s="20" t="e">
        <f>INDEX('02_PROPERTIES'!$C$10:$I$1048576,MATCH('03_CALCULATIONS'!$D266,'02_PROPERTIES'!$C$10:$C$1048576,0),MATCH('03_CALCULATIONS'!AC$9,'02_PROPERTIES'!$C$10:$I$10,0))</f>
        <v>#N/A</v>
      </c>
      <c r="AD266" s="20" t="e">
        <f>INDEX('02_PROPERTIES'!$C$10:$I$1048576,MATCH('03_CALCULATIONS'!$D266,'02_PROPERTIES'!$C$10:$C$1048576,0),MATCH('03_CALCULATIONS'!AD$9,'02_PROPERTIES'!$C$10:$I$10,0))</f>
        <v>#N/A</v>
      </c>
      <c r="AE266" s="32" t="e">
        <f>INDEX('02_PROPERTIES'!$C$10:$I$1048576,MATCH('03_CALCULATIONS'!$D266,'02_PROPERTIES'!$C$10:$C$1048576,0),MATCH('03_CALCULATIONS'!AE$9,'02_PROPERTIES'!$C$10:$I$10,0))</f>
        <v>#N/A</v>
      </c>
      <c r="AF266" s="32" t="e">
        <f>INDEX('02_PROPERTIES'!$C$10:$I$1048576,MATCH('03_CALCULATIONS'!$D266,'02_PROPERTIES'!$C$10:$C$1048576,0),MATCH('03_CALCULATIONS'!AF$9,'02_PROPERTIES'!$C$10:$I$10,0))</f>
        <v>#N/A</v>
      </c>
      <c r="AH266" s="20" t="e">
        <f t="shared" si="33"/>
        <v>#N/A</v>
      </c>
      <c r="AI266" s="20" t="e">
        <f t="shared" si="34"/>
        <v>#N/A</v>
      </c>
      <c r="AJ266" s="20" t="e">
        <f t="shared" si="35"/>
        <v>#N/A</v>
      </c>
      <c r="AL266" s="20" t="e">
        <f t="shared" si="36"/>
        <v>#N/A</v>
      </c>
      <c r="AM266" s="20" t="e">
        <f t="shared" si="37"/>
        <v>#N/A</v>
      </c>
      <c r="AN266" s="20" t="e">
        <f t="shared" si="38"/>
        <v>#N/A</v>
      </c>
      <c r="AO266" s="20" t="e">
        <f t="shared" si="39"/>
        <v>#N/A</v>
      </c>
      <c r="AP266" s="20" t="e">
        <f t="shared" si="40"/>
        <v>#N/A</v>
      </c>
      <c r="AR266" s="20" t="e">
        <f t="shared" si="41"/>
        <v>#N/A</v>
      </c>
      <c r="AS266" s="20" t="e">
        <f t="shared" si="42"/>
        <v>#N/A</v>
      </c>
      <c r="AT266" s="20" t="e">
        <f t="shared" si="43"/>
        <v>#N/A</v>
      </c>
    </row>
    <row r="267" spans="1:46" x14ac:dyDescent="0.3">
      <c r="A267" s="18"/>
      <c r="B267" s="20" t="e">
        <f>INDEX('01_FASTPPH'!$9:$1048576,MATCH($A267,'01_FASTPPH'!$A$9:$A$1048576,0),MATCH(B$9,'01_FASTPPH'!$8:$8,0))</f>
        <v>#N/A</v>
      </c>
      <c r="C267" s="20" t="e">
        <f>INDEX('01_FASTPPH'!$9:$1048576,MATCH($A267,'01_FASTPPH'!$A$9:$A$1048576,0),MATCH(C$9,'01_FASTPPH'!$8:$8,0))</f>
        <v>#N/A</v>
      </c>
      <c r="D267" s="20" t="e">
        <f>INDEX('01_FASTPPH'!$9:$1048576,MATCH($A267,'01_FASTPPH'!$A$9:$A$1048576,0),MATCH(D$9,'01_FASTPPH'!$8:$8,0))</f>
        <v>#N/A</v>
      </c>
      <c r="E267" s="20" t="e">
        <f>INDEX('01_FASTPPH'!$9:$1048576,MATCH($A267,'01_FASTPPH'!$A$9:$A$1048576,0),MATCH(E$9,'01_FASTPPH'!$8:$8,0))</f>
        <v>#N/A</v>
      </c>
      <c r="F267" s="20" t="e">
        <f>INDEX('01_FASTPPH'!$9:$1048576,MATCH($A267,'01_FASTPPH'!$A$9:$A$1048576,0),MATCH(F$9,'01_FASTPPH'!$8:$8,0))</f>
        <v>#N/A</v>
      </c>
      <c r="G267" s="20" t="e">
        <f>INDEX('01_FASTPPH'!$9:$1048576,MATCH($A267,'01_FASTPPH'!$A$9:$A$1048576,0),MATCH(G$9,'01_FASTPPH'!$8:$8,0))</f>
        <v>#N/A</v>
      </c>
      <c r="H267" s="20" t="e">
        <f>INDEX('01_FASTPPH'!$9:$1048576,MATCH($A267,'01_FASTPPH'!$A$9:$A$1048576,0),MATCH(H$9,'01_FASTPPH'!$8:$8,0))</f>
        <v>#N/A</v>
      </c>
      <c r="I267" s="20" t="e">
        <f>INDEX('01_FASTPPH'!$9:$1048576,MATCH($A267,'01_FASTPPH'!$A$9:$A$1048576,0),MATCH(I$9,'01_FASTPPH'!$8:$8,0))</f>
        <v>#N/A</v>
      </c>
      <c r="J267" s="20" t="e">
        <f>INDEX('01_FASTPPH'!$9:$1048576,MATCH($A267,'01_FASTPPH'!$A$9:$A$1048576,0),MATCH(J$9,'01_FASTPPH'!$8:$8,0))</f>
        <v>#N/A</v>
      </c>
      <c r="K267" s="23" t="e">
        <f>INDEX('01_FASTPPH'!$9:$1048576,MATCH($A267,'01_FASTPPH'!$A$9:$A$1048576,0),MATCH(K$9,'01_FASTPPH'!$8:$8,0))</f>
        <v>#N/A</v>
      </c>
      <c r="L267" s="20" t="e">
        <f>INDEX('01_FASTPPH'!$9:$1048576,MATCH($A267,'01_FASTPPH'!$A$9:$A$1048576,0),MATCH(L$9,'01_FASTPPH'!$8:$8,0))</f>
        <v>#N/A</v>
      </c>
      <c r="M267" s="20" t="e">
        <f>INDEX('01_FASTPPH'!$9:$1048576,MATCH($A267,'01_FASTPPH'!$A$9:$A$1048576,0),MATCH(M$9,'01_FASTPPH'!$8:$8,0))</f>
        <v>#N/A</v>
      </c>
      <c r="N267" s="24" t="e">
        <f>INDEX('01_FASTPPH'!$9:$1048576,MATCH($A267,'01_FASTPPH'!$A$9:$A$1048576,0),MATCH(N$9,'01_FASTPPH'!$8:$8,0))</f>
        <v>#N/A</v>
      </c>
      <c r="O267" s="23" t="e">
        <f>INDEX('01_FASTPPH'!$9:$1048576,MATCH($A267,'01_FASTPPH'!$A$9:$A$1048576,0),MATCH(O$9,'01_FASTPPH'!$8:$8,0))</f>
        <v>#N/A</v>
      </c>
      <c r="P267" s="20" t="e">
        <f>INDEX('01_FASTPPH'!$9:$1048576,MATCH($A267,'01_FASTPPH'!$A$9:$A$1048576,0),MATCH(P$9,'01_FASTPPH'!$8:$8,0))</f>
        <v>#N/A</v>
      </c>
      <c r="Q267" s="20" t="e">
        <f>INDEX('01_FASTPPH'!$9:$1048576,MATCH($A267,'01_FASTPPH'!$A$9:$A$1048576,0),MATCH(Q$9,'01_FASTPPH'!$8:$8,0))</f>
        <v>#N/A</v>
      </c>
      <c r="R267" s="20" t="e">
        <f>INDEX('01_FASTPPH'!$9:$1048576,MATCH($A267,'01_FASTPPH'!$A$9:$A$1048576,0),MATCH(R$9,'01_FASTPPH'!$8:$8,0))</f>
        <v>#N/A</v>
      </c>
      <c r="S267" s="20" t="e">
        <f>INDEX('01_FASTPPH'!$9:$1048576,MATCH($A267,'01_FASTPPH'!$A$9:$A$1048576,0),MATCH(S$9,'01_FASTPPH'!$8:$8,0))</f>
        <v>#N/A</v>
      </c>
      <c r="T267" s="24" t="e">
        <f>INDEX('01_FASTPPH'!$9:$1048576,MATCH($A267,'01_FASTPPH'!$A$9:$A$1048576,0),MATCH(T$9,'01_FASTPPH'!$8:$8,0))</f>
        <v>#N/A</v>
      </c>
      <c r="U267" s="23" t="e">
        <f>INDEX('01_FASTPPH'!$9:$1048576,MATCH($A267,'01_FASTPPH'!$A$9:$A$1048576,0),MATCH(U$9,'01_FASTPPH'!$8:$8,0))</f>
        <v>#N/A</v>
      </c>
      <c r="V267" s="20" t="e">
        <f>INDEX('01_FASTPPH'!$9:$1048576,MATCH($A267,'01_FASTPPH'!$A$9:$A$1048576,0),MATCH(V$9,'01_FASTPPH'!$8:$8,0))</f>
        <v>#N/A</v>
      </c>
      <c r="W267" s="24" t="e">
        <f>INDEX('01_FASTPPH'!$9:$1048576,MATCH($A267,'01_FASTPPH'!$A$9:$A$1048576,0),MATCH(W$9,'01_FASTPPH'!$8:$8,0))</f>
        <v>#N/A</v>
      </c>
      <c r="X267" s="20" t="e">
        <f>INDEX('01_FASTPPH'!$9:$1048576,MATCH($A267,'01_FASTPPH'!$A$9:$A$1048576,0),MATCH(X$9,'01_FASTPPH'!$8:$8,0))</f>
        <v>#N/A</v>
      </c>
      <c r="Y267" s="20" t="e">
        <f>INDEX('01_FASTPPH'!$9:$1048576,MATCH($A267,'01_FASTPPH'!$A$9:$A$1048576,0),MATCH(Y$9,'01_FASTPPH'!$8:$8,0))</f>
        <v>#N/A</v>
      </c>
      <c r="AA267" s="32" t="e">
        <f>INDEX('02_PROPERTIES'!$C$10:$I$1048576,MATCH('03_CALCULATIONS'!$D267,'02_PROPERTIES'!$C$10:$C$1048576,0),MATCH('03_CALCULATIONS'!AA$9,'02_PROPERTIES'!$C$10:$I$10,0))</f>
        <v>#N/A</v>
      </c>
      <c r="AB267" s="20" t="e">
        <f>INDEX('02_PROPERTIES'!$C$10:$I$1048576,MATCH('03_CALCULATIONS'!$D267,'02_PROPERTIES'!$C$10:$C$1048576,0),MATCH('03_CALCULATIONS'!AB$9,'02_PROPERTIES'!$C$10:$I$10,0))</f>
        <v>#N/A</v>
      </c>
      <c r="AC267" s="20" t="e">
        <f>INDEX('02_PROPERTIES'!$C$10:$I$1048576,MATCH('03_CALCULATIONS'!$D267,'02_PROPERTIES'!$C$10:$C$1048576,0),MATCH('03_CALCULATIONS'!AC$9,'02_PROPERTIES'!$C$10:$I$10,0))</f>
        <v>#N/A</v>
      </c>
      <c r="AD267" s="20" t="e">
        <f>INDEX('02_PROPERTIES'!$C$10:$I$1048576,MATCH('03_CALCULATIONS'!$D267,'02_PROPERTIES'!$C$10:$C$1048576,0),MATCH('03_CALCULATIONS'!AD$9,'02_PROPERTIES'!$C$10:$I$10,0))</f>
        <v>#N/A</v>
      </c>
      <c r="AE267" s="32" t="e">
        <f>INDEX('02_PROPERTIES'!$C$10:$I$1048576,MATCH('03_CALCULATIONS'!$D267,'02_PROPERTIES'!$C$10:$C$1048576,0),MATCH('03_CALCULATIONS'!AE$9,'02_PROPERTIES'!$C$10:$I$10,0))</f>
        <v>#N/A</v>
      </c>
      <c r="AF267" s="32" t="e">
        <f>INDEX('02_PROPERTIES'!$C$10:$I$1048576,MATCH('03_CALCULATIONS'!$D267,'02_PROPERTIES'!$C$10:$C$1048576,0),MATCH('03_CALCULATIONS'!AF$9,'02_PROPERTIES'!$C$10:$I$10,0))</f>
        <v>#N/A</v>
      </c>
      <c r="AH267" s="20" t="e">
        <f t="shared" ref="AH267:AH289" si="44">O267+SIGN(O267)*ABS(AF267*6*U267/AA267)</f>
        <v>#N/A</v>
      </c>
      <c r="AI267" s="20" t="e">
        <f t="shared" ref="AI267:AI289" si="45">Q267+SIGN(Q267)*ABS(AF267*6*V267/AA267)</f>
        <v>#N/A</v>
      </c>
      <c r="AJ267" s="20" t="e">
        <f t="shared" ref="AJ267:AJ289" si="46">S267+SIGN(S267)*ABS(AF267*6*W267/AA267)</f>
        <v>#N/A</v>
      </c>
      <c r="AL267" s="20" t="e">
        <f t="shared" ref="AL267:AL289" si="47">(AH267/(AB267*AA267)-AI267*AE267/(AB267*AA267))*1000000</f>
        <v>#N/A</v>
      </c>
      <c r="AM267" s="20" t="e">
        <f t="shared" ref="AM267:AM289" si="48">(AI267/(AC267*AA267)-AH267*AE267/(AC267*AA267))*1000000</f>
        <v>#N/A</v>
      </c>
      <c r="AN267" s="20" t="e">
        <f t="shared" ref="AN267:AN289" si="49">0.5*(AJ267/(AD267*AA267))*1000000</f>
        <v>#N/A</v>
      </c>
      <c r="AO267" s="20" t="e">
        <f t="shared" ref="AO267:AO289" si="50">0.5*(AL267+AM267+AN267)</f>
        <v>#N/A</v>
      </c>
      <c r="AP267" s="20" t="e">
        <f t="shared" ref="AP267:AP289" si="51">0.5*(AL267+AM267-AN267)</f>
        <v>#N/A</v>
      </c>
      <c r="AR267" s="20" t="e">
        <f t="shared" ref="AR267:AR289" si="52">0.5*(AL267+AM267)+SQRT(0.25*(AL267-AM267)^2+0.25*AN267^2)</f>
        <v>#N/A</v>
      </c>
      <c r="AS267" s="20" t="e">
        <f t="shared" ref="AS267:AS289" si="53">0.5*(AL267+AM267)-SQRT(0.25*(AL267-AM267)^2+0.25*AN267^2)</f>
        <v>#N/A</v>
      </c>
      <c r="AT267" s="20" t="e">
        <f t="shared" ref="AT267:AT289" si="54">0.5*SQRT((AL267-AM267)^2+(2*AN267)^2)</f>
        <v>#N/A</v>
      </c>
    </row>
    <row r="268" spans="1:46" x14ac:dyDescent="0.3">
      <c r="A268" s="18"/>
      <c r="B268" s="20" t="e">
        <f>INDEX('01_FASTPPH'!$9:$1048576,MATCH($A268,'01_FASTPPH'!$A$9:$A$1048576,0),MATCH(B$9,'01_FASTPPH'!$8:$8,0))</f>
        <v>#N/A</v>
      </c>
      <c r="C268" s="20" t="e">
        <f>INDEX('01_FASTPPH'!$9:$1048576,MATCH($A268,'01_FASTPPH'!$A$9:$A$1048576,0),MATCH(C$9,'01_FASTPPH'!$8:$8,0))</f>
        <v>#N/A</v>
      </c>
      <c r="D268" s="20" t="e">
        <f>INDEX('01_FASTPPH'!$9:$1048576,MATCH($A268,'01_FASTPPH'!$A$9:$A$1048576,0),MATCH(D$9,'01_FASTPPH'!$8:$8,0))</f>
        <v>#N/A</v>
      </c>
      <c r="E268" s="20" t="e">
        <f>INDEX('01_FASTPPH'!$9:$1048576,MATCH($A268,'01_FASTPPH'!$A$9:$A$1048576,0),MATCH(E$9,'01_FASTPPH'!$8:$8,0))</f>
        <v>#N/A</v>
      </c>
      <c r="F268" s="20" t="e">
        <f>INDEX('01_FASTPPH'!$9:$1048576,MATCH($A268,'01_FASTPPH'!$A$9:$A$1048576,0),MATCH(F$9,'01_FASTPPH'!$8:$8,0))</f>
        <v>#N/A</v>
      </c>
      <c r="G268" s="20" t="e">
        <f>INDEX('01_FASTPPH'!$9:$1048576,MATCH($A268,'01_FASTPPH'!$A$9:$A$1048576,0),MATCH(G$9,'01_FASTPPH'!$8:$8,0))</f>
        <v>#N/A</v>
      </c>
      <c r="H268" s="20" t="e">
        <f>INDEX('01_FASTPPH'!$9:$1048576,MATCH($A268,'01_FASTPPH'!$A$9:$A$1048576,0),MATCH(H$9,'01_FASTPPH'!$8:$8,0))</f>
        <v>#N/A</v>
      </c>
      <c r="I268" s="20" t="e">
        <f>INDEX('01_FASTPPH'!$9:$1048576,MATCH($A268,'01_FASTPPH'!$A$9:$A$1048576,0),MATCH(I$9,'01_FASTPPH'!$8:$8,0))</f>
        <v>#N/A</v>
      </c>
      <c r="J268" s="20" t="e">
        <f>INDEX('01_FASTPPH'!$9:$1048576,MATCH($A268,'01_FASTPPH'!$A$9:$A$1048576,0),MATCH(J$9,'01_FASTPPH'!$8:$8,0))</f>
        <v>#N/A</v>
      </c>
      <c r="K268" s="23" t="e">
        <f>INDEX('01_FASTPPH'!$9:$1048576,MATCH($A268,'01_FASTPPH'!$A$9:$A$1048576,0),MATCH(K$9,'01_FASTPPH'!$8:$8,0))</f>
        <v>#N/A</v>
      </c>
      <c r="L268" s="20" t="e">
        <f>INDEX('01_FASTPPH'!$9:$1048576,MATCH($A268,'01_FASTPPH'!$A$9:$A$1048576,0),MATCH(L$9,'01_FASTPPH'!$8:$8,0))</f>
        <v>#N/A</v>
      </c>
      <c r="M268" s="20" t="e">
        <f>INDEX('01_FASTPPH'!$9:$1048576,MATCH($A268,'01_FASTPPH'!$A$9:$A$1048576,0),MATCH(M$9,'01_FASTPPH'!$8:$8,0))</f>
        <v>#N/A</v>
      </c>
      <c r="N268" s="24" t="e">
        <f>INDEX('01_FASTPPH'!$9:$1048576,MATCH($A268,'01_FASTPPH'!$A$9:$A$1048576,0),MATCH(N$9,'01_FASTPPH'!$8:$8,0))</f>
        <v>#N/A</v>
      </c>
      <c r="O268" s="23" t="e">
        <f>INDEX('01_FASTPPH'!$9:$1048576,MATCH($A268,'01_FASTPPH'!$A$9:$A$1048576,0),MATCH(O$9,'01_FASTPPH'!$8:$8,0))</f>
        <v>#N/A</v>
      </c>
      <c r="P268" s="20" t="e">
        <f>INDEX('01_FASTPPH'!$9:$1048576,MATCH($A268,'01_FASTPPH'!$A$9:$A$1048576,0),MATCH(P$9,'01_FASTPPH'!$8:$8,0))</f>
        <v>#N/A</v>
      </c>
      <c r="Q268" s="20" t="e">
        <f>INDEX('01_FASTPPH'!$9:$1048576,MATCH($A268,'01_FASTPPH'!$A$9:$A$1048576,0),MATCH(Q$9,'01_FASTPPH'!$8:$8,0))</f>
        <v>#N/A</v>
      </c>
      <c r="R268" s="20" t="e">
        <f>INDEX('01_FASTPPH'!$9:$1048576,MATCH($A268,'01_FASTPPH'!$A$9:$A$1048576,0),MATCH(R$9,'01_FASTPPH'!$8:$8,0))</f>
        <v>#N/A</v>
      </c>
      <c r="S268" s="20" t="e">
        <f>INDEX('01_FASTPPH'!$9:$1048576,MATCH($A268,'01_FASTPPH'!$A$9:$A$1048576,0),MATCH(S$9,'01_FASTPPH'!$8:$8,0))</f>
        <v>#N/A</v>
      </c>
      <c r="T268" s="24" t="e">
        <f>INDEX('01_FASTPPH'!$9:$1048576,MATCH($A268,'01_FASTPPH'!$A$9:$A$1048576,0),MATCH(T$9,'01_FASTPPH'!$8:$8,0))</f>
        <v>#N/A</v>
      </c>
      <c r="U268" s="23" t="e">
        <f>INDEX('01_FASTPPH'!$9:$1048576,MATCH($A268,'01_FASTPPH'!$A$9:$A$1048576,0),MATCH(U$9,'01_FASTPPH'!$8:$8,0))</f>
        <v>#N/A</v>
      </c>
      <c r="V268" s="20" t="e">
        <f>INDEX('01_FASTPPH'!$9:$1048576,MATCH($A268,'01_FASTPPH'!$A$9:$A$1048576,0),MATCH(V$9,'01_FASTPPH'!$8:$8,0))</f>
        <v>#N/A</v>
      </c>
      <c r="W268" s="24" t="e">
        <f>INDEX('01_FASTPPH'!$9:$1048576,MATCH($A268,'01_FASTPPH'!$A$9:$A$1048576,0),MATCH(W$9,'01_FASTPPH'!$8:$8,0))</f>
        <v>#N/A</v>
      </c>
      <c r="X268" s="20" t="e">
        <f>INDEX('01_FASTPPH'!$9:$1048576,MATCH($A268,'01_FASTPPH'!$A$9:$A$1048576,0),MATCH(X$9,'01_FASTPPH'!$8:$8,0))</f>
        <v>#N/A</v>
      </c>
      <c r="Y268" s="20" t="e">
        <f>INDEX('01_FASTPPH'!$9:$1048576,MATCH($A268,'01_FASTPPH'!$A$9:$A$1048576,0),MATCH(Y$9,'01_FASTPPH'!$8:$8,0))</f>
        <v>#N/A</v>
      </c>
      <c r="AA268" s="32" t="e">
        <f>INDEX('02_PROPERTIES'!$C$10:$I$1048576,MATCH('03_CALCULATIONS'!$D268,'02_PROPERTIES'!$C$10:$C$1048576,0),MATCH('03_CALCULATIONS'!AA$9,'02_PROPERTIES'!$C$10:$I$10,0))</f>
        <v>#N/A</v>
      </c>
      <c r="AB268" s="20" t="e">
        <f>INDEX('02_PROPERTIES'!$C$10:$I$1048576,MATCH('03_CALCULATIONS'!$D268,'02_PROPERTIES'!$C$10:$C$1048576,0),MATCH('03_CALCULATIONS'!AB$9,'02_PROPERTIES'!$C$10:$I$10,0))</f>
        <v>#N/A</v>
      </c>
      <c r="AC268" s="20" t="e">
        <f>INDEX('02_PROPERTIES'!$C$10:$I$1048576,MATCH('03_CALCULATIONS'!$D268,'02_PROPERTIES'!$C$10:$C$1048576,0),MATCH('03_CALCULATIONS'!AC$9,'02_PROPERTIES'!$C$10:$I$10,0))</f>
        <v>#N/A</v>
      </c>
      <c r="AD268" s="20" t="e">
        <f>INDEX('02_PROPERTIES'!$C$10:$I$1048576,MATCH('03_CALCULATIONS'!$D268,'02_PROPERTIES'!$C$10:$C$1048576,0),MATCH('03_CALCULATIONS'!AD$9,'02_PROPERTIES'!$C$10:$I$10,0))</f>
        <v>#N/A</v>
      </c>
      <c r="AE268" s="32" t="e">
        <f>INDEX('02_PROPERTIES'!$C$10:$I$1048576,MATCH('03_CALCULATIONS'!$D268,'02_PROPERTIES'!$C$10:$C$1048576,0),MATCH('03_CALCULATIONS'!AE$9,'02_PROPERTIES'!$C$10:$I$10,0))</f>
        <v>#N/A</v>
      </c>
      <c r="AF268" s="32" t="e">
        <f>INDEX('02_PROPERTIES'!$C$10:$I$1048576,MATCH('03_CALCULATIONS'!$D268,'02_PROPERTIES'!$C$10:$C$1048576,0),MATCH('03_CALCULATIONS'!AF$9,'02_PROPERTIES'!$C$10:$I$10,0))</f>
        <v>#N/A</v>
      </c>
      <c r="AH268" s="20" t="e">
        <f t="shared" si="44"/>
        <v>#N/A</v>
      </c>
      <c r="AI268" s="20" t="e">
        <f t="shared" si="45"/>
        <v>#N/A</v>
      </c>
      <c r="AJ268" s="20" t="e">
        <f t="shared" si="46"/>
        <v>#N/A</v>
      </c>
      <c r="AL268" s="20" t="e">
        <f t="shared" si="47"/>
        <v>#N/A</v>
      </c>
      <c r="AM268" s="20" t="e">
        <f t="shared" si="48"/>
        <v>#N/A</v>
      </c>
      <c r="AN268" s="20" t="e">
        <f t="shared" si="49"/>
        <v>#N/A</v>
      </c>
      <c r="AO268" s="20" t="e">
        <f t="shared" si="50"/>
        <v>#N/A</v>
      </c>
      <c r="AP268" s="20" t="e">
        <f t="shared" si="51"/>
        <v>#N/A</v>
      </c>
      <c r="AR268" s="20" t="e">
        <f t="shared" si="52"/>
        <v>#N/A</v>
      </c>
      <c r="AS268" s="20" t="e">
        <f t="shared" si="53"/>
        <v>#N/A</v>
      </c>
      <c r="AT268" s="20" t="e">
        <f t="shared" si="54"/>
        <v>#N/A</v>
      </c>
    </row>
    <row r="269" spans="1:46" x14ac:dyDescent="0.3">
      <c r="A269" s="18"/>
      <c r="B269" s="20" t="e">
        <f>INDEX('01_FASTPPH'!$9:$1048576,MATCH($A269,'01_FASTPPH'!$A$9:$A$1048576,0),MATCH(B$9,'01_FASTPPH'!$8:$8,0))</f>
        <v>#N/A</v>
      </c>
      <c r="C269" s="20" t="e">
        <f>INDEX('01_FASTPPH'!$9:$1048576,MATCH($A269,'01_FASTPPH'!$A$9:$A$1048576,0),MATCH(C$9,'01_FASTPPH'!$8:$8,0))</f>
        <v>#N/A</v>
      </c>
      <c r="D269" s="20" t="e">
        <f>INDEX('01_FASTPPH'!$9:$1048576,MATCH($A269,'01_FASTPPH'!$A$9:$A$1048576,0),MATCH(D$9,'01_FASTPPH'!$8:$8,0))</f>
        <v>#N/A</v>
      </c>
      <c r="E269" s="20" t="e">
        <f>INDEX('01_FASTPPH'!$9:$1048576,MATCH($A269,'01_FASTPPH'!$A$9:$A$1048576,0),MATCH(E$9,'01_FASTPPH'!$8:$8,0))</f>
        <v>#N/A</v>
      </c>
      <c r="F269" s="20" t="e">
        <f>INDEX('01_FASTPPH'!$9:$1048576,MATCH($A269,'01_FASTPPH'!$A$9:$A$1048576,0),MATCH(F$9,'01_FASTPPH'!$8:$8,0))</f>
        <v>#N/A</v>
      </c>
      <c r="G269" s="20" t="e">
        <f>INDEX('01_FASTPPH'!$9:$1048576,MATCH($A269,'01_FASTPPH'!$A$9:$A$1048576,0),MATCH(G$9,'01_FASTPPH'!$8:$8,0))</f>
        <v>#N/A</v>
      </c>
      <c r="H269" s="20" t="e">
        <f>INDEX('01_FASTPPH'!$9:$1048576,MATCH($A269,'01_FASTPPH'!$A$9:$A$1048576,0),MATCH(H$9,'01_FASTPPH'!$8:$8,0))</f>
        <v>#N/A</v>
      </c>
      <c r="I269" s="20" t="e">
        <f>INDEX('01_FASTPPH'!$9:$1048576,MATCH($A269,'01_FASTPPH'!$A$9:$A$1048576,0),MATCH(I$9,'01_FASTPPH'!$8:$8,0))</f>
        <v>#N/A</v>
      </c>
      <c r="J269" s="20" t="e">
        <f>INDEX('01_FASTPPH'!$9:$1048576,MATCH($A269,'01_FASTPPH'!$A$9:$A$1048576,0),MATCH(J$9,'01_FASTPPH'!$8:$8,0))</f>
        <v>#N/A</v>
      </c>
      <c r="K269" s="23" t="e">
        <f>INDEX('01_FASTPPH'!$9:$1048576,MATCH($A269,'01_FASTPPH'!$A$9:$A$1048576,0),MATCH(K$9,'01_FASTPPH'!$8:$8,0))</f>
        <v>#N/A</v>
      </c>
      <c r="L269" s="20" t="e">
        <f>INDEX('01_FASTPPH'!$9:$1048576,MATCH($A269,'01_FASTPPH'!$A$9:$A$1048576,0),MATCH(L$9,'01_FASTPPH'!$8:$8,0))</f>
        <v>#N/A</v>
      </c>
      <c r="M269" s="20" t="e">
        <f>INDEX('01_FASTPPH'!$9:$1048576,MATCH($A269,'01_FASTPPH'!$A$9:$A$1048576,0),MATCH(M$9,'01_FASTPPH'!$8:$8,0))</f>
        <v>#N/A</v>
      </c>
      <c r="N269" s="24" t="e">
        <f>INDEX('01_FASTPPH'!$9:$1048576,MATCH($A269,'01_FASTPPH'!$A$9:$A$1048576,0),MATCH(N$9,'01_FASTPPH'!$8:$8,0))</f>
        <v>#N/A</v>
      </c>
      <c r="O269" s="23" t="e">
        <f>INDEX('01_FASTPPH'!$9:$1048576,MATCH($A269,'01_FASTPPH'!$A$9:$A$1048576,0),MATCH(O$9,'01_FASTPPH'!$8:$8,0))</f>
        <v>#N/A</v>
      </c>
      <c r="P269" s="20" t="e">
        <f>INDEX('01_FASTPPH'!$9:$1048576,MATCH($A269,'01_FASTPPH'!$A$9:$A$1048576,0),MATCH(P$9,'01_FASTPPH'!$8:$8,0))</f>
        <v>#N/A</v>
      </c>
      <c r="Q269" s="20" t="e">
        <f>INDEX('01_FASTPPH'!$9:$1048576,MATCH($A269,'01_FASTPPH'!$A$9:$A$1048576,0),MATCH(Q$9,'01_FASTPPH'!$8:$8,0))</f>
        <v>#N/A</v>
      </c>
      <c r="R269" s="20" t="e">
        <f>INDEX('01_FASTPPH'!$9:$1048576,MATCH($A269,'01_FASTPPH'!$A$9:$A$1048576,0),MATCH(R$9,'01_FASTPPH'!$8:$8,0))</f>
        <v>#N/A</v>
      </c>
      <c r="S269" s="20" t="e">
        <f>INDEX('01_FASTPPH'!$9:$1048576,MATCH($A269,'01_FASTPPH'!$A$9:$A$1048576,0),MATCH(S$9,'01_FASTPPH'!$8:$8,0))</f>
        <v>#N/A</v>
      </c>
      <c r="T269" s="24" t="e">
        <f>INDEX('01_FASTPPH'!$9:$1048576,MATCH($A269,'01_FASTPPH'!$A$9:$A$1048576,0),MATCH(T$9,'01_FASTPPH'!$8:$8,0))</f>
        <v>#N/A</v>
      </c>
      <c r="U269" s="23" t="e">
        <f>INDEX('01_FASTPPH'!$9:$1048576,MATCH($A269,'01_FASTPPH'!$A$9:$A$1048576,0),MATCH(U$9,'01_FASTPPH'!$8:$8,0))</f>
        <v>#N/A</v>
      </c>
      <c r="V269" s="20" t="e">
        <f>INDEX('01_FASTPPH'!$9:$1048576,MATCH($A269,'01_FASTPPH'!$A$9:$A$1048576,0),MATCH(V$9,'01_FASTPPH'!$8:$8,0))</f>
        <v>#N/A</v>
      </c>
      <c r="W269" s="24" t="e">
        <f>INDEX('01_FASTPPH'!$9:$1048576,MATCH($A269,'01_FASTPPH'!$A$9:$A$1048576,0),MATCH(W$9,'01_FASTPPH'!$8:$8,0))</f>
        <v>#N/A</v>
      </c>
      <c r="X269" s="20" t="e">
        <f>INDEX('01_FASTPPH'!$9:$1048576,MATCH($A269,'01_FASTPPH'!$A$9:$A$1048576,0),MATCH(X$9,'01_FASTPPH'!$8:$8,0))</f>
        <v>#N/A</v>
      </c>
      <c r="Y269" s="20" t="e">
        <f>INDEX('01_FASTPPH'!$9:$1048576,MATCH($A269,'01_FASTPPH'!$A$9:$A$1048576,0),MATCH(Y$9,'01_FASTPPH'!$8:$8,0))</f>
        <v>#N/A</v>
      </c>
      <c r="AA269" s="32" t="e">
        <f>INDEX('02_PROPERTIES'!$C$10:$I$1048576,MATCH('03_CALCULATIONS'!$D269,'02_PROPERTIES'!$C$10:$C$1048576,0),MATCH('03_CALCULATIONS'!AA$9,'02_PROPERTIES'!$C$10:$I$10,0))</f>
        <v>#N/A</v>
      </c>
      <c r="AB269" s="20" t="e">
        <f>INDEX('02_PROPERTIES'!$C$10:$I$1048576,MATCH('03_CALCULATIONS'!$D269,'02_PROPERTIES'!$C$10:$C$1048576,0),MATCH('03_CALCULATIONS'!AB$9,'02_PROPERTIES'!$C$10:$I$10,0))</f>
        <v>#N/A</v>
      </c>
      <c r="AC269" s="20" t="e">
        <f>INDEX('02_PROPERTIES'!$C$10:$I$1048576,MATCH('03_CALCULATIONS'!$D269,'02_PROPERTIES'!$C$10:$C$1048576,0),MATCH('03_CALCULATIONS'!AC$9,'02_PROPERTIES'!$C$10:$I$10,0))</f>
        <v>#N/A</v>
      </c>
      <c r="AD269" s="20" t="e">
        <f>INDEX('02_PROPERTIES'!$C$10:$I$1048576,MATCH('03_CALCULATIONS'!$D269,'02_PROPERTIES'!$C$10:$C$1048576,0),MATCH('03_CALCULATIONS'!AD$9,'02_PROPERTIES'!$C$10:$I$10,0))</f>
        <v>#N/A</v>
      </c>
      <c r="AE269" s="32" t="e">
        <f>INDEX('02_PROPERTIES'!$C$10:$I$1048576,MATCH('03_CALCULATIONS'!$D269,'02_PROPERTIES'!$C$10:$C$1048576,0),MATCH('03_CALCULATIONS'!AE$9,'02_PROPERTIES'!$C$10:$I$10,0))</f>
        <v>#N/A</v>
      </c>
      <c r="AF269" s="32" t="e">
        <f>INDEX('02_PROPERTIES'!$C$10:$I$1048576,MATCH('03_CALCULATIONS'!$D269,'02_PROPERTIES'!$C$10:$C$1048576,0),MATCH('03_CALCULATIONS'!AF$9,'02_PROPERTIES'!$C$10:$I$10,0))</f>
        <v>#N/A</v>
      </c>
      <c r="AH269" s="20" t="e">
        <f t="shared" si="44"/>
        <v>#N/A</v>
      </c>
      <c r="AI269" s="20" t="e">
        <f t="shared" si="45"/>
        <v>#N/A</v>
      </c>
      <c r="AJ269" s="20" t="e">
        <f t="shared" si="46"/>
        <v>#N/A</v>
      </c>
      <c r="AL269" s="20" t="e">
        <f t="shared" si="47"/>
        <v>#N/A</v>
      </c>
      <c r="AM269" s="20" t="e">
        <f t="shared" si="48"/>
        <v>#N/A</v>
      </c>
      <c r="AN269" s="20" t="e">
        <f t="shared" si="49"/>
        <v>#N/A</v>
      </c>
      <c r="AO269" s="20" t="e">
        <f t="shared" si="50"/>
        <v>#N/A</v>
      </c>
      <c r="AP269" s="20" t="e">
        <f t="shared" si="51"/>
        <v>#N/A</v>
      </c>
      <c r="AR269" s="20" t="e">
        <f t="shared" si="52"/>
        <v>#N/A</v>
      </c>
      <c r="AS269" s="20" t="e">
        <f t="shared" si="53"/>
        <v>#N/A</v>
      </c>
      <c r="AT269" s="20" t="e">
        <f t="shared" si="54"/>
        <v>#N/A</v>
      </c>
    </row>
    <row r="270" spans="1:46" x14ac:dyDescent="0.3">
      <c r="A270" s="18"/>
      <c r="B270" s="20" t="e">
        <f>INDEX('01_FASTPPH'!$9:$1048576,MATCH($A270,'01_FASTPPH'!$A$9:$A$1048576,0),MATCH(B$9,'01_FASTPPH'!$8:$8,0))</f>
        <v>#N/A</v>
      </c>
      <c r="C270" s="20" t="e">
        <f>INDEX('01_FASTPPH'!$9:$1048576,MATCH($A270,'01_FASTPPH'!$A$9:$A$1048576,0),MATCH(C$9,'01_FASTPPH'!$8:$8,0))</f>
        <v>#N/A</v>
      </c>
      <c r="D270" s="20" t="e">
        <f>INDEX('01_FASTPPH'!$9:$1048576,MATCH($A270,'01_FASTPPH'!$A$9:$A$1048576,0),MATCH(D$9,'01_FASTPPH'!$8:$8,0))</f>
        <v>#N/A</v>
      </c>
      <c r="E270" s="20" t="e">
        <f>INDEX('01_FASTPPH'!$9:$1048576,MATCH($A270,'01_FASTPPH'!$A$9:$A$1048576,0),MATCH(E$9,'01_FASTPPH'!$8:$8,0))</f>
        <v>#N/A</v>
      </c>
      <c r="F270" s="20" t="e">
        <f>INDEX('01_FASTPPH'!$9:$1048576,MATCH($A270,'01_FASTPPH'!$A$9:$A$1048576,0),MATCH(F$9,'01_FASTPPH'!$8:$8,0))</f>
        <v>#N/A</v>
      </c>
      <c r="G270" s="20" t="e">
        <f>INDEX('01_FASTPPH'!$9:$1048576,MATCH($A270,'01_FASTPPH'!$A$9:$A$1048576,0),MATCH(G$9,'01_FASTPPH'!$8:$8,0))</f>
        <v>#N/A</v>
      </c>
      <c r="H270" s="20" t="e">
        <f>INDEX('01_FASTPPH'!$9:$1048576,MATCH($A270,'01_FASTPPH'!$A$9:$A$1048576,0),MATCH(H$9,'01_FASTPPH'!$8:$8,0))</f>
        <v>#N/A</v>
      </c>
      <c r="I270" s="20" t="e">
        <f>INDEX('01_FASTPPH'!$9:$1048576,MATCH($A270,'01_FASTPPH'!$A$9:$A$1048576,0),MATCH(I$9,'01_FASTPPH'!$8:$8,0))</f>
        <v>#N/A</v>
      </c>
      <c r="J270" s="20" t="e">
        <f>INDEX('01_FASTPPH'!$9:$1048576,MATCH($A270,'01_FASTPPH'!$A$9:$A$1048576,0),MATCH(J$9,'01_FASTPPH'!$8:$8,0))</f>
        <v>#N/A</v>
      </c>
      <c r="K270" s="23" t="e">
        <f>INDEX('01_FASTPPH'!$9:$1048576,MATCH($A270,'01_FASTPPH'!$A$9:$A$1048576,0),MATCH(K$9,'01_FASTPPH'!$8:$8,0))</f>
        <v>#N/A</v>
      </c>
      <c r="L270" s="20" t="e">
        <f>INDEX('01_FASTPPH'!$9:$1048576,MATCH($A270,'01_FASTPPH'!$A$9:$A$1048576,0),MATCH(L$9,'01_FASTPPH'!$8:$8,0))</f>
        <v>#N/A</v>
      </c>
      <c r="M270" s="20" t="e">
        <f>INDEX('01_FASTPPH'!$9:$1048576,MATCH($A270,'01_FASTPPH'!$A$9:$A$1048576,0),MATCH(M$9,'01_FASTPPH'!$8:$8,0))</f>
        <v>#N/A</v>
      </c>
      <c r="N270" s="24" t="e">
        <f>INDEX('01_FASTPPH'!$9:$1048576,MATCH($A270,'01_FASTPPH'!$A$9:$A$1048576,0),MATCH(N$9,'01_FASTPPH'!$8:$8,0))</f>
        <v>#N/A</v>
      </c>
      <c r="O270" s="23" t="e">
        <f>INDEX('01_FASTPPH'!$9:$1048576,MATCH($A270,'01_FASTPPH'!$A$9:$A$1048576,0),MATCH(O$9,'01_FASTPPH'!$8:$8,0))</f>
        <v>#N/A</v>
      </c>
      <c r="P270" s="20" t="e">
        <f>INDEX('01_FASTPPH'!$9:$1048576,MATCH($A270,'01_FASTPPH'!$A$9:$A$1048576,0),MATCH(P$9,'01_FASTPPH'!$8:$8,0))</f>
        <v>#N/A</v>
      </c>
      <c r="Q270" s="20" t="e">
        <f>INDEX('01_FASTPPH'!$9:$1048576,MATCH($A270,'01_FASTPPH'!$A$9:$A$1048576,0),MATCH(Q$9,'01_FASTPPH'!$8:$8,0))</f>
        <v>#N/A</v>
      </c>
      <c r="R270" s="20" t="e">
        <f>INDEX('01_FASTPPH'!$9:$1048576,MATCH($A270,'01_FASTPPH'!$A$9:$A$1048576,0),MATCH(R$9,'01_FASTPPH'!$8:$8,0))</f>
        <v>#N/A</v>
      </c>
      <c r="S270" s="20" t="e">
        <f>INDEX('01_FASTPPH'!$9:$1048576,MATCH($A270,'01_FASTPPH'!$A$9:$A$1048576,0),MATCH(S$9,'01_FASTPPH'!$8:$8,0))</f>
        <v>#N/A</v>
      </c>
      <c r="T270" s="24" t="e">
        <f>INDEX('01_FASTPPH'!$9:$1048576,MATCH($A270,'01_FASTPPH'!$A$9:$A$1048576,0),MATCH(T$9,'01_FASTPPH'!$8:$8,0))</f>
        <v>#N/A</v>
      </c>
      <c r="U270" s="23" t="e">
        <f>INDEX('01_FASTPPH'!$9:$1048576,MATCH($A270,'01_FASTPPH'!$A$9:$A$1048576,0),MATCH(U$9,'01_FASTPPH'!$8:$8,0))</f>
        <v>#N/A</v>
      </c>
      <c r="V270" s="20" t="e">
        <f>INDEX('01_FASTPPH'!$9:$1048576,MATCH($A270,'01_FASTPPH'!$A$9:$A$1048576,0),MATCH(V$9,'01_FASTPPH'!$8:$8,0))</f>
        <v>#N/A</v>
      </c>
      <c r="W270" s="24" t="e">
        <f>INDEX('01_FASTPPH'!$9:$1048576,MATCH($A270,'01_FASTPPH'!$A$9:$A$1048576,0),MATCH(W$9,'01_FASTPPH'!$8:$8,0))</f>
        <v>#N/A</v>
      </c>
      <c r="X270" s="20" t="e">
        <f>INDEX('01_FASTPPH'!$9:$1048576,MATCH($A270,'01_FASTPPH'!$A$9:$A$1048576,0),MATCH(X$9,'01_FASTPPH'!$8:$8,0))</f>
        <v>#N/A</v>
      </c>
      <c r="Y270" s="20" t="e">
        <f>INDEX('01_FASTPPH'!$9:$1048576,MATCH($A270,'01_FASTPPH'!$A$9:$A$1048576,0),MATCH(Y$9,'01_FASTPPH'!$8:$8,0))</f>
        <v>#N/A</v>
      </c>
      <c r="AA270" s="32" t="e">
        <f>INDEX('02_PROPERTIES'!$C$10:$I$1048576,MATCH('03_CALCULATIONS'!$D270,'02_PROPERTIES'!$C$10:$C$1048576,0),MATCH('03_CALCULATIONS'!AA$9,'02_PROPERTIES'!$C$10:$I$10,0))</f>
        <v>#N/A</v>
      </c>
      <c r="AB270" s="20" t="e">
        <f>INDEX('02_PROPERTIES'!$C$10:$I$1048576,MATCH('03_CALCULATIONS'!$D270,'02_PROPERTIES'!$C$10:$C$1048576,0),MATCH('03_CALCULATIONS'!AB$9,'02_PROPERTIES'!$C$10:$I$10,0))</f>
        <v>#N/A</v>
      </c>
      <c r="AC270" s="20" t="e">
        <f>INDEX('02_PROPERTIES'!$C$10:$I$1048576,MATCH('03_CALCULATIONS'!$D270,'02_PROPERTIES'!$C$10:$C$1048576,0),MATCH('03_CALCULATIONS'!AC$9,'02_PROPERTIES'!$C$10:$I$10,0))</f>
        <v>#N/A</v>
      </c>
      <c r="AD270" s="20" t="e">
        <f>INDEX('02_PROPERTIES'!$C$10:$I$1048576,MATCH('03_CALCULATIONS'!$D270,'02_PROPERTIES'!$C$10:$C$1048576,0),MATCH('03_CALCULATIONS'!AD$9,'02_PROPERTIES'!$C$10:$I$10,0))</f>
        <v>#N/A</v>
      </c>
      <c r="AE270" s="32" t="e">
        <f>INDEX('02_PROPERTIES'!$C$10:$I$1048576,MATCH('03_CALCULATIONS'!$D270,'02_PROPERTIES'!$C$10:$C$1048576,0),MATCH('03_CALCULATIONS'!AE$9,'02_PROPERTIES'!$C$10:$I$10,0))</f>
        <v>#N/A</v>
      </c>
      <c r="AF270" s="32" t="e">
        <f>INDEX('02_PROPERTIES'!$C$10:$I$1048576,MATCH('03_CALCULATIONS'!$D270,'02_PROPERTIES'!$C$10:$C$1048576,0),MATCH('03_CALCULATIONS'!AF$9,'02_PROPERTIES'!$C$10:$I$10,0))</f>
        <v>#N/A</v>
      </c>
      <c r="AH270" s="20" t="e">
        <f t="shared" si="44"/>
        <v>#N/A</v>
      </c>
      <c r="AI270" s="20" t="e">
        <f t="shared" si="45"/>
        <v>#N/A</v>
      </c>
      <c r="AJ270" s="20" t="e">
        <f t="shared" si="46"/>
        <v>#N/A</v>
      </c>
      <c r="AL270" s="20" t="e">
        <f t="shared" si="47"/>
        <v>#N/A</v>
      </c>
      <c r="AM270" s="20" t="e">
        <f t="shared" si="48"/>
        <v>#N/A</v>
      </c>
      <c r="AN270" s="20" t="e">
        <f t="shared" si="49"/>
        <v>#N/A</v>
      </c>
      <c r="AO270" s="20" t="e">
        <f t="shared" si="50"/>
        <v>#N/A</v>
      </c>
      <c r="AP270" s="20" t="e">
        <f t="shared" si="51"/>
        <v>#N/A</v>
      </c>
      <c r="AR270" s="20" t="e">
        <f t="shared" si="52"/>
        <v>#N/A</v>
      </c>
      <c r="AS270" s="20" t="e">
        <f t="shared" si="53"/>
        <v>#N/A</v>
      </c>
      <c r="AT270" s="20" t="e">
        <f t="shared" si="54"/>
        <v>#N/A</v>
      </c>
    </row>
    <row r="271" spans="1:46" x14ac:dyDescent="0.3">
      <c r="A271" s="18"/>
      <c r="B271" s="20" t="e">
        <f>INDEX('01_FASTPPH'!$9:$1048576,MATCH($A271,'01_FASTPPH'!$A$9:$A$1048576,0),MATCH(B$9,'01_FASTPPH'!$8:$8,0))</f>
        <v>#N/A</v>
      </c>
      <c r="C271" s="20" t="e">
        <f>INDEX('01_FASTPPH'!$9:$1048576,MATCH($A271,'01_FASTPPH'!$A$9:$A$1048576,0),MATCH(C$9,'01_FASTPPH'!$8:$8,0))</f>
        <v>#N/A</v>
      </c>
      <c r="D271" s="20" t="e">
        <f>INDEX('01_FASTPPH'!$9:$1048576,MATCH($A271,'01_FASTPPH'!$A$9:$A$1048576,0),MATCH(D$9,'01_FASTPPH'!$8:$8,0))</f>
        <v>#N/A</v>
      </c>
      <c r="E271" s="20" t="e">
        <f>INDEX('01_FASTPPH'!$9:$1048576,MATCH($A271,'01_FASTPPH'!$A$9:$A$1048576,0),MATCH(E$9,'01_FASTPPH'!$8:$8,0))</f>
        <v>#N/A</v>
      </c>
      <c r="F271" s="20" t="e">
        <f>INDEX('01_FASTPPH'!$9:$1048576,MATCH($A271,'01_FASTPPH'!$A$9:$A$1048576,0),MATCH(F$9,'01_FASTPPH'!$8:$8,0))</f>
        <v>#N/A</v>
      </c>
      <c r="G271" s="20" t="e">
        <f>INDEX('01_FASTPPH'!$9:$1048576,MATCH($A271,'01_FASTPPH'!$A$9:$A$1048576,0),MATCH(G$9,'01_FASTPPH'!$8:$8,0))</f>
        <v>#N/A</v>
      </c>
      <c r="H271" s="20" t="e">
        <f>INDEX('01_FASTPPH'!$9:$1048576,MATCH($A271,'01_FASTPPH'!$A$9:$A$1048576,0),MATCH(H$9,'01_FASTPPH'!$8:$8,0))</f>
        <v>#N/A</v>
      </c>
      <c r="I271" s="20" t="e">
        <f>INDEX('01_FASTPPH'!$9:$1048576,MATCH($A271,'01_FASTPPH'!$A$9:$A$1048576,0),MATCH(I$9,'01_FASTPPH'!$8:$8,0))</f>
        <v>#N/A</v>
      </c>
      <c r="J271" s="20" t="e">
        <f>INDEX('01_FASTPPH'!$9:$1048576,MATCH($A271,'01_FASTPPH'!$A$9:$A$1048576,0),MATCH(J$9,'01_FASTPPH'!$8:$8,0))</f>
        <v>#N/A</v>
      </c>
      <c r="K271" s="23" t="e">
        <f>INDEX('01_FASTPPH'!$9:$1048576,MATCH($A271,'01_FASTPPH'!$A$9:$A$1048576,0),MATCH(K$9,'01_FASTPPH'!$8:$8,0))</f>
        <v>#N/A</v>
      </c>
      <c r="L271" s="20" t="e">
        <f>INDEX('01_FASTPPH'!$9:$1048576,MATCH($A271,'01_FASTPPH'!$A$9:$A$1048576,0),MATCH(L$9,'01_FASTPPH'!$8:$8,0))</f>
        <v>#N/A</v>
      </c>
      <c r="M271" s="20" t="e">
        <f>INDEX('01_FASTPPH'!$9:$1048576,MATCH($A271,'01_FASTPPH'!$A$9:$A$1048576,0),MATCH(M$9,'01_FASTPPH'!$8:$8,0))</f>
        <v>#N/A</v>
      </c>
      <c r="N271" s="24" t="e">
        <f>INDEX('01_FASTPPH'!$9:$1048576,MATCH($A271,'01_FASTPPH'!$A$9:$A$1048576,0),MATCH(N$9,'01_FASTPPH'!$8:$8,0))</f>
        <v>#N/A</v>
      </c>
      <c r="O271" s="23" t="e">
        <f>INDEX('01_FASTPPH'!$9:$1048576,MATCH($A271,'01_FASTPPH'!$A$9:$A$1048576,0),MATCH(O$9,'01_FASTPPH'!$8:$8,0))</f>
        <v>#N/A</v>
      </c>
      <c r="P271" s="20" t="e">
        <f>INDEX('01_FASTPPH'!$9:$1048576,MATCH($A271,'01_FASTPPH'!$A$9:$A$1048576,0),MATCH(P$9,'01_FASTPPH'!$8:$8,0))</f>
        <v>#N/A</v>
      </c>
      <c r="Q271" s="20" t="e">
        <f>INDEX('01_FASTPPH'!$9:$1048576,MATCH($A271,'01_FASTPPH'!$A$9:$A$1048576,0),MATCH(Q$9,'01_FASTPPH'!$8:$8,0))</f>
        <v>#N/A</v>
      </c>
      <c r="R271" s="20" t="e">
        <f>INDEX('01_FASTPPH'!$9:$1048576,MATCH($A271,'01_FASTPPH'!$A$9:$A$1048576,0),MATCH(R$9,'01_FASTPPH'!$8:$8,0))</f>
        <v>#N/A</v>
      </c>
      <c r="S271" s="20" t="e">
        <f>INDEX('01_FASTPPH'!$9:$1048576,MATCH($A271,'01_FASTPPH'!$A$9:$A$1048576,0),MATCH(S$9,'01_FASTPPH'!$8:$8,0))</f>
        <v>#N/A</v>
      </c>
      <c r="T271" s="24" t="e">
        <f>INDEX('01_FASTPPH'!$9:$1048576,MATCH($A271,'01_FASTPPH'!$A$9:$A$1048576,0),MATCH(T$9,'01_FASTPPH'!$8:$8,0))</f>
        <v>#N/A</v>
      </c>
      <c r="U271" s="23" t="e">
        <f>INDEX('01_FASTPPH'!$9:$1048576,MATCH($A271,'01_FASTPPH'!$A$9:$A$1048576,0),MATCH(U$9,'01_FASTPPH'!$8:$8,0))</f>
        <v>#N/A</v>
      </c>
      <c r="V271" s="20" t="e">
        <f>INDEX('01_FASTPPH'!$9:$1048576,MATCH($A271,'01_FASTPPH'!$A$9:$A$1048576,0),MATCH(V$9,'01_FASTPPH'!$8:$8,0))</f>
        <v>#N/A</v>
      </c>
      <c r="W271" s="24" t="e">
        <f>INDEX('01_FASTPPH'!$9:$1048576,MATCH($A271,'01_FASTPPH'!$A$9:$A$1048576,0),MATCH(W$9,'01_FASTPPH'!$8:$8,0))</f>
        <v>#N/A</v>
      </c>
      <c r="X271" s="20" t="e">
        <f>INDEX('01_FASTPPH'!$9:$1048576,MATCH($A271,'01_FASTPPH'!$A$9:$A$1048576,0),MATCH(X$9,'01_FASTPPH'!$8:$8,0))</f>
        <v>#N/A</v>
      </c>
      <c r="Y271" s="20" t="e">
        <f>INDEX('01_FASTPPH'!$9:$1048576,MATCH($A271,'01_FASTPPH'!$A$9:$A$1048576,0),MATCH(Y$9,'01_FASTPPH'!$8:$8,0))</f>
        <v>#N/A</v>
      </c>
      <c r="AA271" s="32" t="e">
        <f>INDEX('02_PROPERTIES'!$C$10:$I$1048576,MATCH('03_CALCULATIONS'!$D271,'02_PROPERTIES'!$C$10:$C$1048576,0),MATCH('03_CALCULATIONS'!AA$9,'02_PROPERTIES'!$C$10:$I$10,0))</f>
        <v>#N/A</v>
      </c>
      <c r="AB271" s="20" t="e">
        <f>INDEX('02_PROPERTIES'!$C$10:$I$1048576,MATCH('03_CALCULATIONS'!$D271,'02_PROPERTIES'!$C$10:$C$1048576,0),MATCH('03_CALCULATIONS'!AB$9,'02_PROPERTIES'!$C$10:$I$10,0))</f>
        <v>#N/A</v>
      </c>
      <c r="AC271" s="20" t="e">
        <f>INDEX('02_PROPERTIES'!$C$10:$I$1048576,MATCH('03_CALCULATIONS'!$D271,'02_PROPERTIES'!$C$10:$C$1048576,0),MATCH('03_CALCULATIONS'!AC$9,'02_PROPERTIES'!$C$10:$I$10,0))</f>
        <v>#N/A</v>
      </c>
      <c r="AD271" s="20" t="e">
        <f>INDEX('02_PROPERTIES'!$C$10:$I$1048576,MATCH('03_CALCULATIONS'!$D271,'02_PROPERTIES'!$C$10:$C$1048576,0),MATCH('03_CALCULATIONS'!AD$9,'02_PROPERTIES'!$C$10:$I$10,0))</f>
        <v>#N/A</v>
      </c>
      <c r="AE271" s="32" t="e">
        <f>INDEX('02_PROPERTIES'!$C$10:$I$1048576,MATCH('03_CALCULATIONS'!$D271,'02_PROPERTIES'!$C$10:$C$1048576,0),MATCH('03_CALCULATIONS'!AE$9,'02_PROPERTIES'!$C$10:$I$10,0))</f>
        <v>#N/A</v>
      </c>
      <c r="AF271" s="32" t="e">
        <f>INDEX('02_PROPERTIES'!$C$10:$I$1048576,MATCH('03_CALCULATIONS'!$D271,'02_PROPERTIES'!$C$10:$C$1048576,0),MATCH('03_CALCULATIONS'!AF$9,'02_PROPERTIES'!$C$10:$I$10,0))</f>
        <v>#N/A</v>
      </c>
      <c r="AH271" s="20" t="e">
        <f t="shared" si="44"/>
        <v>#N/A</v>
      </c>
      <c r="AI271" s="20" t="e">
        <f t="shared" si="45"/>
        <v>#N/A</v>
      </c>
      <c r="AJ271" s="20" t="e">
        <f t="shared" si="46"/>
        <v>#N/A</v>
      </c>
      <c r="AL271" s="20" t="e">
        <f t="shared" si="47"/>
        <v>#N/A</v>
      </c>
      <c r="AM271" s="20" t="e">
        <f t="shared" si="48"/>
        <v>#N/A</v>
      </c>
      <c r="AN271" s="20" t="e">
        <f t="shared" si="49"/>
        <v>#N/A</v>
      </c>
      <c r="AO271" s="20" t="e">
        <f t="shared" si="50"/>
        <v>#N/A</v>
      </c>
      <c r="AP271" s="20" t="e">
        <f t="shared" si="51"/>
        <v>#N/A</v>
      </c>
      <c r="AR271" s="20" t="e">
        <f t="shared" si="52"/>
        <v>#N/A</v>
      </c>
      <c r="AS271" s="20" t="e">
        <f t="shared" si="53"/>
        <v>#N/A</v>
      </c>
      <c r="AT271" s="20" t="e">
        <f t="shared" si="54"/>
        <v>#N/A</v>
      </c>
    </row>
    <row r="272" spans="1:46" x14ac:dyDescent="0.3">
      <c r="A272" s="18"/>
      <c r="B272" s="20" t="e">
        <f>INDEX('01_FASTPPH'!$9:$1048576,MATCH($A272,'01_FASTPPH'!$A$9:$A$1048576,0),MATCH(B$9,'01_FASTPPH'!$8:$8,0))</f>
        <v>#N/A</v>
      </c>
      <c r="C272" s="20" t="e">
        <f>INDEX('01_FASTPPH'!$9:$1048576,MATCH($A272,'01_FASTPPH'!$A$9:$A$1048576,0),MATCH(C$9,'01_FASTPPH'!$8:$8,0))</f>
        <v>#N/A</v>
      </c>
      <c r="D272" s="20" t="e">
        <f>INDEX('01_FASTPPH'!$9:$1048576,MATCH($A272,'01_FASTPPH'!$A$9:$A$1048576,0),MATCH(D$9,'01_FASTPPH'!$8:$8,0))</f>
        <v>#N/A</v>
      </c>
      <c r="E272" s="20" t="e">
        <f>INDEX('01_FASTPPH'!$9:$1048576,MATCH($A272,'01_FASTPPH'!$A$9:$A$1048576,0),MATCH(E$9,'01_FASTPPH'!$8:$8,0))</f>
        <v>#N/A</v>
      </c>
      <c r="F272" s="20" t="e">
        <f>INDEX('01_FASTPPH'!$9:$1048576,MATCH($A272,'01_FASTPPH'!$A$9:$A$1048576,0),MATCH(F$9,'01_FASTPPH'!$8:$8,0))</f>
        <v>#N/A</v>
      </c>
      <c r="G272" s="20" t="e">
        <f>INDEX('01_FASTPPH'!$9:$1048576,MATCH($A272,'01_FASTPPH'!$A$9:$A$1048576,0),MATCH(G$9,'01_FASTPPH'!$8:$8,0))</f>
        <v>#N/A</v>
      </c>
      <c r="H272" s="20" t="e">
        <f>INDEX('01_FASTPPH'!$9:$1048576,MATCH($A272,'01_FASTPPH'!$A$9:$A$1048576,0),MATCH(H$9,'01_FASTPPH'!$8:$8,0))</f>
        <v>#N/A</v>
      </c>
      <c r="I272" s="20" t="e">
        <f>INDEX('01_FASTPPH'!$9:$1048576,MATCH($A272,'01_FASTPPH'!$A$9:$A$1048576,0),MATCH(I$9,'01_FASTPPH'!$8:$8,0))</f>
        <v>#N/A</v>
      </c>
      <c r="J272" s="20" t="e">
        <f>INDEX('01_FASTPPH'!$9:$1048576,MATCH($A272,'01_FASTPPH'!$A$9:$A$1048576,0),MATCH(J$9,'01_FASTPPH'!$8:$8,0))</f>
        <v>#N/A</v>
      </c>
      <c r="K272" s="23" t="e">
        <f>INDEX('01_FASTPPH'!$9:$1048576,MATCH($A272,'01_FASTPPH'!$A$9:$A$1048576,0),MATCH(K$9,'01_FASTPPH'!$8:$8,0))</f>
        <v>#N/A</v>
      </c>
      <c r="L272" s="20" t="e">
        <f>INDEX('01_FASTPPH'!$9:$1048576,MATCH($A272,'01_FASTPPH'!$A$9:$A$1048576,0),MATCH(L$9,'01_FASTPPH'!$8:$8,0))</f>
        <v>#N/A</v>
      </c>
      <c r="M272" s="20" t="e">
        <f>INDEX('01_FASTPPH'!$9:$1048576,MATCH($A272,'01_FASTPPH'!$A$9:$A$1048576,0),MATCH(M$9,'01_FASTPPH'!$8:$8,0))</f>
        <v>#N/A</v>
      </c>
      <c r="N272" s="24" t="e">
        <f>INDEX('01_FASTPPH'!$9:$1048576,MATCH($A272,'01_FASTPPH'!$A$9:$A$1048576,0),MATCH(N$9,'01_FASTPPH'!$8:$8,0))</f>
        <v>#N/A</v>
      </c>
      <c r="O272" s="23" t="e">
        <f>INDEX('01_FASTPPH'!$9:$1048576,MATCH($A272,'01_FASTPPH'!$A$9:$A$1048576,0),MATCH(O$9,'01_FASTPPH'!$8:$8,0))</f>
        <v>#N/A</v>
      </c>
      <c r="P272" s="20" t="e">
        <f>INDEX('01_FASTPPH'!$9:$1048576,MATCH($A272,'01_FASTPPH'!$A$9:$A$1048576,0),MATCH(P$9,'01_FASTPPH'!$8:$8,0))</f>
        <v>#N/A</v>
      </c>
      <c r="Q272" s="20" t="e">
        <f>INDEX('01_FASTPPH'!$9:$1048576,MATCH($A272,'01_FASTPPH'!$A$9:$A$1048576,0),MATCH(Q$9,'01_FASTPPH'!$8:$8,0))</f>
        <v>#N/A</v>
      </c>
      <c r="R272" s="20" t="e">
        <f>INDEX('01_FASTPPH'!$9:$1048576,MATCH($A272,'01_FASTPPH'!$A$9:$A$1048576,0),MATCH(R$9,'01_FASTPPH'!$8:$8,0))</f>
        <v>#N/A</v>
      </c>
      <c r="S272" s="20" t="e">
        <f>INDEX('01_FASTPPH'!$9:$1048576,MATCH($A272,'01_FASTPPH'!$A$9:$A$1048576,0),MATCH(S$9,'01_FASTPPH'!$8:$8,0))</f>
        <v>#N/A</v>
      </c>
      <c r="T272" s="24" t="e">
        <f>INDEX('01_FASTPPH'!$9:$1048576,MATCH($A272,'01_FASTPPH'!$A$9:$A$1048576,0),MATCH(T$9,'01_FASTPPH'!$8:$8,0))</f>
        <v>#N/A</v>
      </c>
      <c r="U272" s="23" t="e">
        <f>INDEX('01_FASTPPH'!$9:$1048576,MATCH($A272,'01_FASTPPH'!$A$9:$A$1048576,0),MATCH(U$9,'01_FASTPPH'!$8:$8,0))</f>
        <v>#N/A</v>
      </c>
      <c r="V272" s="20" t="e">
        <f>INDEX('01_FASTPPH'!$9:$1048576,MATCH($A272,'01_FASTPPH'!$A$9:$A$1048576,0),MATCH(V$9,'01_FASTPPH'!$8:$8,0))</f>
        <v>#N/A</v>
      </c>
      <c r="W272" s="24" t="e">
        <f>INDEX('01_FASTPPH'!$9:$1048576,MATCH($A272,'01_FASTPPH'!$A$9:$A$1048576,0),MATCH(W$9,'01_FASTPPH'!$8:$8,0))</f>
        <v>#N/A</v>
      </c>
      <c r="X272" s="20" t="e">
        <f>INDEX('01_FASTPPH'!$9:$1048576,MATCH($A272,'01_FASTPPH'!$A$9:$A$1048576,0),MATCH(X$9,'01_FASTPPH'!$8:$8,0))</f>
        <v>#N/A</v>
      </c>
      <c r="Y272" s="20" t="e">
        <f>INDEX('01_FASTPPH'!$9:$1048576,MATCH($A272,'01_FASTPPH'!$A$9:$A$1048576,0),MATCH(Y$9,'01_FASTPPH'!$8:$8,0))</f>
        <v>#N/A</v>
      </c>
      <c r="AA272" s="32" t="e">
        <f>INDEX('02_PROPERTIES'!$C$10:$I$1048576,MATCH('03_CALCULATIONS'!$D272,'02_PROPERTIES'!$C$10:$C$1048576,0),MATCH('03_CALCULATIONS'!AA$9,'02_PROPERTIES'!$C$10:$I$10,0))</f>
        <v>#N/A</v>
      </c>
      <c r="AB272" s="20" t="e">
        <f>INDEX('02_PROPERTIES'!$C$10:$I$1048576,MATCH('03_CALCULATIONS'!$D272,'02_PROPERTIES'!$C$10:$C$1048576,0),MATCH('03_CALCULATIONS'!AB$9,'02_PROPERTIES'!$C$10:$I$10,0))</f>
        <v>#N/A</v>
      </c>
      <c r="AC272" s="20" t="e">
        <f>INDEX('02_PROPERTIES'!$C$10:$I$1048576,MATCH('03_CALCULATIONS'!$D272,'02_PROPERTIES'!$C$10:$C$1048576,0),MATCH('03_CALCULATIONS'!AC$9,'02_PROPERTIES'!$C$10:$I$10,0))</f>
        <v>#N/A</v>
      </c>
      <c r="AD272" s="20" t="e">
        <f>INDEX('02_PROPERTIES'!$C$10:$I$1048576,MATCH('03_CALCULATIONS'!$D272,'02_PROPERTIES'!$C$10:$C$1048576,0),MATCH('03_CALCULATIONS'!AD$9,'02_PROPERTIES'!$C$10:$I$10,0))</f>
        <v>#N/A</v>
      </c>
      <c r="AE272" s="32" t="e">
        <f>INDEX('02_PROPERTIES'!$C$10:$I$1048576,MATCH('03_CALCULATIONS'!$D272,'02_PROPERTIES'!$C$10:$C$1048576,0),MATCH('03_CALCULATIONS'!AE$9,'02_PROPERTIES'!$C$10:$I$10,0))</f>
        <v>#N/A</v>
      </c>
      <c r="AF272" s="32" t="e">
        <f>INDEX('02_PROPERTIES'!$C$10:$I$1048576,MATCH('03_CALCULATIONS'!$D272,'02_PROPERTIES'!$C$10:$C$1048576,0),MATCH('03_CALCULATIONS'!AF$9,'02_PROPERTIES'!$C$10:$I$10,0))</f>
        <v>#N/A</v>
      </c>
      <c r="AH272" s="20" t="e">
        <f t="shared" si="44"/>
        <v>#N/A</v>
      </c>
      <c r="AI272" s="20" t="e">
        <f t="shared" si="45"/>
        <v>#N/A</v>
      </c>
      <c r="AJ272" s="20" t="e">
        <f t="shared" si="46"/>
        <v>#N/A</v>
      </c>
      <c r="AL272" s="20" t="e">
        <f t="shared" si="47"/>
        <v>#N/A</v>
      </c>
      <c r="AM272" s="20" t="e">
        <f t="shared" si="48"/>
        <v>#N/A</v>
      </c>
      <c r="AN272" s="20" t="e">
        <f t="shared" si="49"/>
        <v>#N/A</v>
      </c>
      <c r="AO272" s="20" t="e">
        <f t="shared" si="50"/>
        <v>#N/A</v>
      </c>
      <c r="AP272" s="20" t="e">
        <f t="shared" si="51"/>
        <v>#N/A</v>
      </c>
      <c r="AR272" s="20" t="e">
        <f t="shared" si="52"/>
        <v>#N/A</v>
      </c>
      <c r="AS272" s="20" t="e">
        <f t="shared" si="53"/>
        <v>#N/A</v>
      </c>
      <c r="AT272" s="20" t="e">
        <f t="shared" si="54"/>
        <v>#N/A</v>
      </c>
    </row>
    <row r="273" spans="1:46" x14ac:dyDescent="0.3">
      <c r="A273" s="18"/>
      <c r="B273" s="20" t="e">
        <f>INDEX('01_FASTPPH'!$9:$1048576,MATCH($A273,'01_FASTPPH'!$A$9:$A$1048576,0),MATCH(B$9,'01_FASTPPH'!$8:$8,0))</f>
        <v>#N/A</v>
      </c>
      <c r="C273" s="20" t="e">
        <f>INDEX('01_FASTPPH'!$9:$1048576,MATCH($A273,'01_FASTPPH'!$A$9:$A$1048576,0),MATCH(C$9,'01_FASTPPH'!$8:$8,0))</f>
        <v>#N/A</v>
      </c>
      <c r="D273" s="20" t="e">
        <f>INDEX('01_FASTPPH'!$9:$1048576,MATCH($A273,'01_FASTPPH'!$A$9:$A$1048576,0),MATCH(D$9,'01_FASTPPH'!$8:$8,0))</f>
        <v>#N/A</v>
      </c>
      <c r="E273" s="20" t="e">
        <f>INDEX('01_FASTPPH'!$9:$1048576,MATCH($A273,'01_FASTPPH'!$A$9:$A$1048576,0),MATCH(E$9,'01_FASTPPH'!$8:$8,0))</f>
        <v>#N/A</v>
      </c>
      <c r="F273" s="20" t="e">
        <f>INDEX('01_FASTPPH'!$9:$1048576,MATCH($A273,'01_FASTPPH'!$A$9:$A$1048576,0),MATCH(F$9,'01_FASTPPH'!$8:$8,0))</f>
        <v>#N/A</v>
      </c>
      <c r="G273" s="20" t="e">
        <f>INDEX('01_FASTPPH'!$9:$1048576,MATCH($A273,'01_FASTPPH'!$A$9:$A$1048576,0),MATCH(G$9,'01_FASTPPH'!$8:$8,0))</f>
        <v>#N/A</v>
      </c>
      <c r="H273" s="20" t="e">
        <f>INDEX('01_FASTPPH'!$9:$1048576,MATCH($A273,'01_FASTPPH'!$A$9:$A$1048576,0),MATCH(H$9,'01_FASTPPH'!$8:$8,0))</f>
        <v>#N/A</v>
      </c>
      <c r="I273" s="20" t="e">
        <f>INDEX('01_FASTPPH'!$9:$1048576,MATCH($A273,'01_FASTPPH'!$A$9:$A$1048576,0),MATCH(I$9,'01_FASTPPH'!$8:$8,0))</f>
        <v>#N/A</v>
      </c>
      <c r="J273" s="20" t="e">
        <f>INDEX('01_FASTPPH'!$9:$1048576,MATCH($A273,'01_FASTPPH'!$A$9:$A$1048576,0),MATCH(J$9,'01_FASTPPH'!$8:$8,0))</f>
        <v>#N/A</v>
      </c>
      <c r="K273" s="23" t="e">
        <f>INDEX('01_FASTPPH'!$9:$1048576,MATCH($A273,'01_FASTPPH'!$A$9:$A$1048576,0),MATCH(K$9,'01_FASTPPH'!$8:$8,0))</f>
        <v>#N/A</v>
      </c>
      <c r="L273" s="20" t="e">
        <f>INDEX('01_FASTPPH'!$9:$1048576,MATCH($A273,'01_FASTPPH'!$A$9:$A$1048576,0),MATCH(L$9,'01_FASTPPH'!$8:$8,0))</f>
        <v>#N/A</v>
      </c>
      <c r="M273" s="20" t="e">
        <f>INDEX('01_FASTPPH'!$9:$1048576,MATCH($A273,'01_FASTPPH'!$A$9:$A$1048576,0),MATCH(M$9,'01_FASTPPH'!$8:$8,0))</f>
        <v>#N/A</v>
      </c>
      <c r="N273" s="24" t="e">
        <f>INDEX('01_FASTPPH'!$9:$1048576,MATCH($A273,'01_FASTPPH'!$A$9:$A$1048576,0),MATCH(N$9,'01_FASTPPH'!$8:$8,0))</f>
        <v>#N/A</v>
      </c>
      <c r="O273" s="23" t="e">
        <f>INDEX('01_FASTPPH'!$9:$1048576,MATCH($A273,'01_FASTPPH'!$A$9:$A$1048576,0),MATCH(O$9,'01_FASTPPH'!$8:$8,0))</f>
        <v>#N/A</v>
      </c>
      <c r="P273" s="20" t="e">
        <f>INDEX('01_FASTPPH'!$9:$1048576,MATCH($A273,'01_FASTPPH'!$A$9:$A$1048576,0),MATCH(P$9,'01_FASTPPH'!$8:$8,0))</f>
        <v>#N/A</v>
      </c>
      <c r="Q273" s="20" t="e">
        <f>INDEX('01_FASTPPH'!$9:$1048576,MATCH($A273,'01_FASTPPH'!$A$9:$A$1048576,0),MATCH(Q$9,'01_FASTPPH'!$8:$8,0))</f>
        <v>#N/A</v>
      </c>
      <c r="R273" s="20" t="e">
        <f>INDEX('01_FASTPPH'!$9:$1048576,MATCH($A273,'01_FASTPPH'!$A$9:$A$1048576,0),MATCH(R$9,'01_FASTPPH'!$8:$8,0))</f>
        <v>#N/A</v>
      </c>
      <c r="S273" s="20" t="e">
        <f>INDEX('01_FASTPPH'!$9:$1048576,MATCH($A273,'01_FASTPPH'!$A$9:$A$1048576,0),MATCH(S$9,'01_FASTPPH'!$8:$8,0))</f>
        <v>#N/A</v>
      </c>
      <c r="T273" s="24" t="e">
        <f>INDEX('01_FASTPPH'!$9:$1048576,MATCH($A273,'01_FASTPPH'!$A$9:$A$1048576,0),MATCH(T$9,'01_FASTPPH'!$8:$8,0))</f>
        <v>#N/A</v>
      </c>
      <c r="U273" s="23" t="e">
        <f>INDEX('01_FASTPPH'!$9:$1048576,MATCH($A273,'01_FASTPPH'!$A$9:$A$1048576,0),MATCH(U$9,'01_FASTPPH'!$8:$8,0))</f>
        <v>#N/A</v>
      </c>
      <c r="V273" s="20" t="e">
        <f>INDEX('01_FASTPPH'!$9:$1048576,MATCH($A273,'01_FASTPPH'!$A$9:$A$1048576,0),MATCH(V$9,'01_FASTPPH'!$8:$8,0))</f>
        <v>#N/A</v>
      </c>
      <c r="W273" s="24" t="e">
        <f>INDEX('01_FASTPPH'!$9:$1048576,MATCH($A273,'01_FASTPPH'!$A$9:$A$1048576,0),MATCH(W$9,'01_FASTPPH'!$8:$8,0))</f>
        <v>#N/A</v>
      </c>
      <c r="X273" s="20" t="e">
        <f>INDEX('01_FASTPPH'!$9:$1048576,MATCH($A273,'01_FASTPPH'!$A$9:$A$1048576,0),MATCH(X$9,'01_FASTPPH'!$8:$8,0))</f>
        <v>#N/A</v>
      </c>
      <c r="Y273" s="20" t="e">
        <f>INDEX('01_FASTPPH'!$9:$1048576,MATCH($A273,'01_FASTPPH'!$A$9:$A$1048576,0),MATCH(Y$9,'01_FASTPPH'!$8:$8,0))</f>
        <v>#N/A</v>
      </c>
      <c r="AA273" s="32" t="e">
        <f>INDEX('02_PROPERTIES'!$C$10:$I$1048576,MATCH('03_CALCULATIONS'!$D273,'02_PROPERTIES'!$C$10:$C$1048576,0),MATCH('03_CALCULATIONS'!AA$9,'02_PROPERTIES'!$C$10:$I$10,0))</f>
        <v>#N/A</v>
      </c>
      <c r="AB273" s="20" t="e">
        <f>INDEX('02_PROPERTIES'!$C$10:$I$1048576,MATCH('03_CALCULATIONS'!$D273,'02_PROPERTIES'!$C$10:$C$1048576,0),MATCH('03_CALCULATIONS'!AB$9,'02_PROPERTIES'!$C$10:$I$10,0))</f>
        <v>#N/A</v>
      </c>
      <c r="AC273" s="20" t="e">
        <f>INDEX('02_PROPERTIES'!$C$10:$I$1048576,MATCH('03_CALCULATIONS'!$D273,'02_PROPERTIES'!$C$10:$C$1048576,0),MATCH('03_CALCULATIONS'!AC$9,'02_PROPERTIES'!$C$10:$I$10,0))</f>
        <v>#N/A</v>
      </c>
      <c r="AD273" s="20" t="e">
        <f>INDEX('02_PROPERTIES'!$C$10:$I$1048576,MATCH('03_CALCULATIONS'!$D273,'02_PROPERTIES'!$C$10:$C$1048576,0),MATCH('03_CALCULATIONS'!AD$9,'02_PROPERTIES'!$C$10:$I$10,0))</f>
        <v>#N/A</v>
      </c>
      <c r="AE273" s="32" t="e">
        <f>INDEX('02_PROPERTIES'!$C$10:$I$1048576,MATCH('03_CALCULATIONS'!$D273,'02_PROPERTIES'!$C$10:$C$1048576,0),MATCH('03_CALCULATIONS'!AE$9,'02_PROPERTIES'!$C$10:$I$10,0))</f>
        <v>#N/A</v>
      </c>
      <c r="AF273" s="32" t="e">
        <f>INDEX('02_PROPERTIES'!$C$10:$I$1048576,MATCH('03_CALCULATIONS'!$D273,'02_PROPERTIES'!$C$10:$C$1048576,0),MATCH('03_CALCULATIONS'!AF$9,'02_PROPERTIES'!$C$10:$I$10,0))</f>
        <v>#N/A</v>
      </c>
      <c r="AH273" s="20" t="e">
        <f t="shared" si="44"/>
        <v>#N/A</v>
      </c>
      <c r="AI273" s="20" t="e">
        <f t="shared" si="45"/>
        <v>#N/A</v>
      </c>
      <c r="AJ273" s="20" t="e">
        <f t="shared" si="46"/>
        <v>#N/A</v>
      </c>
      <c r="AL273" s="20" t="e">
        <f t="shared" si="47"/>
        <v>#N/A</v>
      </c>
      <c r="AM273" s="20" t="e">
        <f t="shared" si="48"/>
        <v>#N/A</v>
      </c>
      <c r="AN273" s="20" t="e">
        <f t="shared" si="49"/>
        <v>#N/A</v>
      </c>
      <c r="AO273" s="20" t="e">
        <f t="shared" si="50"/>
        <v>#N/A</v>
      </c>
      <c r="AP273" s="20" t="e">
        <f t="shared" si="51"/>
        <v>#N/A</v>
      </c>
      <c r="AR273" s="20" t="e">
        <f t="shared" si="52"/>
        <v>#N/A</v>
      </c>
      <c r="AS273" s="20" t="e">
        <f t="shared" si="53"/>
        <v>#N/A</v>
      </c>
      <c r="AT273" s="20" t="e">
        <f t="shared" si="54"/>
        <v>#N/A</v>
      </c>
    </row>
    <row r="274" spans="1:46" x14ac:dyDescent="0.3">
      <c r="A274" s="18"/>
      <c r="B274" s="20" t="e">
        <f>INDEX('01_FASTPPH'!$9:$1048576,MATCH($A274,'01_FASTPPH'!$A$9:$A$1048576,0),MATCH(B$9,'01_FASTPPH'!$8:$8,0))</f>
        <v>#N/A</v>
      </c>
      <c r="C274" s="20" t="e">
        <f>INDEX('01_FASTPPH'!$9:$1048576,MATCH($A274,'01_FASTPPH'!$A$9:$A$1048576,0),MATCH(C$9,'01_FASTPPH'!$8:$8,0))</f>
        <v>#N/A</v>
      </c>
      <c r="D274" s="20" t="e">
        <f>INDEX('01_FASTPPH'!$9:$1048576,MATCH($A274,'01_FASTPPH'!$A$9:$A$1048576,0),MATCH(D$9,'01_FASTPPH'!$8:$8,0))</f>
        <v>#N/A</v>
      </c>
      <c r="E274" s="20" t="e">
        <f>INDEX('01_FASTPPH'!$9:$1048576,MATCH($A274,'01_FASTPPH'!$A$9:$A$1048576,0),MATCH(E$9,'01_FASTPPH'!$8:$8,0))</f>
        <v>#N/A</v>
      </c>
      <c r="F274" s="20" t="e">
        <f>INDEX('01_FASTPPH'!$9:$1048576,MATCH($A274,'01_FASTPPH'!$A$9:$A$1048576,0),MATCH(F$9,'01_FASTPPH'!$8:$8,0))</f>
        <v>#N/A</v>
      </c>
      <c r="G274" s="20" t="e">
        <f>INDEX('01_FASTPPH'!$9:$1048576,MATCH($A274,'01_FASTPPH'!$A$9:$A$1048576,0),MATCH(G$9,'01_FASTPPH'!$8:$8,0))</f>
        <v>#N/A</v>
      </c>
      <c r="H274" s="20" t="e">
        <f>INDEX('01_FASTPPH'!$9:$1048576,MATCH($A274,'01_FASTPPH'!$A$9:$A$1048576,0),MATCH(H$9,'01_FASTPPH'!$8:$8,0))</f>
        <v>#N/A</v>
      </c>
      <c r="I274" s="20" t="e">
        <f>INDEX('01_FASTPPH'!$9:$1048576,MATCH($A274,'01_FASTPPH'!$A$9:$A$1048576,0),MATCH(I$9,'01_FASTPPH'!$8:$8,0))</f>
        <v>#N/A</v>
      </c>
      <c r="J274" s="20" t="e">
        <f>INDEX('01_FASTPPH'!$9:$1048576,MATCH($A274,'01_FASTPPH'!$A$9:$A$1048576,0),MATCH(J$9,'01_FASTPPH'!$8:$8,0))</f>
        <v>#N/A</v>
      </c>
      <c r="K274" s="23" t="e">
        <f>INDEX('01_FASTPPH'!$9:$1048576,MATCH($A274,'01_FASTPPH'!$A$9:$A$1048576,0),MATCH(K$9,'01_FASTPPH'!$8:$8,0))</f>
        <v>#N/A</v>
      </c>
      <c r="L274" s="20" t="e">
        <f>INDEX('01_FASTPPH'!$9:$1048576,MATCH($A274,'01_FASTPPH'!$A$9:$A$1048576,0),MATCH(L$9,'01_FASTPPH'!$8:$8,0))</f>
        <v>#N/A</v>
      </c>
      <c r="M274" s="20" t="e">
        <f>INDEX('01_FASTPPH'!$9:$1048576,MATCH($A274,'01_FASTPPH'!$A$9:$A$1048576,0),MATCH(M$9,'01_FASTPPH'!$8:$8,0))</f>
        <v>#N/A</v>
      </c>
      <c r="N274" s="24" t="e">
        <f>INDEX('01_FASTPPH'!$9:$1048576,MATCH($A274,'01_FASTPPH'!$A$9:$A$1048576,0),MATCH(N$9,'01_FASTPPH'!$8:$8,0))</f>
        <v>#N/A</v>
      </c>
      <c r="O274" s="23" t="e">
        <f>INDEX('01_FASTPPH'!$9:$1048576,MATCH($A274,'01_FASTPPH'!$A$9:$A$1048576,0),MATCH(O$9,'01_FASTPPH'!$8:$8,0))</f>
        <v>#N/A</v>
      </c>
      <c r="P274" s="20" t="e">
        <f>INDEX('01_FASTPPH'!$9:$1048576,MATCH($A274,'01_FASTPPH'!$A$9:$A$1048576,0),MATCH(P$9,'01_FASTPPH'!$8:$8,0))</f>
        <v>#N/A</v>
      </c>
      <c r="Q274" s="20" t="e">
        <f>INDEX('01_FASTPPH'!$9:$1048576,MATCH($A274,'01_FASTPPH'!$A$9:$A$1048576,0),MATCH(Q$9,'01_FASTPPH'!$8:$8,0))</f>
        <v>#N/A</v>
      </c>
      <c r="R274" s="20" t="e">
        <f>INDEX('01_FASTPPH'!$9:$1048576,MATCH($A274,'01_FASTPPH'!$A$9:$A$1048576,0),MATCH(R$9,'01_FASTPPH'!$8:$8,0))</f>
        <v>#N/A</v>
      </c>
      <c r="S274" s="20" t="e">
        <f>INDEX('01_FASTPPH'!$9:$1048576,MATCH($A274,'01_FASTPPH'!$A$9:$A$1048576,0),MATCH(S$9,'01_FASTPPH'!$8:$8,0))</f>
        <v>#N/A</v>
      </c>
      <c r="T274" s="24" t="e">
        <f>INDEX('01_FASTPPH'!$9:$1048576,MATCH($A274,'01_FASTPPH'!$A$9:$A$1048576,0),MATCH(T$9,'01_FASTPPH'!$8:$8,0))</f>
        <v>#N/A</v>
      </c>
      <c r="U274" s="23" t="e">
        <f>INDEX('01_FASTPPH'!$9:$1048576,MATCH($A274,'01_FASTPPH'!$A$9:$A$1048576,0),MATCH(U$9,'01_FASTPPH'!$8:$8,0))</f>
        <v>#N/A</v>
      </c>
      <c r="V274" s="20" t="e">
        <f>INDEX('01_FASTPPH'!$9:$1048576,MATCH($A274,'01_FASTPPH'!$A$9:$A$1048576,0),MATCH(V$9,'01_FASTPPH'!$8:$8,0))</f>
        <v>#N/A</v>
      </c>
      <c r="W274" s="24" t="e">
        <f>INDEX('01_FASTPPH'!$9:$1048576,MATCH($A274,'01_FASTPPH'!$A$9:$A$1048576,0),MATCH(W$9,'01_FASTPPH'!$8:$8,0))</f>
        <v>#N/A</v>
      </c>
      <c r="X274" s="20" t="e">
        <f>INDEX('01_FASTPPH'!$9:$1048576,MATCH($A274,'01_FASTPPH'!$A$9:$A$1048576,0),MATCH(X$9,'01_FASTPPH'!$8:$8,0))</f>
        <v>#N/A</v>
      </c>
      <c r="Y274" s="20" t="e">
        <f>INDEX('01_FASTPPH'!$9:$1048576,MATCH($A274,'01_FASTPPH'!$A$9:$A$1048576,0),MATCH(Y$9,'01_FASTPPH'!$8:$8,0))</f>
        <v>#N/A</v>
      </c>
      <c r="AA274" s="32" t="e">
        <f>INDEX('02_PROPERTIES'!$C$10:$I$1048576,MATCH('03_CALCULATIONS'!$D274,'02_PROPERTIES'!$C$10:$C$1048576,0),MATCH('03_CALCULATIONS'!AA$9,'02_PROPERTIES'!$C$10:$I$10,0))</f>
        <v>#N/A</v>
      </c>
      <c r="AB274" s="20" t="e">
        <f>INDEX('02_PROPERTIES'!$C$10:$I$1048576,MATCH('03_CALCULATIONS'!$D274,'02_PROPERTIES'!$C$10:$C$1048576,0),MATCH('03_CALCULATIONS'!AB$9,'02_PROPERTIES'!$C$10:$I$10,0))</f>
        <v>#N/A</v>
      </c>
      <c r="AC274" s="20" t="e">
        <f>INDEX('02_PROPERTIES'!$C$10:$I$1048576,MATCH('03_CALCULATIONS'!$D274,'02_PROPERTIES'!$C$10:$C$1048576,0),MATCH('03_CALCULATIONS'!AC$9,'02_PROPERTIES'!$C$10:$I$10,0))</f>
        <v>#N/A</v>
      </c>
      <c r="AD274" s="20" t="e">
        <f>INDEX('02_PROPERTIES'!$C$10:$I$1048576,MATCH('03_CALCULATIONS'!$D274,'02_PROPERTIES'!$C$10:$C$1048576,0),MATCH('03_CALCULATIONS'!AD$9,'02_PROPERTIES'!$C$10:$I$10,0))</f>
        <v>#N/A</v>
      </c>
      <c r="AE274" s="32" t="e">
        <f>INDEX('02_PROPERTIES'!$C$10:$I$1048576,MATCH('03_CALCULATIONS'!$D274,'02_PROPERTIES'!$C$10:$C$1048576,0),MATCH('03_CALCULATIONS'!AE$9,'02_PROPERTIES'!$C$10:$I$10,0))</f>
        <v>#N/A</v>
      </c>
      <c r="AF274" s="32" t="e">
        <f>INDEX('02_PROPERTIES'!$C$10:$I$1048576,MATCH('03_CALCULATIONS'!$D274,'02_PROPERTIES'!$C$10:$C$1048576,0),MATCH('03_CALCULATIONS'!AF$9,'02_PROPERTIES'!$C$10:$I$10,0))</f>
        <v>#N/A</v>
      </c>
      <c r="AH274" s="20" t="e">
        <f t="shared" si="44"/>
        <v>#N/A</v>
      </c>
      <c r="AI274" s="20" t="e">
        <f t="shared" si="45"/>
        <v>#N/A</v>
      </c>
      <c r="AJ274" s="20" t="e">
        <f t="shared" si="46"/>
        <v>#N/A</v>
      </c>
      <c r="AL274" s="20" t="e">
        <f t="shared" si="47"/>
        <v>#N/A</v>
      </c>
      <c r="AM274" s="20" t="e">
        <f t="shared" si="48"/>
        <v>#N/A</v>
      </c>
      <c r="AN274" s="20" t="e">
        <f t="shared" si="49"/>
        <v>#N/A</v>
      </c>
      <c r="AO274" s="20" t="e">
        <f t="shared" si="50"/>
        <v>#N/A</v>
      </c>
      <c r="AP274" s="20" t="e">
        <f t="shared" si="51"/>
        <v>#N/A</v>
      </c>
      <c r="AR274" s="20" t="e">
        <f t="shared" si="52"/>
        <v>#N/A</v>
      </c>
      <c r="AS274" s="20" t="e">
        <f t="shared" si="53"/>
        <v>#N/A</v>
      </c>
      <c r="AT274" s="20" t="e">
        <f t="shared" si="54"/>
        <v>#N/A</v>
      </c>
    </row>
    <row r="275" spans="1:46" x14ac:dyDescent="0.3">
      <c r="A275" s="18"/>
      <c r="B275" s="20" t="e">
        <f>INDEX('01_FASTPPH'!$9:$1048576,MATCH($A275,'01_FASTPPH'!$A$9:$A$1048576,0),MATCH(B$9,'01_FASTPPH'!$8:$8,0))</f>
        <v>#N/A</v>
      </c>
      <c r="C275" s="20" t="e">
        <f>INDEX('01_FASTPPH'!$9:$1048576,MATCH($A275,'01_FASTPPH'!$A$9:$A$1048576,0),MATCH(C$9,'01_FASTPPH'!$8:$8,0))</f>
        <v>#N/A</v>
      </c>
      <c r="D275" s="20" t="e">
        <f>INDEX('01_FASTPPH'!$9:$1048576,MATCH($A275,'01_FASTPPH'!$A$9:$A$1048576,0),MATCH(D$9,'01_FASTPPH'!$8:$8,0))</f>
        <v>#N/A</v>
      </c>
      <c r="E275" s="20" t="e">
        <f>INDEX('01_FASTPPH'!$9:$1048576,MATCH($A275,'01_FASTPPH'!$A$9:$A$1048576,0),MATCH(E$9,'01_FASTPPH'!$8:$8,0))</f>
        <v>#N/A</v>
      </c>
      <c r="F275" s="20" t="e">
        <f>INDEX('01_FASTPPH'!$9:$1048576,MATCH($A275,'01_FASTPPH'!$A$9:$A$1048576,0),MATCH(F$9,'01_FASTPPH'!$8:$8,0))</f>
        <v>#N/A</v>
      </c>
      <c r="G275" s="20" t="e">
        <f>INDEX('01_FASTPPH'!$9:$1048576,MATCH($A275,'01_FASTPPH'!$A$9:$A$1048576,0),MATCH(G$9,'01_FASTPPH'!$8:$8,0))</f>
        <v>#N/A</v>
      </c>
      <c r="H275" s="20" t="e">
        <f>INDEX('01_FASTPPH'!$9:$1048576,MATCH($A275,'01_FASTPPH'!$A$9:$A$1048576,0),MATCH(H$9,'01_FASTPPH'!$8:$8,0))</f>
        <v>#N/A</v>
      </c>
      <c r="I275" s="20" t="e">
        <f>INDEX('01_FASTPPH'!$9:$1048576,MATCH($A275,'01_FASTPPH'!$A$9:$A$1048576,0),MATCH(I$9,'01_FASTPPH'!$8:$8,0))</f>
        <v>#N/A</v>
      </c>
      <c r="J275" s="20" t="e">
        <f>INDEX('01_FASTPPH'!$9:$1048576,MATCH($A275,'01_FASTPPH'!$A$9:$A$1048576,0),MATCH(J$9,'01_FASTPPH'!$8:$8,0))</f>
        <v>#N/A</v>
      </c>
      <c r="K275" s="23" t="e">
        <f>INDEX('01_FASTPPH'!$9:$1048576,MATCH($A275,'01_FASTPPH'!$A$9:$A$1048576,0),MATCH(K$9,'01_FASTPPH'!$8:$8,0))</f>
        <v>#N/A</v>
      </c>
      <c r="L275" s="20" t="e">
        <f>INDEX('01_FASTPPH'!$9:$1048576,MATCH($A275,'01_FASTPPH'!$A$9:$A$1048576,0),MATCH(L$9,'01_FASTPPH'!$8:$8,0))</f>
        <v>#N/A</v>
      </c>
      <c r="M275" s="20" t="e">
        <f>INDEX('01_FASTPPH'!$9:$1048576,MATCH($A275,'01_FASTPPH'!$A$9:$A$1048576,0),MATCH(M$9,'01_FASTPPH'!$8:$8,0))</f>
        <v>#N/A</v>
      </c>
      <c r="N275" s="24" t="e">
        <f>INDEX('01_FASTPPH'!$9:$1048576,MATCH($A275,'01_FASTPPH'!$A$9:$A$1048576,0),MATCH(N$9,'01_FASTPPH'!$8:$8,0))</f>
        <v>#N/A</v>
      </c>
      <c r="O275" s="23" t="e">
        <f>INDEX('01_FASTPPH'!$9:$1048576,MATCH($A275,'01_FASTPPH'!$A$9:$A$1048576,0),MATCH(O$9,'01_FASTPPH'!$8:$8,0))</f>
        <v>#N/A</v>
      </c>
      <c r="P275" s="20" t="e">
        <f>INDEX('01_FASTPPH'!$9:$1048576,MATCH($A275,'01_FASTPPH'!$A$9:$A$1048576,0),MATCH(P$9,'01_FASTPPH'!$8:$8,0))</f>
        <v>#N/A</v>
      </c>
      <c r="Q275" s="20" t="e">
        <f>INDEX('01_FASTPPH'!$9:$1048576,MATCH($A275,'01_FASTPPH'!$A$9:$A$1048576,0),MATCH(Q$9,'01_FASTPPH'!$8:$8,0))</f>
        <v>#N/A</v>
      </c>
      <c r="R275" s="20" t="e">
        <f>INDEX('01_FASTPPH'!$9:$1048576,MATCH($A275,'01_FASTPPH'!$A$9:$A$1048576,0),MATCH(R$9,'01_FASTPPH'!$8:$8,0))</f>
        <v>#N/A</v>
      </c>
      <c r="S275" s="20" t="e">
        <f>INDEX('01_FASTPPH'!$9:$1048576,MATCH($A275,'01_FASTPPH'!$A$9:$A$1048576,0),MATCH(S$9,'01_FASTPPH'!$8:$8,0))</f>
        <v>#N/A</v>
      </c>
      <c r="T275" s="24" t="e">
        <f>INDEX('01_FASTPPH'!$9:$1048576,MATCH($A275,'01_FASTPPH'!$A$9:$A$1048576,0),MATCH(T$9,'01_FASTPPH'!$8:$8,0))</f>
        <v>#N/A</v>
      </c>
      <c r="U275" s="23" t="e">
        <f>INDEX('01_FASTPPH'!$9:$1048576,MATCH($A275,'01_FASTPPH'!$A$9:$A$1048576,0),MATCH(U$9,'01_FASTPPH'!$8:$8,0))</f>
        <v>#N/A</v>
      </c>
      <c r="V275" s="20" t="e">
        <f>INDEX('01_FASTPPH'!$9:$1048576,MATCH($A275,'01_FASTPPH'!$A$9:$A$1048576,0),MATCH(V$9,'01_FASTPPH'!$8:$8,0))</f>
        <v>#N/A</v>
      </c>
      <c r="W275" s="24" t="e">
        <f>INDEX('01_FASTPPH'!$9:$1048576,MATCH($A275,'01_FASTPPH'!$A$9:$A$1048576,0),MATCH(W$9,'01_FASTPPH'!$8:$8,0))</f>
        <v>#N/A</v>
      </c>
      <c r="X275" s="20" t="e">
        <f>INDEX('01_FASTPPH'!$9:$1048576,MATCH($A275,'01_FASTPPH'!$A$9:$A$1048576,0),MATCH(X$9,'01_FASTPPH'!$8:$8,0))</f>
        <v>#N/A</v>
      </c>
      <c r="Y275" s="20" t="e">
        <f>INDEX('01_FASTPPH'!$9:$1048576,MATCH($A275,'01_FASTPPH'!$A$9:$A$1048576,0),MATCH(Y$9,'01_FASTPPH'!$8:$8,0))</f>
        <v>#N/A</v>
      </c>
      <c r="AA275" s="32" t="e">
        <f>INDEX('02_PROPERTIES'!$C$10:$I$1048576,MATCH('03_CALCULATIONS'!$D275,'02_PROPERTIES'!$C$10:$C$1048576,0),MATCH('03_CALCULATIONS'!AA$9,'02_PROPERTIES'!$C$10:$I$10,0))</f>
        <v>#N/A</v>
      </c>
      <c r="AB275" s="20" t="e">
        <f>INDEX('02_PROPERTIES'!$C$10:$I$1048576,MATCH('03_CALCULATIONS'!$D275,'02_PROPERTIES'!$C$10:$C$1048576,0),MATCH('03_CALCULATIONS'!AB$9,'02_PROPERTIES'!$C$10:$I$10,0))</f>
        <v>#N/A</v>
      </c>
      <c r="AC275" s="20" t="e">
        <f>INDEX('02_PROPERTIES'!$C$10:$I$1048576,MATCH('03_CALCULATIONS'!$D275,'02_PROPERTIES'!$C$10:$C$1048576,0),MATCH('03_CALCULATIONS'!AC$9,'02_PROPERTIES'!$C$10:$I$10,0))</f>
        <v>#N/A</v>
      </c>
      <c r="AD275" s="20" t="e">
        <f>INDEX('02_PROPERTIES'!$C$10:$I$1048576,MATCH('03_CALCULATIONS'!$D275,'02_PROPERTIES'!$C$10:$C$1048576,0),MATCH('03_CALCULATIONS'!AD$9,'02_PROPERTIES'!$C$10:$I$10,0))</f>
        <v>#N/A</v>
      </c>
      <c r="AE275" s="32" t="e">
        <f>INDEX('02_PROPERTIES'!$C$10:$I$1048576,MATCH('03_CALCULATIONS'!$D275,'02_PROPERTIES'!$C$10:$C$1048576,0),MATCH('03_CALCULATIONS'!AE$9,'02_PROPERTIES'!$C$10:$I$10,0))</f>
        <v>#N/A</v>
      </c>
      <c r="AF275" s="32" t="e">
        <f>INDEX('02_PROPERTIES'!$C$10:$I$1048576,MATCH('03_CALCULATIONS'!$D275,'02_PROPERTIES'!$C$10:$C$1048576,0),MATCH('03_CALCULATIONS'!AF$9,'02_PROPERTIES'!$C$10:$I$10,0))</f>
        <v>#N/A</v>
      </c>
      <c r="AH275" s="20" t="e">
        <f t="shared" si="44"/>
        <v>#N/A</v>
      </c>
      <c r="AI275" s="20" t="e">
        <f t="shared" si="45"/>
        <v>#N/A</v>
      </c>
      <c r="AJ275" s="20" t="e">
        <f t="shared" si="46"/>
        <v>#N/A</v>
      </c>
      <c r="AL275" s="20" t="e">
        <f t="shared" si="47"/>
        <v>#N/A</v>
      </c>
      <c r="AM275" s="20" t="e">
        <f t="shared" si="48"/>
        <v>#N/A</v>
      </c>
      <c r="AN275" s="20" t="e">
        <f t="shared" si="49"/>
        <v>#N/A</v>
      </c>
      <c r="AO275" s="20" t="e">
        <f t="shared" si="50"/>
        <v>#N/A</v>
      </c>
      <c r="AP275" s="20" t="e">
        <f t="shared" si="51"/>
        <v>#N/A</v>
      </c>
      <c r="AR275" s="20" t="e">
        <f t="shared" si="52"/>
        <v>#N/A</v>
      </c>
      <c r="AS275" s="20" t="e">
        <f t="shared" si="53"/>
        <v>#N/A</v>
      </c>
      <c r="AT275" s="20" t="e">
        <f t="shared" si="54"/>
        <v>#N/A</v>
      </c>
    </row>
    <row r="276" spans="1:46" x14ac:dyDescent="0.3">
      <c r="A276" s="18"/>
      <c r="B276" s="20" t="e">
        <f>INDEX('01_FASTPPH'!$9:$1048576,MATCH($A276,'01_FASTPPH'!$A$9:$A$1048576,0),MATCH(B$9,'01_FASTPPH'!$8:$8,0))</f>
        <v>#N/A</v>
      </c>
      <c r="C276" s="20" t="e">
        <f>INDEX('01_FASTPPH'!$9:$1048576,MATCH($A276,'01_FASTPPH'!$A$9:$A$1048576,0),MATCH(C$9,'01_FASTPPH'!$8:$8,0))</f>
        <v>#N/A</v>
      </c>
      <c r="D276" s="20" t="e">
        <f>INDEX('01_FASTPPH'!$9:$1048576,MATCH($A276,'01_FASTPPH'!$A$9:$A$1048576,0),MATCH(D$9,'01_FASTPPH'!$8:$8,0))</f>
        <v>#N/A</v>
      </c>
      <c r="E276" s="20" t="e">
        <f>INDEX('01_FASTPPH'!$9:$1048576,MATCH($A276,'01_FASTPPH'!$A$9:$A$1048576,0),MATCH(E$9,'01_FASTPPH'!$8:$8,0))</f>
        <v>#N/A</v>
      </c>
      <c r="F276" s="20" t="e">
        <f>INDEX('01_FASTPPH'!$9:$1048576,MATCH($A276,'01_FASTPPH'!$A$9:$A$1048576,0),MATCH(F$9,'01_FASTPPH'!$8:$8,0))</f>
        <v>#N/A</v>
      </c>
      <c r="G276" s="20" t="e">
        <f>INDEX('01_FASTPPH'!$9:$1048576,MATCH($A276,'01_FASTPPH'!$A$9:$A$1048576,0),MATCH(G$9,'01_FASTPPH'!$8:$8,0))</f>
        <v>#N/A</v>
      </c>
      <c r="H276" s="20" t="e">
        <f>INDEX('01_FASTPPH'!$9:$1048576,MATCH($A276,'01_FASTPPH'!$A$9:$A$1048576,0),MATCH(H$9,'01_FASTPPH'!$8:$8,0))</f>
        <v>#N/A</v>
      </c>
      <c r="I276" s="20" t="e">
        <f>INDEX('01_FASTPPH'!$9:$1048576,MATCH($A276,'01_FASTPPH'!$A$9:$A$1048576,0),MATCH(I$9,'01_FASTPPH'!$8:$8,0))</f>
        <v>#N/A</v>
      </c>
      <c r="J276" s="20" t="e">
        <f>INDEX('01_FASTPPH'!$9:$1048576,MATCH($A276,'01_FASTPPH'!$A$9:$A$1048576,0),MATCH(J$9,'01_FASTPPH'!$8:$8,0))</f>
        <v>#N/A</v>
      </c>
      <c r="K276" s="23" t="e">
        <f>INDEX('01_FASTPPH'!$9:$1048576,MATCH($A276,'01_FASTPPH'!$A$9:$A$1048576,0),MATCH(K$9,'01_FASTPPH'!$8:$8,0))</f>
        <v>#N/A</v>
      </c>
      <c r="L276" s="20" t="e">
        <f>INDEX('01_FASTPPH'!$9:$1048576,MATCH($A276,'01_FASTPPH'!$A$9:$A$1048576,0),MATCH(L$9,'01_FASTPPH'!$8:$8,0))</f>
        <v>#N/A</v>
      </c>
      <c r="M276" s="20" t="e">
        <f>INDEX('01_FASTPPH'!$9:$1048576,MATCH($A276,'01_FASTPPH'!$A$9:$A$1048576,0),MATCH(M$9,'01_FASTPPH'!$8:$8,0))</f>
        <v>#N/A</v>
      </c>
      <c r="N276" s="24" t="e">
        <f>INDEX('01_FASTPPH'!$9:$1048576,MATCH($A276,'01_FASTPPH'!$A$9:$A$1048576,0),MATCH(N$9,'01_FASTPPH'!$8:$8,0))</f>
        <v>#N/A</v>
      </c>
      <c r="O276" s="23" t="e">
        <f>INDEX('01_FASTPPH'!$9:$1048576,MATCH($A276,'01_FASTPPH'!$A$9:$A$1048576,0),MATCH(O$9,'01_FASTPPH'!$8:$8,0))</f>
        <v>#N/A</v>
      </c>
      <c r="P276" s="20" t="e">
        <f>INDEX('01_FASTPPH'!$9:$1048576,MATCH($A276,'01_FASTPPH'!$A$9:$A$1048576,0),MATCH(P$9,'01_FASTPPH'!$8:$8,0))</f>
        <v>#N/A</v>
      </c>
      <c r="Q276" s="20" t="e">
        <f>INDEX('01_FASTPPH'!$9:$1048576,MATCH($A276,'01_FASTPPH'!$A$9:$A$1048576,0),MATCH(Q$9,'01_FASTPPH'!$8:$8,0))</f>
        <v>#N/A</v>
      </c>
      <c r="R276" s="20" t="e">
        <f>INDEX('01_FASTPPH'!$9:$1048576,MATCH($A276,'01_FASTPPH'!$A$9:$A$1048576,0),MATCH(R$9,'01_FASTPPH'!$8:$8,0))</f>
        <v>#N/A</v>
      </c>
      <c r="S276" s="20" t="e">
        <f>INDEX('01_FASTPPH'!$9:$1048576,MATCH($A276,'01_FASTPPH'!$A$9:$A$1048576,0),MATCH(S$9,'01_FASTPPH'!$8:$8,0))</f>
        <v>#N/A</v>
      </c>
      <c r="T276" s="24" t="e">
        <f>INDEX('01_FASTPPH'!$9:$1048576,MATCH($A276,'01_FASTPPH'!$A$9:$A$1048576,0),MATCH(T$9,'01_FASTPPH'!$8:$8,0))</f>
        <v>#N/A</v>
      </c>
      <c r="U276" s="23" t="e">
        <f>INDEX('01_FASTPPH'!$9:$1048576,MATCH($A276,'01_FASTPPH'!$A$9:$A$1048576,0),MATCH(U$9,'01_FASTPPH'!$8:$8,0))</f>
        <v>#N/A</v>
      </c>
      <c r="V276" s="20" t="e">
        <f>INDEX('01_FASTPPH'!$9:$1048576,MATCH($A276,'01_FASTPPH'!$A$9:$A$1048576,0),MATCH(V$9,'01_FASTPPH'!$8:$8,0))</f>
        <v>#N/A</v>
      </c>
      <c r="W276" s="24" t="e">
        <f>INDEX('01_FASTPPH'!$9:$1048576,MATCH($A276,'01_FASTPPH'!$A$9:$A$1048576,0),MATCH(W$9,'01_FASTPPH'!$8:$8,0))</f>
        <v>#N/A</v>
      </c>
      <c r="X276" s="20" t="e">
        <f>INDEX('01_FASTPPH'!$9:$1048576,MATCH($A276,'01_FASTPPH'!$A$9:$A$1048576,0),MATCH(X$9,'01_FASTPPH'!$8:$8,0))</f>
        <v>#N/A</v>
      </c>
      <c r="Y276" s="20" t="e">
        <f>INDEX('01_FASTPPH'!$9:$1048576,MATCH($A276,'01_FASTPPH'!$A$9:$A$1048576,0),MATCH(Y$9,'01_FASTPPH'!$8:$8,0))</f>
        <v>#N/A</v>
      </c>
      <c r="AA276" s="32" t="e">
        <f>INDEX('02_PROPERTIES'!$C$10:$I$1048576,MATCH('03_CALCULATIONS'!$D276,'02_PROPERTIES'!$C$10:$C$1048576,0),MATCH('03_CALCULATIONS'!AA$9,'02_PROPERTIES'!$C$10:$I$10,0))</f>
        <v>#N/A</v>
      </c>
      <c r="AB276" s="20" t="e">
        <f>INDEX('02_PROPERTIES'!$C$10:$I$1048576,MATCH('03_CALCULATIONS'!$D276,'02_PROPERTIES'!$C$10:$C$1048576,0),MATCH('03_CALCULATIONS'!AB$9,'02_PROPERTIES'!$C$10:$I$10,0))</f>
        <v>#N/A</v>
      </c>
      <c r="AC276" s="20" t="e">
        <f>INDEX('02_PROPERTIES'!$C$10:$I$1048576,MATCH('03_CALCULATIONS'!$D276,'02_PROPERTIES'!$C$10:$C$1048576,0),MATCH('03_CALCULATIONS'!AC$9,'02_PROPERTIES'!$C$10:$I$10,0))</f>
        <v>#N/A</v>
      </c>
      <c r="AD276" s="20" t="e">
        <f>INDEX('02_PROPERTIES'!$C$10:$I$1048576,MATCH('03_CALCULATIONS'!$D276,'02_PROPERTIES'!$C$10:$C$1048576,0),MATCH('03_CALCULATIONS'!AD$9,'02_PROPERTIES'!$C$10:$I$10,0))</f>
        <v>#N/A</v>
      </c>
      <c r="AE276" s="32" t="e">
        <f>INDEX('02_PROPERTIES'!$C$10:$I$1048576,MATCH('03_CALCULATIONS'!$D276,'02_PROPERTIES'!$C$10:$C$1048576,0),MATCH('03_CALCULATIONS'!AE$9,'02_PROPERTIES'!$C$10:$I$10,0))</f>
        <v>#N/A</v>
      </c>
      <c r="AF276" s="32" t="e">
        <f>INDEX('02_PROPERTIES'!$C$10:$I$1048576,MATCH('03_CALCULATIONS'!$D276,'02_PROPERTIES'!$C$10:$C$1048576,0),MATCH('03_CALCULATIONS'!AF$9,'02_PROPERTIES'!$C$10:$I$10,0))</f>
        <v>#N/A</v>
      </c>
      <c r="AH276" s="20" t="e">
        <f t="shared" si="44"/>
        <v>#N/A</v>
      </c>
      <c r="AI276" s="20" t="e">
        <f t="shared" si="45"/>
        <v>#N/A</v>
      </c>
      <c r="AJ276" s="20" t="e">
        <f t="shared" si="46"/>
        <v>#N/A</v>
      </c>
      <c r="AL276" s="20" t="e">
        <f t="shared" si="47"/>
        <v>#N/A</v>
      </c>
      <c r="AM276" s="20" t="e">
        <f t="shared" si="48"/>
        <v>#N/A</v>
      </c>
      <c r="AN276" s="20" t="e">
        <f t="shared" si="49"/>
        <v>#N/A</v>
      </c>
      <c r="AO276" s="20" t="e">
        <f t="shared" si="50"/>
        <v>#N/A</v>
      </c>
      <c r="AP276" s="20" t="e">
        <f t="shared" si="51"/>
        <v>#N/A</v>
      </c>
      <c r="AR276" s="20" t="e">
        <f t="shared" si="52"/>
        <v>#N/A</v>
      </c>
      <c r="AS276" s="20" t="e">
        <f t="shared" si="53"/>
        <v>#N/A</v>
      </c>
      <c r="AT276" s="20" t="e">
        <f t="shared" si="54"/>
        <v>#N/A</v>
      </c>
    </row>
    <row r="277" spans="1:46" x14ac:dyDescent="0.3">
      <c r="A277" s="18"/>
      <c r="B277" s="20" t="e">
        <f>INDEX('01_FASTPPH'!$9:$1048576,MATCH($A277,'01_FASTPPH'!$A$9:$A$1048576,0),MATCH(B$9,'01_FASTPPH'!$8:$8,0))</f>
        <v>#N/A</v>
      </c>
      <c r="C277" s="20" t="e">
        <f>INDEX('01_FASTPPH'!$9:$1048576,MATCH($A277,'01_FASTPPH'!$A$9:$A$1048576,0),MATCH(C$9,'01_FASTPPH'!$8:$8,0))</f>
        <v>#N/A</v>
      </c>
      <c r="D277" s="20" t="e">
        <f>INDEX('01_FASTPPH'!$9:$1048576,MATCH($A277,'01_FASTPPH'!$A$9:$A$1048576,0),MATCH(D$9,'01_FASTPPH'!$8:$8,0))</f>
        <v>#N/A</v>
      </c>
      <c r="E277" s="20" t="e">
        <f>INDEX('01_FASTPPH'!$9:$1048576,MATCH($A277,'01_FASTPPH'!$A$9:$A$1048576,0),MATCH(E$9,'01_FASTPPH'!$8:$8,0))</f>
        <v>#N/A</v>
      </c>
      <c r="F277" s="20" t="e">
        <f>INDEX('01_FASTPPH'!$9:$1048576,MATCH($A277,'01_FASTPPH'!$A$9:$A$1048576,0),MATCH(F$9,'01_FASTPPH'!$8:$8,0))</f>
        <v>#N/A</v>
      </c>
      <c r="G277" s="20" t="e">
        <f>INDEX('01_FASTPPH'!$9:$1048576,MATCH($A277,'01_FASTPPH'!$A$9:$A$1048576,0),MATCH(G$9,'01_FASTPPH'!$8:$8,0))</f>
        <v>#N/A</v>
      </c>
      <c r="H277" s="20" t="e">
        <f>INDEX('01_FASTPPH'!$9:$1048576,MATCH($A277,'01_FASTPPH'!$A$9:$A$1048576,0),MATCH(H$9,'01_FASTPPH'!$8:$8,0))</f>
        <v>#N/A</v>
      </c>
      <c r="I277" s="20" t="e">
        <f>INDEX('01_FASTPPH'!$9:$1048576,MATCH($A277,'01_FASTPPH'!$A$9:$A$1048576,0),MATCH(I$9,'01_FASTPPH'!$8:$8,0))</f>
        <v>#N/A</v>
      </c>
      <c r="J277" s="20" t="e">
        <f>INDEX('01_FASTPPH'!$9:$1048576,MATCH($A277,'01_FASTPPH'!$A$9:$A$1048576,0),MATCH(J$9,'01_FASTPPH'!$8:$8,0))</f>
        <v>#N/A</v>
      </c>
      <c r="K277" s="23" t="e">
        <f>INDEX('01_FASTPPH'!$9:$1048576,MATCH($A277,'01_FASTPPH'!$A$9:$A$1048576,0),MATCH(K$9,'01_FASTPPH'!$8:$8,0))</f>
        <v>#N/A</v>
      </c>
      <c r="L277" s="20" t="e">
        <f>INDEX('01_FASTPPH'!$9:$1048576,MATCH($A277,'01_FASTPPH'!$A$9:$A$1048576,0),MATCH(L$9,'01_FASTPPH'!$8:$8,0))</f>
        <v>#N/A</v>
      </c>
      <c r="M277" s="20" t="e">
        <f>INDEX('01_FASTPPH'!$9:$1048576,MATCH($A277,'01_FASTPPH'!$A$9:$A$1048576,0),MATCH(M$9,'01_FASTPPH'!$8:$8,0))</f>
        <v>#N/A</v>
      </c>
      <c r="N277" s="24" t="e">
        <f>INDEX('01_FASTPPH'!$9:$1048576,MATCH($A277,'01_FASTPPH'!$A$9:$A$1048576,0),MATCH(N$9,'01_FASTPPH'!$8:$8,0))</f>
        <v>#N/A</v>
      </c>
      <c r="O277" s="23" t="e">
        <f>INDEX('01_FASTPPH'!$9:$1048576,MATCH($A277,'01_FASTPPH'!$A$9:$A$1048576,0),MATCH(O$9,'01_FASTPPH'!$8:$8,0))</f>
        <v>#N/A</v>
      </c>
      <c r="P277" s="20" t="e">
        <f>INDEX('01_FASTPPH'!$9:$1048576,MATCH($A277,'01_FASTPPH'!$A$9:$A$1048576,0),MATCH(P$9,'01_FASTPPH'!$8:$8,0))</f>
        <v>#N/A</v>
      </c>
      <c r="Q277" s="20" t="e">
        <f>INDEX('01_FASTPPH'!$9:$1048576,MATCH($A277,'01_FASTPPH'!$A$9:$A$1048576,0),MATCH(Q$9,'01_FASTPPH'!$8:$8,0))</f>
        <v>#N/A</v>
      </c>
      <c r="R277" s="20" t="e">
        <f>INDEX('01_FASTPPH'!$9:$1048576,MATCH($A277,'01_FASTPPH'!$A$9:$A$1048576,0),MATCH(R$9,'01_FASTPPH'!$8:$8,0))</f>
        <v>#N/A</v>
      </c>
      <c r="S277" s="20" t="e">
        <f>INDEX('01_FASTPPH'!$9:$1048576,MATCH($A277,'01_FASTPPH'!$A$9:$A$1048576,0),MATCH(S$9,'01_FASTPPH'!$8:$8,0))</f>
        <v>#N/A</v>
      </c>
      <c r="T277" s="24" t="e">
        <f>INDEX('01_FASTPPH'!$9:$1048576,MATCH($A277,'01_FASTPPH'!$A$9:$A$1048576,0),MATCH(T$9,'01_FASTPPH'!$8:$8,0))</f>
        <v>#N/A</v>
      </c>
      <c r="U277" s="23" t="e">
        <f>INDEX('01_FASTPPH'!$9:$1048576,MATCH($A277,'01_FASTPPH'!$A$9:$A$1048576,0),MATCH(U$9,'01_FASTPPH'!$8:$8,0))</f>
        <v>#N/A</v>
      </c>
      <c r="V277" s="20" t="e">
        <f>INDEX('01_FASTPPH'!$9:$1048576,MATCH($A277,'01_FASTPPH'!$A$9:$A$1048576,0),MATCH(V$9,'01_FASTPPH'!$8:$8,0))</f>
        <v>#N/A</v>
      </c>
      <c r="W277" s="24" t="e">
        <f>INDEX('01_FASTPPH'!$9:$1048576,MATCH($A277,'01_FASTPPH'!$A$9:$A$1048576,0),MATCH(W$9,'01_FASTPPH'!$8:$8,0))</f>
        <v>#N/A</v>
      </c>
      <c r="X277" s="20" t="e">
        <f>INDEX('01_FASTPPH'!$9:$1048576,MATCH($A277,'01_FASTPPH'!$A$9:$A$1048576,0),MATCH(X$9,'01_FASTPPH'!$8:$8,0))</f>
        <v>#N/A</v>
      </c>
      <c r="Y277" s="20" t="e">
        <f>INDEX('01_FASTPPH'!$9:$1048576,MATCH($A277,'01_FASTPPH'!$A$9:$A$1048576,0),MATCH(Y$9,'01_FASTPPH'!$8:$8,0))</f>
        <v>#N/A</v>
      </c>
      <c r="AA277" s="32" t="e">
        <f>INDEX('02_PROPERTIES'!$C$10:$I$1048576,MATCH('03_CALCULATIONS'!$D277,'02_PROPERTIES'!$C$10:$C$1048576,0),MATCH('03_CALCULATIONS'!AA$9,'02_PROPERTIES'!$C$10:$I$10,0))</f>
        <v>#N/A</v>
      </c>
      <c r="AB277" s="20" t="e">
        <f>INDEX('02_PROPERTIES'!$C$10:$I$1048576,MATCH('03_CALCULATIONS'!$D277,'02_PROPERTIES'!$C$10:$C$1048576,0),MATCH('03_CALCULATIONS'!AB$9,'02_PROPERTIES'!$C$10:$I$10,0))</f>
        <v>#N/A</v>
      </c>
      <c r="AC277" s="20" t="e">
        <f>INDEX('02_PROPERTIES'!$C$10:$I$1048576,MATCH('03_CALCULATIONS'!$D277,'02_PROPERTIES'!$C$10:$C$1048576,0),MATCH('03_CALCULATIONS'!AC$9,'02_PROPERTIES'!$C$10:$I$10,0))</f>
        <v>#N/A</v>
      </c>
      <c r="AD277" s="20" t="e">
        <f>INDEX('02_PROPERTIES'!$C$10:$I$1048576,MATCH('03_CALCULATIONS'!$D277,'02_PROPERTIES'!$C$10:$C$1048576,0),MATCH('03_CALCULATIONS'!AD$9,'02_PROPERTIES'!$C$10:$I$10,0))</f>
        <v>#N/A</v>
      </c>
      <c r="AE277" s="32" t="e">
        <f>INDEX('02_PROPERTIES'!$C$10:$I$1048576,MATCH('03_CALCULATIONS'!$D277,'02_PROPERTIES'!$C$10:$C$1048576,0),MATCH('03_CALCULATIONS'!AE$9,'02_PROPERTIES'!$C$10:$I$10,0))</f>
        <v>#N/A</v>
      </c>
      <c r="AF277" s="32" t="e">
        <f>INDEX('02_PROPERTIES'!$C$10:$I$1048576,MATCH('03_CALCULATIONS'!$D277,'02_PROPERTIES'!$C$10:$C$1048576,0),MATCH('03_CALCULATIONS'!AF$9,'02_PROPERTIES'!$C$10:$I$10,0))</f>
        <v>#N/A</v>
      </c>
      <c r="AH277" s="20" t="e">
        <f t="shared" si="44"/>
        <v>#N/A</v>
      </c>
      <c r="AI277" s="20" t="e">
        <f t="shared" si="45"/>
        <v>#N/A</v>
      </c>
      <c r="AJ277" s="20" t="e">
        <f t="shared" si="46"/>
        <v>#N/A</v>
      </c>
      <c r="AL277" s="20" t="e">
        <f t="shared" si="47"/>
        <v>#N/A</v>
      </c>
      <c r="AM277" s="20" t="e">
        <f t="shared" si="48"/>
        <v>#N/A</v>
      </c>
      <c r="AN277" s="20" t="e">
        <f t="shared" si="49"/>
        <v>#N/A</v>
      </c>
      <c r="AO277" s="20" t="e">
        <f t="shared" si="50"/>
        <v>#N/A</v>
      </c>
      <c r="AP277" s="20" t="e">
        <f t="shared" si="51"/>
        <v>#N/A</v>
      </c>
      <c r="AR277" s="20" t="e">
        <f t="shared" si="52"/>
        <v>#N/A</v>
      </c>
      <c r="AS277" s="20" t="e">
        <f t="shared" si="53"/>
        <v>#N/A</v>
      </c>
      <c r="AT277" s="20" t="e">
        <f t="shared" si="54"/>
        <v>#N/A</v>
      </c>
    </row>
    <row r="278" spans="1:46" x14ac:dyDescent="0.3">
      <c r="A278" s="18"/>
      <c r="B278" s="20" t="e">
        <f>INDEX('01_FASTPPH'!$9:$1048576,MATCH($A278,'01_FASTPPH'!$A$9:$A$1048576,0),MATCH(B$9,'01_FASTPPH'!$8:$8,0))</f>
        <v>#N/A</v>
      </c>
      <c r="C278" s="20" t="e">
        <f>INDEX('01_FASTPPH'!$9:$1048576,MATCH($A278,'01_FASTPPH'!$A$9:$A$1048576,0),MATCH(C$9,'01_FASTPPH'!$8:$8,0))</f>
        <v>#N/A</v>
      </c>
      <c r="D278" s="20" t="e">
        <f>INDEX('01_FASTPPH'!$9:$1048576,MATCH($A278,'01_FASTPPH'!$A$9:$A$1048576,0),MATCH(D$9,'01_FASTPPH'!$8:$8,0))</f>
        <v>#N/A</v>
      </c>
      <c r="E278" s="20" t="e">
        <f>INDEX('01_FASTPPH'!$9:$1048576,MATCH($A278,'01_FASTPPH'!$A$9:$A$1048576,0),MATCH(E$9,'01_FASTPPH'!$8:$8,0))</f>
        <v>#N/A</v>
      </c>
      <c r="F278" s="20" t="e">
        <f>INDEX('01_FASTPPH'!$9:$1048576,MATCH($A278,'01_FASTPPH'!$A$9:$A$1048576,0),MATCH(F$9,'01_FASTPPH'!$8:$8,0))</f>
        <v>#N/A</v>
      </c>
      <c r="G278" s="20" t="e">
        <f>INDEX('01_FASTPPH'!$9:$1048576,MATCH($A278,'01_FASTPPH'!$A$9:$A$1048576,0),MATCH(G$9,'01_FASTPPH'!$8:$8,0))</f>
        <v>#N/A</v>
      </c>
      <c r="H278" s="20" t="e">
        <f>INDEX('01_FASTPPH'!$9:$1048576,MATCH($A278,'01_FASTPPH'!$A$9:$A$1048576,0),MATCH(H$9,'01_FASTPPH'!$8:$8,0))</f>
        <v>#N/A</v>
      </c>
      <c r="I278" s="20" t="e">
        <f>INDEX('01_FASTPPH'!$9:$1048576,MATCH($A278,'01_FASTPPH'!$A$9:$A$1048576,0),MATCH(I$9,'01_FASTPPH'!$8:$8,0))</f>
        <v>#N/A</v>
      </c>
      <c r="J278" s="20" t="e">
        <f>INDEX('01_FASTPPH'!$9:$1048576,MATCH($A278,'01_FASTPPH'!$A$9:$A$1048576,0),MATCH(J$9,'01_FASTPPH'!$8:$8,0))</f>
        <v>#N/A</v>
      </c>
      <c r="K278" s="23" t="e">
        <f>INDEX('01_FASTPPH'!$9:$1048576,MATCH($A278,'01_FASTPPH'!$A$9:$A$1048576,0),MATCH(K$9,'01_FASTPPH'!$8:$8,0))</f>
        <v>#N/A</v>
      </c>
      <c r="L278" s="20" t="e">
        <f>INDEX('01_FASTPPH'!$9:$1048576,MATCH($A278,'01_FASTPPH'!$A$9:$A$1048576,0),MATCH(L$9,'01_FASTPPH'!$8:$8,0))</f>
        <v>#N/A</v>
      </c>
      <c r="M278" s="20" t="e">
        <f>INDEX('01_FASTPPH'!$9:$1048576,MATCH($A278,'01_FASTPPH'!$A$9:$A$1048576,0),MATCH(M$9,'01_FASTPPH'!$8:$8,0))</f>
        <v>#N/A</v>
      </c>
      <c r="N278" s="24" t="e">
        <f>INDEX('01_FASTPPH'!$9:$1048576,MATCH($A278,'01_FASTPPH'!$A$9:$A$1048576,0),MATCH(N$9,'01_FASTPPH'!$8:$8,0))</f>
        <v>#N/A</v>
      </c>
      <c r="O278" s="23" t="e">
        <f>INDEX('01_FASTPPH'!$9:$1048576,MATCH($A278,'01_FASTPPH'!$A$9:$A$1048576,0),MATCH(O$9,'01_FASTPPH'!$8:$8,0))</f>
        <v>#N/A</v>
      </c>
      <c r="P278" s="20" t="e">
        <f>INDEX('01_FASTPPH'!$9:$1048576,MATCH($A278,'01_FASTPPH'!$A$9:$A$1048576,0),MATCH(P$9,'01_FASTPPH'!$8:$8,0))</f>
        <v>#N/A</v>
      </c>
      <c r="Q278" s="20" t="e">
        <f>INDEX('01_FASTPPH'!$9:$1048576,MATCH($A278,'01_FASTPPH'!$A$9:$A$1048576,0),MATCH(Q$9,'01_FASTPPH'!$8:$8,0))</f>
        <v>#N/A</v>
      </c>
      <c r="R278" s="20" t="e">
        <f>INDEX('01_FASTPPH'!$9:$1048576,MATCH($A278,'01_FASTPPH'!$A$9:$A$1048576,0),MATCH(R$9,'01_FASTPPH'!$8:$8,0))</f>
        <v>#N/A</v>
      </c>
      <c r="S278" s="20" t="e">
        <f>INDEX('01_FASTPPH'!$9:$1048576,MATCH($A278,'01_FASTPPH'!$A$9:$A$1048576,0),MATCH(S$9,'01_FASTPPH'!$8:$8,0))</f>
        <v>#N/A</v>
      </c>
      <c r="T278" s="24" t="e">
        <f>INDEX('01_FASTPPH'!$9:$1048576,MATCH($A278,'01_FASTPPH'!$A$9:$A$1048576,0),MATCH(T$9,'01_FASTPPH'!$8:$8,0))</f>
        <v>#N/A</v>
      </c>
      <c r="U278" s="23" t="e">
        <f>INDEX('01_FASTPPH'!$9:$1048576,MATCH($A278,'01_FASTPPH'!$A$9:$A$1048576,0),MATCH(U$9,'01_FASTPPH'!$8:$8,0))</f>
        <v>#N/A</v>
      </c>
      <c r="V278" s="20" t="e">
        <f>INDEX('01_FASTPPH'!$9:$1048576,MATCH($A278,'01_FASTPPH'!$A$9:$A$1048576,0),MATCH(V$9,'01_FASTPPH'!$8:$8,0))</f>
        <v>#N/A</v>
      </c>
      <c r="W278" s="24" t="e">
        <f>INDEX('01_FASTPPH'!$9:$1048576,MATCH($A278,'01_FASTPPH'!$A$9:$A$1048576,0),MATCH(W$9,'01_FASTPPH'!$8:$8,0))</f>
        <v>#N/A</v>
      </c>
      <c r="X278" s="20" t="e">
        <f>INDEX('01_FASTPPH'!$9:$1048576,MATCH($A278,'01_FASTPPH'!$A$9:$A$1048576,0),MATCH(X$9,'01_FASTPPH'!$8:$8,0))</f>
        <v>#N/A</v>
      </c>
      <c r="Y278" s="20" t="e">
        <f>INDEX('01_FASTPPH'!$9:$1048576,MATCH($A278,'01_FASTPPH'!$A$9:$A$1048576,0),MATCH(Y$9,'01_FASTPPH'!$8:$8,0))</f>
        <v>#N/A</v>
      </c>
      <c r="AA278" s="32" t="e">
        <f>INDEX('02_PROPERTIES'!$C$10:$I$1048576,MATCH('03_CALCULATIONS'!$D278,'02_PROPERTIES'!$C$10:$C$1048576,0),MATCH('03_CALCULATIONS'!AA$9,'02_PROPERTIES'!$C$10:$I$10,0))</f>
        <v>#N/A</v>
      </c>
      <c r="AB278" s="20" t="e">
        <f>INDEX('02_PROPERTIES'!$C$10:$I$1048576,MATCH('03_CALCULATIONS'!$D278,'02_PROPERTIES'!$C$10:$C$1048576,0),MATCH('03_CALCULATIONS'!AB$9,'02_PROPERTIES'!$C$10:$I$10,0))</f>
        <v>#N/A</v>
      </c>
      <c r="AC278" s="20" t="e">
        <f>INDEX('02_PROPERTIES'!$C$10:$I$1048576,MATCH('03_CALCULATIONS'!$D278,'02_PROPERTIES'!$C$10:$C$1048576,0),MATCH('03_CALCULATIONS'!AC$9,'02_PROPERTIES'!$C$10:$I$10,0))</f>
        <v>#N/A</v>
      </c>
      <c r="AD278" s="20" t="e">
        <f>INDEX('02_PROPERTIES'!$C$10:$I$1048576,MATCH('03_CALCULATIONS'!$D278,'02_PROPERTIES'!$C$10:$C$1048576,0),MATCH('03_CALCULATIONS'!AD$9,'02_PROPERTIES'!$C$10:$I$10,0))</f>
        <v>#N/A</v>
      </c>
      <c r="AE278" s="32" t="e">
        <f>INDEX('02_PROPERTIES'!$C$10:$I$1048576,MATCH('03_CALCULATIONS'!$D278,'02_PROPERTIES'!$C$10:$C$1048576,0),MATCH('03_CALCULATIONS'!AE$9,'02_PROPERTIES'!$C$10:$I$10,0))</f>
        <v>#N/A</v>
      </c>
      <c r="AF278" s="32" t="e">
        <f>INDEX('02_PROPERTIES'!$C$10:$I$1048576,MATCH('03_CALCULATIONS'!$D278,'02_PROPERTIES'!$C$10:$C$1048576,0),MATCH('03_CALCULATIONS'!AF$9,'02_PROPERTIES'!$C$10:$I$10,0))</f>
        <v>#N/A</v>
      </c>
      <c r="AH278" s="20" t="e">
        <f t="shared" si="44"/>
        <v>#N/A</v>
      </c>
      <c r="AI278" s="20" t="e">
        <f t="shared" si="45"/>
        <v>#N/A</v>
      </c>
      <c r="AJ278" s="20" t="e">
        <f t="shared" si="46"/>
        <v>#N/A</v>
      </c>
      <c r="AL278" s="20" t="e">
        <f t="shared" si="47"/>
        <v>#N/A</v>
      </c>
      <c r="AM278" s="20" t="e">
        <f t="shared" si="48"/>
        <v>#N/A</v>
      </c>
      <c r="AN278" s="20" t="e">
        <f t="shared" si="49"/>
        <v>#N/A</v>
      </c>
      <c r="AO278" s="20" t="e">
        <f t="shared" si="50"/>
        <v>#N/A</v>
      </c>
      <c r="AP278" s="20" t="e">
        <f t="shared" si="51"/>
        <v>#N/A</v>
      </c>
      <c r="AR278" s="20" t="e">
        <f t="shared" si="52"/>
        <v>#N/A</v>
      </c>
      <c r="AS278" s="20" t="e">
        <f t="shared" si="53"/>
        <v>#N/A</v>
      </c>
      <c r="AT278" s="20" t="e">
        <f t="shared" si="54"/>
        <v>#N/A</v>
      </c>
    </row>
    <row r="279" spans="1:46" x14ac:dyDescent="0.3">
      <c r="A279" s="18"/>
      <c r="B279" s="20" t="e">
        <f>INDEX('01_FASTPPH'!$9:$1048576,MATCH($A279,'01_FASTPPH'!$A$9:$A$1048576,0),MATCH(B$9,'01_FASTPPH'!$8:$8,0))</f>
        <v>#N/A</v>
      </c>
      <c r="C279" s="20" t="e">
        <f>INDEX('01_FASTPPH'!$9:$1048576,MATCH($A279,'01_FASTPPH'!$A$9:$A$1048576,0),MATCH(C$9,'01_FASTPPH'!$8:$8,0))</f>
        <v>#N/A</v>
      </c>
      <c r="D279" s="20" t="e">
        <f>INDEX('01_FASTPPH'!$9:$1048576,MATCH($A279,'01_FASTPPH'!$A$9:$A$1048576,0),MATCH(D$9,'01_FASTPPH'!$8:$8,0))</f>
        <v>#N/A</v>
      </c>
      <c r="E279" s="20" t="e">
        <f>INDEX('01_FASTPPH'!$9:$1048576,MATCH($A279,'01_FASTPPH'!$A$9:$A$1048576,0),MATCH(E$9,'01_FASTPPH'!$8:$8,0))</f>
        <v>#N/A</v>
      </c>
      <c r="F279" s="20" t="e">
        <f>INDEX('01_FASTPPH'!$9:$1048576,MATCH($A279,'01_FASTPPH'!$A$9:$A$1048576,0),MATCH(F$9,'01_FASTPPH'!$8:$8,0))</f>
        <v>#N/A</v>
      </c>
      <c r="G279" s="20" t="e">
        <f>INDEX('01_FASTPPH'!$9:$1048576,MATCH($A279,'01_FASTPPH'!$A$9:$A$1048576,0),MATCH(G$9,'01_FASTPPH'!$8:$8,0))</f>
        <v>#N/A</v>
      </c>
      <c r="H279" s="20" t="e">
        <f>INDEX('01_FASTPPH'!$9:$1048576,MATCH($A279,'01_FASTPPH'!$A$9:$A$1048576,0),MATCH(H$9,'01_FASTPPH'!$8:$8,0))</f>
        <v>#N/A</v>
      </c>
      <c r="I279" s="20" t="e">
        <f>INDEX('01_FASTPPH'!$9:$1048576,MATCH($A279,'01_FASTPPH'!$A$9:$A$1048576,0),MATCH(I$9,'01_FASTPPH'!$8:$8,0))</f>
        <v>#N/A</v>
      </c>
      <c r="J279" s="20" t="e">
        <f>INDEX('01_FASTPPH'!$9:$1048576,MATCH($A279,'01_FASTPPH'!$A$9:$A$1048576,0),MATCH(J$9,'01_FASTPPH'!$8:$8,0))</f>
        <v>#N/A</v>
      </c>
      <c r="K279" s="23" t="e">
        <f>INDEX('01_FASTPPH'!$9:$1048576,MATCH($A279,'01_FASTPPH'!$A$9:$A$1048576,0),MATCH(K$9,'01_FASTPPH'!$8:$8,0))</f>
        <v>#N/A</v>
      </c>
      <c r="L279" s="20" t="e">
        <f>INDEX('01_FASTPPH'!$9:$1048576,MATCH($A279,'01_FASTPPH'!$A$9:$A$1048576,0),MATCH(L$9,'01_FASTPPH'!$8:$8,0))</f>
        <v>#N/A</v>
      </c>
      <c r="M279" s="20" t="e">
        <f>INDEX('01_FASTPPH'!$9:$1048576,MATCH($A279,'01_FASTPPH'!$A$9:$A$1048576,0),MATCH(M$9,'01_FASTPPH'!$8:$8,0))</f>
        <v>#N/A</v>
      </c>
      <c r="N279" s="24" t="e">
        <f>INDEX('01_FASTPPH'!$9:$1048576,MATCH($A279,'01_FASTPPH'!$A$9:$A$1048576,0),MATCH(N$9,'01_FASTPPH'!$8:$8,0))</f>
        <v>#N/A</v>
      </c>
      <c r="O279" s="23" t="e">
        <f>INDEX('01_FASTPPH'!$9:$1048576,MATCH($A279,'01_FASTPPH'!$A$9:$A$1048576,0),MATCH(O$9,'01_FASTPPH'!$8:$8,0))</f>
        <v>#N/A</v>
      </c>
      <c r="P279" s="20" t="e">
        <f>INDEX('01_FASTPPH'!$9:$1048576,MATCH($A279,'01_FASTPPH'!$A$9:$A$1048576,0),MATCH(P$9,'01_FASTPPH'!$8:$8,0))</f>
        <v>#N/A</v>
      </c>
      <c r="Q279" s="20" t="e">
        <f>INDEX('01_FASTPPH'!$9:$1048576,MATCH($A279,'01_FASTPPH'!$A$9:$A$1048576,0),MATCH(Q$9,'01_FASTPPH'!$8:$8,0))</f>
        <v>#N/A</v>
      </c>
      <c r="R279" s="20" t="e">
        <f>INDEX('01_FASTPPH'!$9:$1048576,MATCH($A279,'01_FASTPPH'!$A$9:$A$1048576,0),MATCH(R$9,'01_FASTPPH'!$8:$8,0))</f>
        <v>#N/A</v>
      </c>
      <c r="S279" s="20" t="e">
        <f>INDEX('01_FASTPPH'!$9:$1048576,MATCH($A279,'01_FASTPPH'!$A$9:$A$1048576,0),MATCH(S$9,'01_FASTPPH'!$8:$8,0))</f>
        <v>#N/A</v>
      </c>
      <c r="T279" s="24" t="e">
        <f>INDEX('01_FASTPPH'!$9:$1048576,MATCH($A279,'01_FASTPPH'!$A$9:$A$1048576,0),MATCH(T$9,'01_FASTPPH'!$8:$8,0))</f>
        <v>#N/A</v>
      </c>
      <c r="U279" s="23" t="e">
        <f>INDEX('01_FASTPPH'!$9:$1048576,MATCH($A279,'01_FASTPPH'!$A$9:$A$1048576,0),MATCH(U$9,'01_FASTPPH'!$8:$8,0))</f>
        <v>#N/A</v>
      </c>
      <c r="V279" s="20" t="e">
        <f>INDEX('01_FASTPPH'!$9:$1048576,MATCH($A279,'01_FASTPPH'!$A$9:$A$1048576,0),MATCH(V$9,'01_FASTPPH'!$8:$8,0))</f>
        <v>#N/A</v>
      </c>
      <c r="W279" s="24" t="e">
        <f>INDEX('01_FASTPPH'!$9:$1048576,MATCH($A279,'01_FASTPPH'!$A$9:$A$1048576,0),MATCH(W$9,'01_FASTPPH'!$8:$8,0))</f>
        <v>#N/A</v>
      </c>
      <c r="X279" s="20" t="e">
        <f>INDEX('01_FASTPPH'!$9:$1048576,MATCH($A279,'01_FASTPPH'!$A$9:$A$1048576,0),MATCH(X$9,'01_FASTPPH'!$8:$8,0))</f>
        <v>#N/A</v>
      </c>
      <c r="Y279" s="20" t="e">
        <f>INDEX('01_FASTPPH'!$9:$1048576,MATCH($A279,'01_FASTPPH'!$A$9:$A$1048576,0),MATCH(Y$9,'01_FASTPPH'!$8:$8,0))</f>
        <v>#N/A</v>
      </c>
      <c r="AA279" s="32" t="e">
        <f>INDEX('02_PROPERTIES'!$C$10:$I$1048576,MATCH('03_CALCULATIONS'!$D279,'02_PROPERTIES'!$C$10:$C$1048576,0),MATCH('03_CALCULATIONS'!AA$9,'02_PROPERTIES'!$C$10:$I$10,0))</f>
        <v>#N/A</v>
      </c>
      <c r="AB279" s="20" t="e">
        <f>INDEX('02_PROPERTIES'!$C$10:$I$1048576,MATCH('03_CALCULATIONS'!$D279,'02_PROPERTIES'!$C$10:$C$1048576,0),MATCH('03_CALCULATIONS'!AB$9,'02_PROPERTIES'!$C$10:$I$10,0))</f>
        <v>#N/A</v>
      </c>
      <c r="AC279" s="20" t="e">
        <f>INDEX('02_PROPERTIES'!$C$10:$I$1048576,MATCH('03_CALCULATIONS'!$D279,'02_PROPERTIES'!$C$10:$C$1048576,0),MATCH('03_CALCULATIONS'!AC$9,'02_PROPERTIES'!$C$10:$I$10,0))</f>
        <v>#N/A</v>
      </c>
      <c r="AD279" s="20" t="e">
        <f>INDEX('02_PROPERTIES'!$C$10:$I$1048576,MATCH('03_CALCULATIONS'!$D279,'02_PROPERTIES'!$C$10:$C$1048576,0),MATCH('03_CALCULATIONS'!AD$9,'02_PROPERTIES'!$C$10:$I$10,0))</f>
        <v>#N/A</v>
      </c>
      <c r="AE279" s="32" t="e">
        <f>INDEX('02_PROPERTIES'!$C$10:$I$1048576,MATCH('03_CALCULATIONS'!$D279,'02_PROPERTIES'!$C$10:$C$1048576,0),MATCH('03_CALCULATIONS'!AE$9,'02_PROPERTIES'!$C$10:$I$10,0))</f>
        <v>#N/A</v>
      </c>
      <c r="AF279" s="32" t="e">
        <f>INDEX('02_PROPERTIES'!$C$10:$I$1048576,MATCH('03_CALCULATIONS'!$D279,'02_PROPERTIES'!$C$10:$C$1048576,0),MATCH('03_CALCULATIONS'!AF$9,'02_PROPERTIES'!$C$10:$I$10,0))</f>
        <v>#N/A</v>
      </c>
      <c r="AH279" s="20" t="e">
        <f t="shared" si="44"/>
        <v>#N/A</v>
      </c>
      <c r="AI279" s="20" t="e">
        <f t="shared" si="45"/>
        <v>#N/A</v>
      </c>
      <c r="AJ279" s="20" t="e">
        <f t="shared" si="46"/>
        <v>#N/A</v>
      </c>
      <c r="AL279" s="20" t="e">
        <f t="shared" si="47"/>
        <v>#N/A</v>
      </c>
      <c r="AM279" s="20" t="e">
        <f t="shared" si="48"/>
        <v>#N/A</v>
      </c>
      <c r="AN279" s="20" t="e">
        <f t="shared" si="49"/>
        <v>#N/A</v>
      </c>
      <c r="AO279" s="20" t="e">
        <f t="shared" si="50"/>
        <v>#N/A</v>
      </c>
      <c r="AP279" s="20" t="e">
        <f t="shared" si="51"/>
        <v>#N/A</v>
      </c>
      <c r="AR279" s="20" t="e">
        <f t="shared" si="52"/>
        <v>#N/A</v>
      </c>
      <c r="AS279" s="20" t="e">
        <f t="shared" si="53"/>
        <v>#N/A</v>
      </c>
      <c r="AT279" s="20" t="e">
        <f t="shared" si="54"/>
        <v>#N/A</v>
      </c>
    </row>
    <row r="280" spans="1:46" x14ac:dyDescent="0.3">
      <c r="A280" s="18"/>
      <c r="B280" s="20" t="e">
        <f>INDEX('01_FASTPPH'!$9:$1048576,MATCH($A280,'01_FASTPPH'!$A$9:$A$1048576,0),MATCH(B$9,'01_FASTPPH'!$8:$8,0))</f>
        <v>#N/A</v>
      </c>
      <c r="C280" s="20" t="e">
        <f>INDEX('01_FASTPPH'!$9:$1048576,MATCH($A280,'01_FASTPPH'!$A$9:$A$1048576,0),MATCH(C$9,'01_FASTPPH'!$8:$8,0))</f>
        <v>#N/A</v>
      </c>
      <c r="D280" s="20" t="e">
        <f>INDEX('01_FASTPPH'!$9:$1048576,MATCH($A280,'01_FASTPPH'!$A$9:$A$1048576,0),MATCH(D$9,'01_FASTPPH'!$8:$8,0))</f>
        <v>#N/A</v>
      </c>
      <c r="E280" s="20" t="e">
        <f>INDEX('01_FASTPPH'!$9:$1048576,MATCH($A280,'01_FASTPPH'!$A$9:$A$1048576,0),MATCH(E$9,'01_FASTPPH'!$8:$8,0))</f>
        <v>#N/A</v>
      </c>
      <c r="F280" s="20" t="e">
        <f>INDEX('01_FASTPPH'!$9:$1048576,MATCH($A280,'01_FASTPPH'!$A$9:$A$1048576,0),MATCH(F$9,'01_FASTPPH'!$8:$8,0))</f>
        <v>#N/A</v>
      </c>
      <c r="G280" s="20" t="e">
        <f>INDEX('01_FASTPPH'!$9:$1048576,MATCH($A280,'01_FASTPPH'!$A$9:$A$1048576,0),MATCH(G$9,'01_FASTPPH'!$8:$8,0))</f>
        <v>#N/A</v>
      </c>
      <c r="H280" s="20" t="e">
        <f>INDEX('01_FASTPPH'!$9:$1048576,MATCH($A280,'01_FASTPPH'!$A$9:$A$1048576,0),MATCH(H$9,'01_FASTPPH'!$8:$8,0))</f>
        <v>#N/A</v>
      </c>
      <c r="I280" s="20" t="e">
        <f>INDEX('01_FASTPPH'!$9:$1048576,MATCH($A280,'01_FASTPPH'!$A$9:$A$1048576,0),MATCH(I$9,'01_FASTPPH'!$8:$8,0))</f>
        <v>#N/A</v>
      </c>
      <c r="J280" s="20" t="e">
        <f>INDEX('01_FASTPPH'!$9:$1048576,MATCH($A280,'01_FASTPPH'!$A$9:$A$1048576,0),MATCH(J$9,'01_FASTPPH'!$8:$8,0))</f>
        <v>#N/A</v>
      </c>
      <c r="K280" s="23" t="e">
        <f>INDEX('01_FASTPPH'!$9:$1048576,MATCH($A280,'01_FASTPPH'!$A$9:$A$1048576,0),MATCH(K$9,'01_FASTPPH'!$8:$8,0))</f>
        <v>#N/A</v>
      </c>
      <c r="L280" s="20" t="e">
        <f>INDEX('01_FASTPPH'!$9:$1048576,MATCH($A280,'01_FASTPPH'!$A$9:$A$1048576,0),MATCH(L$9,'01_FASTPPH'!$8:$8,0))</f>
        <v>#N/A</v>
      </c>
      <c r="M280" s="20" t="e">
        <f>INDEX('01_FASTPPH'!$9:$1048576,MATCH($A280,'01_FASTPPH'!$A$9:$A$1048576,0),MATCH(M$9,'01_FASTPPH'!$8:$8,0))</f>
        <v>#N/A</v>
      </c>
      <c r="N280" s="24" t="e">
        <f>INDEX('01_FASTPPH'!$9:$1048576,MATCH($A280,'01_FASTPPH'!$A$9:$A$1048576,0),MATCH(N$9,'01_FASTPPH'!$8:$8,0))</f>
        <v>#N/A</v>
      </c>
      <c r="O280" s="23" t="e">
        <f>INDEX('01_FASTPPH'!$9:$1048576,MATCH($A280,'01_FASTPPH'!$A$9:$A$1048576,0),MATCH(O$9,'01_FASTPPH'!$8:$8,0))</f>
        <v>#N/A</v>
      </c>
      <c r="P280" s="20" t="e">
        <f>INDEX('01_FASTPPH'!$9:$1048576,MATCH($A280,'01_FASTPPH'!$A$9:$A$1048576,0),MATCH(P$9,'01_FASTPPH'!$8:$8,0))</f>
        <v>#N/A</v>
      </c>
      <c r="Q280" s="20" t="e">
        <f>INDEX('01_FASTPPH'!$9:$1048576,MATCH($A280,'01_FASTPPH'!$A$9:$A$1048576,0),MATCH(Q$9,'01_FASTPPH'!$8:$8,0))</f>
        <v>#N/A</v>
      </c>
      <c r="R280" s="20" t="e">
        <f>INDEX('01_FASTPPH'!$9:$1048576,MATCH($A280,'01_FASTPPH'!$A$9:$A$1048576,0),MATCH(R$9,'01_FASTPPH'!$8:$8,0))</f>
        <v>#N/A</v>
      </c>
      <c r="S280" s="20" t="e">
        <f>INDEX('01_FASTPPH'!$9:$1048576,MATCH($A280,'01_FASTPPH'!$A$9:$A$1048576,0),MATCH(S$9,'01_FASTPPH'!$8:$8,0))</f>
        <v>#N/A</v>
      </c>
      <c r="T280" s="24" t="e">
        <f>INDEX('01_FASTPPH'!$9:$1048576,MATCH($A280,'01_FASTPPH'!$A$9:$A$1048576,0),MATCH(T$9,'01_FASTPPH'!$8:$8,0))</f>
        <v>#N/A</v>
      </c>
      <c r="U280" s="23" t="e">
        <f>INDEX('01_FASTPPH'!$9:$1048576,MATCH($A280,'01_FASTPPH'!$A$9:$A$1048576,0),MATCH(U$9,'01_FASTPPH'!$8:$8,0))</f>
        <v>#N/A</v>
      </c>
      <c r="V280" s="20" t="e">
        <f>INDEX('01_FASTPPH'!$9:$1048576,MATCH($A280,'01_FASTPPH'!$A$9:$A$1048576,0),MATCH(V$9,'01_FASTPPH'!$8:$8,0))</f>
        <v>#N/A</v>
      </c>
      <c r="W280" s="24" t="e">
        <f>INDEX('01_FASTPPH'!$9:$1048576,MATCH($A280,'01_FASTPPH'!$A$9:$A$1048576,0),MATCH(W$9,'01_FASTPPH'!$8:$8,0))</f>
        <v>#N/A</v>
      </c>
      <c r="X280" s="20" t="e">
        <f>INDEX('01_FASTPPH'!$9:$1048576,MATCH($A280,'01_FASTPPH'!$A$9:$A$1048576,0),MATCH(X$9,'01_FASTPPH'!$8:$8,0))</f>
        <v>#N/A</v>
      </c>
      <c r="Y280" s="20" t="e">
        <f>INDEX('01_FASTPPH'!$9:$1048576,MATCH($A280,'01_FASTPPH'!$A$9:$A$1048576,0),MATCH(Y$9,'01_FASTPPH'!$8:$8,0))</f>
        <v>#N/A</v>
      </c>
      <c r="AA280" s="32" t="e">
        <f>INDEX('02_PROPERTIES'!$C$10:$I$1048576,MATCH('03_CALCULATIONS'!$D280,'02_PROPERTIES'!$C$10:$C$1048576,0),MATCH('03_CALCULATIONS'!AA$9,'02_PROPERTIES'!$C$10:$I$10,0))</f>
        <v>#N/A</v>
      </c>
      <c r="AB280" s="20" t="e">
        <f>INDEX('02_PROPERTIES'!$C$10:$I$1048576,MATCH('03_CALCULATIONS'!$D280,'02_PROPERTIES'!$C$10:$C$1048576,0),MATCH('03_CALCULATIONS'!AB$9,'02_PROPERTIES'!$C$10:$I$10,0))</f>
        <v>#N/A</v>
      </c>
      <c r="AC280" s="20" t="e">
        <f>INDEX('02_PROPERTIES'!$C$10:$I$1048576,MATCH('03_CALCULATIONS'!$D280,'02_PROPERTIES'!$C$10:$C$1048576,0),MATCH('03_CALCULATIONS'!AC$9,'02_PROPERTIES'!$C$10:$I$10,0))</f>
        <v>#N/A</v>
      </c>
      <c r="AD280" s="20" t="e">
        <f>INDEX('02_PROPERTIES'!$C$10:$I$1048576,MATCH('03_CALCULATIONS'!$D280,'02_PROPERTIES'!$C$10:$C$1048576,0),MATCH('03_CALCULATIONS'!AD$9,'02_PROPERTIES'!$C$10:$I$10,0))</f>
        <v>#N/A</v>
      </c>
      <c r="AE280" s="32" t="e">
        <f>INDEX('02_PROPERTIES'!$C$10:$I$1048576,MATCH('03_CALCULATIONS'!$D280,'02_PROPERTIES'!$C$10:$C$1048576,0),MATCH('03_CALCULATIONS'!AE$9,'02_PROPERTIES'!$C$10:$I$10,0))</f>
        <v>#N/A</v>
      </c>
      <c r="AF280" s="32" t="e">
        <f>INDEX('02_PROPERTIES'!$C$10:$I$1048576,MATCH('03_CALCULATIONS'!$D280,'02_PROPERTIES'!$C$10:$C$1048576,0),MATCH('03_CALCULATIONS'!AF$9,'02_PROPERTIES'!$C$10:$I$10,0))</f>
        <v>#N/A</v>
      </c>
      <c r="AH280" s="20" t="e">
        <f t="shared" si="44"/>
        <v>#N/A</v>
      </c>
      <c r="AI280" s="20" t="e">
        <f t="shared" si="45"/>
        <v>#N/A</v>
      </c>
      <c r="AJ280" s="20" t="e">
        <f t="shared" si="46"/>
        <v>#N/A</v>
      </c>
      <c r="AL280" s="20" t="e">
        <f t="shared" si="47"/>
        <v>#N/A</v>
      </c>
      <c r="AM280" s="20" t="e">
        <f t="shared" si="48"/>
        <v>#N/A</v>
      </c>
      <c r="AN280" s="20" t="e">
        <f t="shared" si="49"/>
        <v>#N/A</v>
      </c>
      <c r="AO280" s="20" t="e">
        <f t="shared" si="50"/>
        <v>#N/A</v>
      </c>
      <c r="AP280" s="20" t="e">
        <f t="shared" si="51"/>
        <v>#N/A</v>
      </c>
      <c r="AR280" s="20" t="e">
        <f t="shared" si="52"/>
        <v>#N/A</v>
      </c>
      <c r="AS280" s="20" t="e">
        <f t="shared" si="53"/>
        <v>#N/A</v>
      </c>
      <c r="AT280" s="20" t="e">
        <f t="shared" si="54"/>
        <v>#N/A</v>
      </c>
    </row>
    <row r="281" spans="1:46" x14ac:dyDescent="0.3">
      <c r="A281" s="18"/>
      <c r="B281" s="20" t="e">
        <f>INDEX('01_FASTPPH'!$9:$1048576,MATCH($A281,'01_FASTPPH'!$A$9:$A$1048576,0),MATCH(B$9,'01_FASTPPH'!$8:$8,0))</f>
        <v>#N/A</v>
      </c>
      <c r="C281" s="20" t="e">
        <f>INDEX('01_FASTPPH'!$9:$1048576,MATCH($A281,'01_FASTPPH'!$A$9:$A$1048576,0),MATCH(C$9,'01_FASTPPH'!$8:$8,0))</f>
        <v>#N/A</v>
      </c>
      <c r="D281" s="20" t="e">
        <f>INDEX('01_FASTPPH'!$9:$1048576,MATCH($A281,'01_FASTPPH'!$A$9:$A$1048576,0),MATCH(D$9,'01_FASTPPH'!$8:$8,0))</f>
        <v>#N/A</v>
      </c>
      <c r="E281" s="20" t="e">
        <f>INDEX('01_FASTPPH'!$9:$1048576,MATCH($A281,'01_FASTPPH'!$A$9:$A$1048576,0),MATCH(E$9,'01_FASTPPH'!$8:$8,0))</f>
        <v>#N/A</v>
      </c>
      <c r="F281" s="20" t="e">
        <f>INDEX('01_FASTPPH'!$9:$1048576,MATCH($A281,'01_FASTPPH'!$A$9:$A$1048576,0),MATCH(F$9,'01_FASTPPH'!$8:$8,0))</f>
        <v>#N/A</v>
      </c>
      <c r="G281" s="20" t="e">
        <f>INDEX('01_FASTPPH'!$9:$1048576,MATCH($A281,'01_FASTPPH'!$A$9:$A$1048576,0),MATCH(G$9,'01_FASTPPH'!$8:$8,0))</f>
        <v>#N/A</v>
      </c>
      <c r="H281" s="20" t="e">
        <f>INDEX('01_FASTPPH'!$9:$1048576,MATCH($A281,'01_FASTPPH'!$A$9:$A$1048576,0),MATCH(H$9,'01_FASTPPH'!$8:$8,0))</f>
        <v>#N/A</v>
      </c>
      <c r="I281" s="20" t="e">
        <f>INDEX('01_FASTPPH'!$9:$1048576,MATCH($A281,'01_FASTPPH'!$A$9:$A$1048576,0),MATCH(I$9,'01_FASTPPH'!$8:$8,0))</f>
        <v>#N/A</v>
      </c>
      <c r="J281" s="20" t="e">
        <f>INDEX('01_FASTPPH'!$9:$1048576,MATCH($A281,'01_FASTPPH'!$A$9:$A$1048576,0),MATCH(J$9,'01_FASTPPH'!$8:$8,0))</f>
        <v>#N/A</v>
      </c>
      <c r="K281" s="23" t="e">
        <f>INDEX('01_FASTPPH'!$9:$1048576,MATCH($A281,'01_FASTPPH'!$A$9:$A$1048576,0),MATCH(K$9,'01_FASTPPH'!$8:$8,0))</f>
        <v>#N/A</v>
      </c>
      <c r="L281" s="20" t="e">
        <f>INDEX('01_FASTPPH'!$9:$1048576,MATCH($A281,'01_FASTPPH'!$A$9:$A$1048576,0),MATCH(L$9,'01_FASTPPH'!$8:$8,0))</f>
        <v>#N/A</v>
      </c>
      <c r="M281" s="20" t="e">
        <f>INDEX('01_FASTPPH'!$9:$1048576,MATCH($A281,'01_FASTPPH'!$A$9:$A$1048576,0),MATCH(M$9,'01_FASTPPH'!$8:$8,0))</f>
        <v>#N/A</v>
      </c>
      <c r="N281" s="24" t="e">
        <f>INDEX('01_FASTPPH'!$9:$1048576,MATCH($A281,'01_FASTPPH'!$A$9:$A$1048576,0),MATCH(N$9,'01_FASTPPH'!$8:$8,0))</f>
        <v>#N/A</v>
      </c>
      <c r="O281" s="23" t="e">
        <f>INDEX('01_FASTPPH'!$9:$1048576,MATCH($A281,'01_FASTPPH'!$A$9:$A$1048576,0),MATCH(O$9,'01_FASTPPH'!$8:$8,0))</f>
        <v>#N/A</v>
      </c>
      <c r="P281" s="20" t="e">
        <f>INDEX('01_FASTPPH'!$9:$1048576,MATCH($A281,'01_FASTPPH'!$A$9:$A$1048576,0),MATCH(P$9,'01_FASTPPH'!$8:$8,0))</f>
        <v>#N/A</v>
      </c>
      <c r="Q281" s="20" t="e">
        <f>INDEX('01_FASTPPH'!$9:$1048576,MATCH($A281,'01_FASTPPH'!$A$9:$A$1048576,0),MATCH(Q$9,'01_FASTPPH'!$8:$8,0))</f>
        <v>#N/A</v>
      </c>
      <c r="R281" s="20" t="e">
        <f>INDEX('01_FASTPPH'!$9:$1048576,MATCH($A281,'01_FASTPPH'!$A$9:$A$1048576,0),MATCH(R$9,'01_FASTPPH'!$8:$8,0))</f>
        <v>#N/A</v>
      </c>
      <c r="S281" s="20" t="e">
        <f>INDEX('01_FASTPPH'!$9:$1048576,MATCH($A281,'01_FASTPPH'!$A$9:$A$1048576,0),MATCH(S$9,'01_FASTPPH'!$8:$8,0))</f>
        <v>#N/A</v>
      </c>
      <c r="T281" s="24" t="e">
        <f>INDEX('01_FASTPPH'!$9:$1048576,MATCH($A281,'01_FASTPPH'!$A$9:$A$1048576,0),MATCH(T$9,'01_FASTPPH'!$8:$8,0))</f>
        <v>#N/A</v>
      </c>
      <c r="U281" s="23" t="e">
        <f>INDEX('01_FASTPPH'!$9:$1048576,MATCH($A281,'01_FASTPPH'!$A$9:$A$1048576,0),MATCH(U$9,'01_FASTPPH'!$8:$8,0))</f>
        <v>#N/A</v>
      </c>
      <c r="V281" s="20" t="e">
        <f>INDEX('01_FASTPPH'!$9:$1048576,MATCH($A281,'01_FASTPPH'!$A$9:$A$1048576,0),MATCH(V$9,'01_FASTPPH'!$8:$8,0))</f>
        <v>#N/A</v>
      </c>
      <c r="W281" s="24" t="e">
        <f>INDEX('01_FASTPPH'!$9:$1048576,MATCH($A281,'01_FASTPPH'!$A$9:$A$1048576,0),MATCH(W$9,'01_FASTPPH'!$8:$8,0))</f>
        <v>#N/A</v>
      </c>
      <c r="X281" s="20" t="e">
        <f>INDEX('01_FASTPPH'!$9:$1048576,MATCH($A281,'01_FASTPPH'!$A$9:$A$1048576,0),MATCH(X$9,'01_FASTPPH'!$8:$8,0))</f>
        <v>#N/A</v>
      </c>
      <c r="Y281" s="20" t="e">
        <f>INDEX('01_FASTPPH'!$9:$1048576,MATCH($A281,'01_FASTPPH'!$A$9:$A$1048576,0),MATCH(Y$9,'01_FASTPPH'!$8:$8,0))</f>
        <v>#N/A</v>
      </c>
      <c r="AA281" s="32" t="e">
        <f>INDEX('02_PROPERTIES'!$C$10:$I$1048576,MATCH('03_CALCULATIONS'!$D281,'02_PROPERTIES'!$C$10:$C$1048576,0),MATCH('03_CALCULATIONS'!AA$9,'02_PROPERTIES'!$C$10:$I$10,0))</f>
        <v>#N/A</v>
      </c>
      <c r="AB281" s="20" t="e">
        <f>INDEX('02_PROPERTIES'!$C$10:$I$1048576,MATCH('03_CALCULATIONS'!$D281,'02_PROPERTIES'!$C$10:$C$1048576,0),MATCH('03_CALCULATIONS'!AB$9,'02_PROPERTIES'!$C$10:$I$10,0))</f>
        <v>#N/A</v>
      </c>
      <c r="AC281" s="20" t="e">
        <f>INDEX('02_PROPERTIES'!$C$10:$I$1048576,MATCH('03_CALCULATIONS'!$D281,'02_PROPERTIES'!$C$10:$C$1048576,0),MATCH('03_CALCULATIONS'!AC$9,'02_PROPERTIES'!$C$10:$I$10,0))</f>
        <v>#N/A</v>
      </c>
      <c r="AD281" s="20" t="e">
        <f>INDEX('02_PROPERTIES'!$C$10:$I$1048576,MATCH('03_CALCULATIONS'!$D281,'02_PROPERTIES'!$C$10:$C$1048576,0),MATCH('03_CALCULATIONS'!AD$9,'02_PROPERTIES'!$C$10:$I$10,0))</f>
        <v>#N/A</v>
      </c>
      <c r="AE281" s="32" t="e">
        <f>INDEX('02_PROPERTIES'!$C$10:$I$1048576,MATCH('03_CALCULATIONS'!$D281,'02_PROPERTIES'!$C$10:$C$1048576,0),MATCH('03_CALCULATIONS'!AE$9,'02_PROPERTIES'!$C$10:$I$10,0))</f>
        <v>#N/A</v>
      </c>
      <c r="AF281" s="32" t="e">
        <f>INDEX('02_PROPERTIES'!$C$10:$I$1048576,MATCH('03_CALCULATIONS'!$D281,'02_PROPERTIES'!$C$10:$C$1048576,0),MATCH('03_CALCULATIONS'!AF$9,'02_PROPERTIES'!$C$10:$I$10,0))</f>
        <v>#N/A</v>
      </c>
      <c r="AH281" s="20" t="e">
        <f t="shared" si="44"/>
        <v>#N/A</v>
      </c>
      <c r="AI281" s="20" t="e">
        <f t="shared" si="45"/>
        <v>#N/A</v>
      </c>
      <c r="AJ281" s="20" t="e">
        <f t="shared" si="46"/>
        <v>#N/A</v>
      </c>
      <c r="AL281" s="20" t="e">
        <f t="shared" si="47"/>
        <v>#N/A</v>
      </c>
      <c r="AM281" s="20" t="e">
        <f t="shared" si="48"/>
        <v>#N/A</v>
      </c>
      <c r="AN281" s="20" t="e">
        <f t="shared" si="49"/>
        <v>#N/A</v>
      </c>
      <c r="AO281" s="20" t="e">
        <f t="shared" si="50"/>
        <v>#N/A</v>
      </c>
      <c r="AP281" s="20" t="e">
        <f t="shared" si="51"/>
        <v>#N/A</v>
      </c>
      <c r="AR281" s="20" t="e">
        <f t="shared" si="52"/>
        <v>#N/A</v>
      </c>
      <c r="AS281" s="20" t="e">
        <f t="shared" si="53"/>
        <v>#N/A</v>
      </c>
      <c r="AT281" s="20" t="e">
        <f t="shared" si="54"/>
        <v>#N/A</v>
      </c>
    </row>
    <row r="282" spans="1:46" x14ac:dyDescent="0.3">
      <c r="A282" s="18"/>
      <c r="B282" s="20" t="e">
        <f>INDEX('01_FASTPPH'!$9:$1048576,MATCH($A282,'01_FASTPPH'!$A$9:$A$1048576,0),MATCH(B$9,'01_FASTPPH'!$8:$8,0))</f>
        <v>#N/A</v>
      </c>
      <c r="C282" s="20" t="e">
        <f>INDEX('01_FASTPPH'!$9:$1048576,MATCH($A282,'01_FASTPPH'!$A$9:$A$1048576,0),MATCH(C$9,'01_FASTPPH'!$8:$8,0))</f>
        <v>#N/A</v>
      </c>
      <c r="D282" s="20" t="e">
        <f>INDEX('01_FASTPPH'!$9:$1048576,MATCH($A282,'01_FASTPPH'!$A$9:$A$1048576,0),MATCH(D$9,'01_FASTPPH'!$8:$8,0))</f>
        <v>#N/A</v>
      </c>
      <c r="E282" s="20" t="e">
        <f>INDEX('01_FASTPPH'!$9:$1048576,MATCH($A282,'01_FASTPPH'!$A$9:$A$1048576,0),MATCH(E$9,'01_FASTPPH'!$8:$8,0))</f>
        <v>#N/A</v>
      </c>
      <c r="F282" s="20" t="e">
        <f>INDEX('01_FASTPPH'!$9:$1048576,MATCH($A282,'01_FASTPPH'!$A$9:$A$1048576,0),MATCH(F$9,'01_FASTPPH'!$8:$8,0))</f>
        <v>#N/A</v>
      </c>
      <c r="G282" s="20" t="e">
        <f>INDEX('01_FASTPPH'!$9:$1048576,MATCH($A282,'01_FASTPPH'!$A$9:$A$1048576,0),MATCH(G$9,'01_FASTPPH'!$8:$8,0))</f>
        <v>#N/A</v>
      </c>
      <c r="H282" s="20" t="e">
        <f>INDEX('01_FASTPPH'!$9:$1048576,MATCH($A282,'01_FASTPPH'!$A$9:$A$1048576,0),MATCH(H$9,'01_FASTPPH'!$8:$8,0))</f>
        <v>#N/A</v>
      </c>
      <c r="I282" s="20" t="e">
        <f>INDEX('01_FASTPPH'!$9:$1048576,MATCH($A282,'01_FASTPPH'!$A$9:$A$1048576,0),MATCH(I$9,'01_FASTPPH'!$8:$8,0))</f>
        <v>#N/A</v>
      </c>
      <c r="J282" s="20" t="e">
        <f>INDEX('01_FASTPPH'!$9:$1048576,MATCH($A282,'01_FASTPPH'!$A$9:$A$1048576,0),MATCH(J$9,'01_FASTPPH'!$8:$8,0))</f>
        <v>#N/A</v>
      </c>
      <c r="K282" s="23" t="e">
        <f>INDEX('01_FASTPPH'!$9:$1048576,MATCH($A282,'01_FASTPPH'!$A$9:$A$1048576,0),MATCH(K$9,'01_FASTPPH'!$8:$8,0))</f>
        <v>#N/A</v>
      </c>
      <c r="L282" s="20" t="e">
        <f>INDEX('01_FASTPPH'!$9:$1048576,MATCH($A282,'01_FASTPPH'!$A$9:$A$1048576,0),MATCH(L$9,'01_FASTPPH'!$8:$8,0))</f>
        <v>#N/A</v>
      </c>
      <c r="M282" s="20" t="e">
        <f>INDEX('01_FASTPPH'!$9:$1048576,MATCH($A282,'01_FASTPPH'!$A$9:$A$1048576,0),MATCH(M$9,'01_FASTPPH'!$8:$8,0))</f>
        <v>#N/A</v>
      </c>
      <c r="N282" s="24" t="e">
        <f>INDEX('01_FASTPPH'!$9:$1048576,MATCH($A282,'01_FASTPPH'!$A$9:$A$1048576,0),MATCH(N$9,'01_FASTPPH'!$8:$8,0))</f>
        <v>#N/A</v>
      </c>
      <c r="O282" s="23" t="e">
        <f>INDEX('01_FASTPPH'!$9:$1048576,MATCH($A282,'01_FASTPPH'!$A$9:$A$1048576,0),MATCH(O$9,'01_FASTPPH'!$8:$8,0))</f>
        <v>#N/A</v>
      </c>
      <c r="P282" s="20" t="e">
        <f>INDEX('01_FASTPPH'!$9:$1048576,MATCH($A282,'01_FASTPPH'!$A$9:$A$1048576,0),MATCH(P$9,'01_FASTPPH'!$8:$8,0))</f>
        <v>#N/A</v>
      </c>
      <c r="Q282" s="20" t="e">
        <f>INDEX('01_FASTPPH'!$9:$1048576,MATCH($A282,'01_FASTPPH'!$A$9:$A$1048576,0),MATCH(Q$9,'01_FASTPPH'!$8:$8,0))</f>
        <v>#N/A</v>
      </c>
      <c r="R282" s="20" t="e">
        <f>INDEX('01_FASTPPH'!$9:$1048576,MATCH($A282,'01_FASTPPH'!$A$9:$A$1048576,0),MATCH(R$9,'01_FASTPPH'!$8:$8,0))</f>
        <v>#N/A</v>
      </c>
      <c r="S282" s="20" t="e">
        <f>INDEX('01_FASTPPH'!$9:$1048576,MATCH($A282,'01_FASTPPH'!$A$9:$A$1048576,0),MATCH(S$9,'01_FASTPPH'!$8:$8,0))</f>
        <v>#N/A</v>
      </c>
      <c r="T282" s="24" t="e">
        <f>INDEX('01_FASTPPH'!$9:$1048576,MATCH($A282,'01_FASTPPH'!$A$9:$A$1048576,0),MATCH(T$9,'01_FASTPPH'!$8:$8,0))</f>
        <v>#N/A</v>
      </c>
      <c r="U282" s="23" t="e">
        <f>INDEX('01_FASTPPH'!$9:$1048576,MATCH($A282,'01_FASTPPH'!$A$9:$A$1048576,0),MATCH(U$9,'01_FASTPPH'!$8:$8,0))</f>
        <v>#N/A</v>
      </c>
      <c r="V282" s="20" t="e">
        <f>INDEX('01_FASTPPH'!$9:$1048576,MATCH($A282,'01_FASTPPH'!$A$9:$A$1048576,0),MATCH(V$9,'01_FASTPPH'!$8:$8,0))</f>
        <v>#N/A</v>
      </c>
      <c r="W282" s="24" t="e">
        <f>INDEX('01_FASTPPH'!$9:$1048576,MATCH($A282,'01_FASTPPH'!$A$9:$A$1048576,0),MATCH(W$9,'01_FASTPPH'!$8:$8,0))</f>
        <v>#N/A</v>
      </c>
      <c r="X282" s="20" t="e">
        <f>INDEX('01_FASTPPH'!$9:$1048576,MATCH($A282,'01_FASTPPH'!$A$9:$A$1048576,0),MATCH(X$9,'01_FASTPPH'!$8:$8,0))</f>
        <v>#N/A</v>
      </c>
      <c r="Y282" s="20" t="e">
        <f>INDEX('01_FASTPPH'!$9:$1048576,MATCH($A282,'01_FASTPPH'!$A$9:$A$1048576,0),MATCH(Y$9,'01_FASTPPH'!$8:$8,0))</f>
        <v>#N/A</v>
      </c>
      <c r="AA282" s="32" t="e">
        <f>INDEX('02_PROPERTIES'!$C$10:$I$1048576,MATCH('03_CALCULATIONS'!$D282,'02_PROPERTIES'!$C$10:$C$1048576,0),MATCH('03_CALCULATIONS'!AA$9,'02_PROPERTIES'!$C$10:$I$10,0))</f>
        <v>#N/A</v>
      </c>
      <c r="AB282" s="20" t="e">
        <f>INDEX('02_PROPERTIES'!$C$10:$I$1048576,MATCH('03_CALCULATIONS'!$D282,'02_PROPERTIES'!$C$10:$C$1048576,0),MATCH('03_CALCULATIONS'!AB$9,'02_PROPERTIES'!$C$10:$I$10,0))</f>
        <v>#N/A</v>
      </c>
      <c r="AC282" s="20" t="e">
        <f>INDEX('02_PROPERTIES'!$C$10:$I$1048576,MATCH('03_CALCULATIONS'!$D282,'02_PROPERTIES'!$C$10:$C$1048576,0),MATCH('03_CALCULATIONS'!AC$9,'02_PROPERTIES'!$C$10:$I$10,0))</f>
        <v>#N/A</v>
      </c>
      <c r="AD282" s="20" t="e">
        <f>INDEX('02_PROPERTIES'!$C$10:$I$1048576,MATCH('03_CALCULATIONS'!$D282,'02_PROPERTIES'!$C$10:$C$1048576,0),MATCH('03_CALCULATIONS'!AD$9,'02_PROPERTIES'!$C$10:$I$10,0))</f>
        <v>#N/A</v>
      </c>
      <c r="AE282" s="32" t="e">
        <f>INDEX('02_PROPERTIES'!$C$10:$I$1048576,MATCH('03_CALCULATIONS'!$D282,'02_PROPERTIES'!$C$10:$C$1048576,0),MATCH('03_CALCULATIONS'!AE$9,'02_PROPERTIES'!$C$10:$I$10,0))</f>
        <v>#N/A</v>
      </c>
      <c r="AF282" s="32" t="e">
        <f>INDEX('02_PROPERTIES'!$C$10:$I$1048576,MATCH('03_CALCULATIONS'!$D282,'02_PROPERTIES'!$C$10:$C$1048576,0),MATCH('03_CALCULATIONS'!AF$9,'02_PROPERTIES'!$C$10:$I$10,0))</f>
        <v>#N/A</v>
      </c>
      <c r="AH282" s="20" t="e">
        <f t="shared" si="44"/>
        <v>#N/A</v>
      </c>
      <c r="AI282" s="20" t="e">
        <f t="shared" si="45"/>
        <v>#N/A</v>
      </c>
      <c r="AJ282" s="20" t="e">
        <f t="shared" si="46"/>
        <v>#N/A</v>
      </c>
      <c r="AL282" s="20" t="e">
        <f t="shared" si="47"/>
        <v>#N/A</v>
      </c>
      <c r="AM282" s="20" t="e">
        <f t="shared" si="48"/>
        <v>#N/A</v>
      </c>
      <c r="AN282" s="20" t="e">
        <f t="shared" si="49"/>
        <v>#N/A</v>
      </c>
      <c r="AO282" s="20" t="e">
        <f t="shared" si="50"/>
        <v>#N/A</v>
      </c>
      <c r="AP282" s="20" t="e">
        <f t="shared" si="51"/>
        <v>#N/A</v>
      </c>
      <c r="AR282" s="20" t="e">
        <f t="shared" si="52"/>
        <v>#N/A</v>
      </c>
      <c r="AS282" s="20" t="e">
        <f t="shared" si="53"/>
        <v>#N/A</v>
      </c>
      <c r="AT282" s="20" t="e">
        <f t="shared" si="54"/>
        <v>#N/A</v>
      </c>
    </row>
    <row r="283" spans="1:46" x14ac:dyDescent="0.3">
      <c r="A283" s="18"/>
      <c r="B283" s="20" t="e">
        <f>INDEX('01_FASTPPH'!$9:$1048576,MATCH($A283,'01_FASTPPH'!$A$9:$A$1048576,0),MATCH(B$9,'01_FASTPPH'!$8:$8,0))</f>
        <v>#N/A</v>
      </c>
      <c r="C283" s="20" t="e">
        <f>INDEX('01_FASTPPH'!$9:$1048576,MATCH($A283,'01_FASTPPH'!$A$9:$A$1048576,0),MATCH(C$9,'01_FASTPPH'!$8:$8,0))</f>
        <v>#N/A</v>
      </c>
      <c r="D283" s="20" t="e">
        <f>INDEX('01_FASTPPH'!$9:$1048576,MATCH($A283,'01_FASTPPH'!$A$9:$A$1048576,0),MATCH(D$9,'01_FASTPPH'!$8:$8,0))</f>
        <v>#N/A</v>
      </c>
      <c r="E283" s="20" t="e">
        <f>INDEX('01_FASTPPH'!$9:$1048576,MATCH($A283,'01_FASTPPH'!$A$9:$A$1048576,0),MATCH(E$9,'01_FASTPPH'!$8:$8,0))</f>
        <v>#N/A</v>
      </c>
      <c r="F283" s="20" t="e">
        <f>INDEX('01_FASTPPH'!$9:$1048576,MATCH($A283,'01_FASTPPH'!$A$9:$A$1048576,0),MATCH(F$9,'01_FASTPPH'!$8:$8,0))</f>
        <v>#N/A</v>
      </c>
      <c r="G283" s="20" t="e">
        <f>INDEX('01_FASTPPH'!$9:$1048576,MATCH($A283,'01_FASTPPH'!$A$9:$A$1048576,0),MATCH(G$9,'01_FASTPPH'!$8:$8,0))</f>
        <v>#N/A</v>
      </c>
      <c r="H283" s="20" t="e">
        <f>INDEX('01_FASTPPH'!$9:$1048576,MATCH($A283,'01_FASTPPH'!$A$9:$A$1048576,0),MATCH(H$9,'01_FASTPPH'!$8:$8,0))</f>
        <v>#N/A</v>
      </c>
      <c r="I283" s="20" t="e">
        <f>INDEX('01_FASTPPH'!$9:$1048576,MATCH($A283,'01_FASTPPH'!$A$9:$A$1048576,0),MATCH(I$9,'01_FASTPPH'!$8:$8,0))</f>
        <v>#N/A</v>
      </c>
      <c r="J283" s="20" t="e">
        <f>INDEX('01_FASTPPH'!$9:$1048576,MATCH($A283,'01_FASTPPH'!$A$9:$A$1048576,0),MATCH(J$9,'01_FASTPPH'!$8:$8,0))</f>
        <v>#N/A</v>
      </c>
      <c r="K283" s="23" t="e">
        <f>INDEX('01_FASTPPH'!$9:$1048576,MATCH($A283,'01_FASTPPH'!$A$9:$A$1048576,0),MATCH(K$9,'01_FASTPPH'!$8:$8,0))</f>
        <v>#N/A</v>
      </c>
      <c r="L283" s="20" t="e">
        <f>INDEX('01_FASTPPH'!$9:$1048576,MATCH($A283,'01_FASTPPH'!$A$9:$A$1048576,0),MATCH(L$9,'01_FASTPPH'!$8:$8,0))</f>
        <v>#N/A</v>
      </c>
      <c r="M283" s="20" t="e">
        <f>INDEX('01_FASTPPH'!$9:$1048576,MATCH($A283,'01_FASTPPH'!$A$9:$A$1048576,0),MATCH(M$9,'01_FASTPPH'!$8:$8,0))</f>
        <v>#N/A</v>
      </c>
      <c r="N283" s="24" t="e">
        <f>INDEX('01_FASTPPH'!$9:$1048576,MATCH($A283,'01_FASTPPH'!$A$9:$A$1048576,0),MATCH(N$9,'01_FASTPPH'!$8:$8,0))</f>
        <v>#N/A</v>
      </c>
      <c r="O283" s="23" t="e">
        <f>INDEX('01_FASTPPH'!$9:$1048576,MATCH($A283,'01_FASTPPH'!$A$9:$A$1048576,0),MATCH(O$9,'01_FASTPPH'!$8:$8,0))</f>
        <v>#N/A</v>
      </c>
      <c r="P283" s="20" t="e">
        <f>INDEX('01_FASTPPH'!$9:$1048576,MATCH($A283,'01_FASTPPH'!$A$9:$A$1048576,0),MATCH(P$9,'01_FASTPPH'!$8:$8,0))</f>
        <v>#N/A</v>
      </c>
      <c r="Q283" s="20" t="e">
        <f>INDEX('01_FASTPPH'!$9:$1048576,MATCH($A283,'01_FASTPPH'!$A$9:$A$1048576,0),MATCH(Q$9,'01_FASTPPH'!$8:$8,0))</f>
        <v>#N/A</v>
      </c>
      <c r="R283" s="20" t="e">
        <f>INDEX('01_FASTPPH'!$9:$1048576,MATCH($A283,'01_FASTPPH'!$A$9:$A$1048576,0),MATCH(R$9,'01_FASTPPH'!$8:$8,0))</f>
        <v>#N/A</v>
      </c>
      <c r="S283" s="20" t="e">
        <f>INDEX('01_FASTPPH'!$9:$1048576,MATCH($A283,'01_FASTPPH'!$A$9:$A$1048576,0),MATCH(S$9,'01_FASTPPH'!$8:$8,0))</f>
        <v>#N/A</v>
      </c>
      <c r="T283" s="24" t="e">
        <f>INDEX('01_FASTPPH'!$9:$1048576,MATCH($A283,'01_FASTPPH'!$A$9:$A$1048576,0),MATCH(T$9,'01_FASTPPH'!$8:$8,0))</f>
        <v>#N/A</v>
      </c>
      <c r="U283" s="23" t="e">
        <f>INDEX('01_FASTPPH'!$9:$1048576,MATCH($A283,'01_FASTPPH'!$A$9:$A$1048576,0),MATCH(U$9,'01_FASTPPH'!$8:$8,0))</f>
        <v>#N/A</v>
      </c>
      <c r="V283" s="20" t="e">
        <f>INDEX('01_FASTPPH'!$9:$1048576,MATCH($A283,'01_FASTPPH'!$A$9:$A$1048576,0),MATCH(V$9,'01_FASTPPH'!$8:$8,0))</f>
        <v>#N/A</v>
      </c>
      <c r="W283" s="24" t="e">
        <f>INDEX('01_FASTPPH'!$9:$1048576,MATCH($A283,'01_FASTPPH'!$A$9:$A$1048576,0),MATCH(W$9,'01_FASTPPH'!$8:$8,0))</f>
        <v>#N/A</v>
      </c>
      <c r="X283" s="20" t="e">
        <f>INDEX('01_FASTPPH'!$9:$1048576,MATCH($A283,'01_FASTPPH'!$A$9:$A$1048576,0),MATCH(X$9,'01_FASTPPH'!$8:$8,0))</f>
        <v>#N/A</v>
      </c>
      <c r="Y283" s="20" t="e">
        <f>INDEX('01_FASTPPH'!$9:$1048576,MATCH($A283,'01_FASTPPH'!$A$9:$A$1048576,0),MATCH(Y$9,'01_FASTPPH'!$8:$8,0))</f>
        <v>#N/A</v>
      </c>
      <c r="AA283" s="32" t="e">
        <f>INDEX('02_PROPERTIES'!$C$10:$I$1048576,MATCH('03_CALCULATIONS'!$D283,'02_PROPERTIES'!$C$10:$C$1048576,0),MATCH('03_CALCULATIONS'!AA$9,'02_PROPERTIES'!$C$10:$I$10,0))</f>
        <v>#N/A</v>
      </c>
      <c r="AB283" s="20" t="e">
        <f>INDEX('02_PROPERTIES'!$C$10:$I$1048576,MATCH('03_CALCULATIONS'!$D283,'02_PROPERTIES'!$C$10:$C$1048576,0),MATCH('03_CALCULATIONS'!AB$9,'02_PROPERTIES'!$C$10:$I$10,0))</f>
        <v>#N/A</v>
      </c>
      <c r="AC283" s="20" t="e">
        <f>INDEX('02_PROPERTIES'!$C$10:$I$1048576,MATCH('03_CALCULATIONS'!$D283,'02_PROPERTIES'!$C$10:$C$1048576,0),MATCH('03_CALCULATIONS'!AC$9,'02_PROPERTIES'!$C$10:$I$10,0))</f>
        <v>#N/A</v>
      </c>
      <c r="AD283" s="20" t="e">
        <f>INDEX('02_PROPERTIES'!$C$10:$I$1048576,MATCH('03_CALCULATIONS'!$D283,'02_PROPERTIES'!$C$10:$C$1048576,0),MATCH('03_CALCULATIONS'!AD$9,'02_PROPERTIES'!$C$10:$I$10,0))</f>
        <v>#N/A</v>
      </c>
      <c r="AE283" s="32" t="e">
        <f>INDEX('02_PROPERTIES'!$C$10:$I$1048576,MATCH('03_CALCULATIONS'!$D283,'02_PROPERTIES'!$C$10:$C$1048576,0),MATCH('03_CALCULATIONS'!AE$9,'02_PROPERTIES'!$C$10:$I$10,0))</f>
        <v>#N/A</v>
      </c>
      <c r="AF283" s="32" t="e">
        <f>INDEX('02_PROPERTIES'!$C$10:$I$1048576,MATCH('03_CALCULATIONS'!$D283,'02_PROPERTIES'!$C$10:$C$1048576,0),MATCH('03_CALCULATIONS'!AF$9,'02_PROPERTIES'!$C$10:$I$10,0))</f>
        <v>#N/A</v>
      </c>
      <c r="AH283" s="20" t="e">
        <f t="shared" si="44"/>
        <v>#N/A</v>
      </c>
      <c r="AI283" s="20" t="e">
        <f t="shared" si="45"/>
        <v>#N/A</v>
      </c>
      <c r="AJ283" s="20" t="e">
        <f t="shared" si="46"/>
        <v>#N/A</v>
      </c>
      <c r="AL283" s="20" t="e">
        <f t="shared" si="47"/>
        <v>#N/A</v>
      </c>
      <c r="AM283" s="20" t="e">
        <f t="shared" si="48"/>
        <v>#N/A</v>
      </c>
      <c r="AN283" s="20" t="e">
        <f t="shared" si="49"/>
        <v>#N/A</v>
      </c>
      <c r="AO283" s="20" t="e">
        <f t="shared" si="50"/>
        <v>#N/A</v>
      </c>
      <c r="AP283" s="20" t="e">
        <f t="shared" si="51"/>
        <v>#N/A</v>
      </c>
      <c r="AR283" s="20" t="e">
        <f t="shared" si="52"/>
        <v>#N/A</v>
      </c>
      <c r="AS283" s="20" t="e">
        <f t="shared" si="53"/>
        <v>#N/A</v>
      </c>
      <c r="AT283" s="20" t="e">
        <f t="shared" si="54"/>
        <v>#N/A</v>
      </c>
    </row>
    <row r="284" spans="1:46" x14ac:dyDescent="0.3">
      <c r="A284" s="18"/>
      <c r="B284" s="20" t="e">
        <f>INDEX('01_FASTPPH'!$9:$1048576,MATCH($A284,'01_FASTPPH'!$A$9:$A$1048576,0),MATCH(B$9,'01_FASTPPH'!$8:$8,0))</f>
        <v>#N/A</v>
      </c>
      <c r="C284" s="20" t="e">
        <f>INDEX('01_FASTPPH'!$9:$1048576,MATCH($A284,'01_FASTPPH'!$A$9:$A$1048576,0),MATCH(C$9,'01_FASTPPH'!$8:$8,0))</f>
        <v>#N/A</v>
      </c>
      <c r="D284" s="20" t="e">
        <f>INDEX('01_FASTPPH'!$9:$1048576,MATCH($A284,'01_FASTPPH'!$A$9:$A$1048576,0),MATCH(D$9,'01_FASTPPH'!$8:$8,0))</f>
        <v>#N/A</v>
      </c>
      <c r="E284" s="20" t="e">
        <f>INDEX('01_FASTPPH'!$9:$1048576,MATCH($A284,'01_FASTPPH'!$A$9:$A$1048576,0),MATCH(E$9,'01_FASTPPH'!$8:$8,0))</f>
        <v>#N/A</v>
      </c>
      <c r="F284" s="20" t="e">
        <f>INDEX('01_FASTPPH'!$9:$1048576,MATCH($A284,'01_FASTPPH'!$A$9:$A$1048576,0),MATCH(F$9,'01_FASTPPH'!$8:$8,0))</f>
        <v>#N/A</v>
      </c>
      <c r="G284" s="20" t="e">
        <f>INDEX('01_FASTPPH'!$9:$1048576,MATCH($A284,'01_FASTPPH'!$A$9:$A$1048576,0),MATCH(G$9,'01_FASTPPH'!$8:$8,0))</f>
        <v>#N/A</v>
      </c>
      <c r="H284" s="20" t="e">
        <f>INDEX('01_FASTPPH'!$9:$1048576,MATCH($A284,'01_FASTPPH'!$A$9:$A$1048576,0),MATCH(H$9,'01_FASTPPH'!$8:$8,0))</f>
        <v>#N/A</v>
      </c>
      <c r="I284" s="20" t="e">
        <f>INDEX('01_FASTPPH'!$9:$1048576,MATCH($A284,'01_FASTPPH'!$A$9:$A$1048576,0),MATCH(I$9,'01_FASTPPH'!$8:$8,0))</f>
        <v>#N/A</v>
      </c>
      <c r="J284" s="20" t="e">
        <f>INDEX('01_FASTPPH'!$9:$1048576,MATCH($A284,'01_FASTPPH'!$A$9:$A$1048576,0),MATCH(J$9,'01_FASTPPH'!$8:$8,0))</f>
        <v>#N/A</v>
      </c>
      <c r="K284" s="23" t="e">
        <f>INDEX('01_FASTPPH'!$9:$1048576,MATCH($A284,'01_FASTPPH'!$A$9:$A$1048576,0),MATCH(K$9,'01_FASTPPH'!$8:$8,0))</f>
        <v>#N/A</v>
      </c>
      <c r="L284" s="20" t="e">
        <f>INDEX('01_FASTPPH'!$9:$1048576,MATCH($A284,'01_FASTPPH'!$A$9:$A$1048576,0),MATCH(L$9,'01_FASTPPH'!$8:$8,0))</f>
        <v>#N/A</v>
      </c>
      <c r="M284" s="20" t="e">
        <f>INDEX('01_FASTPPH'!$9:$1048576,MATCH($A284,'01_FASTPPH'!$A$9:$A$1048576,0),MATCH(M$9,'01_FASTPPH'!$8:$8,0))</f>
        <v>#N/A</v>
      </c>
      <c r="N284" s="24" t="e">
        <f>INDEX('01_FASTPPH'!$9:$1048576,MATCH($A284,'01_FASTPPH'!$A$9:$A$1048576,0),MATCH(N$9,'01_FASTPPH'!$8:$8,0))</f>
        <v>#N/A</v>
      </c>
      <c r="O284" s="23" t="e">
        <f>INDEX('01_FASTPPH'!$9:$1048576,MATCH($A284,'01_FASTPPH'!$A$9:$A$1048576,0),MATCH(O$9,'01_FASTPPH'!$8:$8,0))</f>
        <v>#N/A</v>
      </c>
      <c r="P284" s="20" t="e">
        <f>INDEX('01_FASTPPH'!$9:$1048576,MATCH($A284,'01_FASTPPH'!$A$9:$A$1048576,0),MATCH(P$9,'01_FASTPPH'!$8:$8,0))</f>
        <v>#N/A</v>
      </c>
      <c r="Q284" s="20" t="e">
        <f>INDEX('01_FASTPPH'!$9:$1048576,MATCH($A284,'01_FASTPPH'!$A$9:$A$1048576,0),MATCH(Q$9,'01_FASTPPH'!$8:$8,0))</f>
        <v>#N/A</v>
      </c>
      <c r="R284" s="20" t="e">
        <f>INDEX('01_FASTPPH'!$9:$1048576,MATCH($A284,'01_FASTPPH'!$A$9:$A$1048576,0),MATCH(R$9,'01_FASTPPH'!$8:$8,0))</f>
        <v>#N/A</v>
      </c>
      <c r="S284" s="20" t="e">
        <f>INDEX('01_FASTPPH'!$9:$1048576,MATCH($A284,'01_FASTPPH'!$A$9:$A$1048576,0),MATCH(S$9,'01_FASTPPH'!$8:$8,0))</f>
        <v>#N/A</v>
      </c>
      <c r="T284" s="24" t="e">
        <f>INDEX('01_FASTPPH'!$9:$1048576,MATCH($A284,'01_FASTPPH'!$A$9:$A$1048576,0),MATCH(T$9,'01_FASTPPH'!$8:$8,0))</f>
        <v>#N/A</v>
      </c>
      <c r="U284" s="23" t="e">
        <f>INDEX('01_FASTPPH'!$9:$1048576,MATCH($A284,'01_FASTPPH'!$A$9:$A$1048576,0),MATCH(U$9,'01_FASTPPH'!$8:$8,0))</f>
        <v>#N/A</v>
      </c>
      <c r="V284" s="20" t="e">
        <f>INDEX('01_FASTPPH'!$9:$1048576,MATCH($A284,'01_FASTPPH'!$A$9:$A$1048576,0),MATCH(V$9,'01_FASTPPH'!$8:$8,0))</f>
        <v>#N/A</v>
      </c>
      <c r="W284" s="24" t="e">
        <f>INDEX('01_FASTPPH'!$9:$1048576,MATCH($A284,'01_FASTPPH'!$A$9:$A$1048576,0),MATCH(W$9,'01_FASTPPH'!$8:$8,0))</f>
        <v>#N/A</v>
      </c>
      <c r="X284" s="20" t="e">
        <f>INDEX('01_FASTPPH'!$9:$1048576,MATCH($A284,'01_FASTPPH'!$A$9:$A$1048576,0),MATCH(X$9,'01_FASTPPH'!$8:$8,0))</f>
        <v>#N/A</v>
      </c>
      <c r="Y284" s="20" t="e">
        <f>INDEX('01_FASTPPH'!$9:$1048576,MATCH($A284,'01_FASTPPH'!$A$9:$A$1048576,0),MATCH(Y$9,'01_FASTPPH'!$8:$8,0))</f>
        <v>#N/A</v>
      </c>
      <c r="AA284" s="32" t="e">
        <f>INDEX('02_PROPERTIES'!$C$10:$I$1048576,MATCH('03_CALCULATIONS'!$D284,'02_PROPERTIES'!$C$10:$C$1048576,0),MATCH('03_CALCULATIONS'!AA$9,'02_PROPERTIES'!$C$10:$I$10,0))</f>
        <v>#N/A</v>
      </c>
      <c r="AB284" s="20" t="e">
        <f>INDEX('02_PROPERTIES'!$C$10:$I$1048576,MATCH('03_CALCULATIONS'!$D284,'02_PROPERTIES'!$C$10:$C$1048576,0),MATCH('03_CALCULATIONS'!AB$9,'02_PROPERTIES'!$C$10:$I$10,0))</f>
        <v>#N/A</v>
      </c>
      <c r="AC284" s="20" t="e">
        <f>INDEX('02_PROPERTIES'!$C$10:$I$1048576,MATCH('03_CALCULATIONS'!$D284,'02_PROPERTIES'!$C$10:$C$1048576,0),MATCH('03_CALCULATIONS'!AC$9,'02_PROPERTIES'!$C$10:$I$10,0))</f>
        <v>#N/A</v>
      </c>
      <c r="AD284" s="20" t="e">
        <f>INDEX('02_PROPERTIES'!$C$10:$I$1048576,MATCH('03_CALCULATIONS'!$D284,'02_PROPERTIES'!$C$10:$C$1048576,0),MATCH('03_CALCULATIONS'!AD$9,'02_PROPERTIES'!$C$10:$I$10,0))</f>
        <v>#N/A</v>
      </c>
      <c r="AE284" s="32" t="e">
        <f>INDEX('02_PROPERTIES'!$C$10:$I$1048576,MATCH('03_CALCULATIONS'!$D284,'02_PROPERTIES'!$C$10:$C$1048576,0),MATCH('03_CALCULATIONS'!AE$9,'02_PROPERTIES'!$C$10:$I$10,0))</f>
        <v>#N/A</v>
      </c>
      <c r="AF284" s="32" t="e">
        <f>INDEX('02_PROPERTIES'!$C$10:$I$1048576,MATCH('03_CALCULATIONS'!$D284,'02_PROPERTIES'!$C$10:$C$1048576,0),MATCH('03_CALCULATIONS'!AF$9,'02_PROPERTIES'!$C$10:$I$10,0))</f>
        <v>#N/A</v>
      </c>
      <c r="AH284" s="20" t="e">
        <f t="shared" si="44"/>
        <v>#N/A</v>
      </c>
      <c r="AI284" s="20" t="e">
        <f t="shared" si="45"/>
        <v>#N/A</v>
      </c>
      <c r="AJ284" s="20" t="e">
        <f t="shared" si="46"/>
        <v>#N/A</v>
      </c>
      <c r="AL284" s="20" t="e">
        <f t="shared" si="47"/>
        <v>#N/A</v>
      </c>
      <c r="AM284" s="20" t="e">
        <f t="shared" si="48"/>
        <v>#N/A</v>
      </c>
      <c r="AN284" s="20" t="e">
        <f t="shared" si="49"/>
        <v>#N/A</v>
      </c>
      <c r="AO284" s="20" t="e">
        <f t="shared" si="50"/>
        <v>#N/A</v>
      </c>
      <c r="AP284" s="20" t="e">
        <f t="shared" si="51"/>
        <v>#N/A</v>
      </c>
      <c r="AR284" s="20" t="e">
        <f t="shared" si="52"/>
        <v>#N/A</v>
      </c>
      <c r="AS284" s="20" t="e">
        <f t="shared" si="53"/>
        <v>#N/A</v>
      </c>
      <c r="AT284" s="20" t="e">
        <f t="shared" si="54"/>
        <v>#N/A</v>
      </c>
    </row>
    <row r="285" spans="1:46" x14ac:dyDescent="0.3">
      <c r="A285" s="18"/>
      <c r="B285" s="20" t="e">
        <f>INDEX('01_FASTPPH'!$9:$1048576,MATCH($A285,'01_FASTPPH'!$A$9:$A$1048576,0),MATCH(B$9,'01_FASTPPH'!$8:$8,0))</f>
        <v>#N/A</v>
      </c>
      <c r="C285" s="20" t="e">
        <f>INDEX('01_FASTPPH'!$9:$1048576,MATCH($A285,'01_FASTPPH'!$A$9:$A$1048576,0),MATCH(C$9,'01_FASTPPH'!$8:$8,0))</f>
        <v>#N/A</v>
      </c>
      <c r="D285" s="20" t="e">
        <f>INDEX('01_FASTPPH'!$9:$1048576,MATCH($A285,'01_FASTPPH'!$A$9:$A$1048576,0),MATCH(D$9,'01_FASTPPH'!$8:$8,0))</f>
        <v>#N/A</v>
      </c>
      <c r="E285" s="20" t="e">
        <f>INDEX('01_FASTPPH'!$9:$1048576,MATCH($A285,'01_FASTPPH'!$A$9:$A$1048576,0),MATCH(E$9,'01_FASTPPH'!$8:$8,0))</f>
        <v>#N/A</v>
      </c>
      <c r="F285" s="20" t="e">
        <f>INDEX('01_FASTPPH'!$9:$1048576,MATCH($A285,'01_FASTPPH'!$A$9:$A$1048576,0),MATCH(F$9,'01_FASTPPH'!$8:$8,0))</f>
        <v>#N/A</v>
      </c>
      <c r="G285" s="20" t="e">
        <f>INDEX('01_FASTPPH'!$9:$1048576,MATCH($A285,'01_FASTPPH'!$A$9:$A$1048576,0),MATCH(G$9,'01_FASTPPH'!$8:$8,0))</f>
        <v>#N/A</v>
      </c>
      <c r="H285" s="20" t="e">
        <f>INDEX('01_FASTPPH'!$9:$1048576,MATCH($A285,'01_FASTPPH'!$A$9:$A$1048576,0),MATCH(H$9,'01_FASTPPH'!$8:$8,0))</f>
        <v>#N/A</v>
      </c>
      <c r="I285" s="20" t="e">
        <f>INDEX('01_FASTPPH'!$9:$1048576,MATCH($A285,'01_FASTPPH'!$A$9:$A$1048576,0),MATCH(I$9,'01_FASTPPH'!$8:$8,0))</f>
        <v>#N/A</v>
      </c>
      <c r="J285" s="20" t="e">
        <f>INDEX('01_FASTPPH'!$9:$1048576,MATCH($A285,'01_FASTPPH'!$A$9:$A$1048576,0),MATCH(J$9,'01_FASTPPH'!$8:$8,0))</f>
        <v>#N/A</v>
      </c>
      <c r="K285" s="23" t="e">
        <f>INDEX('01_FASTPPH'!$9:$1048576,MATCH($A285,'01_FASTPPH'!$A$9:$A$1048576,0),MATCH(K$9,'01_FASTPPH'!$8:$8,0))</f>
        <v>#N/A</v>
      </c>
      <c r="L285" s="20" t="e">
        <f>INDEX('01_FASTPPH'!$9:$1048576,MATCH($A285,'01_FASTPPH'!$A$9:$A$1048576,0),MATCH(L$9,'01_FASTPPH'!$8:$8,0))</f>
        <v>#N/A</v>
      </c>
      <c r="M285" s="20" t="e">
        <f>INDEX('01_FASTPPH'!$9:$1048576,MATCH($A285,'01_FASTPPH'!$A$9:$A$1048576,0),MATCH(M$9,'01_FASTPPH'!$8:$8,0))</f>
        <v>#N/A</v>
      </c>
      <c r="N285" s="24" t="e">
        <f>INDEX('01_FASTPPH'!$9:$1048576,MATCH($A285,'01_FASTPPH'!$A$9:$A$1048576,0),MATCH(N$9,'01_FASTPPH'!$8:$8,0))</f>
        <v>#N/A</v>
      </c>
      <c r="O285" s="23" t="e">
        <f>INDEX('01_FASTPPH'!$9:$1048576,MATCH($A285,'01_FASTPPH'!$A$9:$A$1048576,0),MATCH(O$9,'01_FASTPPH'!$8:$8,0))</f>
        <v>#N/A</v>
      </c>
      <c r="P285" s="20" t="e">
        <f>INDEX('01_FASTPPH'!$9:$1048576,MATCH($A285,'01_FASTPPH'!$A$9:$A$1048576,0),MATCH(P$9,'01_FASTPPH'!$8:$8,0))</f>
        <v>#N/A</v>
      </c>
      <c r="Q285" s="20" t="e">
        <f>INDEX('01_FASTPPH'!$9:$1048576,MATCH($A285,'01_FASTPPH'!$A$9:$A$1048576,0),MATCH(Q$9,'01_FASTPPH'!$8:$8,0))</f>
        <v>#N/A</v>
      </c>
      <c r="R285" s="20" t="e">
        <f>INDEX('01_FASTPPH'!$9:$1048576,MATCH($A285,'01_FASTPPH'!$A$9:$A$1048576,0),MATCH(R$9,'01_FASTPPH'!$8:$8,0))</f>
        <v>#N/A</v>
      </c>
      <c r="S285" s="20" t="e">
        <f>INDEX('01_FASTPPH'!$9:$1048576,MATCH($A285,'01_FASTPPH'!$A$9:$A$1048576,0),MATCH(S$9,'01_FASTPPH'!$8:$8,0))</f>
        <v>#N/A</v>
      </c>
      <c r="T285" s="24" t="e">
        <f>INDEX('01_FASTPPH'!$9:$1048576,MATCH($A285,'01_FASTPPH'!$A$9:$A$1048576,0),MATCH(T$9,'01_FASTPPH'!$8:$8,0))</f>
        <v>#N/A</v>
      </c>
      <c r="U285" s="23" t="e">
        <f>INDEX('01_FASTPPH'!$9:$1048576,MATCH($A285,'01_FASTPPH'!$A$9:$A$1048576,0),MATCH(U$9,'01_FASTPPH'!$8:$8,0))</f>
        <v>#N/A</v>
      </c>
      <c r="V285" s="20" t="e">
        <f>INDEX('01_FASTPPH'!$9:$1048576,MATCH($A285,'01_FASTPPH'!$A$9:$A$1048576,0),MATCH(V$9,'01_FASTPPH'!$8:$8,0))</f>
        <v>#N/A</v>
      </c>
      <c r="W285" s="24" t="e">
        <f>INDEX('01_FASTPPH'!$9:$1048576,MATCH($A285,'01_FASTPPH'!$A$9:$A$1048576,0),MATCH(W$9,'01_FASTPPH'!$8:$8,0))</f>
        <v>#N/A</v>
      </c>
      <c r="X285" s="20" t="e">
        <f>INDEX('01_FASTPPH'!$9:$1048576,MATCH($A285,'01_FASTPPH'!$A$9:$A$1048576,0),MATCH(X$9,'01_FASTPPH'!$8:$8,0))</f>
        <v>#N/A</v>
      </c>
      <c r="Y285" s="20" t="e">
        <f>INDEX('01_FASTPPH'!$9:$1048576,MATCH($A285,'01_FASTPPH'!$A$9:$A$1048576,0),MATCH(Y$9,'01_FASTPPH'!$8:$8,0))</f>
        <v>#N/A</v>
      </c>
      <c r="AA285" s="32" t="e">
        <f>INDEX('02_PROPERTIES'!$C$10:$I$1048576,MATCH('03_CALCULATIONS'!$D285,'02_PROPERTIES'!$C$10:$C$1048576,0),MATCH('03_CALCULATIONS'!AA$9,'02_PROPERTIES'!$C$10:$I$10,0))</f>
        <v>#N/A</v>
      </c>
      <c r="AB285" s="20" t="e">
        <f>INDEX('02_PROPERTIES'!$C$10:$I$1048576,MATCH('03_CALCULATIONS'!$D285,'02_PROPERTIES'!$C$10:$C$1048576,0),MATCH('03_CALCULATIONS'!AB$9,'02_PROPERTIES'!$C$10:$I$10,0))</f>
        <v>#N/A</v>
      </c>
      <c r="AC285" s="20" t="e">
        <f>INDEX('02_PROPERTIES'!$C$10:$I$1048576,MATCH('03_CALCULATIONS'!$D285,'02_PROPERTIES'!$C$10:$C$1048576,0),MATCH('03_CALCULATIONS'!AC$9,'02_PROPERTIES'!$C$10:$I$10,0))</f>
        <v>#N/A</v>
      </c>
      <c r="AD285" s="20" t="e">
        <f>INDEX('02_PROPERTIES'!$C$10:$I$1048576,MATCH('03_CALCULATIONS'!$D285,'02_PROPERTIES'!$C$10:$C$1048576,0),MATCH('03_CALCULATIONS'!AD$9,'02_PROPERTIES'!$C$10:$I$10,0))</f>
        <v>#N/A</v>
      </c>
      <c r="AE285" s="32" t="e">
        <f>INDEX('02_PROPERTIES'!$C$10:$I$1048576,MATCH('03_CALCULATIONS'!$D285,'02_PROPERTIES'!$C$10:$C$1048576,0),MATCH('03_CALCULATIONS'!AE$9,'02_PROPERTIES'!$C$10:$I$10,0))</f>
        <v>#N/A</v>
      </c>
      <c r="AF285" s="32" t="e">
        <f>INDEX('02_PROPERTIES'!$C$10:$I$1048576,MATCH('03_CALCULATIONS'!$D285,'02_PROPERTIES'!$C$10:$C$1048576,0),MATCH('03_CALCULATIONS'!AF$9,'02_PROPERTIES'!$C$10:$I$10,0))</f>
        <v>#N/A</v>
      </c>
      <c r="AH285" s="20" t="e">
        <f t="shared" si="44"/>
        <v>#N/A</v>
      </c>
      <c r="AI285" s="20" t="e">
        <f t="shared" si="45"/>
        <v>#N/A</v>
      </c>
      <c r="AJ285" s="20" t="e">
        <f t="shared" si="46"/>
        <v>#N/A</v>
      </c>
      <c r="AL285" s="20" t="e">
        <f t="shared" si="47"/>
        <v>#N/A</v>
      </c>
      <c r="AM285" s="20" t="e">
        <f t="shared" si="48"/>
        <v>#N/A</v>
      </c>
      <c r="AN285" s="20" t="e">
        <f t="shared" si="49"/>
        <v>#N/A</v>
      </c>
      <c r="AO285" s="20" t="e">
        <f t="shared" si="50"/>
        <v>#N/A</v>
      </c>
      <c r="AP285" s="20" t="e">
        <f t="shared" si="51"/>
        <v>#N/A</v>
      </c>
      <c r="AR285" s="20" t="e">
        <f t="shared" si="52"/>
        <v>#N/A</v>
      </c>
      <c r="AS285" s="20" t="e">
        <f t="shared" si="53"/>
        <v>#N/A</v>
      </c>
      <c r="AT285" s="20" t="e">
        <f t="shared" si="54"/>
        <v>#N/A</v>
      </c>
    </row>
    <row r="286" spans="1:46" x14ac:dyDescent="0.3">
      <c r="A286" s="18"/>
      <c r="B286" s="20" t="e">
        <f>INDEX('01_FASTPPH'!$9:$1048576,MATCH($A286,'01_FASTPPH'!$A$9:$A$1048576,0),MATCH(B$9,'01_FASTPPH'!$8:$8,0))</f>
        <v>#N/A</v>
      </c>
      <c r="C286" s="20" t="e">
        <f>INDEX('01_FASTPPH'!$9:$1048576,MATCH($A286,'01_FASTPPH'!$A$9:$A$1048576,0),MATCH(C$9,'01_FASTPPH'!$8:$8,0))</f>
        <v>#N/A</v>
      </c>
      <c r="D286" s="20" t="e">
        <f>INDEX('01_FASTPPH'!$9:$1048576,MATCH($A286,'01_FASTPPH'!$A$9:$A$1048576,0),MATCH(D$9,'01_FASTPPH'!$8:$8,0))</f>
        <v>#N/A</v>
      </c>
      <c r="E286" s="20" t="e">
        <f>INDEX('01_FASTPPH'!$9:$1048576,MATCH($A286,'01_FASTPPH'!$A$9:$A$1048576,0),MATCH(E$9,'01_FASTPPH'!$8:$8,0))</f>
        <v>#N/A</v>
      </c>
      <c r="F286" s="20" t="e">
        <f>INDEX('01_FASTPPH'!$9:$1048576,MATCH($A286,'01_FASTPPH'!$A$9:$A$1048576,0),MATCH(F$9,'01_FASTPPH'!$8:$8,0))</f>
        <v>#N/A</v>
      </c>
      <c r="G286" s="20" t="e">
        <f>INDEX('01_FASTPPH'!$9:$1048576,MATCH($A286,'01_FASTPPH'!$A$9:$A$1048576,0),MATCH(G$9,'01_FASTPPH'!$8:$8,0))</f>
        <v>#N/A</v>
      </c>
      <c r="H286" s="20" t="e">
        <f>INDEX('01_FASTPPH'!$9:$1048576,MATCH($A286,'01_FASTPPH'!$A$9:$A$1048576,0),MATCH(H$9,'01_FASTPPH'!$8:$8,0))</f>
        <v>#N/A</v>
      </c>
      <c r="I286" s="20" t="e">
        <f>INDEX('01_FASTPPH'!$9:$1048576,MATCH($A286,'01_FASTPPH'!$A$9:$A$1048576,0),MATCH(I$9,'01_FASTPPH'!$8:$8,0))</f>
        <v>#N/A</v>
      </c>
      <c r="J286" s="20" t="e">
        <f>INDEX('01_FASTPPH'!$9:$1048576,MATCH($A286,'01_FASTPPH'!$A$9:$A$1048576,0),MATCH(J$9,'01_FASTPPH'!$8:$8,0))</f>
        <v>#N/A</v>
      </c>
      <c r="K286" s="23" t="e">
        <f>INDEX('01_FASTPPH'!$9:$1048576,MATCH($A286,'01_FASTPPH'!$A$9:$A$1048576,0),MATCH(K$9,'01_FASTPPH'!$8:$8,0))</f>
        <v>#N/A</v>
      </c>
      <c r="L286" s="20" t="e">
        <f>INDEX('01_FASTPPH'!$9:$1048576,MATCH($A286,'01_FASTPPH'!$A$9:$A$1048576,0),MATCH(L$9,'01_FASTPPH'!$8:$8,0))</f>
        <v>#N/A</v>
      </c>
      <c r="M286" s="20" t="e">
        <f>INDEX('01_FASTPPH'!$9:$1048576,MATCH($A286,'01_FASTPPH'!$A$9:$A$1048576,0),MATCH(M$9,'01_FASTPPH'!$8:$8,0))</f>
        <v>#N/A</v>
      </c>
      <c r="N286" s="24" t="e">
        <f>INDEX('01_FASTPPH'!$9:$1048576,MATCH($A286,'01_FASTPPH'!$A$9:$A$1048576,0),MATCH(N$9,'01_FASTPPH'!$8:$8,0))</f>
        <v>#N/A</v>
      </c>
      <c r="O286" s="23" t="e">
        <f>INDEX('01_FASTPPH'!$9:$1048576,MATCH($A286,'01_FASTPPH'!$A$9:$A$1048576,0),MATCH(O$9,'01_FASTPPH'!$8:$8,0))</f>
        <v>#N/A</v>
      </c>
      <c r="P286" s="20" t="e">
        <f>INDEX('01_FASTPPH'!$9:$1048576,MATCH($A286,'01_FASTPPH'!$A$9:$A$1048576,0),MATCH(P$9,'01_FASTPPH'!$8:$8,0))</f>
        <v>#N/A</v>
      </c>
      <c r="Q286" s="20" t="e">
        <f>INDEX('01_FASTPPH'!$9:$1048576,MATCH($A286,'01_FASTPPH'!$A$9:$A$1048576,0),MATCH(Q$9,'01_FASTPPH'!$8:$8,0))</f>
        <v>#N/A</v>
      </c>
      <c r="R286" s="20" t="e">
        <f>INDEX('01_FASTPPH'!$9:$1048576,MATCH($A286,'01_FASTPPH'!$A$9:$A$1048576,0),MATCH(R$9,'01_FASTPPH'!$8:$8,0))</f>
        <v>#N/A</v>
      </c>
      <c r="S286" s="20" t="e">
        <f>INDEX('01_FASTPPH'!$9:$1048576,MATCH($A286,'01_FASTPPH'!$A$9:$A$1048576,0),MATCH(S$9,'01_FASTPPH'!$8:$8,0))</f>
        <v>#N/A</v>
      </c>
      <c r="T286" s="24" t="e">
        <f>INDEX('01_FASTPPH'!$9:$1048576,MATCH($A286,'01_FASTPPH'!$A$9:$A$1048576,0),MATCH(T$9,'01_FASTPPH'!$8:$8,0))</f>
        <v>#N/A</v>
      </c>
      <c r="U286" s="23" t="e">
        <f>INDEX('01_FASTPPH'!$9:$1048576,MATCH($A286,'01_FASTPPH'!$A$9:$A$1048576,0),MATCH(U$9,'01_FASTPPH'!$8:$8,0))</f>
        <v>#N/A</v>
      </c>
      <c r="V286" s="20" t="e">
        <f>INDEX('01_FASTPPH'!$9:$1048576,MATCH($A286,'01_FASTPPH'!$A$9:$A$1048576,0),MATCH(V$9,'01_FASTPPH'!$8:$8,0))</f>
        <v>#N/A</v>
      </c>
      <c r="W286" s="24" t="e">
        <f>INDEX('01_FASTPPH'!$9:$1048576,MATCH($A286,'01_FASTPPH'!$A$9:$A$1048576,0),MATCH(W$9,'01_FASTPPH'!$8:$8,0))</f>
        <v>#N/A</v>
      </c>
      <c r="X286" s="20" t="e">
        <f>INDEX('01_FASTPPH'!$9:$1048576,MATCH($A286,'01_FASTPPH'!$A$9:$A$1048576,0),MATCH(X$9,'01_FASTPPH'!$8:$8,0))</f>
        <v>#N/A</v>
      </c>
      <c r="Y286" s="20" t="e">
        <f>INDEX('01_FASTPPH'!$9:$1048576,MATCH($A286,'01_FASTPPH'!$A$9:$A$1048576,0),MATCH(Y$9,'01_FASTPPH'!$8:$8,0))</f>
        <v>#N/A</v>
      </c>
      <c r="AA286" s="32" t="e">
        <f>INDEX('02_PROPERTIES'!$C$10:$I$1048576,MATCH('03_CALCULATIONS'!$D286,'02_PROPERTIES'!$C$10:$C$1048576,0),MATCH('03_CALCULATIONS'!AA$9,'02_PROPERTIES'!$C$10:$I$10,0))</f>
        <v>#N/A</v>
      </c>
      <c r="AB286" s="20" t="e">
        <f>INDEX('02_PROPERTIES'!$C$10:$I$1048576,MATCH('03_CALCULATIONS'!$D286,'02_PROPERTIES'!$C$10:$C$1048576,0),MATCH('03_CALCULATIONS'!AB$9,'02_PROPERTIES'!$C$10:$I$10,0))</f>
        <v>#N/A</v>
      </c>
      <c r="AC286" s="20" t="e">
        <f>INDEX('02_PROPERTIES'!$C$10:$I$1048576,MATCH('03_CALCULATIONS'!$D286,'02_PROPERTIES'!$C$10:$C$1048576,0),MATCH('03_CALCULATIONS'!AC$9,'02_PROPERTIES'!$C$10:$I$10,0))</f>
        <v>#N/A</v>
      </c>
      <c r="AD286" s="20" t="e">
        <f>INDEX('02_PROPERTIES'!$C$10:$I$1048576,MATCH('03_CALCULATIONS'!$D286,'02_PROPERTIES'!$C$10:$C$1048576,0),MATCH('03_CALCULATIONS'!AD$9,'02_PROPERTIES'!$C$10:$I$10,0))</f>
        <v>#N/A</v>
      </c>
      <c r="AE286" s="32" t="e">
        <f>INDEX('02_PROPERTIES'!$C$10:$I$1048576,MATCH('03_CALCULATIONS'!$D286,'02_PROPERTIES'!$C$10:$C$1048576,0),MATCH('03_CALCULATIONS'!AE$9,'02_PROPERTIES'!$C$10:$I$10,0))</f>
        <v>#N/A</v>
      </c>
      <c r="AF286" s="32" t="e">
        <f>INDEX('02_PROPERTIES'!$C$10:$I$1048576,MATCH('03_CALCULATIONS'!$D286,'02_PROPERTIES'!$C$10:$C$1048576,0),MATCH('03_CALCULATIONS'!AF$9,'02_PROPERTIES'!$C$10:$I$10,0))</f>
        <v>#N/A</v>
      </c>
      <c r="AH286" s="20" t="e">
        <f t="shared" si="44"/>
        <v>#N/A</v>
      </c>
      <c r="AI286" s="20" t="e">
        <f t="shared" si="45"/>
        <v>#N/A</v>
      </c>
      <c r="AJ286" s="20" t="e">
        <f t="shared" si="46"/>
        <v>#N/A</v>
      </c>
      <c r="AL286" s="20" t="e">
        <f t="shared" si="47"/>
        <v>#N/A</v>
      </c>
      <c r="AM286" s="20" t="e">
        <f t="shared" si="48"/>
        <v>#N/A</v>
      </c>
      <c r="AN286" s="20" t="e">
        <f t="shared" si="49"/>
        <v>#N/A</v>
      </c>
      <c r="AO286" s="20" t="e">
        <f t="shared" si="50"/>
        <v>#N/A</v>
      </c>
      <c r="AP286" s="20" t="e">
        <f t="shared" si="51"/>
        <v>#N/A</v>
      </c>
      <c r="AR286" s="20" t="e">
        <f t="shared" si="52"/>
        <v>#N/A</v>
      </c>
      <c r="AS286" s="20" t="e">
        <f t="shared" si="53"/>
        <v>#N/A</v>
      </c>
      <c r="AT286" s="20" t="e">
        <f t="shared" si="54"/>
        <v>#N/A</v>
      </c>
    </row>
    <row r="287" spans="1:46" x14ac:dyDescent="0.3">
      <c r="A287" s="18"/>
      <c r="B287" s="20" t="e">
        <f>INDEX('01_FASTPPH'!$9:$1048576,MATCH($A287,'01_FASTPPH'!$A$9:$A$1048576,0),MATCH(B$9,'01_FASTPPH'!$8:$8,0))</f>
        <v>#N/A</v>
      </c>
      <c r="C287" s="20" t="e">
        <f>INDEX('01_FASTPPH'!$9:$1048576,MATCH($A287,'01_FASTPPH'!$A$9:$A$1048576,0),MATCH(C$9,'01_FASTPPH'!$8:$8,0))</f>
        <v>#N/A</v>
      </c>
      <c r="D287" s="20" t="e">
        <f>INDEX('01_FASTPPH'!$9:$1048576,MATCH($A287,'01_FASTPPH'!$A$9:$A$1048576,0),MATCH(D$9,'01_FASTPPH'!$8:$8,0))</f>
        <v>#N/A</v>
      </c>
      <c r="E287" s="20" t="e">
        <f>INDEX('01_FASTPPH'!$9:$1048576,MATCH($A287,'01_FASTPPH'!$A$9:$A$1048576,0),MATCH(E$9,'01_FASTPPH'!$8:$8,0))</f>
        <v>#N/A</v>
      </c>
      <c r="F287" s="20" t="e">
        <f>INDEX('01_FASTPPH'!$9:$1048576,MATCH($A287,'01_FASTPPH'!$A$9:$A$1048576,0),MATCH(F$9,'01_FASTPPH'!$8:$8,0))</f>
        <v>#N/A</v>
      </c>
      <c r="G287" s="20" t="e">
        <f>INDEX('01_FASTPPH'!$9:$1048576,MATCH($A287,'01_FASTPPH'!$A$9:$A$1048576,0),MATCH(G$9,'01_FASTPPH'!$8:$8,0))</f>
        <v>#N/A</v>
      </c>
      <c r="H287" s="20" t="e">
        <f>INDEX('01_FASTPPH'!$9:$1048576,MATCH($A287,'01_FASTPPH'!$A$9:$A$1048576,0),MATCH(H$9,'01_FASTPPH'!$8:$8,0))</f>
        <v>#N/A</v>
      </c>
      <c r="I287" s="20" t="e">
        <f>INDEX('01_FASTPPH'!$9:$1048576,MATCH($A287,'01_FASTPPH'!$A$9:$A$1048576,0),MATCH(I$9,'01_FASTPPH'!$8:$8,0))</f>
        <v>#N/A</v>
      </c>
      <c r="J287" s="20" t="e">
        <f>INDEX('01_FASTPPH'!$9:$1048576,MATCH($A287,'01_FASTPPH'!$A$9:$A$1048576,0),MATCH(J$9,'01_FASTPPH'!$8:$8,0))</f>
        <v>#N/A</v>
      </c>
      <c r="K287" s="23" t="e">
        <f>INDEX('01_FASTPPH'!$9:$1048576,MATCH($A287,'01_FASTPPH'!$A$9:$A$1048576,0),MATCH(K$9,'01_FASTPPH'!$8:$8,0))</f>
        <v>#N/A</v>
      </c>
      <c r="L287" s="20" t="e">
        <f>INDEX('01_FASTPPH'!$9:$1048576,MATCH($A287,'01_FASTPPH'!$A$9:$A$1048576,0),MATCH(L$9,'01_FASTPPH'!$8:$8,0))</f>
        <v>#N/A</v>
      </c>
      <c r="M287" s="20" t="e">
        <f>INDEX('01_FASTPPH'!$9:$1048576,MATCH($A287,'01_FASTPPH'!$A$9:$A$1048576,0),MATCH(M$9,'01_FASTPPH'!$8:$8,0))</f>
        <v>#N/A</v>
      </c>
      <c r="N287" s="24" t="e">
        <f>INDEX('01_FASTPPH'!$9:$1048576,MATCH($A287,'01_FASTPPH'!$A$9:$A$1048576,0),MATCH(N$9,'01_FASTPPH'!$8:$8,0))</f>
        <v>#N/A</v>
      </c>
      <c r="O287" s="23" t="e">
        <f>INDEX('01_FASTPPH'!$9:$1048576,MATCH($A287,'01_FASTPPH'!$A$9:$A$1048576,0),MATCH(O$9,'01_FASTPPH'!$8:$8,0))</f>
        <v>#N/A</v>
      </c>
      <c r="P287" s="20" t="e">
        <f>INDEX('01_FASTPPH'!$9:$1048576,MATCH($A287,'01_FASTPPH'!$A$9:$A$1048576,0),MATCH(P$9,'01_FASTPPH'!$8:$8,0))</f>
        <v>#N/A</v>
      </c>
      <c r="Q287" s="20" t="e">
        <f>INDEX('01_FASTPPH'!$9:$1048576,MATCH($A287,'01_FASTPPH'!$A$9:$A$1048576,0),MATCH(Q$9,'01_FASTPPH'!$8:$8,0))</f>
        <v>#N/A</v>
      </c>
      <c r="R287" s="20" t="e">
        <f>INDEX('01_FASTPPH'!$9:$1048576,MATCH($A287,'01_FASTPPH'!$A$9:$A$1048576,0),MATCH(R$9,'01_FASTPPH'!$8:$8,0))</f>
        <v>#N/A</v>
      </c>
      <c r="S287" s="20" t="e">
        <f>INDEX('01_FASTPPH'!$9:$1048576,MATCH($A287,'01_FASTPPH'!$A$9:$A$1048576,0),MATCH(S$9,'01_FASTPPH'!$8:$8,0))</f>
        <v>#N/A</v>
      </c>
      <c r="T287" s="24" t="e">
        <f>INDEX('01_FASTPPH'!$9:$1048576,MATCH($A287,'01_FASTPPH'!$A$9:$A$1048576,0),MATCH(T$9,'01_FASTPPH'!$8:$8,0))</f>
        <v>#N/A</v>
      </c>
      <c r="U287" s="23" t="e">
        <f>INDEX('01_FASTPPH'!$9:$1048576,MATCH($A287,'01_FASTPPH'!$A$9:$A$1048576,0),MATCH(U$9,'01_FASTPPH'!$8:$8,0))</f>
        <v>#N/A</v>
      </c>
      <c r="V287" s="20" t="e">
        <f>INDEX('01_FASTPPH'!$9:$1048576,MATCH($A287,'01_FASTPPH'!$A$9:$A$1048576,0),MATCH(V$9,'01_FASTPPH'!$8:$8,0))</f>
        <v>#N/A</v>
      </c>
      <c r="W287" s="24" t="e">
        <f>INDEX('01_FASTPPH'!$9:$1048576,MATCH($A287,'01_FASTPPH'!$A$9:$A$1048576,0),MATCH(W$9,'01_FASTPPH'!$8:$8,0))</f>
        <v>#N/A</v>
      </c>
      <c r="X287" s="20" t="e">
        <f>INDEX('01_FASTPPH'!$9:$1048576,MATCH($A287,'01_FASTPPH'!$A$9:$A$1048576,0),MATCH(X$9,'01_FASTPPH'!$8:$8,0))</f>
        <v>#N/A</v>
      </c>
      <c r="Y287" s="20" t="e">
        <f>INDEX('01_FASTPPH'!$9:$1048576,MATCH($A287,'01_FASTPPH'!$A$9:$A$1048576,0),MATCH(Y$9,'01_FASTPPH'!$8:$8,0))</f>
        <v>#N/A</v>
      </c>
      <c r="AA287" s="32" t="e">
        <f>INDEX('02_PROPERTIES'!$C$10:$I$1048576,MATCH('03_CALCULATIONS'!$D287,'02_PROPERTIES'!$C$10:$C$1048576,0),MATCH('03_CALCULATIONS'!AA$9,'02_PROPERTIES'!$C$10:$I$10,0))</f>
        <v>#N/A</v>
      </c>
      <c r="AB287" s="20" t="e">
        <f>INDEX('02_PROPERTIES'!$C$10:$I$1048576,MATCH('03_CALCULATIONS'!$D287,'02_PROPERTIES'!$C$10:$C$1048576,0),MATCH('03_CALCULATIONS'!AB$9,'02_PROPERTIES'!$C$10:$I$10,0))</f>
        <v>#N/A</v>
      </c>
      <c r="AC287" s="20" t="e">
        <f>INDEX('02_PROPERTIES'!$C$10:$I$1048576,MATCH('03_CALCULATIONS'!$D287,'02_PROPERTIES'!$C$10:$C$1048576,0),MATCH('03_CALCULATIONS'!AC$9,'02_PROPERTIES'!$C$10:$I$10,0))</f>
        <v>#N/A</v>
      </c>
      <c r="AD287" s="20" t="e">
        <f>INDEX('02_PROPERTIES'!$C$10:$I$1048576,MATCH('03_CALCULATIONS'!$D287,'02_PROPERTIES'!$C$10:$C$1048576,0),MATCH('03_CALCULATIONS'!AD$9,'02_PROPERTIES'!$C$10:$I$10,0))</f>
        <v>#N/A</v>
      </c>
      <c r="AE287" s="32" t="e">
        <f>INDEX('02_PROPERTIES'!$C$10:$I$1048576,MATCH('03_CALCULATIONS'!$D287,'02_PROPERTIES'!$C$10:$C$1048576,0),MATCH('03_CALCULATIONS'!AE$9,'02_PROPERTIES'!$C$10:$I$10,0))</f>
        <v>#N/A</v>
      </c>
      <c r="AF287" s="32" t="e">
        <f>INDEX('02_PROPERTIES'!$C$10:$I$1048576,MATCH('03_CALCULATIONS'!$D287,'02_PROPERTIES'!$C$10:$C$1048576,0),MATCH('03_CALCULATIONS'!AF$9,'02_PROPERTIES'!$C$10:$I$10,0))</f>
        <v>#N/A</v>
      </c>
      <c r="AH287" s="20" t="e">
        <f t="shared" si="44"/>
        <v>#N/A</v>
      </c>
      <c r="AI287" s="20" t="e">
        <f t="shared" si="45"/>
        <v>#N/A</v>
      </c>
      <c r="AJ287" s="20" t="e">
        <f t="shared" si="46"/>
        <v>#N/A</v>
      </c>
      <c r="AL287" s="20" t="e">
        <f t="shared" si="47"/>
        <v>#N/A</v>
      </c>
      <c r="AM287" s="20" t="e">
        <f t="shared" si="48"/>
        <v>#N/A</v>
      </c>
      <c r="AN287" s="20" t="e">
        <f t="shared" si="49"/>
        <v>#N/A</v>
      </c>
      <c r="AO287" s="20" t="e">
        <f t="shared" si="50"/>
        <v>#N/A</v>
      </c>
      <c r="AP287" s="20" t="e">
        <f t="shared" si="51"/>
        <v>#N/A</v>
      </c>
      <c r="AR287" s="20" t="e">
        <f t="shared" si="52"/>
        <v>#N/A</v>
      </c>
      <c r="AS287" s="20" t="e">
        <f t="shared" si="53"/>
        <v>#N/A</v>
      </c>
      <c r="AT287" s="20" t="e">
        <f t="shared" si="54"/>
        <v>#N/A</v>
      </c>
    </row>
    <row r="288" spans="1:46" x14ac:dyDescent="0.3">
      <c r="A288" s="18"/>
      <c r="B288" s="20" t="e">
        <f>INDEX('01_FASTPPH'!$9:$1048576,MATCH($A288,'01_FASTPPH'!$A$9:$A$1048576,0),MATCH(B$9,'01_FASTPPH'!$8:$8,0))</f>
        <v>#N/A</v>
      </c>
      <c r="C288" s="20" t="e">
        <f>INDEX('01_FASTPPH'!$9:$1048576,MATCH($A288,'01_FASTPPH'!$A$9:$A$1048576,0),MATCH(C$9,'01_FASTPPH'!$8:$8,0))</f>
        <v>#N/A</v>
      </c>
      <c r="D288" s="20" t="e">
        <f>INDEX('01_FASTPPH'!$9:$1048576,MATCH($A288,'01_FASTPPH'!$A$9:$A$1048576,0),MATCH(D$9,'01_FASTPPH'!$8:$8,0))</f>
        <v>#N/A</v>
      </c>
      <c r="E288" s="20" t="e">
        <f>INDEX('01_FASTPPH'!$9:$1048576,MATCH($A288,'01_FASTPPH'!$A$9:$A$1048576,0),MATCH(E$9,'01_FASTPPH'!$8:$8,0))</f>
        <v>#N/A</v>
      </c>
      <c r="F288" s="20" t="e">
        <f>INDEX('01_FASTPPH'!$9:$1048576,MATCH($A288,'01_FASTPPH'!$A$9:$A$1048576,0),MATCH(F$9,'01_FASTPPH'!$8:$8,0))</f>
        <v>#N/A</v>
      </c>
      <c r="G288" s="20" t="e">
        <f>INDEX('01_FASTPPH'!$9:$1048576,MATCH($A288,'01_FASTPPH'!$A$9:$A$1048576,0),MATCH(G$9,'01_FASTPPH'!$8:$8,0))</f>
        <v>#N/A</v>
      </c>
      <c r="H288" s="20" t="e">
        <f>INDEX('01_FASTPPH'!$9:$1048576,MATCH($A288,'01_FASTPPH'!$A$9:$A$1048576,0),MATCH(H$9,'01_FASTPPH'!$8:$8,0))</f>
        <v>#N/A</v>
      </c>
      <c r="I288" s="20" t="e">
        <f>INDEX('01_FASTPPH'!$9:$1048576,MATCH($A288,'01_FASTPPH'!$A$9:$A$1048576,0),MATCH(I$9,'01_FASTPPH'!$8:$8,0))</f>
        <v>#N/A</v>
      </c>
      <c r="J288" s="20" t="e">
        <f>INDEX('01_FASTPPH'!$9:$1048576,MATCH($A288,'01_FASTPPH'!$A$9:$A$1048576,0),MATCH(J$9,'01_FASTPPH'!$8:$8,0))</f>
        <v>#N/A</v>
      </c>
      <c r="K288" s="23" t="e">
        <f>INDEX('01_FASTPPH'!$9:$1048576,MATCH($A288,'01_FASTPPH'!$A$9:$A$1048576,0),MATCH(K$9,'01_FASTPPH'!$8:$8,0))</f>
        <v>#N/A</v>
      </c>
      <c r="L288" s="20" t="e">
        <f>INDEX('01_FASTPPH'!$9:$1048576,MATCH($A288,'01_FASTPPH'!$A$9:$A$1048576,0),MATCH(L$9,'01_FASTPPH'!$8:$8,0))</f>
        <v>#N/A</v>
      </c>
      <c r="M288" s="20" t="e">
        <f>INDEX('01_FASTPPH'!$9:$1048576,MATCH($A288,'01_FASTPPH'!$A$9:$A$1048576,0),MATCH(M$9,'01_FASTPPH'!$8:$8,0))</f>
        <v>#N/A</v>
      </c>
      <c r="N288" s="24" t="e">
        <f>INDEX('01_FASTPPH'!$9:$1048576,MATCH($A288,'01_FASTPPH'!$A$9:$A$1048576,0),MATCH(N$9,'01_FASTPPH'!$8:$8,0))</f>
        <v>#N/A</v>
      </c>
      <c r="O288" s="23" t="e">
        <f>INDEX('01_FASTPPH'!$9:$1048576,MATCH($A288,'01_FASTPPH'!$A$9:$A$1048576,0),MATCH(O$9,'01_FASTPPH'!$8:$8,0))</f>
        <v>#N/A</v>
      </c>
      <c r="P288" s="20" t="e">
        <f>INDEX('01_FASTPPH'!$9:$1048576,MATCH($A288,'01_FASTPPH'!$A$9:$A$1048576,0),MATCH(P$9,'01_FASTPPH'!$8:$8,0))</f>
        <v>#N/A</v>
      </c>
      <c r="Q288" s="20" t="e">
        <f>INDEX('01_FASTPPH'!$9:$1048576,MATCH($A288,'01_FASTPPH'!$A$9:$A$1048576,0),MATCH(Q$9,'01_FASTPPH'!$8:$8,0))</f>
        <v>#N/A</v>
      </c>
      <c r="R288" s="20" t="e">
        <f>INDEX('01_FASTPPH'!$9:$1048576,MATCH($A288,'01_FASTPPH'!$A$9:$A$1048576,0),MATCH(R$9,'01_FASTPPH'!$8:$8,0))</f>
        <v>#N/A</v>
      </c>
      <c r="S288" s="20" t="e">
        <f>INDEX('01_FASTPPH'!$9:$1048576,MATCH($A288,'01_FASTPPH'!$A$9:$A$1048576,0),MATCH(S$9,'01_FASTPPH'!$8:$8,0))</f>
        <v>#N/A</v>
      </c>
      <c r="T288" s="24" t="e">
        <f>INDEX('01_FASTPPH'!$9:$1048576,MATCH($A288,'01_FASTPPH'!$A$9:$A$1048576,0),MATCH(T$9,'01_FASTPPH'!$8:$8,0))</f>
        <v>#N/A</v>
      </c>
      <c r="U288" s="23" t="e">
        <f>INDEX('01_FASTPPH'!$9:$1048576,MATCH($A288,'01_FASTPPH'!$A$9:$A$1048576,0),MATCH(U$9,'01_FASTPPH'!$8:$8,0))</f>
        <v>#N/A</v>
      </c>
      <c r="V288" s="20" t="e">
        <f>INDEX('01_FASTPPH'!$9:$1048576,MATCH($A288,'01_FASTPPH'!$A$9:$A$1048576,0),MATCH(V$9,'01_FASTPPH'!$8:$8,0))</f>
        <v>#N/A</v>
      </c>
      <c r="W288" s="24" t="e">
        <f>INDEX('01_FASTPPH'!$9:$1048576,MATCH($A288,'01_FASTPPH'!$A$9:$A$1048576,0),MATCH(W$9,'01_FASTPPH'!$8:$8,0))</f>
        <v>#N/A</v>
      </c>
      <c r="X288" s="20" t="e">
        <f>INDEX('01_FASTPPH'!$9:$1048576,MATCH($A288,'01_FASTPPH'!$A$9:$A$1048576,0),MATCH(X$9,'01_FASTPPH'!$8:$8,0))</f>
        <v>#N/A</v>
      </c>
      <c r="Y288" s="20" t="e">
        <f>INDEX('01_FASTPPH'!$9:$1048576,MATCH($A288,'01_FASTPPH'!$A$9:$A$1048576,0),MATCH(Y$9,'01_FASTPPH'!$8:$8,0))</f>
        <v>#N/A</v>
      </c>
      <c r="AA288" s="32" t="e">
        <f>INDEX('02_PROPERTIES'!$C$10:$I$1048576,MATCH('03_CALCULATIONS'!$D288,'02_PROPERTIES'!$C$10:$C$1048576,0),MATCH('03_CALCULATIONS'!AA$9,'02_PROPERTIES'!$C$10:$I$10,0))</f>
        <v>#N/A</v>
      </c>
      <c r="AB288" s="20" t="e">
        <f>INDEX('02_PROPERTIES'!$C$10:$I$1048576,MATCH('03_CALCULATIONS'!$D288,'02_PROPERTIES'!$C$10:$C$1048576,0),MATCH('03_CALCULATIONS'!AB$9,'02_PROPERTIES'!$C$10:$I$10,0))</f>
        <v>#N/A</v>
      </c>
      <c r="AC288" s="20" t="e">
        <f>INDEX('02_PROPERTIES'!$C$10:$I$1048576,MATCH('03_CALCULATIONS'!$D288,'02_PROPERTIES'!$C$10:$C$1048576,0),MATCH('03_CALCULATIONS'!AC$9,'02_PROPERTIES'!$C$10:$I$10,0))</f>
        <v>#N/A</v>
      </c>
      <c r="AD288" s="20" t="e">
        <f>INDEX('02_PROPERTIES'!$C$10:$I$1048576,MATCH('03_CALCULATIONS'!$D288,'02_PROPERTIES'!$C$10:$C$1048576,0),MATCH('03_CALCULATIONS'!AD$9,'02_PROPERTIES'!$C$10:$I$10,0))</f>
        <v>#N/A</v>
      </c>
      <c r="AE288" s="32" t="e">
        <f>INDEX('02_PROPERTIES'!$C$10:$I$1048576,MATCH('03_CALCULATIONS'!$D288,'02_PROPERTIES'!$C$10:$C$1048576,0),MATCH('03_CALCULATIONS'!AE$9,'02_PROPERTIES'!$C$10:$I$10,0))</f>
        <v>#N/A</v>
      </c>
      <c r="AF288" s="32" t="e">
        <f>INDEX('02_PROPERTIES'!$C$10:$I$1048576,MATCH('03_CALCULATIONS'!$D288,'02_PROPERTIES'!$C$10:$C$1048576,0),MATCH('03_CALCULATIONS'!AF$9,'02_PROPERTIES'!$C$10:$I$10,0))</f>
        <v>#N/A</v>
      </c>
      <c r="AH288" s="20" t="e">
        <f t="shared" si="44"/>
        <v>#N/A</v>
      </c>
      <c r="AI288" s="20" t="e">
        <f t="shared" si="45"/>
        <v>#N/A</v>
      </c>
      <c r="AJ288" s="20" t="e">
        <f t="shared" si="46"/>
        <v>#N/A</v>
      </c>
      <c r="AL288" s="20" t="e">
        <f t="shared" si="47"/>
        <v>#N/A</v>
      </c>
      <c r="AM288" s="20" t="e">
        <f t="shared" si="48"/>
        <v>#N/A</v>
      </c>
      <c r="AN288" s="20" t="e">
        <f t="shared" si="49"/>
        <v>#N/A</v>
      </c>
      <c r="AO288" s="20" t="e">
        <f t="shared" si="50"/>
        <v>#N/A</v>
      </c>
      <c r="AP288" s="20" t="e">
        <f t="shared" si="51"/>
        <v>#N/A</v>
      </c>
      <c r="AR288" s="20" t="e">
        <f t="shared" si="52"/>
        <v>#N/A</v>
      </c>
      <c r="AS288" s="20" t="e">
        <f t="shared" si="53"/>
        <v>#N/A</v>
      </c>
      <c r="AT288" s="20" t="e">
        <f t="shared" si="54"/>
        <v>#N/A</v>
      </c>
    </row>
    <row r="289" spans="1:46" x14ac:dyDescent="0.3">
      <c r="A289" s="18"/>
      <c r="B289" s="20" t="e">
        <f>INDEX('01_FASTPPH'!$9:$1048576,MATCH($A289,'01_FASTPPH'!$A$9:$A$1048576,0),MATCH(B$9,'01_FASTPPH'!$8:$8,0))</f>
        <v>#N/A</v>
      </c>
      <c r="C289" s="20" t="e">
        <f>INDEX('01_FASTPPH'!$9:$1048576,MATCH($A289,'01_FASTPPH'!$A$9:$A$1048576,0),MATCH(C$9,'01_FASTPPH'!$8:$8,0))</f>
        <v>#N/A</v>
      </c>
      <c r="D289" s="20" t="e">
        <f>INDEX('01_FASTPPH'!$9:$1048576,MATCH($A289,'01_FASTPPH'!$A$9:$A$1048576,0),MATCH(D$9,'01_FASTPPH'!$8:$8,0))</f>
        <v>#N/A</v>
      </c>
      <c r="E289" s="20" t="e">
        <f>INDEX('01_FASTPPH'!$9:$1048576,MATCH($A289,'01_FASTPPH'!$A$9:$A$1048576,0),MATCH(E$9,'01_FASTPPH'!$8:$8,0))</f>
        <v>#N/A</v>
      </c>
      <c r="F289" s="20" t="e">
        <f>INDEX('01_FASTPPH'!$9:$1048576,MATCH($A289,'01_FASTPPH'!$A$9:$A$1048576,0),MATCH(F$9,'01_FASTPPH'!$8:$8,0))</f>
        <v>#N/A</v>
      </c>
      <c r="G289" s="20" t="e">
        <f>INDEX('01_FASTPPH'!$9:$1048576,MATCH($A289,'01_FASTPPH'!$A$9:$A$1048576,0),MATCH(G$9,'01_FASTPPH'!$8:$8,0))</f>
        <v>#N/A</v>
      </c>
      <c r="H289" s="20" t="e">
        <f>INDEX('01_FASTPPH'!$9:$1048576,MATCH($A289,'01_FASTPPH'!$A$9:$A$1048576,0),MATCH(H$9,'01_FASTPPH'!$8:$8,0))</f>
        <v>#N/A</v>
      </c>
      <c r="I289" s="20" t="e">
        <f>INDEX('01_FASTPPH'!$9:$1048576,MATCH($A289,'01_FASTPPH'!$A$9:$A$1048576,0),MATCH(I$9,'01_FASTPPH'!$8:$8,0))</f>
        <v>#N/A</v>
      </c>
      <c r="J289" s="20" t="e">
        <f>INDEX('01_FASTPPH'!$9:$1048576,MATCH($A289,'01_FASTPPH'!$A$9:$A$1048576,0),MATCH(J$9,'01_FASTPPH'!$8:$8,0))</f>
        <v>#N/A</v>
      </c>
      <c r="K289" s="23" t="e">
        <f>INDEX('01_FASTPPH'!$9:$1048576,MATCH($A289,'01_FASTPPH'!$A$9:$A$1048576,0),MATCH(K$9,'01_FASTPPH'!$8:$8,0))</f>
        <v>#N/A</v>
      </c>
      <c r="L289" s="20" t="e">
        <f>INDEX('01_FASTPPH'!$9:$1048576,MATCH($A289,'01_FASTPPH'!$A$9:$A$1048576,0),MATCH(L$9,'01_FASTPPH'!$8:$8,0))</f>
        <v>#N/A</v>
      </c>
      <c r="M289" s="20" t="e">
        <f>INDEX('01_FASTPPH'!$9:$1048576,MATCH($A289,'01_FASTPPH'!$A$9:$A$1048576,0),MATCH(M$9,'01_FASTPPH'!$8:$8,0))</f>
        <v>#N/A</v>
      </c>
      <c r="N289" s="24" t="e">
        <f>INDEX('01_FASTPPH'!$9:$1048576,MATCH($A289,'01_FASTPPH'!$A$9:$A$1048576,0),MATCH(N$9,'01_FASTPPH'!$8:$8,0))</f>
        <v>#N/A</v>
      </c>
      <c r="O289" s="23" t="e">
        <f>INDEX('01_FASTPPH'!$9:$1048576,MATCH($A289,'01_FASTPPH'!$A$9:$A$1048576,0),MATCH(O$9,'01_FASTPPH'!$8:$8,0))</f>
        <v>#N/A</v>
      </c>
      <c r="P289" s="20" t="e">
        <f>INDEX('01_FASTPPH'!$9:$1048576,MATCH($A289,'01_FASTPPH'!$A$9:$A$1048576,0),MATCH(P$9,'01_FASTPPH'!$8:$8,0))</f>
        <v>#N/A</v>
      </c>
      <c r="Q289" s="20" t="e">
        <f>INDEX('01_FASTPPH'!$9:$1048576,MATCH($A289,'01_FASTPPH'!$A$9:$A$1048576,0),MATCH(Q$9,'01_FASTPPH'!$8:$8,0))</f>
        <v>#N/A</v>
      </c>
      <c r="R289" s="20" t="e">
        <f>INDEX('01_FASTPPH'!$9:$1048576,MATCH($A289,'01_FASTPPH'!$A$9:$A$1048576,0),MATCH(R$9,'01_FASTPPH'!$8:$8,0))</f>
        <v>#N/A</v>
      </c>
      <c r="S289" s="20" t="e">
        <f>INDEX('01_FASTPPH'!$9:$1048576,MATCH($A289,'01_FASTPPH'!$A$9:$A$1048576,0),MATCH(S$9,'01_FASTPPH'!$8:$8,0))</f>
        <v>#N/A</v>
      </c>
      <c r="T289" s="24" t="e">
        <f>INDEX('01_FASTPPH'!$9:$1048576,MATCH($A289,'01_FASTPPH'!$A$9:$A$1048576,0),MATCH(T$9,'01_FASTPPH'!$8:$8,0))</f>
        <v>#N/A</v>
      </c>
      <c r="U289" s="23" t="e">
        <f>INDEX('01_FASTPPH'!$9:$1048576,MATCH($A289,'01_FASTPPH'!$A$9:$A$1048576,0),MATCH(U$9,'01_FASTPPH'!$8:$8,0))</f>
        <v>#N/A</v>
      </c>
      <c r="V289" s="20" t="e">
        <f>INDEX('01_FASTPPH'!$9:$1048576,MATCH($A289,'01_FASTPPH'!$A$9:$A$1048576,0),MATCH(V$9,'01_FASTPPH'!$8:$8,0))</f>
        <v>#N/A</v>
      </c>
      <c r="W289" s="24" t="e">
        <f>INDEX('01_FASTPPH'!$9:$1048576,MATCH($A289,'01_FASTPPH'!$A$9:$A$1048576,0),MATCH(W$9,'01_FASTPPH'!$8:$8,0))</f>
        <v>#N/A</v>
      </c>
      <c r="X289" s="20" t="e">
        <f>INDEX('01_FASTPPH'!$9:$1048576,MATCH($A289,'01_FASTPPH'!$A$9:$A$1048576,0),MATCH(X$9,'01_FASTPPH'!$8:$8,0))</f>
        <v>#N/A</v>
      </c>
      <c r="Y289" s="20" t="e">
        <f>INDEX('01_FASTPPH'!$9:$1048576,MATCH($A289,'01_FASTPPH'!$A$9:$A$1048576,0),MATCH(Y$9,'01_FASTPPH'!$8:$8,0))</f>
        <v>#N/A</v>
      </c>
      <c r="AA289" s="32" t="e">
        <f>INDEX('02_PROPERTIES'!$C$10:$I$1048576,MATCH('03_CALCULATIONS'!$D289,'02_PROPERTIES'!$C$10:$C$1048576,0),MATCH('03_CALCULATIONS'!AA$9,'02_PROPERTIES'!$C$10:$I$10,0))</f>
        <v>#N/A</v>
      </c>
      <c r="AB289" s="20" t="e">
        <f>INDEX('02_PROPERTIES'!$C$10:$I$1048576,MATCH('03_CALCULATIONS'!$D289,'02_PROPERTIES'!$C$10:$C$1048576,0),MATCH('03_CALCULATIONS'!AB$9,'02_PROPERTIES'!$C$10:$I$10,0))</f>
        <v>#N/A</v>
      </c>
      <c r="AC289" s="20" t="e">
        <f>INDEX('02_PROPERTIES'!$C$10:$I$1048576,MATCH('03_CALCULATIONS'!$D289,'02_PROPERTIES'!$C$10:$C$1048576,0),MATCH('03_CALCULATIONS'!AC$9,'02_PROPERTIES'!$C$10:$I$10,0))</f>
        <v>#N/A</v>
      </c>
      <c r="AD289" s="20" t="e">
        <f>INDEX('02_PROPERTIES'!$C$10:$I$1048576,MATCH('03_CALCULATIONS'!$D289,'02_PROPERTIES'!$C$10:$C$1048576,0),MATCH('03_CALCULATIONS'!AD$9,'02_PROPERTIES'!$C$10:$I$10,0))</f>
        <v>#N/A</v>
      </c>
      <c r="AE289" s="32" t="e">
        <f>INDEX('02_PROPERTIES'!$C$10:$I$1048576,MATCH('03_CALCULATIONS'!$D289,'02_PROPERTIES'!$C$10:$C$1048576,0),MATCH('03_CALCULATIONS'!AE$9,'02_PROPERTIES'!$C$10:$I$10,0))</f>
        <v>#N/A</v>
      </c>
      <c r="AF289" s="32" t="e">
        <f>INDEX('02_PROPERTIES'!$C$10:$I$1048576,MATCH('03_CALCULATIONS'!$D289,'02_PROPERTIES'!$C$10:$C$1048576,0),MATCH('03_CALCULATIONS'!AF$9,'02_PROPERTIES'!$C$10:$I$10,0))</f>
        <v>#N/A</v>
      </c>
      <c r="AH289" s="20" t="e">
        <f t="shared" si="44"/>
        <v>#N/A</v>
      </c>
      <c r="AI289" s="20" t="e">
        <f t="shared" si="45"/>
        <v>#N/A</v>
      </c>
      <c r="AJ289" s="20" t="e">
        <f t="shared" si="46"/>
        <v>#N/A</v>
      </c>
      <c r="AL289" s="20" t="e">
        <f t="shared" si="47"/>
        <v>#N/A</v>
      </c>
      <c r="AM289" s="20" t="e">
        <f t="shared" si="48"/>
        <v>#N/A</v>
      </c>
      <c r="AN289" s="20" t="e">
        <f t="shared" si="49"/>
        <v>#N/A</v>
      </c>
      <c r="AO289" s="20" t="e">
        <f t="shared" si="50"/>
        <v>#N/A</v>
      </c>
      <c r="AP289" s="20" t="e">
        <f t="shared" si="51"/>
        <v>#N/A</v>
      </c>
      <c r="AR289" s="20" t="e">
        <f t="shared" si="52"/>
        <v>#N/A</v>
      </c>
      <c r="AS289" s="20" t="e">
        <f t="shared" si="53"/>
        <v>#N/A</v>
      </c>
      <c r="AT289" s="20" t="e">
        <f t="shared" si="54"/>
        <v>#N/A</v>
      </c>
    </row>
  </sheetData>
  <autoFilter ref="A9:AW289"/>
  <mergeCells count="6">
    <mergeCell ref="AA8:AF8"/>
    <mergeCell ref="A2:C6"/>
    <mergeCell ref="K8:N8"/>
    <mergeCell ref="O8:T8"/>
    <mergeCell ref="U8:W8"/>
    <mergeCell ref="C8:G8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'01_FASTPPH'!$A$9:$A$1048576</xm:f>
          </x14:formula1>
          <xm:sqref>A10:A1048576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01_FASTPPH</vt:lpstr>
      <vt:lpstr>02_PROPERTIES</vt:lpstr>
      <vt:lpstr>03_CALCULATIONS</vt:lpstr>
    </vt:vector>
  </TitlesOfParts>
  <Company>Airbus Defence and Space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Garcia-Cosio Carmena, Jose [ES]</dc:creator>
  <cp:lastModifiedBy>Garcia-Cosio Carmena, Jose [ES]</cp:lastModifiedBy>
  <dcterms:created xsi:type="dcterms:W3CDTF">2023-05-11T14:24:22Z</dcterms:created>
  <dcterms:modified xsi:type="dcterms:W3CDTF">2023-05-18T05:52:09Z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0908fe91-4209-4195-9746-593c4127a860</vt:lpwstr>
  </property>
  <property fmtid="{D5CDD505-2E9C-101B-9397-08002B2CF9AE}" pid="3" name="LABEL">
    <vt:lpwstr>S</vt:lpwstr>
  </property>
  <property fmtid="{D5CDD505-2E9C-101B-9397-08002B2CF9AE}" pid="4" name="L1">
    <vt:lpwstr>C-ALL</vt:lpwstr>
  </property>
  <property fmtid="{D5CDD505-2E9C-101B-9397-08002B2CF9AE}" pid="5" name="L2">
    <vt:lpwstr>C-CS</vt:lpwstr>
  </property>
  <property fmtid="{D5CDD505-2E9C-101B-9397-08002B2CF9AE}" pid="6" name="L3">
    <vt:lpwstr>C-AD-AMB</vt:lpwstr>
  </property>
  <property fmtid="{D5CDD505-2E9C-101B-9397-08002B2CF9AE}" pid="7" name="CCAV">
    <vt:lpwstr/>
  </property>
  <property fmtid="{D5CDD505-2E9C-101B-9397-08002B2CF9AE}" pid="8" name="Visual">
    <vt:lpwstr>0</vt:lpwstr>
  </property>
</Properties>
</file>